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cleaned.csv" sheetId="1" r:id="rId5"/>
    <sheet state="visible" name="Sheet1" sheetId="2" r:id="rId6"/>
    <sheet state="visible" name="Sheet2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<sst xmlns="http://schemas.openxmlformats.org/spreadsheetml/2006/main" count="6194" uniqueCount="2051">
  <si>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</si>
  <si>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</si>
  <si>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</si>
  <si>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</si>
  <si>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</si>
  <si>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</si>
  <si>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</si>
  <si>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</si>
  <si>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Date</t>
  </si>
  <si>
    <t>Time</t>
  </si>
  <si>
    <t>Hour</t>
  </si>
  <si>
    <t>TotalPrice</t>
  </si>
  <si>
    <t>85048</t>
  </si>
  <si>
    <t>15CM CHRISTMAS GLASS BALL 20 LIGHTS</t>
  </si>
  <si>
    <t>United Kingdom</t>
  </si>
  <si>
    <t>79323P</t>
  </si>
  <si>
    <t>PINK CHERRY LIGHTS</t>
  </si>
  <si>
    <t>79323W</t>
  </si>
  <si>
    <t>WHITE CHERRY LIGHTS</t>
  </si>
  <si>
    <t>22041</t>
  </si>
  <si>
    <t>RECORD FRAME 7" SINGLE SIZE</t>
  </si>
  <si>
    <t>21232</t>
  </si>
  <si>
    <t>STRAWBERRY CERAMIC TRINKET BOX</t>
  </si>
  <si>
    <t>22064</t>
  </si>
  <si>
    <t>PINK DOUGHNUT TRINKET POT</t>
  </si>
  <si>
    <t>21871</t>
  </si>
  <si>
    <t>SAVE THE PLANET MUG</t>
  </si>
  <si>
    <t>21523</t>
  </si>
  <si>
    <t>FANCY FONT HOME SWEET HOME DOORMAT</t>
  </si>
  <si>
    <t>22350</t>
  </si>
  <si>
    <t>CAT BOWL</t>
  </si>
  <si>
    <t>22349</t>
  </si>
  <si>
    <t>DOG BOWL , CHASING BALL DESIGN</t>
  </si>
  <si>
    <t>22195</t>
  </si>
  <si>
    <t>HEART MEASURING SPOONS LARGE</t>
  </si>
  <si>
    <t>22353</t>
  </si>
  <si>
    <t>LUNCHBOX WITH CUTLERY FAIRY CAKES</t>
  </si>
  <si>
    <t>48173C</t>
  </si>
  <si>
    <t>DOOR MAT BLACK FLOCK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</si>
  <si>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</si>
  <si>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</si>
  <si>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</si>
  <si>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</si>
  <si>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</si>
  <si>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</si>
  <si>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</si>
  <si>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>PEACE WOODEN BLOCK LETTERS</t>
  </si>
  <si>
    <t>22142</t>
  </si>
  <si>
    <t>CHRISTMAS CRAFT WHITE FAIRY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</si>
  <si>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</si>
  <si>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</si>
  <si>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</si>
  <si>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</si>
  <si>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</si>
  <si>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</si>
  <si>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</si>
  <si>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</si>
  <si>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</si>
  <si>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</si>
  <si>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</si>
  <si>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</si>
  <si>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</si>
  <si>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</si>
  <si>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</si>
  <si>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</si>
  <si>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</si>
  <si>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</si>
  <si>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</si>
  <si>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</si>
  <si>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</si>
  <si>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</si>
  <si>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</si>
  <si>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</si>
  <si>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</si>
  <si>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</si>
  <si>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22143</t>
  </si>
  <si>
    <t>CHRISTMAS CRAFT HEART DECORATIONS</t>
  </si>
  <si>
    <t>22145</t>
  </si>
  <si>
    <t>CHRISTMAS CRAFT HEART STOCKING</t>
  </si>
  <si>
    <t>22130</t>
  </si>
  <si>
    <t>PARTY CONE CHRISTMAS DECORATION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</si>
  <si>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</si>
  <si>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</si>
  <si>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</si>
  <si>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</si>
  <si>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</si>
  <si>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</si>
  <si>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</si>
  <si>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WREATH</t>
  </si>
  <si>
    <t>35400</t>
  </si>
  <si>
    <t>WOODEN BOX ADVENT CALENDAR</t>
  </si>
  <si>
    <t>20695</t>
  </si>
  <si>
    <t>FLORAL BLUE MONSTER</t>
  </si>
  <si>
    <t>37370</t>
  </si>
  <si>
    <t>RETRO COFFEE MUGS ASSORTED</t>
  </si>
  <si>
    <t>10002</t>
  </si>
  <si>
    <t>INFLATABLE POLITICAL GLOBE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</si>
  <si>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</si>
  <si>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</si>
  <si>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</si>
  <si>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</si>
  <si>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</si>
  <si>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</si>
  <si>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</si>
  <si>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</si>
  <si>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</si>
  <si>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</si>
  <si>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</si>
  <si>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</si>
  <si>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</si>
  <si>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</si>
  <si>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</si>
  <si>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</si>
  <si>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</si>
  <si>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</si>
  <si>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</si>
  <si>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</si>
  <si>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</si>
  <si>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</si>
  <si>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21329</t>
  </si>
  <si>
    <t>DINOSAURS WRITING SET</t>
  </si>
  <si>
    <t>21252</t>
  </si>
  <si>
    <t>SET OF MEADOW FLOWER STICKERS</t>
  </si>
  <si>
    <t>21100</t>
  </si>
  <si>
    <t>CHARLIE AND LOLA CHARLOTTE BAG</t>
  </si>
  <si>
    <t>21033</t>
  </si>
  <si>
    <t>JUMBO BAG CHARLIE AND LOLA TOYS</t>
  </si>
  <si>
    <t>20711</t>
  </si>
  <si>
    <t>JUMBO BAG TOYS</t>
  </si>
  <si>
    <t>21410</t>
  </si>
  <si>
    <t>COUNTRY COTTAGE DOORSTOP GREEN</t>
  </si>
  <si>
    <t>21411</t>
  </si>
  <si>
    <t>GINGHAM HEART DOORSTOP RED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</si>
  <si>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</si>
  <si>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</si>
  <si>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</si>
  <si>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</si>
  <si>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</si>
  <si>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</si>
  <si>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</si>
  <si>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</si>
  <si>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</si>
  <si>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</si>
  <si>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</si>
  <si>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</si>
  <si>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</si>
  <si>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</si>
  <si>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</si>
  <si>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</si>
  <si>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</si>
  <si>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</si>
  <si>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</si>
  <si>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</si>
  <si>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22065</t>
  </si>
  <si>
    <t>CHRISTMAS PUDDING TRINKET POT</t>
  </si>
  <si>
    <t>France</t>
  </si>
  <si>
    <t>22138</t>
  </si>
  <si>
    <t>BAKING SET 9 PIECE RETROSPOT</t>
  </si>
  <si>
    <t>22139</t>
  </si>
  <si>
    <t>RETRO SPOT TEA SET CERAMIC 11 PC</t>
  </si>
  <si>
    <t>22352</t>
  </si>
  <si>
    <t>LUNCHBOX WITH CUTLERY RETROSPOT</t>
  </si>
  <si>
    <t>85014A</t>
  </si>
  <si>
    <t>BLACK/BLUE DOTS RUFFLED UMBRELLA</t>
  </si>
  <si>
    <t>85014B</t>
  </si>
  <si>
    <t>RED/WHITE DOTS RUFFLED UMBRELLA</t>
  </si>
  <si>
    <t>16161P</t>
  </si>
  <si>
    <t>WRAP ENGLISH ROSE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</si>
  <si>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</si>
  <si>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</si>
  <si>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</si>
  <si>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</si>
  <si>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</si>
  <si>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</si>
  <si>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</si>
  <si>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</si>
  <si>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</si>
  <si>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>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</si>
  <si>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</si>
  <si>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</si>
  <si>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</si>
  <si>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</si>
  <si>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</si>
  <si>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</si>
  <si>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</si>
  <si>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</si>
  <si>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</si>
  <si>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</si>
  <si>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22321</t>
  </si>
  <si>
    <t>BIRD DECORATION RED SPOT</t>
  </si>
  <si>
    <t>84029E</t>
  </si>
  <si>
    <t>RED WOOLLY HOTTIE WHITE HEART.</t>
  </si>
  <si>
    <t>21955</t>
  </si>
  <si>
    <t>UNION JACK GUNS &amp; ROSES DOORMAT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</si>
  <si>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</si>
  <si>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</si>
  <si>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</si>
  <si>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</si>
  <si>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</si>
  <si>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</si>
  <si>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</si>
  <si>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</si>
  <si>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</si>
  <si>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>KINGS CHOICE CIGAR BOX MATCHES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</si>
  <si>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</si>
  <si>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</si>
  <si>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</si>
  <si>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</si>
  <si>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</si>
  <si>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</si>
  <si>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</si>
  <si>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>BANQUET BIRTHDAY CARD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</si>
  <si>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</si>
  <si>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</si>
  <si>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</si>
  <si>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</si>
  <si>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</si>
  <si>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</si>
  <si>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</si>
  <si>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>SET3 BOOK BOX GREEN GINGHAM FLOWER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</si>
  <si>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</si>
  <si>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</si>
  <si>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</si>
  <si>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</si>
  <si>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</si>
  <si>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</si>
  <si>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</si>
  <si>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</si>
  <si>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</si>
  <si>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</si>
  <si>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20754</t>
  </si>
  <si>
    <t>RETRO RED SPOTTY WASHING UP GLOVES</t>
  </si>
  <si>
    <t>21035</t>
  </si>
  <si>
    <t>SET/2 RED SPOTTY TEA TOWELS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</si>
  <si>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</si>
  <si>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</si>
  <si>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</si>
  <si>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</si>
  <si>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</si>
  <si>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</si>
  <si>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</si>
  <si>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</si>
  <si>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</si>
  <si>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</si>
  <si>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</si>
  <si>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</si>
  <si>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</si>
  <si>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</si>
  <si>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</si>
  <si>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</si>
  <si>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</si>
  <si>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</si>
  <si>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</si>
  <si>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</si>
  <si>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</si>
  <si>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</si>
  <si>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</si>
  <si>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</si>
  <si>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</si>
  <si>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</si>
  <si>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>LOVEBIRD HANGING DECORATION WHITE</t>
  </si>
  <si>
    <t>18097C</t>
  </si>
  <si>
    <t>WHITE TALL PORCELAIN T-LIGHT HOLDER</t>
  </si>
  <si>
    <t>21299</t>
  </si>
  <si>
    <t>EDWARDIAN TOILET ROLL UNIT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</si>
  <si>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</si>
  <si>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</si>
  <si>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</si>
  <si>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</si>
  <si>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</si>
  <si>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</si>
  <si>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</si>
  <si>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" HAPPY EASTER"</t>
  </si>
  <si>
    <t>21091</t>
  </si>
  <si>
    <t>SET/6 WOODLAND PAPER PLATES</t>
  </si>
  <si>
    <t>21733</t>
  </si>
  <si>
    <t>RED HANGING HEART T-LIGHT HOLDER</t>
  </si>
  <si>
    <t>22178</t>
  </si>
  <si>
    <t>VICTORIAN GLASS HANGING T-LIGHT</t>
  </si>
  <si>
    <t>22125</t>
  </si>
  <si>
    <t>UNION JACK HOT WATER BOTTLE</t>
  </si>
  <si>
    <t>21671</t>
  </si>
  <si>
    <t>RED SPOT CERAMIC DRAWER KNOB</t>
  </si>
  <si>
    <t>22086</t>
  </si>
  <si>
    <t>PAPER CHAIN KIT 50'S CHRISTMAS</t>
  </si>
  <si>
    <t>22294</t>
  </si>
  <si>
    <t>HEART FILIGREE DOVE SMALL</t>
  </si>
  <si>
    <t>22199</t>
  </si>
  <si>
    <t>FRYING PAN RED POLKADOT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</si>
  <si>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</si>
  <si>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</si>
  <si>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</si>
  <si>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</si>
  <si>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</si>
  <si>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</si>
  <si>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</si>
  <si>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</si>
  <si>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</si>
  <si>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>JUMBO BAG RED WHITE SPOTTY</t>
  </si>
  <si>
    <t>22356</t>
  </si>
  <si>
    <t>CHARLOTTE BAG , PINK/WHITE SPOTS</t>
  </si>
  <si>
    <t>20724</t>
  </si>
  <si>
    <t>RED SPOTTY CHARLOTTE BAG</t>
  </si>
  <si>
    <t>21592</t>
  </si>
  <si>
    <t>RETRO SPOT CIGAR BOX MATCHES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</si>
  <si>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</si>
  <si>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</si>
  <si>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</si>
  <si>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</si>
  <si>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</si>
  <si>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</si>
  <si>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</si>
  <si>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</si>
  <si>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</si>
  <si>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</si>
  <si>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</si>
  <si>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Belgium</t>
  </si>
  <si>
    <t>20827</t>
  </si>
  <si>
    <t>GOLD APERITIF GLASS</t>
  </si>
  <si>
    <t>20825</t>
  </si>
  <si>
    <t>GOLD WINE GLASS</t>
  </si>
  <si>
    <t>20823</t>
  </si>
  <si>
    <t>GOLD WINE GOBLET</t>
  </si>
  <si>
    <t>20826</t>
  </si>
  <si>
    <t>SILVER APERITIF GLASS</t>
  </si>
  <si>
    <t>C489449</t>
  </si>
  <si>
    <t>22087</t>
  </si>
  <si>
    <t>PAPER BUNTING WHITE LACE</t>
  </si>
  <si>
    <t>Australia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</si>
  <si>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</si>
  <si>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</si>
  <si>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</si>
  <si>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</si>
  <si>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</si>
  <si>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</si>
  <si>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</si>
  <si>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</si>
  <si>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</si>
  <si>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</si>
  <si>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</si>
  <si>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</si>
  <si>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</si>
  <si>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</si>
  <si>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</si>
  <si>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</si>
  <si>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</si>
  <si>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</si>
  <si>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</si>
  <si>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</si>
  <si>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</si>
  <si>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</si>
  <si>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</si>
  <si>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</si>
  <si>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</si>
  <si>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</si>
  <si>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</si>
  <si>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</si>
  <si>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</si>
  <si>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</si>
  <si>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</si>
  <si>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</si>
  <si>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</si>
  <si>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</si>
  <si>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</si>
  <si>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</si>
  <si>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</si>
  <si>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</si>
  <si>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</si>
  <si>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</si>
  <si>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</si>
  <si>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</si>
  <si>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</si>
  <si>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</si>
  <si>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</si>
  <si>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</si>
  <si>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</si>
  <si>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</si>
  <si>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</si>
  <si>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</si>
  <si>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</si>
  <si>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</si>
  <si>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>SILVER CHERRY LIGHTS</t>
  </si>
  <si>
    <t>84568</t>
  </si>
  <si>
    <t>GIRLS ALPHABET IRON ON PATCHES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</si>
  <si>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</si>
  <si>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</si>
  <si>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</si>
  <si>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</si>
  <si>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</si>
  <si>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</si>
  <si>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</si>
  <si>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</si>
  <si>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</si>
  <si>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</si>
  <si>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</si>
  <si>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</si>
  <si>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</si>
  <si>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</si>
  <si>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</si>
  <si>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>KEEP OUT BOYS DOOR HANGER</t>
  </si>
  <si>
    <t>21162</t>
  </si>
  <si>
    <t>TOXIC AREA DOOR HANGER</t>
  </si>
  <si>
    <t>21248</t>
  </si>
  <si>
    <t>DOOR HANGER MUM + DADS ROOM</t>
  </si>
  <si>
    <t>21159</t>
  </si>
  <si>
    <t>MOODY BOY DOOR HANGER</t>
  </si>
  <si>
    <t>82494L</t>
  </si>
  <si>
    <t>WOODEN FRAME ANTIQUE WHITE</t>
  </si>
  <si>
    <t>82486</t>
  </si>
  <si>
    <t>WOOD S/3 CABINET ANT WHITE FINISH</t>
  </si>
  <si>
    <t>82483</t>
  </si>
  <si>
    <t>WOOD 2 DRAWER CABINET WHITE FINISH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</si>
  <si>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</si>
  <si>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</si>
  <si>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</si>
  <si>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</si>
  <si>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</si>
  <si>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</si>
  <si>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</si>
  <si>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</si>
  <si>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85123a mixed</t>
  </si>
  <si>
    <t>Unknown</t>
  </si>
  <si>
    <t>21707</t>
  </si>
  <si>
    <t>FOLDING UMBRELLA , BLACK/BLUE SPOT</t>
  </si>
  <si>
    <t>21710</t>
  </si>
  <si>
    <t>FOLDING UMBRELLA PINK/WHITE SPOT</t>
  </si>
  <si>
    <t>21708</t>
  </si>
  <si>
    <t>FOLDING UMBRELLA CREAM/MULTI SPOT</t>
  </si>
  <si>
    <t>21706</t>
  </si>
  <si>
    <t>FOLDING UMBRELLA , RED/WHITE SPOT</t>
  </si>
  <si>
    <t>21711</t>
  </si>
  <si>
    <t>FOLDING UMBRELLA WHITE/RED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</si>
  <si>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</si>
  <si>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</si>
  <si>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</si>
  <si>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</si>
  <si>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</si>
  <si>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</si>
  <si>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</si>
  <si>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</si>
  <si>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</si>
  <si>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</si>
  <si>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</si>
  <si>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</si>
  <si>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</si>
  <si>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</si>
  <si>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</si>
  <si>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</si>
  <si>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21733 mixed</t>
  </si>
  <si>
    <t>C489476</t>
  </si>
  <si>
    <t>22149</t>
  </si>
  <si>
    <t>FELTCRAFT 6 FLOWER FRIENDS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</si>
  <si>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</si>
  <si>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</si>
  <si>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</si>
  <si>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</si>
  <si>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</si>
  <si>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</si>
  <si>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</si>
  <si>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</si>
  <si>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</si>
  <si>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</si>
  <si>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</si>
  <si>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>PINK CREAM FELT CRAFT TRINKET BOX</t>
  </si>
  <si>
    <t>84327A</t>
  </si>
  <si>
    <t>PINK JUMPER LARRY THE LAMB</t>
  </si>
  <si>
    <t>21490</t>
  </si>
  <si>
    <t>SET OF THREE 50'S GIFT WRAPS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</si>
  <si>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</si>
  <si>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</si>
  <si>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</si>
  <si>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</si>
  <si>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</si>
  <si>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</si>
  <si>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</si>
  <si>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</si>
  <si>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</si>
  <si>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</si>
  <si>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</si>
  <si>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</si>
  <si>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</si>
  <si>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</si>
  <si>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</si>
  <si>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</si>
  <si>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</si>
  <si>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</si>
  <si>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</si>
  <si>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</si>
  <si>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</si>
  <si>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</si>
  <si>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</si>
  <si>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</si>
  <si>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</si>
  <si>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</si>
  <si>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C489503</t>
  </si>
  <si>
    <t>21540</t>
  </si>
  <si>
    <t>DAIRY MAID CERAMIC BUTTER DISH</t>
  </si>
  <si>
    <t>21533</t>
  </si>
  <si>
    <t>RETRO SPOT LARGE MILK JUG</t>
  </si>
  <si>
    <t>C489504</t>
  </si>
  <si>
    <t>85083</t>
  </si>
  <si>
    <t>KISS REINDEER SCANDINAVIAN STOCKING</t>
  </si>
  <si>
    <t>21472</t>
  </si>
  <si>
    <t>LADYBIRD + BEE RAFFIA FOOD COVER</t>
  </si>
  <si>
    <t>47566B</t>
  </si>
  <si>
    <t>TEA TIME PARTY BUNTING</t>
  </si>
  <si>
    <t>22275</t>
  </si>
  <si>
    <t>WEEKEND BAG VINTAGE ROSE PAISLEY</t>
  </si>
  <si>
    <t>21479</t>
  </si>
  <si>
    <t>WHITE SKULL HOT WATER BOTTLE</t>
  </si>
  <si>
    <t>21791</t>
  </si>
  <si>
    <t>VINTAGE HEADS AND TAILS CARD GAME</t>
  </si>
  <si>
    <t>71477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</si>
  <si>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</si>
  <si>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</si>
  <si>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</si>
  <si>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</si>
  <si>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</si>
  <si>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</si>
  <si>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</si>
  <si>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</si>
  <si>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</si>
  <si>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</si>
  <si>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</si>
  <si>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</si>
  <si>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</si>
  <si>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</si>
  <si>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</si>
  <si>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</si>
  <si>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</si>
  <si>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</si>
  <si>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</si>
  <si>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</si>
  <si>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</si>
  <si>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</si>
  <si>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>PINK UNION JACK PASSPORT COVER</t>
  </si>
  <si>
    <t>72783</t>
  </si>
  <si>
    <t>BLACK SIL'T SQU CANDLE PLATE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</si>
  <si>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</si>
  <si>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</si>
  <si>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</si>
  <si>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</si>
  <si>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</si>
  <si>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</si>
  <si>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</si>
  <si>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</si>
  <si>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</si>
  <si>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>UNION JACK FLAG PASSPORT COVER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</si>
  <si>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</si>
  <si>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</si>
  <si>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</si>
  <si>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</si>
  <si>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</si>
  <si>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</si>
  <si>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</si>
  <si>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</si>
  <si>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</si>
  <si>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</si>
  <si>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</si>
  <si>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>GREEN SPOTTY PLATE</t>
  </si>
  <si>
    <t>21241</t>
  </si>
  <si>
    <t>GREEN SPOTTY CUP</t>
  </si>
  <si>
    <t>21705</t>
  </si>
  <si>
    <t>BAG 500g SWIRLY MARBLES</t>
  </si>
  <si>
    <t>21913</t>
  </si>
  <si>
    <t>VINTAGE SEASIDE JIGSAW PUZZLES</t>
  </si>
  <si>
    <t>16207A</t>
  </si>
  <si>
    <t>PINK STRAWBERRY HANDBAG</t>
  </si>
  <si>
    <t>21821</t>
  </si>
  <si>
    <t>GLITTER STAR GARLAND WITH BELLS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</si>
  <si>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</si>
  <si>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</si>
  <si>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</si>
  <si>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</si>
  <si>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</si>
  <si>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</si>
  <si>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</si>
  <si>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</si>
  <si>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</si>
  <si>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</si>
  <si>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</si>
  <si>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</si>
  <si>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</si>
  <si>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</si>
  <si>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</si>
  <si>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</si>
  <si>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</si>
  <si>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>HEART DECORATION PAINTED ZINC</t>
  </si>
  <si>
    <t>85129A</t>
  </si>
  <si>
    <t>WHITE PEARL BEADED HEART, SMALL</t>
  </si>
  <si>
    <t>84791</t>
  </si>
  <si>
    <t>GINGHAM HEART DECORATION</t>
  </si>
  <si>
    <t>21244</t>
  </si>
  <si>
    <t>BLUE SPOTTY PLATE</t>
  </si>
  <si>
    <t>20675</t>
  </si>
  <si>
    <t>BLUE SPOTTY BOWL</t>
  </si>
  <si>
    <t>C489518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</si>
  <si>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</si>
  <si>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</si>
  <si>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</si>
  <si>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</si>
  <si>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</si>
  <si>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</si>
  <si>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</si>
  <si>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</si>
  <si>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</si>
  <si>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</si>
  <si>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</si>
  <si>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</si>
  <si>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</si>
  <si>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</si>
  <si>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</si>
  <si>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</si>
  <si>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</si>
  <si>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</si>
  <si>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</si>
  <si>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>HAND OVER THE CHOCOLATE SIGN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</si>
  <si>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</si>
  <si>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</si>
  <si>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</si>
  <si>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</si>
  <si>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</si>
  <si>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</si>
  <si>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</si>
  <si>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>LARGE HEART FLOWERS HOOK</t>
  </si>
  <si>
    <t>90168</t>
  </si>
  <si>
    <t>2 DAISIES HAIR COMB</t>
  </si>
  <si>
    <t>84884A</t>
  </si>
  <si>
    <t>ANT WHITE WIRE HEART SPIRAL</t>
  </si>
  <si>
    <t>90013C</t>
  </si>
  <si>
    <t>GREEN VINTAGE EARRINGS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</si>
  <si>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</si>
  <si>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</si>
  <si>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</si>
  <si>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</si>
  <si>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</si>
  <si>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</si>
  <si>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</si>
  <si>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</si>
  <si>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</si>
  <si>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</si>
  <si>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</si>
  <si>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</si>
  <si>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</si>
  <si>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</si>
  <si>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</si>
  <si>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</si>
  <si>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</si>
  <si>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</si>
  <si>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</si>
  <si>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</si>
  <si>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</si>
  <si>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</si>
  <si>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</si>
  <si>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</si>
  <si>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</si>
  <si>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22212</t>
  </si>
  <si>
    <t>FOUR HOOK WHITE LOVEBIRDS</t>
  </si>
  <si>
    <t>48187</t>
  </si>
  <si>
    <t>DOOR MAT NEW ENGLAND</t>
  </si>
  <si>
    <t>48195</t>
  </si>
  <si>
    <t>DOOR MAT GREEN PAISLEY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</si>
  <si>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</si>
  <si>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</si>
  <si>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</si>
  <si>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</si>
  <si>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</si>
  <si>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</si>
  <si>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</si>
  <si>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>RIBBON REEL SPOTS DESIGN</t>
  </si>
  <si>
    <t>22082</t>
  </si>
  <si>
    <t>RIBBON REEL STRIPES DESIGN</t>
  </si>
  <si>
    <t>21784</t>
  </si>
  <si>
    <t>SHOE SHINE BOX</t>
  </si>
  <si>
    <t>21172</t>
  </si>
  <si>
    <t>PARTY METAL SIGN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</si>
  <si>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</si>
  <si>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</si>
  <si>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</si>
  <si>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</si>
  <si>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</si>
  <si>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</si>
  <si>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</si>
  <si>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</si>
  <si>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</si>
  <si>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>SILVER MINI TAPE MEASURE</t>
  </si>
  <si>
    <t>35071</t>
  </si>
  <si>
    <t>ASSORTED SANTA CHRISTMAS DECORATION</t>
  </si>
  <si>
    <t>22121</t>
  </si>
  <si>
    <t>NOEL WOODEN BLOCK LETTERS</t>
  </si>
  <si>
    <t>84836</t>
  </si>
  <si>
    <t>ZINC METAL HEART DECORATION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</si>
  <si>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</si>
  <si>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</si>
  <si>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</si>
  <si>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</si>
  <si>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</si>
  <si>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</si>
  <si>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</si>
  <si>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</si>
  <si>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</si>
  <si>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</si>
  <si>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</si>
  <si>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</si>
  <si>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</si>
  <si>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</si>
  <si>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</si>
  <si>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</si>
  <si>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</si>
  <si>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</si>
  <si>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</si>
  <si>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</si>
  <si>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</si>
  <si>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</si>
  <si>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</si>
  <si>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</si>
  <si>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</si>
  <si>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</si>
  <si>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</si>
  <si>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</si>
  <si>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</si>
  <si>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</si>
  <si>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</si>
  <si>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</si>
  <si>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</si>
  <si>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</si>
  <si>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</si>
  <si>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</si>
  <si>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</si>
  <si>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</si>
  <si>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</si>
  <si>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</si>
  <si>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</si>
  <si>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</si>
  <si>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</si>
  <si>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DESIGN</t>
  </si>
  <si>
    <t>22303</t>
  </si>
  <si>
    <t>COFFEE MUG APPLES DESIGN</t>
  </si>
  <si>
    <t>22127</t>
  </si>
  <si>
    <t>PARTY CONES CARNIVAL ASSORTED</t>
  </si>
  <si>
    <t>21143</t>
  </si>
  <si>
    <t>ANTIQUE GLASS HEART DECORATION</t>
  </si>
  <si>
    <t>21639</t>
  </si>
  <si>
    <t>ASSORTED TUTTI FRUTTI KEYRING</t>
  </si>
  <si>
    <t>22154</t>
  </si>
  <si>
    <t>ANGEL DECORATION 3 BUTTONS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</si>
  <si>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</si>
  <si>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</si>
  <si>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</si>
  <si>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</si>
  <si>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</si>
  <si>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</si>
  <si>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</si>
  <si>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</si>
  <si>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</si>
  <si>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</si>
  <si>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</si>
  <si>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TUBE MATCHES</t>
  </si>
  <si>
    <t>21818</t>
  </si>
  <si>
    <t>GLITTER CHRISTMAS HEART</t>
  </si>
  <si>
    <t>21819</t>
  </si>
  <si>
    <t>GLITTER CHRISTMAS STAR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</si>
  <si>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</si>
  <si>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</si>
  <si>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</si>
  <si>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</si>
  <si>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</si>
  <si>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</si>
  <si>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</si>
  <si>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</si>
  <si>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</si>
  <si>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</si>
  <si>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</si>
  <si>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</si>
  <si>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</si>
  <si>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</si>
  <si>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</si>
  <si>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</si>
  <si>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</si>
  <si>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</si>
  <si>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</si>
  <si>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</si>
  <si>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</si>
  <si>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</si>
  <si>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</si>
  <si>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</si>
  <si>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</si>
  <si>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</si>
  <si>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</si>
  <si>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</si>
  <si>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</si>
  <si>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</si>
  <si>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</si>
  <si>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</si>
  <si>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</si>
  <si>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</si>
  <si>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>COOK WITH WINE METAL SIGN</t>
  </si>
  <si>
    <t>21175</t>
  </si>
  <si>
    <t>GIN + TONIC DIET METAL SIGN</t>
  </si>
  <si>
    <t>21174</t>
  </si>
  <si>
    <t>POTTERING IN THE SHED METAL SIGN</t>
  </si>
  <si>
    <t>22197</t>
  </si>
  <si>
    <t>POPCORN HOLDER , SMALL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</si>
  <si>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</si>
  <si>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</si>
  <si>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</si>
  <si>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</si>
  <si>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</si>
  <si>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</si>
  <si>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</si>
  <si>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</si>
  <si>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</si>
  <si>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</si>
  <si>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</si>
  <si>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</si>
  <si>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</si>
  <si>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SPOTTY CUP</t>
  </si>
  <si>
    <t>21239</t>
  </si>
  <si>
    <t>PINK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</si>
  <si>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</si>
  <si>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</si>
  <si>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</si>
  <si>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</si>
  <si>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</si>
  <si>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</si>
  <si>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</si>
  <si>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</si>
  <si>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</si>
  <si>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</si>
  <si>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</si>
  <si>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>6 RIBBONS ELEGANT CHRISTMAS</t>
  </si>
  <si>
    <t>22076</t>
  </si>
  <si>
    <t>6 RIBBONS EMPIRE</t>
  </si>
  <si>
    <t>79323LP</t>
  </si>
  <si>
    <t>LIGHT PINK CHERRY LIGHTS</t>
  </si>
  <si>
    <t>79342B</t>
  </si>
  <si>
    <t>BROWN FLOWER LIGHTS</t>
  </si>
  <si>
    <t>79341</t>
  </si>
  <si>
    <t>WILLOW BRANCH LIGHTS.</t>
  </si>
  <si>
    <t>C489524</t>
  </si>
  <si>
    <t>85226C</t>
  </si>
  <si>
    <t>BLUE PULL BACK RACING CAR</t>
  </si>
  <si>
    <t>85227</t>
  </si>
  <si>
    <t>SET/6 3D KIT CARDS FOR KIDS</t>
  </si>
  <si>
    <t>Germany</t>
  </si>
  <si>
    <t>21976</t>
  </si>
  <si>
    <t>PACK OF 60 MUSHROOM CAKE CASES</t>
  </si>
  <si>
    <t>21498</t>
  </si>
  <si>
    <t>RED SPOTS WRAP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</si>
  <si>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</si>
  <si>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</si>
  <si>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</si>
  <si>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</si>
  <si>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</si>
  <si>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</si>
  <si>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C489527</t>
  </si>
  <si>
    <t>21173</t>
  </si>
  <si>
    <t>LOO ROLL METAL SIGN</t>
  </si>
  <si>
    <t>85124A</t>
  </si>
  <si>
    <t>PINK JUICY FRUIT PHOTO FRAME</t>
  </si>
  <si>
    <t>21539</t>
  </si>
  <si>
    <t>RETRO SPOTS BUTTER DISH</t>
  </si>
  <si>
    <t>16169F</t>
  </si>
  <si>
    <t>WRAP BLIZZARD</t>
  </si>
  <si>
    <t>21527</t>
  </si>
  <si>
    <t>RETRO SPOT TRADITIONAL TEAPOT</t>
  </si>
  <si>
    <t>21531</t>
  </si>
  <si>
    <t>RETRO SPOT SUGAR JAM BOWL</t>
  </si>
  <si>
    <t>20914</t>
  </si>
  <si>
    <t>SET/5 RED SPOTTY LID GLASS BOWLS</t>
  </si>
  <si>
    <t>21242</t>
  </si>
  <si>
    <t>RED SPOTTY PLATE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</si>
  <si>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</si>
  <si>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</si>
  <si>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</si>
  <si>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</si>
  <si>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</si>
  <si>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</si>
  <si>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</si>
  <si>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</si>
  <si>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</si>
  <si>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</si>
  <si>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EDWARDIAN PARASOL BLACK</t>
  </si>
  <si>
    <t>15056N</t>
  </si>
  <si>
    <t>EDWARDIAN PARASOL NATURAL</t>
  </si>
  <si>
    <t>22254</t>
  </si>
  <si>
    <t>FELT TOADSTOOL LARGE</t>
  </si>
  <si>
    <t>22255</t>
  </si>
  <si>
    <t>FELT TOADSTOOL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</si>
  <si>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</si>
  <si>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</si>
  <si>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</si>
  <si>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</si>
  <si>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</si>
  <si>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</si>
  <si>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</si>
  <si>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</si>
  <si>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</si>
  <si>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</si>
  <si>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</si>
  <si>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CANDLE STICK</t>
  </si>
  <si>
    <t>C489528</t>
  </si>
  <si>
    <t>85063</t>
  </si>
  <si>
    <t>CREAM SWEETHEART MAGAZINE RACK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</si>
  <si>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</si>
  <si>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</si>
  <si>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</si>
  <si>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</si>
  <si>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</si>
  <si>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</si>
  <si>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</si>
  <si>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</si>
  <si>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</si>
  <si>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>BLUE PAISLEY JOURNAL</t>
  </si>
  <si>
    <t>22028</t>
  </si>
  <si>
    <t>PENNY FARTHING BIRTHDAY CARD</t>
  </si>
  <si>
    <t>20622</t>
  </si>
  <si>
    <t>VIPPASSPORT COVER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</si>
  <si>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</si>
  <si>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</si>
  <si>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</si>
  <si>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</si>
  <si>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</si>
  <si>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</si>
  <si>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</si>
  <si>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</si>
  <si>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</si>
  <si>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</si>
  <si>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</si>
  <si>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</si>
  <si>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</si>
  <si>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>TROPICAL PASSPORT COVER</t>
  </si>
  <si>
    <t>21866</t>
  </si>
  <si>
    <t>UNION JACK FLAG LUGGAGE TAG</t>
  </si>
  <si>
    <t>20660</t>
  </si>
  <si>
    <t>VIP LUGGAGE TAG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</si>
  <si>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</si>
  <si>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</si>
  <si>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</si>
  <si>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</si>
  <si>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</si>
  <si>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</si>
  <si>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</si>
  <si>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</si>
  <si>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</si>
  <si>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STICKERS</t>
  </si>
  <si>
    <t>21544</t>
  </si>
  <si>
    <t>SKULLS WATER TRANSFER TATTOOS</t>
  </si>
  <si>
    <t>21004</t>
  </si>
  <si>
    <t>ROSE DU SUD CHILDS APRON</t>
  </si>
  <si>
    <t>84402D</t>
  </si>
  <si>
    <t>PINK DRESS JEWELLERY STAND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</si>
  <si>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</si>
  <si>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</si>
  <si>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</si>
  <si>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</si>
  <si>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</si>
  <si>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</si>
  <si>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</si>
  <si>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>PINK SPOTS WRAP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</si>
  <si>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</si>
  <si>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</si>
  <si>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</si>
  <si>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</si>
  <si>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</si>
  <si>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</si>
  <si>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</si>
  <si>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</si>
  <si>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</si>
  <si>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79029</t>
  </si>
  <si>
    <t>GLASS HONEYPOT WASP CATCHER</t>
  </si>
  <si>
    <t>21591</t>
  </si>
  <si>
    <t>COSY HOUR CIGAR BOX MATCHES</t>
  </si>
  <si>
    <t>72801E</t>
  </si>
  <si>
    <t>S/4 FESTIVE GREEN DINNER CANDLES</t>
  </si>
  <si>
    <t>21034</t>
  </si>
  <si>
    <t>REX CASH+CARRY JUMBO SHOPPER</t>
  </si>
  <si>
    <t>85049D</t>
  </si>
  <si>
    <t>BRIGHT BLUES RIBBONS</t>
  </si>
  <si>
    <t>21985</t>
  </si>
  <si>
    <t>PACK OF 12 HEARTS DESIGN TISSUES</t>
  </si>
  <si>
    <t>21980</t>
  </si>
  <si>
    <t>PACK OF 12 RED SPOTTY TISSUES</t>
  </si>
  <si>
    <t>16235</t>
  </si>
  <si>
    <t>RECYCLED PENCIL WITH RABBIT ERASER</t>
  </si>
  <si>
    <t>84347</t>
  </si>
  <si>
    <t>ROTATING SILVER ANGELS T-LIGHT HLDR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</si>
  <si>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</si>
  <si>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</si>
  <si>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</si>
  <si>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</si>
  <si>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</si>
  <si>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</si>
  <si>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</si>
  <si>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</si>
  <si>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</si>
  <si>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WHITE</t>
  </si>
  <si>
    <t>22070</t>
  </si>
  <si>
    <t>SMALL RETRO SPOT MUG IN BOX RED</t>
  </si>
  <si>
    <t>84270</t>
  </si>
  <si>
    <t>ASSTD DESIGN BUBBLE GUM RING</t>
  </si>
  <si>
    <t>85049C</t>
  </si>
  <si>
    <t>ROMANTIC PINKS RIBBONS</t>
  </si>
  <si>
    <t>84352</t>
  </si>
  <si>
    <t>SILVER CHRISTMAS TREE BAUBLE STAND</t>
  </si>
  <si>
    <t>79067</t>
  </si>
  <si>
    <t>CORONA MEXICAN TRAY</t>
  </si>
  <si>
    <t>22203</t>
  </si>
  <si>
    <t>MILK PAN RED RETROSPOT</t>
  </si>
  <si>
    <t>21353</t>
  </si>
  <si>
    <t>SILVER SLEIGHBELL WREATH</t>
  </si>
  <si>
    <t>21538</t>
  </si>
  <si>
    <t>DAIRY MAID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</si>
  <si>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</si>
  <si>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</si>
  <si>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</si>
  <si>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</si>
  <si>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</si>
  <si>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</si>
  <si>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C489534</t>
  </si>
  <si>
    <t>35832</t>
  </si>
  <si>
    <t>WOOLLY HAT SOCK GLOVE ADVENT STRING</t>
  </si>
  <si>
    <t>C489535</t>
  </si>
  <si>
    <t>D</t>
  </si>
  <si>
    <t>Discount</t>
  </si>
  <si>
    <t>21375</t>
  </si>
  <si>
    <t>LARGE CAMPHOR WOOD FIELD MUSHROOM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</si>
  <si>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</si>
  <si>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</si>
  <si>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</si>
  <si>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</si>
  <si>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</si>
  <si>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</si>
  <si>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</si>
  <si>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</si>
  <si>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</si>
  <si>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</si>
  <si>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</si>
  <si>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</si>
  <si>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</si>
  <si>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</si>
  <si>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</si>
  <si>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</si>
  <si>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</si>
  <si>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</si>
  <si>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</si>
  <si>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>SET/6 BLACK SNOWFLAKE T-LIGHTS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</si>
  <si>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</si>
  <si>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</si>
  <si>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</si>
  <si>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</si>
  <si>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</si>
  <si>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</si>
  <si>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</si>
  <si>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</si>
  <si>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</si>
  <si>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</si>
  <si>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</si>
  <si>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</si>
  <si>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</si>
  <si>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</si>
  <si>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</si>
  <si>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</si>
  <si>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</si>
  <si>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</si>
  <si>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</si>
  <si>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</si>
  <si>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</si>
  <si>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>STRAWBERRY BATH SPONGE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</si>
  <si>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</si>
  <si>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</si>
  <si>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</si>
  <si>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</si>
  <si>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</si>
  <si>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</si>
  <si>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</si>
  <si>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</si>
  <si>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</si>
  <si>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</si>
  <si>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</si>
  <si>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</si>
  <si>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</si>
  <si>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</si>
  <si>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</si>
  <si>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</si>
  <si>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</si>
  <si>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</si>
  <si>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</si>
  <si>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>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</si>
  <si>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</si>
  <si>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</si>
  <si>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</si>
  <si>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</si>
  <si>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</si>
  <si>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</si>
  <si>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</si>
  <si>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STICKERS</t>
  </si>
  <si>
    <t>21680</t>
  </si>
  <si>
    <t>WOODLAND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</si>
  <si>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</si>
  <si>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</si>
  <si>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</si>
  <si>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</si>
  <si>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</si>
  <si>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</si>
  <si>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</si>
  <si>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</si>
  <si>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</si>
  <si>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>TRADITIONAL WOODEN CATCH CUP GAME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</si>
  <si>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</si>
  <si>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</si>
  <si>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</si>
  <si>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</si>
  <si>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</si>
  <si>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</si>
  <si>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</si>
  <si>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COTTON TOTE BAG</t>
  </si>
  <si>
    <t>21579</t>
  </si>
  <si>
    <t>LOLITA DESIGN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</si>
  <si>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</si>
  <si>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</si>
  <si>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</si>
  <si>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</si>
  <si>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</si>
  <si>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</si>
  <si>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</si>
  <si>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</si>
  <si>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</si>
  <si>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</si>
  <si>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</si>
  <si>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</si>
  <si>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</si>
  <si>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>BLACK PIRATE TREASURE CHEST</t>
  </si>
  <si>
    <t>21377</t>
  </si>
  <si>
    <t>SMALL CAMPHOR WOOD FIELD MUSHROOM</t>
  </si>
  <si>
    <t>21379</t>
  </si>
  <si>
    <t>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</si>
  <si>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</si>
  <si>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</si>
  <si>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</si>
  <si>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</si>
  <si>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</si>
  <si>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</si>
  <si>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</si>
  <si>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</si>
  <si>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</si>
  <si>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DESIGN COTTON TOTE BAG</t>
  </si>
  <si>
    <t>20727</t>
  </si>
  <si>
    <t>LUNCH BAG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</si>
  <si>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</si>
  <si>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</si>
  <si>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</si>
  <si>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</si>
  <si>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</si>
  <si>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</si>
  <si>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</si>
  <si>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</si>
  <si>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48188</t>
  </si>
  <si>
    <t>DOOR MAT WELCOME PUPPIES</t>
  </si>
  <si>
    <t>48184</t>
  </si>
  <si>
    <t>DOOR MAT ENGLISH ROSE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</si>
  <si>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</si>
  <si>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</si>
  <si>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</si>
  <si>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</si>
  <si>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</si>
  <si>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</si>
  <si>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</si>
  <si>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</si>
  <si>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</si>
  <si>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</si>
  <si>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</si>
  <si>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</si>
  <si>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</si>
  <si>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</si>
  <si>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</si>
  <si>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</si>
  <si>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</si>
  <si>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</si>
  <si>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</si>
  <si>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</si>
  <si>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</si>
  <si>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>BROWN CHECK CAT DOORSTOP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</si>
  <si>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</si>
  <si>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</si>
  <si>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</si>
  <si>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</si>
  <si>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</si>
  <si>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</si>
  <si>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</si>
  <si>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</si>
  <si>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</si>
  <si>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</si>
  <si>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</si>
  <si>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</si>
  <si>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</si>
  <si>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</si>
  <si>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</si>
  <si>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</si>
  <si>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</si>
  <si>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</si>
  <si>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</si>
  <si>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</si>
  <si>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</si>
  <si>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22183</t>
  </si>
  <si>
    <t>CAKE STAND VICTORIAN FILIGREE MED</t>
  </si>
  <si>
    <t>21732</t>
  </si>
  <si>
    <t>RED HANGING METAL STAR TLIGHT HLDR</t>
  </si>
  <si>
    <t>C489541</t>
  </si>
  <si>
    <t>21254</t>
  </si>
  <si>
    <t>SET OF KITCHEN WALL STICKERS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</si>
  <si>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</si>
  <si>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</si>
  <si>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</si>
  <si>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</si>
  <si>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</si>
  <si>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</si>
  <si>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</si>
  <si>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</si>
  <si>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</si>
  <si>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</si>
  <si>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</si>
  <si>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</si>
  <si>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37410</t>
  </si>
  <si>
    <t>BLACK AND WHITE PAISLEY FLOWER MUG</t>
  </si>
  <si>
    <t>C489543</t>
  </si>
  <si>
    <t>84251F</t>
  </si>
  <si>
    <t>GREETING CARD, RITA</t>
  </si>
  <si>
    <t>21080</t>
  </si>
  <si>
    <t>SET/20 RED SPOTTY PAPER NAPKINS</t>
  </si>
  <si>
    <t>21967</t>
  </si>
  <si>
    <t>PACK OF 12 SKULL TISSUES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</si>
  <si>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</si>
  <si>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</si>
  <si>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</si>
  <si>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</si>
  <si>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</si>
  <si>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</si>
  <si>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</si>
  <si>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</si>
  <si>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</si>
  <si>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</si>
  <si>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</si>
  <si>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>RIBBON REEL FLORA + FAUNA</t>
  </si>
  <si>
    <t>22079</t>
  </si>
  <si>
    <t>RIBBON REEL HEARTS DESIGN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</si>
  <si>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</si>
  <si>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</si>
  <si>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</si>
  <si>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</si>
  <si>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</si>
  <si>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</si>
  <si>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</si>
  <si>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</si>
  <si>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</si>
  <si>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>MIRROR MOSAIC T-LIGHT HOLDER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</si>
  <si>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</si>
  <si>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</si>
  <si>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</si>
  <si>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</si>
  <si>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</si>
  <si>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</si>
  <si>
    <t>84050</t>
  </si>
  <si>
    <t>PINK HEART SHAPE EGG FRYING PAN</t>
  </si>
  <si>
    <t>47568</t>
  </si>
  <si>
    <t>ENGLISH ROSE DESIGN PEG BAG</t>
  </si>
  <si>
    <t>84782A</t>
  </si>
  <si>
    <t>PINK 3 TIER GLASS PLATE STAND</t>
  </si>
  <si>
    <t>84782C</t>
  </si>
  <si>
    <t>GREEN 3 TIER GLASS PLATE STAND</t>
  </si>
  <si>
    <t>22169</t>
  </si>
  <si>
    <t>FAMILY ALBUM WHITE PICTURE FRAME</t>
  </si>
  <si>
    <t>84933A</t>
  </si>
  <si>
    <t>LARGE GREEN PEONY FOLDING STOOL</t>
  </si>
  <si>
    <t>84933B</t>
  </si>
  <si>
    <t>LARGE PINK PEONY FOLDING STOOL</t>
  </si>
  <si>
    <t>22201</t>
  </si>
  <si>
    <t>FRYING PAN BLUE POLKADOT</t>
  </si>
  <si>
    <t>37503</t>
  </si>
  <si>
    <t>TEA TIME CAKE STAND IN GIFT BOX</t>
  </si>
  <si>
    <t>21593</t>
  </si>
  <si>
    <t>SWALLOW CIGAR BOX MATCHES</t>
  </si>
  <si>
    <t>22085</t>
  </si>
  <si>
    <t>PAPER CHAIN KIT SKULLS</t>
  </si>
  <si>
    <t>85099C</t>
  </si>
  <si>
    <t>JUMBO BAG BAROQUE BLACK WHITE</t>
  </si>
  <si>
    <t>22348</t>
  </si>
  <si>
    <t>TEA BAG PLATE RED SPOTTY</t>
  </si>
  <si>
    <t>85061W</t>
  </si>
  <si>
    <t>WHITE JEWELLED HEART DECORATION</t>
  </si>
  <si>
    <t>21781</t>
  </si>
  <si>
    <t>MA CAMPAGNE CUTLERY BOX</t>
  </si>
  <si>
    <t>20768</t>
  </si>
  <si>
    <t>GREEN FERN JOURNAL</t>
  </si>
  <si>
    <t>21082</t>
  </si>
  <si>
    <t>SET/20 FRUIT SALAD PAPER NAPKINS</t>
  </si>
  <si>
    <t>47591B</t>
  </si>
  <si>
    <t>SCOTTIES DES CHILD'S APRON</t>
  </si>
  <si>
    <t>22196</t>
  </si>
  <si>
    <t>SMALL HEART MEASURING SPOONS</t>
  </si>
  <si>
    <t>22131</t>
  </si>
  <si>
    <t>FOOD CONTAINER SET 3 LOVE HEART</t>
  </si>
  <si>
    <t>20804</t>
  </si>
  <si>
    <t>GLASS CHICKEN BUTTER DISH</t>
  </si>
  <si>
    <t>21115</t>
  </si>
  <si>
    <t>ROSE CARAVAN DOORSTOP</t>
  </si>
  <si>
    <t>21067</t>
  </si>
  <si>
    <t>VINTAGE RED TEATIME MUG</t>
  </si>
  <si>
    <t>22134</t>
  </si>
  <si>
    <t>LADLE LOVE HEART RED</t>
  </si>
  <si>
    <t>22132</t>
  </si>
  <si>
    <t>RED LOVE HEART SHAPE CUP</t>
  </si>
  <si>
    <t>20963</t>
  </si>
  <si>
    <t>APPLE BATH SPONGE</t>
  </si>
  <si>
    <t>84670</t>
  </si>
  <si>
    <t>JAPANESE CROCHETED ANIMAL</t>
  </si>
  <si>
    <t>21559</t>
  </si>
  <si>
    <t>STRAWBERRY LUNCHBOX WITH CUTLERY</t>
  </si>
  <si>
    <t>21558</t>
  </si>
  <si>
    <t>SKULL LUNCHBOX WITH CUTLERY</t>
  </si>
  <si>
    <t>35004P</t>
  </si>
  <si>
    <t>SET OF 3 PINK FLYING DUCKS</t>
  </si>
  <si>
    <t>21321</t>
  </si>
  <si>
    <t>GLASS CHALICE BLUE LARGE</t>
  </si>
  <si>
    <t>22281</t>
  </si>
  <si>
    <t>EASTER TREE YELLOW BIRDS</t>
  </si>
  <si>
    <t>21320</t>
  </si>
  <si>
    <t>GLASS CHALICE GREEN LARGE</t>
  </si>
  <si>
    <t>21187</t>
  </si>
  <si>
    <t>WHITE BELL HONEYCOMB PAPER GARLAND</t>
  </si>
  <si>
    <t>79000</t>
  </si>
  <si>
    <t>MOROCCAN TEA GLASS</t>
  </si>
  <si>
    <t>84706F</t>
  </si>
  <si>
    <t>RED PEONY TABLE CLOCK</t>
  </si>
  <si>
    <t>C489549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</si>
  <si>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</si>
  <si>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</si>
  <si>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</si>
  <si>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</si>
  <si>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</si>
  <si>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</si>
  <si>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</si>
  <si>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</si>
  <si>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21618</t>
  </si>
  <si>
    <t>4 WILDFLOWER BOTANICAL CANDLES</t>
  </si>
  <si>
    <t>21615</t>
  </si>
  <si>
    <t>4 LAVENDER BOTANICAL DINNER CANDLES</t>
  </si>
  <si>
    <t>21619</t>
  </si>
  <si>
    <t>4 VANILLA BOTANICAL CANDLES</t>
  </si>
  <si>
    <t>21612</t>
  </si>
  <si>
    <t>SET 12 WILDFLOWER BOTANICAL T-LIGHT</t>
  </si>
  <si>
    <t>85049B</t>
  </si>
  <si>
    <t>LUSH GREENS RIBBONS</t>
  </si>
  <si>
    <t>85049G</t>
  </si>
  <si>
    <t>CHOCOLATE BOX RIBBONS</t>
  </si>
  <si>
    <t>21770</t>
  </si>
  <si>
    <t>OPEN CLOSED METAL SIGN</t>
  </si>
  <si>
    <t>37500</t>
  </si>
  <si>
    <t>TEA TIME TEAPOT IN GIFT BOX</t>
  </si>
  <si>
    <t>21637</t>
  </si>
  <si>
    <t>ASSORTED SANSKRIT MINI NOTEBOOK</t>
  </si>
  <si>
    <t>C489551</t>
  </si>
  <si>
    <t>21901</t>
  </si>
  <si>
    <t>KEY FOB , BACK DOOR</t>
  </si>
  <si>
    <t>21900</t>
  </si>
  <si>
    <t>KEY FOB , SHED</t>
  </si>
  <si>
    <t>21902</t>
  </si>
  <si>
    <t>KEY FOB , FRONT DOOR</t>
  </si>
  <si>
    <t>21223</t>
  </si>
  <si>
    <t>SET/4 BADGES WOODLAND ANIMAL</t>
  </si>
  <si>
    <t>85049H</t>
  </si>
  <si>
    <t>URBAN BLACK RIBBONS</t>
  </si>
  <si>
    <t>21576</t>
  </si>
  <si>
    <t>LETS GO SHOPPING COTTON TOTE BAG</t>
  </si>
  <si>
    <t>21580</t>
  </si>
  <si>
    <t>RABBIT DESIGN COTTON TOTE BAG</t>
  </si>
  <si>
    <t>C489553</t>
  </si>
  <si>
    <t>35004S</t>
  </si>
  <si>
    <t>SET OF 3 SILVER FLYING DUCKS</t>
  </si>
  <si>
    <t>35001W</t>
  </si>
  <si>
    <t>HAND OPEN SHAPE DECO.WHITE</t>
  </si>
  <si>
    <t>C489554</t>
  </si>
  <si>
    <t>35001B</t>
  </si>
  <si>
    <t>HAND OPEN SHAPE BLACK</t>
  </si>
  <si>
    <t>C489555</t>
  </si>
  <si>
    <t>21260</t>
  </si>
  <si>
    <t>FIRST AID TIN</t>
  </si>
  <si>
    <t>20866</t>
  </si>
  <si>
    <t>BLUE ROSE FABRIC MIRROR</t>
  </si>
  <si>
    <t>20867</t>
  </si>
  <si>
    <t>PINK ROSE FABRIC MIRROR</t>
  </si>
  <si>
    <t>20979</t>
  </si>
  <si>
    <t>36 PENCILS TUBE RED SPOTTY</t>
  </si>
  <si>
    <t>20983</t>
  </si>
  <si>
    <t>12 PENCILS TALL TUBE RED SPOTTY</t>
  </si>
  <si>
    <t>20981</t>
  </si>
  <si>
    <t>12 PENCILS TALL TUBE WOODLAND</t>
  </si>
  <si>
    <t>20977</t>
  </si>
  <si>
    <t>36 PENCILS TUBE WOODLAND</t>
  </si>
  <si>
    <t>20974</t>
  </si>
  <si>
    <t>12 PENCILS SMALL TUBE SKULL</t>
  </si>
  <si>
    <t>21114</t>
  </si>
  <si>
    <t>LAVENDER SCENTED FABRIC HEART</t>
  </si>
  <si>
    <t>85232A</t>
  </si>
  <si>
    <t>SET/3 POLKA DOT STACKING TINS</t>
  </si>
  <si>
    <t>35971</t>
  </si>
  <si>
    <t>ROSE FOLKART HEART DECORATIONS</t>
  </si>
  <si>
    <t>21740</t>
  </si>
  <si>
    <t>COSY SLIPPER SHOES LARGE RED</t>
  </si>
  <si>
    <t>21624</t>
  </si>
  <si>
    <t>VINTAGE UNION JACK DOORSTOP</t>
  </si>
  <si>
    <t>21738</t>
  </si>
  <si>
    <t>COSY SLIPPER SHOES SMALL RED</t>
  </si>
  <si>
    <t>22280</t>
  </si>
  <si>
    <t>POCKET BAG PINK PAISELY BROWN SPOT</t>
  </si>
  <si>
    <t>21841</t>
  </si>
  <si>
    <t>BABY MOUSE RED GINGHAM DRESS</t>
  </si>
  <si>
    <t>21621</t>
  </si>
  <si>
    <t>VINTAGE UNION JACK BUNTING</t>
  </si>
  <si>
    <t>21622</t>
  </si>
  <si>
    <t>VINTAGE UNION JACK CUSHION COVER</t>
  </si>
  <si>
    <t>20750</t>
  </si>
  <si>
    <t>RED/WHITE DOT MINI CASES</t>
  </si>
  <si>
    <t>82482</t>
  </si>
  <si>
    <t>WOODEN PICTURE FRAME WHITE FINISH</t>
  </si>
  <si>
    <t>20665</t>
  </si>
  <si>
    <t>RED SPOTTY PURSE</t>
  </si>
  <si>
    <t>84837</t>
  </si>
  <si>
    <t>WHITE SWEETHEARTS CABINET 4 DRAWERS</t>
  </si>
  <si>
    <t>21439</t>
  </si>
  <si>
    <t>BASKET OF TOADSTOOLS</t>
  </si>
  <si>
    <t>16169D</t>
  </si>
  <si>
    <t>WRAP WINTER FOREST</t>
  </si>
  <si>
    <t>16169C</t>
  </si>
  <si>
    <t>WRAP BLUE REINDEER</t>
  </si>
  <si>
    <t>21017</t>
  </si>
  <si>
    <t>RED BIRD HOUSE TREE DECORATION</t>
  </si>
  <si>
    <t>21210</t>
  </si>
  <si>
    <t>SET OF 72 RETRO SPOT PAPER DOILIES</t>
  </si>
  <si>
    <t>21039</t>
  </si>
  <si>
    <t>RED SPOTTY SHOPPING BAG</t>
  </si>
  <si>
    <t>21432</t>
  </si>
  <si>
    <t>SET OF 3 CASES WOODLAND DESIGN</t>
  </si>
  <si>
    <t>21424</t>
  </si>
  <si>
    <t>WOODLAND STORAGE BOX LARGE</t>
  </si>
  <si>
    <t>21426</t>
  </si>
  <si>
    <t>WOODLAND STORAGE BOX SMALL</t>
  </si>
  <si>
    <t>21891</t>
  </si>
  <si>
    <t>TRADITIONAL WOODEN SKIPPING ROPE</t>
  </si>
  <si>
    <t>21098</t>
  </si>
  <si>
    <t>CHRISTMAS TOILET ROLL</t>
  </si>
  <si>
    <t>22415</t>
  </si>
  <si>
    <t>WHITE TISSUE REAM</t>
  </si>
  <si>
    <t>17165D</t>
  </si>
  <si>
    <t>ASS COL LARGE SAND FROG P'WEIGHT</t>
  </si>
  <si>
    <t>17165B</t>
  </si>
  <si>
    <t>ASS COL LARGE SAND GECKO P'WEIGHT</t>
  </si>
  <si>
    <t>85208</t>
  </si>
  <si>
    <t>SET/12 FUNKY FELT FLOWER PEG IN BAG</t>
  </si>
  <si>
    <t>90090</t>
  </si>
  <si>
    <t>PINK CRYSTAL HEART PHONE CHARM</t>
  </si>
  <si>
    <t>90092</t>
  </si>
  <si>
    <t>BLUE CRYSTAL BOOT PHONE CHARM</t>
  </si>
  <si>
    <t>16161C</t>
  </si>
  <si>
    <t>WRAP SPEED DEMONS</t>
  </si>
  <si>
    <t>35160</t>
  </si>
  <si>
    <t>BUDDHA INCENSE HOLDER ASSORTED</t>
  </si>
  <si>
    <t>17108D</t>
  </si>
  <si>
    <t>FLOWER FAIRY SUMMER BOUQUET SACHET</t>
  </si>
  <si>
    <t>21805</t>
  </si>
  <si>
    <t>WHITE CHRISTMAS TREE DECORATION</t>
  </si>
  <si>
    <t>90125A</t>
  </si>
  <si>
    <t>PINK BERTIE GLASS BEAD BAG CHARM</t>
  </si>
  <si>
    <t>84578</t>
  </si>
  <si>
    <t>ELEPHANT TOY WITH BLUE T-SHIRT</t>
  </si>
  <si>
    <t>84901</t>
  </si>
  <si>
    <t>BLACK FACE LAMB WITH PANTS</t>
  </si>
  <si>
    <t>35931</t>
  </si>
  <si>
    <t>PINK STAR CHRISTMAS DECORATION</t>
  </si>
  <si>
    <t>35933</t>
  </si>
  <si>
    <t>PINK STOCKING CHRISTMAS DECORATION</t>
  </si>
  <si>
    <t>90087</t>
  </si>
  <si>
    <t>CRYSTAL SEA HORSE PHONE CHARM</t>
  </si>
  <si>
    <t>90085</t>
  </si>
  <si>
    <t>CRYSTAL STILETTO PHONE CHARM</t>
  </si>
  <si>
    <t>90093</t>
  </si>
  <si>
    <t>CLEAR CRYSTAL STAR PHONE CHARM</t>
  </si>
  <si>
    <t>90084</t>
  </si>
  <si>
    <t>PINK CRYSTAL GUITAR PHONE CHARM</t>
  </si>
  <si>
    <t>90088</t>
  </si>
  <si>
    <t>CRYSTAL KEY+LOCK PHONE CHARM</t>
  </si>
  <si>
    <t>21807</t>
  </si>
  <si>
    <t>WHITE CHRISTMAS STAR DECORATION</t>
  </si>
  <si>
    <t>21806</t>
  </si>
  <si>
    <t>WHITE CHRISTMAS HEART DECORATION</t>
  </si>
  <si>
    <t>21815</t>
  </si>
  <si>
    <t>STAR T-LIGHT HOLDER</t>
  </si>
  <si>
    <t>21816</t>
  </si>
  <si>
    <t>CHRISTMAS TREE T-LIGHT HOLDER</t>
  </si>
  <si>
    <t>35051B</t>
  </si>
  <si>
    <t>PINK BEADED CONE CHRISTMAS</t>
  </si>
  <si>
    <t>22153</t>
  </si>
  <si>
    <t>ANGEL DECORATION STARS ON DRESS</t>
  </si>
  <si>
    <t>20943</t>
  </si>
  <si>
    <t>SET/6 GINGERBREAD STAR T-LIGHTS</t>
  </si>
  <si>
    <t>72816</t>
  </si>
  <si>
    <t>SET/3 CHRISTMAS DECOUPAGE CANDLES</t>
  </si>
  <si>
    <t>85038</t>
  </si>
  <si>
    <t>6 CHOCOLATE LOVE HEART T-LIGHTS</t>
  </si>
  <si>
    <t>20978</t>
  </si>
  <si>
    <t>36 PENCILS TUBE SKULLS</t>
  </si>
  <si>
    <t>20942</t>
  </si>
  <si>
    <t>SET/6 GINGERBREAD TREE T-LIGHTS</t>
  </si>
  <si>
    <t>84559A</t>
  </si>
  <si>
    <t>3D SHEET OF DOG STICKERS</t>
  </si>
  <si>
    <t>84466</t>
  </si>
  <si>
    <t>TOP SECRET PEN SET</t>
  </si>
  <si>
    <t>20994</t>
  </si>
  <si>
    <t>JAZZ HEARTS SPIRAL NOTEPAD</t>
  </si>
  <si>
    <t>20992</t>
  </si>
  <si>
    <t>JAZZ HEARTS PURSE NOTEBOOK</t>
  </si>
  <si>
    <t>84077</t>
  </si>
  <si>
    <t>WORLD WAR 2 GLIDERS ASSTD DESIGNS</t>
  </si>
  <si>
    <t>84029C</t>
  </si>
  <si>
    <t>BROWN FURRY HOT WATER BOTTLE</t>
  </si>
  <si>
    <t>22336</t>
  </si>
  <si>
    <t>DOVE DECORATION PAINTED ZINC</t>
  </si>
  <si>
    <t>22156</t>
  </si>
  <si>
    <t>HEART DECORATION WITH PEARLS</t>
  </si>
  <si>
    <t>22338</t>
  </si>
  <si>
    <t>STAR DECORATION PAINTED ZINC</t>
  </si>
  <si>
    <t>21825</t>
  </si>
  <si>
    <t>PAINTED METAL TREE WITH HOLLY BELLS</t>
  </si>
  <si>
    <t>21822</t>
  </si>
  <si>
    <t>GLITTER CHRISTMAS TREE WITH BELLS</t>
  </si>
  <si>
    <t>22277</t>
  </si>
  <si>
    <t>COSMETIC BAG VINTAGE ROSE PAISLEY</t>
  </si>
  <si>
    <t>35979</t>
  </si>
  <si>
    <t>SIX STRING SCANDINAVIAN HEART DECS</t>
  </si>
  <si>
    <t>47566</t>
  </si>
  <si>
    <t>PARTY BUNTING</t>
  </si>
  <si>
    <t>21344</t>
  </si>
  <si>
    <t>MOROCCAN BEATEN METAL DISH</t>
  </si>
  <si>
    <t>21477</t>
  </si>
  <si>
    <t>STRING OF 20 ROSE LIGHTS</t>
  </si>
  <si>
    <t>85047</t>
  </si>
  <si>
    <t>WHITE BEADED GARLAND STRING 20LIGHT</t>
  </si>
  <si>
    <t>20681</t>
  </si>
  <si>
    <t>PINK SPOTTY CHILDS UMBRELLA</t>
  </si>
  <si>
    <t>84648</t>
  </si>
  <si>
    <t>NEW BAROQUE WALL MIRROR</t>
  </si>
  <si>
    <t>84472</t>
  </si>
  <si>
    <t>PINK AND LILAC QUILTED THROW</t>
  </si>
  <si>
    <t>84910A</t>
  </si>
  <si>
    <t>PINK PAISLEY CUSHION COVER</t>
  </si>
  <si>
    <t>84656</t>
  </si>
  <si>
    <t>WHITE ROSE C/COVER</t>
  </si>
  <si>
    <t>84580</t>
  </si>
  <si>
    <t>MOUSE TOY WITH PINK T-SHIRT</t>
  </si>
  <si>
    <t>84622</t>
  </si>
  <si>
    <t>PINK GINGHAM ROSE CUSHION COVER</t>
  </si>
  <si>
    <t>22151</t>
  </si>
  <si>
    <t>PLACE SETTING WHITE HEART</t>
  </si>
  <si>
    <t>35962</t>
  </si>
  <si>
    <t>12 ASS ZINC CHRISTMAS DECORATIONS</t>
  </si>
  <si>
    <t>22337</t>
  </si>
  <si>
    <t>ANGEL DECORATION PAINTED ZINC</t>
  </si>
  <si>
    <t>C489563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</si>
  <si>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</si>
  <si>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</si>
  <si>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</si>
  <si>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</si>
  <si>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</si>
  <si>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</si>
  <si>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C489565</t>
  </si>
  <si>
    <t>20901</t>
  </si>
  <si>
    <t>VINTAGE KEEPSAKE BOX PINK FLOWER</t>
  </si>
  <si>
    <t>22172</t>
  </si>
  <si>
    <t>METAL SHELF WITH RAIL</t>
  </si>
  <si>
    <t>85067</t>
  </si>
  <si>
    <t>CREAM SWEETHEART WALL CABINET</t>
  </si>
  <si>
    <t>21156</t>
  </si>
  <si>
    <t>RED SPOTTY CHILDS APRON</t>
  </si>
  <si>
    <t>72127</t>
  </si>
  <si>
    <t>COLUMBIAN CANDLE ROUND</t>
  </si>
  <si>
    <t>84992</t>
  </si>
  <si>
    <t>72 SWEETHEART FAIRY CAKE CASES</t>
  </si>
  <si>
    <t>84929</t>
  </si>
  <si>
    <t>ASSTD FRUIT+FLOWERS FRIDGE MAGNETS</t>
  </si>
  <si>
    <t>21649</t>
  </si>
  <si>
    <t>ASSORTED TUTTI FRUTTI PHOTO FRAME</t>
  </si>
  <si>
    <t>21463</t>
  </si>
  <si>
    <t>MIRRORED DISCO BALL</t>
  </si>
  <si>
    <t>85162A</t>
  </si>
  <si>
    <t>SILVER RETRODISC LAMPSHADE</t>
  </si>
  <si>
    <t>21761</t>
  </si>
  <si>
    <t>WOOD AND GLASS MEDICINE CABINET</t>
  </si>
  <si>
    <t>84839</t>
  </si>
  <si>
    <t>SWEETHEART KEY CABINET</t>
  </si>
  <si>
    <t>85064</t>
  </si>
  <si>
    <t>CREAM SWEETHEART LETTER RACK</t>
  </si>
  <si>
    <t>84706C</t>
  </si>
  <si>
    <t>PINK FLOCK TABLE CLOCK</t>
  </si>
  <si>
    <t>21804</t>
  </si>
  <si>
    <t>WHITE CHRISTMAS GARLAND STARS TREES</t>
  </si>
  <si>
    <t>C489568</t>
  </si>
  <si>
    <t>21218</t>
  </si>
  <si>
    <t>RED SPOTTY BISCUIT TIN</t>
  </si>
  <si>
    <t>C489570</t>
  </si>
  <si>
    <t>85103</t>
  </si>
  <si>
    <t>SILVER T-LIGHT SETTING</t>
  </si>
  <si>
    <t>20894</t>
  </si>
  <si>
    <t>HANGING BAUBLE T-LIGHT HOLDER LARGE</t>
  </si>
  <si>
    <t>85036C</t>
  </si>
  <si>
    <t>ROSE 1 WICK MORRIS BOXED CANDLE</t>
  </si>
  <si>
    <t>22162</t>
  </si>
  <si>
    <t>HEART GARLAND RUSTIC PADDED</t>
  </si>
  <si>
    <t>22297</t>
  </si>
  <si>
    <t>HEART IVORY TRELLIS SMALL</t>
  </si>
  <si>
    <t>85104</t>
  </si>
  <si>
    <t>SILVER GLASS T-LIGHT SET</t>
  </si>
  <si>
    <t>84813</t>
  </si>
  <si>
    <t>SET OF 4 DIAMOND NAPKIN RINGS</t>
  </si>
  <si>
    <t>72799D</t>
  </si>
  <si>
    <t>BLUE PILLAR CANDLE SILVER FLOCK</t>
  </si>
  <si>
    <t>21741</t>
  </si>
  <si>
    <t>COSY SLIPPER SHOES LARGE GREEN</t>
  </si>
  <si>
    <t>85071D</t>
  </si>
  <si>
    <t>CHARLIE+LOLA MY ROOM DOOR SIGN</t>
  </si>
  <si>
    <t>21724</t>
  </si>
  <si>
    <t>PANDA AND BUNNIES STICKER SHEET</t>
  </si>
  <si>
    <t>21524</t>
  </si>
  <si>
    <t>SPOTTY HOME SWEET HOME DOORMAT</t>
  </si>
  <si>
    <t>48197</t>
  </si>
  <si>
    <t>DOOR MAT BIRD ON THE WIRE</t>
  </si>
  <si>
    <t>84684</t>
  </si>
  <si>
    <t>BEACH HUT PHOTO FRAME</t>
  </si>
  <si>
    <t>20812</t>
  </si>
  <si>
    <t>EMBOSSED FLOWER TRELLIS PHOTO FRAME</t>
  </si>
  <si>
    <t>22035</t>
  </si>
  <si>
    <t>VINTAGE CARAVAN GREETING CARD</t>
  </si>
  <si>
    <t>21508</t>
  </si>
  <si>
    <t>VINTAGE KID DOLLY CARD</t>
  </si>
  <si>
    <t>22027</t>
  </si>
  <si>
    <t>TEA PARTY BIRTHDAY CARD</t>
  </si>
  <si>
    <t>85059</t>
  </si>
  <si>
    <t>FRENCH ENAMEL WATER BASIN</t>
  </si>
  <si>
    <t>21465</t>
  </si>
  <si>
    <t>PINK FLOWER CROCHET FOOD COVER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</si>
  <si>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</si>
  <si>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</si>
  <si>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</si>
  <si>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</si>
  <si>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</si>
  <si>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</si>
  <si>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21314</t>
  </si>
  <si>
    <t>SMALL GLASS HEART TRINKET POT</t>
  </si>
  <si>
    <t>84975</t>
  </si>
  <si>
    <t>HEART SHAPED MIRROR</t>
  </si>
  <si>
    <t>21949</t>
  </si>
  <si>
    <t>SET OF 6 STRAWBERRY CHOPSTICKS</t>
  </si>
  <si>
    <t>21947</t>
  </si>
  <si>
    <t>SET OF 6 HEART CHOPSTICKS</t>
  </si>
  <si>
    <t>21528</t>
  </si>
  <si>
    <t>DAIRY MAID TRADITIONAL TEAPOT</t>
  </si>
  <si>
    <t>21548</t>
  </si>
  <si>
    <t>CERAMIC BIRDHOUSE FINCH BLUE ROOF</t>
  </si>
  <si>
    <t>21684</t>
  </si>
  <si>
    <t>SMALL MEDINA STAMPED METAL BOWL</t>
  </si>
  <si>
    <t>21549</t>
  </si>
  <si>
    <t>CERAMIC BIRDHOUSE RED ROOF SMALL</t>
  </si>
  <si>
    <t>21545</t>
  </si>
  <si>
    <t>CERAMIC BIRDHOUSE BUTTERFLY SMALL</t>
  </si>
  <si>
    <t>21547</t>
  </si>
  <si>
    <t>CERAMIC BIRDHOUSE CRESTED TIT SMALL</t>
  </si>
  <si>
    <t>85054</t>
  </si>
  <si>
    <t>FRENCH ENAMEL POT W LID</t>
  </si>
  <si>
    <t>21532</t>
  </si>
  <si>
    <t>DAIRY MAID SUGAR JAM BOWL</t>
  </si>
  <si>
    <t>21530</t>
  </si>
  <si>
    <t>DAIRY MAID CERAMIC TOASTRACK</t>
  </si>
  <si>
    <t>37444A</t>
  </si>
  <si>
    <t>YELLOW BREAKFAST CUP AND SAUCER</t>
  </si>
  <si>
    <t>37444B</t>
  </si>
  <si>
    <t>BLUE BREAKFAST CUP AND SAUCER</t>
  </si>
  <si>
    <t>22042</t>
  </si>
  <si>
    <t>CHRISTMAS CARD SINGING ANGEL</t>
  </si>
  <si>
    <t>84247C</t>
  </si>
  <si>
    <t>PACK/12 BLUE REINDEER CARD</t>
  </si>
  <si>
    <t>22034</t>
  </si>
  <si>
    <t>ROBIN CHRISTMAS CARD</t>
  </si>
  <si>
    <t>84754</t>
  </si>
  <si>
    <t>S/15 SILVER GLASS BAUBLES IN BAG</t>
  </si>
  <si>
    <t>21313</t>
  </si>
  <si>
    <t>GLASS HEART T-LIGHT HOLDER</t>
  </si>
  <si>
    <t>84509A</t>
  </si>
  <si>
    <t>ENGLISH ROSE PLACEMATS</t>
  </si>
  <si>
    <t>84510A</t>
  </si>
  <si>
    <t>SET OF 4 ENGLISH ROSE COASTERS</t>
  </si>
  <si>
    <t>84340</t>
  </si>
  <si>
    <t>LARGE FIBRE OPTIC CHRISTMAS TREE</t>
  </si>
  <si>
    <t>21625</t>
  </si>
  <si>
    <t>VINTAGE UNION JACK APRON</t>
  </si>
  <si>
    <t>18096C</t>
  </si>
  <si>
    <t>WHITE ROUND PORCELAIN TLIGHT HOLDER</t>
  </si>
  <si>
    <t>85147</t>
  </si>
  <si>
    <t>JARDIN ETCHED GLASS CANDLEHLDR LONG</t>
  </si>
  <si>
    <t>37444C</t>
  </si>
  <si>
    <t>PINK BREAKFAST CUP AND SAUCER</t>
  </si>
  <si>
    <t>85055</t>
  </si>
  <si>
    <t>FRENCH ENAMEL UTENSIL HOLDER</t>
  </si>
  <si>
    <t>85028L</t>
  </si>
  <si>
    <t>FRENCH CHATEAU LARGE FRUIT BOWL</t>
  </si>
  <si>
    <t>85028S</t>
  </si>
  <si>
    <t>FRENCH CHATEAU SMALL FRUITBOWL</t>
  </si>
  <si>
    <t>21214</t>
  </si>
  <si>
    <t>SET OF 72 IVORY PAPER DOILIES</t>
  </si>
  <si>
    <t>84985B</t>
  </si>
  <si>
    <t>SET OF 72 BLACK PAPER DOILIES</t>
  </si>
  <si>
    <t>84985A</t>
  </si>
  <si>
    <t>SET OF 72 GREEN PAPER DOILIES</t>
  </si>
  <si>
    <t>47021G</t>
  </si>
  <si>
    <t>SET/6 BEAD COASTERS GAUZE BAG GOLD</t>
  </si>
  <si>
    <t>21911</t>
  </si>
  <si>
    <t>GARDEN METAL SIGN</t>
  </si>
  <si>
    <t>21070</t>
  </si>
  <si>
    <t>VINTAGE BILLBOARD MUG</t>
  </si>
  <si>
    <t>21066</t>
  </si>
  <si>
    <t>VINTAGE RED MUG</t>
  </si>
  <si>
    <t>21069</t>
  </si>
  <si>
    <t>VINTAGE BILLBOARD TEA MUG</t>
  </si>
  <si>
    <t>21986</t>
  </si>
  <si>
    <t>PACK OF 12 PINK SPOT TISSUES</t>
  </si>
  <si>
    <t>22325</t>
  </si>
  <si>
    <t>MOBILE VINTAGE HEARTS</t>
  </si>
  <si>
    <t>20940</t>
  </si>
  <si>
    <t>SET/6 GARDEN GNOME T-LIGHT CANDLES</t>
  </si>
  <si>
    <t>72798C</t>
  </si>
  <si>
    <t>SET/4 GARDEN ROSE DINNER CANDLE</t>
  </si>
  <si>
    <t>40018F</t>
  </si>
  <si>
    <t>CHERRY DESIGN PAPERLANTERNS</t>
  </si>
  <si>
    <t>40018E</t>
  </si>
  <si>
    <t>TEA TIME PAPER LANTERNS</t>
  </si>
  <si>
    <t>85176</t>
  </si>
  <si>
    <t>SEWING SUSAN 21 NEEDLE SET</t>
  </si>
  <si>
    <t>21893</t>
  </si>
  <si>
    <t>POTTING SHED SEED TIN</t>
  </si>
  <si>
    <t>21745</t>
  </si>
  <si>
    <t>GAOLERS KEYS DECORATIVE GARDEN</t>
  </si>
  <si>
    <t>17084J</t>
  </si>
  <si>
    <t>LOVE POTION MASALA INCENSE</t>
  </si>
  <si>
    <t>71279</t>
  </si>
  <si>
    <t>PINK GLASS CANDLEHOLDER</t>
  </si>
  <si>
    <t>21417</t>
  </si>
  <si>
    <t>COCKLE SHELL DISH</t>
  </si>
  <si>
    <t>22088</t>
  </si>
  <si>
    <t>PAPER BUNTING COLOURED LACE</t>
  </si>
  <si>
    <t>22093</t>
  </si>
  <si>
    <t>MOTORING TISSUE BOX</t>
  </si>
  <si>
    <t>84288B</t>
  </si>
  <si>
    <t>SET/2 BLUE NOODLE BASKETS</t>
  </si>
  <si>
    <t>35924</t>
  </si>
  <si>
    <t>HANGING FAIRY CAKE DECORATION</t>
  </si>
  <si>
    <t>20941</t>
  </si>
  <si>
    <t>FROG CANDLE</t>
  </si>
  <si>
    <t>21553</t>
  </si>
  <si>
    <t>CERAMIC BIRDHOUSE FINCH BLUE LARGE</t>
  </si>
  <si>
    <t>21554</t>
  </si>
  <si>
    <t>CERAMIC BIRDHOUSE RED ROOF LARGE</t>
  </si>
  <si>
    <t>22215</t>
  </si>
  <si>
    <t>CAKE STAND WHITE TWO TIER LACE</t>
  </si>
  <si>
    <t>21015</t>
  </si>
  <si>
    <t>DARK BIRD HOUSE TREE DECORATION</t>
  </si>
  <si>
    <t>21014</t>
  </si>
  <si>
    <t>SWISS CHALET TREE DECORATION</t>
  </si>
  <si>
    <t>21917</t>
  </si>
  <si>
    <t>SET 12 KIDS WHITE CHALK STICKS</t>
  </si>
  <si>
    <t>22069</t>
  </si>
  <si>
    <t>BROWN PIRATE TREASURE CHEST</t>
  </si>
  <si>
    <t>47591C</t>
  </si>
  <si>
    <t>BLUE FAIRY CAKE CHILD'S APRON</t>
  </si>
  <si>
    <t>21743</t>
  </si>
  <si>
    <t>STAR PORTABLE TABLE LIGHT</t>
  </si>
  <si>
    <t>21744</t>
  </si>
  <si>
    <t>SNOWFLAKE PORTABLE TABLE LIGHT</t>
  </si>
  <si>
    <t>C489577</t>
  </si>
  <si>
    <t>37501</t>
  </si>
  <si>
    <t>TEA TIME TEA SET IN GIFT BOX</t>
  </si>
  <si>
    <t>21385</t>
  </si>
  <si>
    <t>IVORY HANGING DECORATION HEART</t>
  </si>
  <si>
    <t>85099F</t>
  </si>
  <si>
    <t>JUMBO BAG STRAWBERRY</t>
  </si>
  <si>
    <t>C489578</t>
  </si>
  <si>
    <t>35001G</t>
  </si>
  <si>
    <t>HAND OPEN SHAPE GOLD</t>
  </si>
  <si>
    <t>84855</t>
  </si>
  <si>
    <t>BLOKEY SILVER TOOL SET</t>
  </si>
  <si>
    <t>84854</t>
  </si>
  <si>
    <t>GIRLY PINK TOOL SET</t>
  </si>
  <si>
    <t>21216</t>
  </si>
  <si>
    <t>SET 3 RED SPOT TIN TEA,COFFEE,SUGAR</t>
  </si>
  <si>
    <t>21243</t>
  </si>
  <si>
    <t>PINK SPOTTY PLATE</t>
  </si>
  <si>
    <t>21155</t>
  </si>
  <si>
    <t>RED SPOTTY PEG BAG</t>
  </si>
  <si>
    <t>21412</t>
  </si>
  <si>
    <t>VINTAGE GOLD TINSEL REEL</t>
  </si>
  <si>
    <t>72799F</t>
  </si>
  <si>
    <t>IVORY PILLAR CANDLE GOLD FLOCK</t>
  </si>
  <si>
    <t>72799E</t>
  </si>
  <si>
    <t>IVORY PILLAR CANDLE SILVER FLOCK</t>
  </si>
  <si>
    <t>72799C</t>
  </si>
  <si>
    <t>PINK PILLAR CANDLE SILVER FLOCK</t>
  </si>
  <si>
    <t>21499</t>
  </si>
  <si>
    <t>BLUE SPOTS WRAP</t>
  </si>
  <si>
    <t>21246</t>
  </si>
  <si>
    <t>RED SPOTTY BIG BOWL</t>
  </si>
  <si>
    <t>21247</t>
  </si>
  <si>
    <t>SET OF RED SALAD SERVERS</t>
  </si>
  <si>
    <t>85136C</t>
  </si>
  <si>
    <t>RED SHARK HELICOPTER</t>
  </si>
  <si>
    <t>21975</t>
  </si>
  <si>
    <t>PACK OF 60 DINOSAUR CAKE CASES</t>
  </si>
  <si>
    <t>21213</t>
  </si>
  <si>
    <t>PACK OF 72 SKULL CAKE CASES</t>
  </si>
  <si>
    <t>C489583</t>
  </si>
  <si>
    <t>72807B</t>
  </si>
  <si>
    <t>SET/3 OCEAN SCENT CANDLE JEWEL BOX</t>
  </si>
  <si>
    <t>72802C</t>
  </si>
  <si>
    <t>VANILLA SCENT CANDLE JEWELLED BOX</t>
  </si>
  <si>
    <t>72799B</t>
  </si>
  <si>
    <t>PURPLE PILLAR CANDLE BLACK FLOCK</t>
  </si>
  <si>
    <t>84970L</t>
  </si>
  <si>
    <t>SINGLE HEART ZINC T-LIGHT HOLDER</t>
  </si>
  <si>
    <t>21768</t>
  </si>
  <si>
    <t>WALL MOUNTED VINTAGE ORGANISER</t>
  </si>
  <si>
    <t>84984D</t>
  </si>
  <si>
    <t>ORIENTAL RED C/COVER</t>
  </si>
  <si>
    <t>84773</t>
  </si>
  <si>
    <t>RED ROSE AND LACE C/COVER</t>
  </si>
  <si>
    <t>84601A</t>
  </si>
  <si>
    <t>NEW BAROQUE IVORY CUSHION COVER</t>
  </si>
  <si>
    <t>85174</t>
  </si>
  <si>
    <t>S/4 CACTI CANDLES</t>
  </si>
  <si>
    <t>71028B</t>
  </si>
  <si>
    <t>SILVER BLUE EGG T-LIGHT HOLDER</t>
  </si>
  <si>
    <t>84755</t>
  </si>
  <si>
    <t>COLOUR GLASS T-LIGHT HOLDER HANGING</t>
  </si>
  <si>
    <t>72140F</t>
  </si>
  <si>
    <t>HAPPY ANNIVERSARY CANDLE LETTERS</t>
  </si>
  <si>
    <t>84950</t>
  </si>
  <si>
    <t>ASSORTED COLOUR T-LIGHT HOLDER</t>
  </si>
  <si>
    <t>85175</t>
  </si>
  <si>
    <t>CACTI T-LIGHT CANDLES</t>
  </si>
  <si>
    <t>72487</t>
  </si>
  <si>
    <t>ROSES WHITE ROUND CANDLE</t>
  </si>
  <si>
    <t>84360</t>
  </si>
  <si>
    <t>TABLE LAMP WHITE SHADE WOOD BASE</t>
  </si>
  <si>
    <t>21335</t>
  </si>
  <si>
    <t>LIBRARY LAMP</t>
  </si>
  <si>
    <t>84396</t>
  </si>
  <si>
    <t>6 HOOK JEWELLERY STAND BLACK DRESS</t>
  </si>
  <si>
    <t>72753A</t>
  </si>
  <si>
    <t>S/3 FLWR FAIRY LILLY CANDLES</t>
  </si>
  <si>
    <t>72750C</t>
  </si>
  <si>
    <t>F.FAIRY S/3 CANDLE/GLASS, ROSE</t>
  </si>
  <si>
    <t>C489587</t>
  </si>
  <si>
    <t>C489588</t>
  </si>
  <si>
    <t>79323GR</t>
  </si>
  <si>
    <t>GREEN CHERRY LIGHTS</t>
  </si>
  <si>
    <t>22120</t>
  </si>
  <si>
    <t>WELCOME WOODEN BLOCK LETTERS</t>
  </si>
  <si>
    <t>C489589</t>
  </si>
  <si>
    <t>85211</t>
  </si>
  <si>
    <t>S/4 GROOVY CAT MAGNETS</t>
  </si>
  <si>
    <t>84341B</t>
  </si>
  <si>
    <t>SMALL PINK MAGIC CHRISTMAS TREE</t>
  </si>
  <si>
    <t>22211</t>
  </si>
  <si>
    <t>WOOD STAMP SET FLOWERS</t>
  </si>
  <si>
    <t>22283</t>
  </si>
  <si>
    <t>6 EGG HOUSE PAINTED WOOD</t>
  </si>
  <si>
    <t>22187</t>
  </si>
  <si>
    <t>GREEN CHRISTMAS TREE CARD HOLDER</t>
  </si>
  <si>
    <t>21735</t>
  </si>
  <si>
    <t>TWO DOOR CURIO CABINET</t>
  </si>
  <si>
    <t>48189</t>
  </si>
  <si>
    <t>DOOR MAT FRIENDSHIP</t>
  </si>
  <si>
    <t>48116</t>
  </si>
  <si>
    <t>DOOR MAT MULTICOLOUR STRIPE</t>
  </si>
  <si>
    <t>C489591</t>
  </si>
  <si>
    <t>79323B</t>
  </si>
  <si>
    <t>BLACK CHERRY LIGHTS</t>
  </si>
  <si>
    <t>21257</t>
  </si>
  <si>
    <t>VICTORIAN SEWING BOX MEDIUM</t>
  </si>
  <si>
    <t>21767</t>
  </si>
  <si>
    <t>FRENCH STYLE WIRE DOOR CABINET</t>
  </si>
  <si>
    <t>85068</t>
  </si>
  <si>
    <t>CREAM SWEETHEART SHELF + HOOKS</t>
  </si>
  <si>
    <t>22171</t>
  </si>
  <si>
    <t>3 HOOK PHOTO SHELF ANTIQUE WHITE</t>
  </si>
  <si>
    <t>C489592</t>
  </si>
  <si>
    <t>72349B</t>
  </si>
  <si>
    <t>SET/6 PURPLE BUTTERFLY T-LIGHTS</t>
  </si>
  <si>
    <t>84596K</t>
  </si>
  <si>
    <t>JELLY BABIES YELLOW SMALL BOWL</t>
  </si>
  <si>
    <t>84596E</t>
  </si>
  <si>
    <t>SMALL LICORICE DES PINK BOWL</t>
  </si>
  <si>
    <t>84596G</t>
  </si>
  <si>
    <t>SMALL CHOCOLATES PINK BOWL</t>
  </si>
  <si>
    <t>37448</t>
  </si>
  <si>
    <t>CERAMIC CAKE DESIGN SPOTTED MUG</t>
  </si>
  <si>
    <t>37447</t>
  </si>
  <si>
    <t>CERAMIC CAKE DESIGN SPOTTED PLATE</t>
  </si>
  <si>
    <t>22055</t>
  </si>
  <si>
    <t>MINI CAKE STAND HANGING STRAWBERY</t>
  </si>
  <si>
    <t>22062</t>
  </si>
  <si>
    <t>CERAMIC BOWL WITH LOVE HEART DESIGN</t>
  </si>
  <si>
    <t>84596B</t>
  </si>
  <si>
    <t>SMALL DOLLY MIX DESIGN ORANGE BOWL</t>
  </si>
  <si>
    <t>22347</t>
  </si>
  <si>
    <t>PIZZA SLICE DISH</t>
  </si>
  <si>
    <t>84507C</t>
  </si>
  <si>
    <t>BLUE CIRCLES DESIGN MONKEY DOLL</t>
  </si>
  <si>
    <t>84508A</t>
  </si>
  <si>
    <t>CAMOFLAGE DESIGN TEDDY</t>
  </si>
  <si>
    <t>79302M</t>
  </si>
  <si>
    <t>ART LIGHTS,FUNK MONKEY</t>
  </si>
  <si>
    <t>37502</t>
  </si>
  <si>
    <t>TEA TIME MUG IN GIFT BOX</t>
  </si>
  <si>
    <t>84534B</t>
  </si>
  <si>
    <t>FAIRY CAKE NOTEBOOK A5 SIZE</t>
  </si>
  <si>
    <t>84535B</t>
  </si>
  <si>
    <t>FAIRY CAKES NOTEBOOK A6 SIZE</t>
  </si>
  <si>
    <t>84536B</t>
  </si>
  <si>
    <t>FAIRY CAKES NOTEBOOK A7 SIZE</t>
  </si>
  <si>
    <t>C489595</t>
  </si>
  <si>
    <t>21752</t>
  </si>
  <si>
    <t>GLASS CAKE STAND MIRRORED BASE</t>
  </si>
  <si>
    <t>17012A</t>
  </si>
  <si>
    <t>ORIGAMI VANILLA INCENSE/CANDLE SET</t>
  </si>
  <si>
    <t>17129D</t>
  </si>
  <si>
    <t>CLEAR COLOUR GLASS GEMS IN BAG</t>
  </si>
  <si>
    <t>20616</t>
  </si>
  <si>
    <t>CHERRY BLOSSOM PASSPORT COVER</t>
  </si>
  <si>
    <t>20618</t>
  </si>
  <si>
    <t>QUEEN OF THE SKIES PASSPORT COVER</t>
  </si>
  <si>
    <t>20652</t>
  </si>
  <si>
    <t>BLUE SPOTTY LUGGAGE TAG</t>
  </si>
  <si>
    <t>20654</t>
  </si>
  <si>
    <t>FIRST CLASS LUGGAGE TAG</t>
  </si>
  <si>
    <t>20659</t>
  </si>
  <si>
    <t>ECONOMY LUGGAGE TAG</t>
  </si>
  <si>
    <t>20674</t>
  </si>
  <si>
    <t>GREEN SPOTTY BOWL</t>
  </si>
  <si>
    <t>20694</t>
  </si>
  <si>
    <t>FLORAL PINK MONSTER</t>
  </si>
  <si>
    <t>20714</t>
  </si>
  <si>
    <t>POSY SHOPPER BAG</t>
  </si>
  <si>
    <t>20729</t>
  </si>
  <si>
    <t>RED SPOTTY CANDY BAG</t>
  </si>
  <si>
    <t>20739</t>
  </si>
  <si>
    <t>*USB Office Glitter Lamp</t>
  </si>
  <si>
    <t>20761</t>
  </si>
  <si>
    <t>BLUE PAISLEY SKETCHBOOK</t>
  </si>
  <si>
    <t>20780</t>
  </si>
  <si>
    <t>BLACK EAR MUFF HEADPHONES</t>
  </si>
  <si>
    <t>20783</t>
  </si>
  <si>
    <t>HEART EAR MUFF HEADPHONES</t>
  </si>
  <si>
    <t>20798</t>
  </si>
  <si>
    <t>CLEAR MILKSHAKE GLASS</t>
  </si>
  <si>
    <t>20799</t>
  </si>
  <si>
    <t>PINK MILKSHAKE GLASS</t>
  </si>
  <si>
    <t>20832</t>
  </si>
  <si>
    <t>RED FLOCK LOVE HEART PHOTO FRAME</t>
  </si>
  <si>
    <t>20863</t>
  </si>
  <si>
    <t>BLUE PATCH PENCIL CASE PINK HEART</t>
  </si>
  <si>
    <t>20865</t>
  </si>
  <si>
    <t>PATCHWORK PENCIL CASE BUTTERFLY</t>
  </si>
  <si>
    <t>20886</t>
  </si>
  <si>
    <t>BOX OF 9 PEBBLE CANDLES</t>
  </si>
  <si>
    <t>20888</t>
  </si>
  <si>
    <t>SET 3 JARDIN DE FEMME SCENT CANDLES</t>
  </si>
  <si>
    <t>20903</t>
  </si>
  <si>
    <t>VINTAGE KEEPSAKE BOX TRAVELOGUE</t>
  </si>
  <si>
    <t>20980</t>
  </si>
  <si>
    <t>36 PENCILS TUBE POSY</t>
  </si>
  <si>
    <t>20991</t>
  </si>
  <si>
    <t>JAZZ HEARTS MAGNETIC MEMO PAD</t>
  </si>
  <si>
    <t>21012</t>
  </si>
  <si>
    <t>ANTIQUE ALL GLASS CANDLESTICK</t>
  </si>
  <si>
    <t>21025</t>
  </si>
  <si>
    <t>SPACE FROG</t>
  </si>
  <si>
    <t>21055</t>
  </si>
  <si>
    <t>TOOL BOX SOFT TOY</t>
  </si>
  <si>
    <t>21064</t>
  </si>
  <si>
    <t>BOOM BOX SPEAKER BOYS</t>
  </si>
  <si>
    <t>21108</t>
  </si>
  <si>
    <t>FAIRY CAKE FLANNEL ASSORTED COLOUR</t>
  </si>
  <si>
    <t>21110</t>
  </si>
  <si>
    <t>LARGE CAKE TOWEL PINK SPOTS</t>
  </si>
  <si>
    <t>21116</t>
  </si>
  <si>
    <t>OWL DOORSTOP</t>
  </si>
  <si>
    <t>21134</t>
  </si>
  <si>
    <t>VICTORIAN METAL POSTCARD CHRISTMAS</t>
  </si>
  <si>
    <t>21145</t>
  </si>
  <si>
    <t>ANTIQUE GLASS PLACE SETTING</t>
  </si>
  <si>
    <t>21154</t>
  </si>
  <si>
    <t>RED SPOTTY OVEN GLOVE</t>
  </si>
  <si>
    <t>21160</t>
  </si>
  <si>
    <t>KEEP OUT GIRLS DOOR HANGER</t>
  </si>
  <si>
    <t>21164</t>
  </si>
  <si>
    <t>HOME SWEET HOME METAL SIGN</t>
  </si>
  <si>
    <t>21165</t>
  </si>
  <si>
    <t>BEWARE OF THE CAT METAL SIGN</t>
  </si>
  <si>
    <t>21185</t>
  </si>
  <si>
    <t>HOME SWEET HOME BLACKBOARD</t>
  </si>
  <si>
    <t>21191</t>
  </si>
  <si>
    <t>LARGE WHITE HONEYCOMB PAPER BELL</t>
  </si>
  <si>
    <t>21198</t>
  </si>
  <si>
    <t>WHITE HEART CONFETTI IN TUBE</t>
  </si>
  <si>
    <t>21249</t>
  </si>
  <si>
    <t>WOODLAND HEIGHT CHART STICKERS</t>
  </si>
  <si>
    <t>21251</t>
  </si>
  <si>
    <t>DINOSAUR HEIGHT CHART STICKER SET</t>
  </si>
  <si>
    <t>21255</t>
  </si>
  <si>
    <t>FRENCH BOTTLE , LAVENDER</t>
  </si>
  <si>
    <t>21256</t>
  </si>
  <si>
    <t>FRENCH BOTTLE, BRASSERIE DES ARTIST</t>
  </si>
  <si>
    <t>21259</t>
  </si>
  <si>
    <t>VICTORIAN SEWING BOX SMALL</t>
  </si>
  <si>
    <t>21266</t>
  </si>
  <si>
    <t>VINTAGE SILVER TINSEL REEL</t>
  </si>
  <si>
    <t>21283</t>
  </si>
  <si>
    <t>NATURAL BARK CANDLE SMALL</t>
  </si>
  <si>
    <t>21284</t>
  </si>
  <si>
    <t>RETRO SPOT CANDLE SMALL</t>
  </si>
  <si>
    <t>21291</t>
  </si>
  <si>
    <t>SMALL SPOTTY CHOCOLATE GIFT BAG</t>
  </si>
  <si>
    <t>21328</t>
  </si>
  <si>
    <t>BALLOONS WRITING SET</t>
  </si>
  <si>
    <t>21330</t>
  </si>
  <si>
    <t>WOODLAND ANIMAL WRITING SET</t>
  </si>
  <si>
    <t>21348</t>
  </si>
  <si>
    <t>PINK SPOTS CHOCOLATE NESTING BOXES</t>
  </si>
  <si>
    <t>21396</t>
  </si>
  <si>
    <t>RED SPOTTY EGG CUP</t>
  </si>
  <si>
    <t>21444</t>
  </si>
  <si>
    <t>BLUE CHALET BIRDFEEDER</t>
  </si>
  <si>
    <t>21445</t>
  </si>
  <si>
    <t>12 PINK ROSE PEG PLACE SETTINGS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</si>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</sst>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-mm-dd"/>
    <numFmt numFmtId="166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Quantity vs Description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Sheet3!$B$1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Sheet3!$A$2:$A$11</c:f>
            </c:strRef>
          </c:cat>
          <c:val>
            <c:numRef>
              <c:f>Sheet3!$B$2:$B$11</c:f>
              <c:numCache/>
            </c:numRef>
          </c:val>
        </c:ser>
        <c:axId val="1085911448"/>
        <c:axId val="987238471"/>
      </c:barChart>
      <c:catAx>
        <c:axId val="1085911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238471"/>
      </c:catAx>
      <c:valAx>
        <c:axId val="987238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911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TotalPrice vs Country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Sheet3!$H$1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Sheet3!$G$2:$G$9</c:f>
            </c:strRef>
          </c:cat>
          <c:val>
            <c:numRef>
              <c:f>Sheet3!$H$2:$H$9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TotalPrice vs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Sheet3!$L$1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Sheet3!$K$2:$K$9</c:f>
            </c:strRef>
          </c:cat>
          <c:val>
            <c:numRef>
              <c:f>Sheet3!$L$2:$L$9</c:f>
              <c:numCache/>
            </c:numRef>
          </c:val>
          <c:smooth val="0"/>
        </c:ser>
        <c:axId val="49624446"/>
        <c:axId val="1542653276"/>
      </c:lineChart>
      <c:catAx>
        <c:axId val="49624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653276"/>
      </c:catAx>
      <c:valAx>
        <c:axId val="1542653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24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 and Quantity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Sheet3!$Q$1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Sheet3!$P$2:$P$2462</c:f>
            </c:numRef>
          </c:xVal>
          <c:yVal>
            <c:numRef>
              <c:f>Sheet3!$Q$2:$Q$2462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792722"/>
        <c:axId val="1730075187"/>
      </c:scatterChart>
      <c:valAx>
        <c:axId val="10327927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075187"/>
      </c:valAx>
      <c:valAx>
        <c:axId val="1730075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792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47625</xdr:rowOff>
    </xdr:from>
    <xdr:ext cx="4191000" cy="2324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228600</xdr:colOff>
      <xdr:row>12</xdr:row>
      <xdr:rowOff>47625</xdr:rowOff>
    </xdr:from>
    <xdr:ext cx="3505200" cy="217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733425</xdr:colOff>
      <xdr:row>12</xdr:row>
      <xdr:rowOff>47625</xdr:rowOff>
    </xdr:from>
    <xdr:ext cx="3848100" cy="2371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304800</xdr:colOff>
      <xdr:row>5</xdr:row>
      <xdr:rowOff>171450</xdr:rowOff>
    </xdr:from>
    <xdr:ext cx="3419475" cy="2114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489434.0</v>
      </c>
      <c r="B2" s="2" t="s">
        <v>12</v>
      </c>
      <c r="C2" s="1" t="s">
        <v>13</v>
      </c>
      <c r="D2" s="1">
        <v>12.0</v>
      </c>
      <c r="E2" s="3">
        <v>40148.322916666664</v>
      </c>
      <c r="F2" s="1">
        <v>6.95</v>
      </c>
      <c r="G2" s="1">
        <v>13085.0</v>
      </c>
      <c r="H2" s="1" t="s">
        <v>14</v>
      </c>
      <c r="I2" s="4">
        <v>40148.0</v>
      </c>
      <c r="J2" s="5">
        <v>0.3229166666666667</v>
      </c>
      <c r="K2" s="1">
        <v>7.0</v>
      </c>
      <c r="L2" s="1">
        <v>83.4</v>
      </c>
    </row>
    <row r="3">
      <c r="A3" s="1">
        <v>489434.0</v>
      </c>
      <c r="B3" s="2" t="s">
        <v>15</v>
      </c>
      <c r="C3" s="1" t="s">
        <v>16</v>
      </c>
      <c r="D3" s="1">
        <v>12.0</v>
      </c>
      <c r="E3" s="3">
        <v>40148.322916666664</v>
      </c>
      <c r="F3" s="1">
        <v>6.75</v>
      </c>
      <c r="G3" s="1">
        <v>13085.0</v>
      </c>
      <c r="H3" s="1" t="s">
        <v>14</v>
      </c>
      <c r="I3" s="4">
        <v>40148.0</v>
      </c>
      <c r="J3" s="5">
        <v>0.3229166666666667</v>
      </c>
      <c r="K3" s="1">
        <v>7.0</v>
      </c>
      <c r="L3" s="1">
        <v>81.0</v>
      </c>
    </row>
    <row r="4">
      <c r="A4" s="1">
        <v>489434.0</v>
      </c>
      <c r="B4" s="2" t="s">
        <v>17</v>
      </c>
      <c r="C4" s="1" t="s">
        <v>18</v>
      </c>
      <c r="D4" s="1">
        <v>12.0</v>
      </c>
      <c r="E4" s="3">
        <v>40148.322916666664</v>
      </c>
      <c r="F4" s="1">
        <v>6.75</v>
      </c>
      <c r="G4" s="1">
        <v>13085.0</v>
      </c>
      <c r="H4" s="1" t="s">
        <v>14</v>
      </c>
      <c r="I4" s="4">
        <v>40148.0</v>
      </c>
      <c r="J4" s="5">
        <v>0.3229166666666667</v>
      </c>
      <c r="K4" s="1">
        <v>7.0</v>
      </c>
      <c r="L4" s="1">
        <v>81.0</v>
      </c>
    </row>
    <row r="5">
      <c r="A5" s="1">
        <v>489434.0</v>
      </c>
      <c r="B5" s="2" t="s">
        <v>19</v>
      </c>
      <c r="C5" s="1" t="s">
        <v>20</v>
      </c>
      <c r="D5" s="1">
        <v>48.0</v>
      </c>
      <c r="E5" s="3">
        <v>40148.322916666664</v>
      </c>
      <c r="F5" s="1">
        <v>2.1</v>
      </c>
      <c r="G5" s="1">
        <v>13085.0</v>
      </c>
      <c r="H5" s="1" t="s">
        <v>14</v>
      </c>
      <c r="I5" s="4">
        <v>40148.0</v>
      </c>
      <c r="J5" s="5">
        <v>0.3229166666666667</v>
      </c>
      <c r="K5" s="1">
        <v>7.0</v>
      </c>
      <c r="L5" s="1">
        <v>100.8</v>
      </c>
    </row>
    <row r="6">
      <c r="A6" s="1">
        <v>489434.0</v>
      </c>
      <c r="B6" s="2" t="s">
        <v>21</v>
      </c>
      <c r="C6" s="1" t="s">
        <v>22</v>
      </c>
      <c r="D6" s="1">
        <v>24.0</v>
      </c>
      <c r="E6" s="3">
        <v>40148.322916666664</v>
      </c>
      <c r="F6" s="1">
        <v>1.25</v>
      </c>
      <c r="G6" s="1">
        <v>13085.0</v>
      </c>
      <c r="H6" s="1" t="s">
        <v>14</v>
      </c>
      <c r="I6" s="4">
        <v>40148.0</v>
      </c>
      <c r="J6" s="5">
        <v>0.3229166666666667</v>
      </c>
      <c r="K6" s="1">
        <v>7.0</v>
      </c>
      <c r="L6" s="1">
        <v>30.0</v>
      </c>
    </row>
    <row r="7">
      <c r="A7" s="1">
        <v>489434.0</v>
      </c>
      <c r="B7" s="2" t="s">
        <v>23</v>
      </c>
      <c r="C7" s="1" t="s">
        <v>24</v>
      </c>
      <c r="D7" s="1">
        <v>24.0</v>
      </c>
      <c r="E7" s="3">
        <v>40148.322916666664</v>
      </c>
      <c r="F7" s="1">
        <v>1.65</v>
      </c>
      <c r="G7" s="1">
        <v>13085.0</v>
      </c>
      <c r="H7" s="1" t="s">
        <v>14</v>
      </c>
      <c r="I7" s="4">
        <v>40148.0</v>
      </c>
      <c r="J7" s="5">
        <v>0.3229166666666667</v>
      </c>
      <c r="K7" s="1">
        <v>7.0</v>
      </c>
      <c r="L7" s="1">
        <v>39.5999999999999</v>
      </c>
    </row>
    <row r="8">
      <c r="A8" s="1">
        <v>489434.0</v>
      </c>
      <c r="B8" s="2" t="s">
        <v>25</v>
      </c>
      <c r="C8" s="1" t="s">
        <v>26</v>
      </c>
      <c r="D8" s="1">
        <v>24.0</v>
      </c>
      <c r="E8" s="3">
        <v>40148.322916666664</v>
      </c>
      <c r="F8" s="1">
        <v>1.25</v>
      </c>
      <c r="G8" s="1">
        <v>13085.0</v>
      </c>
      <c r="H8" s="1" t="s">
        <v>14</v>
      </c>
      <c r="I8" s="4">
        <v>40148.0</v>
      </c>
      <c r="J8" s="5">
        <v>0.3229166666666667</v>
      </c>
      <c r="K8" s="1">
        <v>7.0</v>
      </c>
      <c r="L8" s="1">
        <v>30.0</v>
      </c>
    </row>
    <row r="9">
      <c r="A9" s="1">
        <v>489434.0</v>
      </c>
      <c r="B9" s="2" t="s">
        <v>27</v>
      </c>
      <c r="C9" s="1" t="s">
        <v>28</v>
      </c>
      <c r="D9" s="1">
        <v>10.0</v>
      </c>
      <c r="E9" s="3">
        <v>40148.322916666664</v>
      </c>
      <c r="F9" s="1">
        <v>5.95</v>
      </c>
      <c r="G9" s="1">
        <v>13085.0</v>
      </c>
      <c r="H9" s="1" t="s">
        <v>14</v>
      </c>
      <c r="I9" s="4">
        <v>40148.0</v>
      </c>
      <c r="J9" s="5">
        <v>0.3229166666666667</v>
      </c>
      <c r="K9" s="1">
        <v>7.0</v>
      </c>
      <c r="L9" s="1">
        <v>59.5</v>
      </c>
    </row>
    <row r="10">
      <c r="A10" s="1">
        <v>489435.0</v>
      </c>
      <c r="B10" s="2" t="s">
        <v>29</v>
      </c>
      <c r="C10" s="1" t="s">
        <v>30</v>
      </c>
      <c r="D10" s="1">
        <v>12.0</v>
      </c>
      <c r="E10" s="3">
        <v>40148.32361111111</v>
      </c>
      <c r="F10" s="1">
        <v>2.55</v>
      </c>
      <c r="G10" s="1">
        <v>13085.0</v>
      </c>
      <c r="H10" s="1" t="s">
        <v>14</v>
      </c>
      <c r="I10" s="4">
        <v>40148.0</v>
      </c>
      <c r="J10" s="5">
        <v>0.3236111111111111</v>
      </c>
      <c r="K10" s="1">
        <v>7.0</v>
      </c>
      <c r="L10" s="1">
        <v>30.5999999999999</v>
      </c>
    </row>
    <row r="11">
      <c r="A11" s="1">
        <v>489435.0</v>
      </c>
      <c r="B11" s="2" t="s">
        <v>31</v>
      </c>
      <c r="C11" s="1" t="s">
        <v>32</v>
      </c>
      <c r="D11" s="1">
        <v>12.0</v>
      </c>
      <c r="E11" s="3">
        <v>40148.32361111111</v>
      </c>
      <c r="F11" s="1">
        <v>3.75</v>
      </c>
      <c r="G11" s="1">
        <v>13085.0</v>
      </c>
      <c r="H11" s="1" t="s">
        <v>14</v>
      </c>
      <c r="I11" s="4">
        <v>40148.0</v>
      </c>
      <c r="J11" s="5">
        <v>0.3236111111111111</v>
      </c>
      <c r="K11" s="1">
        <v>7.0</v>
      </c>
      <c r="L11" s="1">
        <v>45.0</v>
      </c>
    </row>
    <row r="12">
      <c r="A12" s="1">
        <v>489435.0</v>
      </c>
      <c r="B12" s="2" t="s">
        <v>33</v>
      </c>
      <c r="C12" s="1" t="s">
        <v>34</v>
      </c>
      <c r="D12" s="1">
        <v>24.0</v>
      </c>
      <c r="E12" s="3">
        <v>40148.32361111111</v>
      </c>
      <c r="F12" s="1">
        <v>1.65</v>
      </c>
      <c r="G12" s="1">
        <v>13085.0</v>
      </c>
      <c r="H12" s="1" t="s">
        <v>14</v>
      </c>
      <c r="I12" s="4">
        <v>40148.0</v>
      </c>
      <c r="J12" s="5">
        <v>0.3236111111111111</v>
      </c>
      <c r="K12" s="1">
        <v>7.0</v>
      </c>
      <c r="L12" s="1">
        <v>39.5999999999999</v>
      </c>
    </row>
    <row r="13">
      <c r="A13" s="1">
        <v>489435.0</v>
      </c>
      <c r="B13" s="2" t="s">
        <v>35</v>
      </c>
      <c r="C13" s="1" t="s">
        <v>36</v>
      </c>
      <c r="D13" s="1">
        <v>12.0</v>
      </c>
      <c r="E13" s="3">
        <v>40148.32361111111</v>
      </c>
      <c r="F13" s="1">
        <v>2.55</v>
      </c>
      <c r="G13" s="1">
        <v>13085.0</v>
      </c>
      <c r="H13" s="1" t="s">
        <v>14</v>
      </c>
      <c r="I13" s="4">
        <v>40148.0</v>
      </c>
      <c r="J13" s="5">
        <v>0.3236111111111111</v>
      </c>
      <c r="K13" s="1">
        <v>7.0</v>
      </c>
      <c r="L13" s="1">
        <v>30.5999999999999</v>
      </c>
    </row>
    <row r="14">
      <c r="A14" s="1">
        <v>489436.0</v>
      </c>
      <c r="B14" s="2" t="s">
        <v>37</v>
      </c>
      <c r="C14" s="1" t="s">
        <v>38</v>
      </c>
      <c r="D14" s="1">
        <v>10.0</v>
      </c>
      <c r="E14" s="3">
        <v>40148.379166666666</v>
      </c>
      <c r="F14" s="1">
        <v>5.95</v>
      </c>
      <c r="G14" s="1">
        <v>13078.0</v>
      </c>
      <c r="H14" s="1" t="s">
        <v>14</v>
      </c>
      <c r="I14" s="4">
        <v>40148.0</v>
      </c>
      <c r="J14" s="5">
        <v>0.37916666666666665</v>
      </c>
      <c r="K14" s="1">
        <v>9.0</v>
      </c>
      <c r="L14" s="1">
        <v>59.5</v>
      </c>
    </row>
    <row r="15">
      <c r="A15" s="1">
        <v>489436.0</v>
      </c>
      <c r="B15" s="2" t="s">
        <v>39</v>
      </c>
      <c r="C15" s="1" t="s">
        <v>40</v>
      </c>
      <c r="D15" s="1">
        <v>18.0</v>
      </c>
      <c r="E15" s="3">
        <v>40148.379166666666</v>
      </c>
      <c r="F15" s="1">
        <v>5.45</v>
      </c>
      <c r="G15" s="1">
        <v>13078.0</v>
      </c>
      <c r="H15" s="1" t="s">
        <v>14</v>
      </c>
      <c r="I15" s="4">
        <v>40148.0</v>
      </c>
      <c r="J15" s="5">
        <v>0.37916666666666665</v>
      </c>
      <c r="K15" s="1">
        <v>9.0</v>
      </c>
      <c r="L15" s="1">
        <v>98.1</v>
      </c>
    </row>
    <row r="16">
      <c r="A16" s="1">
        <v>489436.0</v>
      </c>
      <c r="B16" s="2" t="s">
        <v>41</v>
      </c>
      <c r="C16" s="1" t="s">
        <v>42</v>
      </c>
      <c r="D16" s="1">
        <v>3.0</v>
      </c>
      <c r="E16" s="3">
        <v>40148.379166666666</v>
      </c>
      <c r="F16" s="1">
        <v>5.95</v>
      </c>
      <c r="G16" s="1">
        <v>13078.0</v>
      </c>
      <c r="H16" s="1" t="s">
        <v>14</v>
      </c>
      <c r="I16" s="4">
        <v>40148.0</v>
      </c>
      <c r="J16" s="5">
        <v>0.37916666666666665</v>
      </c>
      <c r="K16" s="1">
        <v>9.0</v>
      </c>
      <c r="L16" s="1">
        <v>17.85</v>
      </c>
    </row>
    <row r="17">
      <c r="A17" s="1">
        <v>489436.0</v>
      </c>
      <c r="B17" s="2" t="s">
        <v>43</v>
      </c>
      <c r="C17" s="1" t="s">
        <v>44</v>
      </c>
      <c r="D17" s="1">
        <v>16.0</v>
      </c>
      <c r="E17" s="3">
        <v>40148.379166666666</v>
      </c>
      <c r="F17" s="1">
        <v>1.69</v>
      </c>
      <c r="G17" s="1">
        <v>13078.0</v>
      </c>
      <c r="H17" s="1" t="s">
        <v>14</v>
      </c>
      <c r="I17" s="4">
        <v>40148.0</v>
      </c>
      <c r="J17" s="5">
        <v>0.37916666666666665</v>
      </c>
      <c r="K17" s="1">
        <v>9.0</v>
      </c>
      <c r="L17" s="1">
        <v>27.04</v>
      </c>
    </row>
    <row r="18">
      <c r="A18" s="1">
        <v>489436.0</v>
      </c>
      <c r="B18" s="2" t="s">
        <v>45</v>
      </c>
      <c r="C18" s="1" t="s">
        <v>46</v>
      </c>
      <c r="D18" s="1">
        <v>3.0</v>
      </c>
      <c r="E18" s="3">
        <v>40148.379166666666</v>
      </c>
      <c r="F18" s="1">
        <v>6.95</v>
      </c>
      <c r="G18" s="1">
        <v>13078.0</v>
      </c>
      <c r="H18" s="1" t="s">
        <v>14</v>
      </c>
      <c r="I18" s="4">
        <v>40148.0</v>
      </c>
      <c r="J18" s="5">
        <v>0.37916666666666665</v>
      </c>
      <c r="K18" s="1">
        <v>9.0</v>
      </c>
      <c r="L18" s="1">
        <v>20.85</v>
      </c>
    </row>
    <row r="19">
      <c r="A19" s="1">
        <v>489436.0</v>
      </c>
      <c r="B19" s="2" t="s">
        <v>47</v>
      </c>
      <c r="C19" s="1" t="s">
        <v>48</v>
      </c>
      <c r="D19" s="1">
        <v>12.0</v>
      </c>
      <c r="E19" s="3">
        <v>40148.379166666666</v>
      </c>
      <c r="F19" s="1">
        <v>1.45</v>
      </c>
      <c r="G19" s="1">
        <v>13078.0</v>
      </c>
      <c r="H19" s="1" t="s">
        <v>14</v>
      </c>
      <c r="I19" s="4">
        <v>40148.0</v>
      </c>
      <c r="J19" s="5">
        <v>0.37916666666666665</v>
      </c>
      <c r="K19" s="1">
        <v>9.0</v>
      </c>
      <c r="L19" s="1">
        <v>17.4</v>
      </c>
    </row>
    <row r="20">
      <c r="A20" s="1">
        <v>489436.0</v>
      </c>
      <c r="B20" s="2" t="s">
        <v>49</v>
      </c>
      <c r="C20" s="1" t="s">
        <v>50</v>
      </c>
      <c r="D20" s="1">
        <v>12.0</v>
      </c>
      <c r="E20" s="3">
        <v>40148.379166666666</v>
      </c>
      <c r="F20" s="1">
        <v>1.65</v>
      </c>
      <c r="G20" s="1">
        <v>13078.0</v>
      </c>
      <c r="H20" s="1" t="s">
        <v>14</v>
      </c>
      <c r="I20" s="4">
        <v>40148.0</v>
      </c>
      <c r="J20" s="5">
        <v>0.37916666666666665</v>
      </c>
      <c r="K20" s="1">
        <v>9.0</v>
      </c>
      <c r="L20" s="1">
        <v>19.7999999999999</v>
      </c>
    </row>
    <row r="21">
      <c r="A21" s="1">
        <v>489436.0</v>
      </c>
      <c r="B21" s="2" t="s">
        <v>51</v>
      </c>
      <c r="C21" s="1" t="s">
        <v>52</v>
      </c>
      <c r="D21" s="1">
        <v>12.0</v>
      </c>
      <c r="E21" s="3">
        <v>40148.379166666666</v>
      </c>
      <c r="F21" s="1">
        <v>1.65</v>
      </c>
      <c r="G21" s="1">
        <v>13078.0</v>
      </c>
      <c r="H21" s="1" t="s">
        <v>14</v>
      </c>
      <c r="I21" s="4">
        <v>40148.0</v>
      </c>
      <c r="J21" s="5">
        <v>0.37916666666666665</v>
      </c>
      <c r="K21" s="1">
        <v>9.0</v>
      </c>
      <c r="L21" s="1">
        <v>19.7999999999999</v>
      </c>
    </row>
    <row r="22">
      <c r="A22" s="1">
        <v>489436.0</v>
      </c>
      <c r="B22" s="2" t="s">
        <v>53</v>
      </c>
      <c r="C22" s="1" t="s">
        <v>54</v>
      </c>
      <c r="D22" s="1">
        <v>16.0</v>
      </c>
      <c r="E22" s="3">
        <v>40148.379166666666</v>
      </c>
      <c r="F22" s="1">
        <v>3.39</v>
      </c>
      <c r="G22" s="1">
        <v>13078.0</v>
      </c>
      <c r="H22" s="1" t="s">
        <v>14</v>
      </c>
      <c r="I22" s="4">
        <v>40148.0</v>
      </c>
      <c r="J22" s="5">
        <v>0.37916666666666665</v>
      </c>
      <c r="K22" s="1">
        <v>9.0</v>
      </c>
      <c r="L22" s="1">
        <v>54.24</v>
      </c>
    </row>
    <row r="23">
      <c r="A23" s="1">
        <v>489436.0</v>
      </c>
      <c r="B23" s="2" t="s">
        <v>55</v>
      </c>
      <c r="C23" s="1" t="s">
        <v>56</v>
      </c>
      <c r="D23" s="1">
        <v>4.0</v>
      </c>
      <c r="E23" s="3">
        <v>40148.379166666666</v>
      </c>
      <c r="F23" s="1">
        <v>3.75</v>
      </c>
      <c r="G23" s="1">
        <v>13078.0</v>
      </c>
      <c r="H23" s="1" t="s">
        <v>14</v>
      </c>
      <c r="I23" s="4">
        <v>40148.0</v>
      </c>
      <c r="J23" s="5">
        <v>0.37916666666666665</v>
      </c>
      <c r="K23" s="1">
        <v>9.0</v>
      </c>
      <c r="L23" s="1">
        <v>15.0</v>
      </c>
    </row>
    <row r="24">
      <c r="A24" s="1">
        <v>489436.0</v>
      </c>
      <c r="B24" s="2" t="s">
        <v>57</v>
      </c>
      <c r="C24" s="1" t="s">
        <v>58</v>
      </c>
      <c r="D24" s="1">
        <v>2.0</v>
      </c>
      <c r="E24" s="3">
        <v>40148.379166666666</v>
      </c>
      <c r="F24" s="1">
        <v>8.5</v>
      </c>
      <c r="G24" s="1">
        <v>13078.0</v>
      </c>
      <c r="H24" s="1" t="s">
        <v>14</v>
      </c>
      <c r="I24" s="4">
        <v>40148.0</v>
      </c>
      <c r="J24" s="5">
        <v>0.37916666666666665</v>
      </c>
      <c r="K24" s="1">
        <v>9.0</v>
      </c>
      <c r="L24" s="1">
        <v>17.0</v>
      </c>
    </row>
    <row r="25">
      <c r="A25" s="1">
        <v>489436.0</v>
      </c>
      <c r="B25" s="2" t="s">
        <v>59</v>
      </c>
      <c r="C25" s="1" t="s">
        <v>60</v>
      </c>
      <c r="D25" s="1">
        <v>12.0</v>
      </c>
      <c r="E25" s="3">
        <v>40148.379166666666</v>
      </c>
      <c r="F25" s="1">
        <v>4.65</v>
      </c>
      <c r="G25" s="1">
        <v>13078.0</v>
      </c>
      <c r="H25" s="1" t="s">
        <v>14</v>
      </c>
      <c r="I25" s="4">
        <v>40148.0</v>
      </c>
      <c r="J25" s="5">
        <v>0.37916666666666665</v>
      </c>
      <c r="K25" s="1">
        <v>9.0</v>
      </c>
      <c r="L25" s="1">
        <v>55.8</v>
      </c>
    </row>
    <row r="26">
      <c r="A26" s="1">
        <v>489436.0</v>
      </c>
      <c r="B26" s="2" t="s">
        <v>61</v>
      </c>
      <c r="C26" s="1" t="s">
        <v>62</v>
      </c>
      <c r="D26" s="1">
        <v>12.0</v>
      </c>
      <c r="E26" s="3">
        <v>40148.379166666666</v>
      </c>
      <c r="F26" s="1">
        <v>2.1</v>
      </c>
      <c r="G26" s="1">
        <v>13078.0</v>
      </c>
      <c r="H26" s="1" t="s">
        <v>14</v>
      </c>
      <c r="I26" s="4">
        <v>40148.0</v>
      </c>
      <c r="J26" s="5">
        <v>0.37916666666666665</v>
      </c>
      <c r="K26" s="1">
        <v>9.0</v>
      </c>
      <c r="L26" s="1">
        <v>25.2</v>
      </c>
    </row>
    <row r="27">
      <c r="A27" s="1">
        <v>489436.0</v>
      </c>
      <c r="B27" s="2" t="s">
        <v>63</v>
      </c>
      <c r="C27" s="1" t="s">
        <v>64</v>
      </c>
      <c r="D27" s="1">
        <v>12.0</v>
      </c>
      <c r="E27" s="3">
        <v>40148.379166666666</v>
      </c>
      <c r="F27" s="1">
        <v>2.1</v>
      </c>
      <c r="G27" s="1">
        <v>13078.0</v>
      </c>
      <c r="H27" s="1" t="s">
        <v>14</v>
      </c>
      <c r="I27" s="4">
        <v>40148.0</v>
      </c>
      <c r="J27" s="5">
        <v>0.37916666666666665</v>
      </c>
      <c r="K27" s="1">
        <v>9.0</v>
      </c>
      <c r="L27" s="1">
        <v>25.2</v>
      </c>
    </row>
    <row r="28">
      <c r="A28" s="1">
        <v>489436.0</v>
      </c>
      <c r="B28" s="2" t="s">
        <v>65</v>
      </c>
      <c r="C28" s="1" t="s">
        <v>66</v>
      </c>
      <c r="D28" s="1">
        <v>3.0</v>
      </c>
      <c r="E28" s="3">
        <v>40148.379166666666</v>
      </c>
      <c r="F28" s="1">
        <v>5.95</v>
      </c>
      <c r="G28" s="1">
        <v>13078.0</v>
      </c>
      <c r="H28" s="1" t="s">
        <v>14</v>
      </c>
      <c r="I28" s="4">
        <v>40148.0</v>
      </c>
      <c r="J28" s="5">
        <v>0.37916666666666665</v>
      </c>
      <c r="K28" s="1">
        <v>9.0</v>
      </c>
      <c r="L28" s="1">
        <v>17.85</v>
      </c>
    </row>
    <row r="29">
      <c r="A29" s="1">
        <v>489436.0</v>
      </c>
      <c r="B29" s="2" t="s">
        <v>67</v>
      </c>
      <c r="C29" s="1" t="s">
        <v>68</v>
      </c>
      <c r="D29" s="1">
        <v>6.0</v>
      </c>
      <c r="E29" s="3">
        <v>40148.379166666666</v>
      </c>
      <c r="F29" s="1">
        <v>2.95</v>
      </c>
      <c r="G29" s="1">
        <v>13078.0</v>
      </c>
      <c r="H29" s="1" t="s">
        <v>14</v>
      </c>
      <c r="I29" s="4">
        <v>40148.0</v>
      </c>
      <c r="J29" s="5">
        <v>0.37916666666666665</v>
      </c>
      <c r="K29" s="1">
        <v>9.0</v>
      </c>
      <c r="L29" s="1">
        <v>17.7</v>
      </c>
    </row>
    <row r="30">
      <c r="A30" s="1">
        <v>489436.0</v>
      </c>
      <c r="B30" s="2" t="s">
        <v>69</v>
      </c>
      <c r="C30" s="1" t="s">
        <v>70</v>
      </c>
      <c r="D30" s="1">
        <v>8.0</v>
      </c>
      <c r="E30" s="3">
        <v>40148.379166666666</v>
      </c>
      <c r="F30" s="1">
        <v>1.25</v>
      </c>
      <c r="G30" s="1">
        <v>13078.0</v>
      </c>
      <c r="H30" s="1" t="s">
        <v>14</v>
      </c>
      <c r="I30" s="4">
        <v>40148.0</v>
      </c>
      <c r="J30" s="5">
        <v>0.37916666666666665</v>
      </c>
      <c r="K30" s="1">
        <v>9.0</v>
      </c>
      <c r="L30" s="1">
        <v>10.0</v>
      </c>
    </row>
    <row r="31">
      <c r="A31" s="1">
        <v>489436.0</v>
      </c>
      <c r="B31" s="2" t="s">
        <v>71</v>
      </c>
      <c r="C31" s="1" t="s">
        <v>72</v>
      </c>
      <c r="D31" s="1">
        <v>8.0</v>
      </c>
      <c r="E31" s="3">
        <v>40148.379166666666</v>
      </c>
      <c r="F31" s="1">
        <v>1.25</v>
      </c>
      <c r="G31" s="1">
        <v>13078.0</v>
      </c>
      <c r="H31" s="1" t="s">
        <v>14</v>
      </c>
      <c r="I31" s="4">
        <v>40148.0</v>
      </c>
      <c r="J31" s="5">
        <v>0.37916666666666665</v>
      </c>
      <c r="K31" s="1">
        <v>9.0</v>
      </c>
      <c r="L31" s="1">
        <v>10.0</v>
      </c>
    </row>
    <row r="32">
      <c r="A32" s="1">
        <v>489436.0</v>
      </c>
      <c r="B32" s="2" t="s">
        <v>73</v>
      </c>
      <c r="C32" s="1" t="s">
        <v>74</v>
      </c>
      <c r="D32" s="1">
        <v>24.0</v>
      </c>
      <c r="E32" s="3">
        <v>40148.379166666666</v>
      </c>
      <c r="F32" s="1">
        <v>4.25</v>
      </c>
      <c r="G32" s="1">
        <v>13078.0</v>
      </c>
      <c r="H32" s="1" t="s">
        <v>14</v>
      </c>
      <c r="I32" s="4">
        <v>40148.0</v>
      </c>
      <c r="J32" s="5">
        <v>0.37916666666666665</v>
      </c>
      <c r="K32" s="1">
        <v>9.0</v>
      </c>
      <c r="L32" s="1">
        <v>102.0</v>
      </c>
    </row>
    <row r="33">
      <c r="A33" s="1">
        <v>489437.0</v>
      </c>
      <c r="B33" s="2" t="s">
        <v>75</v>
      </c>
      <c r="C33" s="1" t="s">
        <v>76</v>
      </c>
      <c r="D33" s="1">
        <v>6.0</v>
      </c>
      <c r="E33" s="3">
        <v>40148.38055555556</v>
      </c>
      <c r="F33" s="1">
        <v>2.1</v>
      </c>
      <c r="G33" s="1">
        <v>15362.0</v>
      </c>
      <c r="H33" s="1" t="s">
        <v>14</v>
      </c>
      <c r="I33" s="4">
        <v>40148.0</v>
      </c>
      <c r="J33" s="5">
        <v>0.38055555555555554</v>
      </c>
      <c r="K33" s="1">
        <v>9.0</v>
      </c>
      <c r="L33" s="1">
        <v>12.6</v>
      </c>
    </row>
    <row r="34">
      <c r="A34" s="1">
        <v>489437.0</v>
      </c>
      <c r="B34" s="2" t="s">
        <v>77</v>
      </c>
      <c r="C34" s="1" t="s">
        <v>78</v>
      </c>
      <c r="D34" s="1">
        <v>6.0</v>
      </c>
      <c r="E34" s="3">
        <v>40148.38055555556</v>
      </c>
      <c r="F34" s="1">
        <v>2.1</v>
      </c>
      <c r="G34" s="1">
        <v>15362.0</v>
      </c>
      <c r="H34" s="1" t="s">
        <v>14</v>
      </c>
      <c r="I34" s="4">
        <v>40148.0</v>
      </c>
      <c r="J34" s="5">
        <v>0.38055555555555554</v>
      </c>
      <c r="K34" s="1">
        <v>9.0</v>
      </c>
      <c r="L34" s="1">
        <v>12.6</v>
      </c>
    </row>
    <row r="35">
      <c r="A35" s="1">
        <v>489437.0</v>
      </c>
      <c r="B35" s="2" t="s">
        <v>79</v>
      </c>
      <c r="C35" s="1" t="s">
        <v>80</v>
      </c>
      <c r="D35" s="1">
        <v>12.0</v>
      </c>
      <c r="E35" s="3">
        <v>40148.38055555556</v>
      </c>
      <c r="F35" s="1">
        <v>0.85</v>
      </c>
      <c r="G35" s="1">
        <v>15362.0</v>
      </c>
      <c r="H35" s="1" t="s">
        <v>14</v>
      </c>
      <c r="I35" s="4">
        <v>40148.0</v>
      </c>
      <c r="J35" s="5">
        <v>0.38055555555555554</v>
      </c>
      <c r="K35" s="1">
        <v>9.0</v>
      </c>
      <c r="L35" s="1">
        <v>10.2</v>
      </c>
    </row>
    <row r="36">
      <c r="A36" s="1">
        <v>489437.0</v>
      </c>
      <c r="B36" s="2" t="s">
        <v>81</v>
      </c>
      <c r="C36" s="1" t="s">
        <v>82</v>
      </c>
      <c r="D36" s="1">
        <v>2.0</v>
      </c>
      <c r="E36" s="3">
        <v>40148.38055555556</v>
      </c>
      <c r="F36" s="1">
        <v>6.75</v>
      </c>
      <c r="G36" s="1">
        <v>15362.0</v>
      </c>
      <c r="H36" s="1" t="s">
        <v>14</v>
      </c>
      <c r="I36" s="4">
        <v>40148.0</v>
      </c>
      <c r="J36" s="5">
        <v>0.38055555555555554</v>
      </c>
      <c r="K36" s="1">
        <v>9.0</v>
      </c>
      <c r="L36" s="1">
        <v>13.5</v>
      </c>
    </row>
    <row r="37">
      <c r="A37" s="1">
        <v>489437.0</v>
      </c>
      <c r="B37" s="2" t="s">
        <v>83</v>
      </c>
      <c r="C37" s="1" t="s">
        <v>84</v>
      </c>
      <c r="D37" s="1">
        <v>1.0</v>
      </c>
      <c r="E37" s="3">
        <v>40148.38055555556</v>
      </c>
      <c r="F37" s="1">
        <v>9.95</v>
      </c>
      <c r="G37" s="1">
        <v>15362.0</v>
      </c>
      <c r="H37" s="1" t="s">
        <v>14</v>
      </c>
      <c r="I37" s="4">
        <v>40148.0</v>
      </c>
      <c r="J37" s="5">
        <v>0.38055555555555554</v>
      </c>
      <c r="K37" s="1">
        <v>9.0</v>
      </c>
      <c r="L37" s="1">
        <v>9.95</v>
      </c>
    </row>
    <row r="38">
      <c r="A38" s="1">
        <v>489437.0</v>
      </c>
      <c r="B38" s="2" t="s">
        <v>85</v>
      </c>
      <c r="C38" s="1" t="s">
        <v>86</v>
      </c>
      <c r="D38" s="1">
        <v>2.0</v>
      </c>
      <c r="E38" s="3">
        <v>40148.38055555556</v>
      </c>
      <c r="F38" s="1">
        <v>6.75</v>
      </c>
      <c r="G38" s="1">
        <v>15362.0</v>
      </c>
      <c r="H38" s="1" t="s">
        <v>14</v>
      </c>
      <c r="I38" s="4">
        <v>40148.0</v>
      </c>
      <c r="J38" s="5">
        <v>0.38055555555555554</v>
      </c>
      <c r="K38" s="1">
        <v>9.0</v>
      </c>
      <c r="L38" s="1">
        <v>13.5</v>
      </c>
    </row>
    <row r="39">
      <c r="A39" s="1">
        <v>489437.0</v>
      </c>
      <c r="B39" s="2" t="s">
        <v>87</v>
      </c>
      <c r="C39" s="1" t="s">
        <v>88</v>
      </c>
      <c r="D39" s="1">
        <v>2.0</v>
      </c>
      <c r="E39" s="3">
        <v>40148.38055555556</v>
      </c>
      <c r="F39" s="1">
        <v>6.75</v>
      </c>
      <c r="G39" s="1">
        <v>15362.0</v>
      </c>
      <c r="H39" s="1" t="s">
        <v>14</v>
      </c>
      <c r="I39" s="4">
        <v>40148.0</v>
      </c>
      <c r="J39" s="5">
        <v>0.38055555555555554</v>
      </c>
      <c r="K39" s="1">
        <v>9.0</v>
      </c>
      <c r="L39" s="1">
        <v>13.5</v>
      </c>
    </row>
    <row r="40">
      <c r="A40" s="1">
        <v>489437.0</v>
      </c>
      <c r="B40" s="2" t="s">
        <v>89</v>
      </c>
      <c r="C40" s="1" t="s">
        <v>90</v>
      </c>
      <c r="D40" s="1">
        <v>2.0</v>
      </c>
      <c r="E40" s="3">
        <v>40148.38055555556</v>
      </c>
      <c r="F40" s="1">
        <v>8.95</v>
      </c>
      <c r="G40" s="1">
        <v>15362.0</v>
      </c>
      <c r="H40" s="1" t="s">
        <v>14</v>
      </c>
      <c r="I40" s="4">
        <v>40148.0</v>
      </c>
      <c r="J40" s="5">
        <v>0.38055555555555554</v>
      </c>
      <c r="K40" s="1">
        <v>9.0</v>
      </c>
      <c r="L40" s="1">
        <v>17.9</v>
      </c>
    </row>
    <row r="41">
      <c r="A41" s="1">
        <v>489437.0</v>
      </c>
      <c r="B41" s="2" t="s">
        <v>91</v>
      </c>
      <c r="C41" s="1" t="s">
        <v>92</v>
      </c>
      <c r="D41" s="1">
        <v>3.0</v>
      </c>
      <c r="E41" s="3">
        <v>40148.38055555556</v>
      </c>
      <c r="F41" s="1">
        <v>4.25</v>
      </c>
      <c r="G41" s="1">
        <v>15362.0</v>
      </c>
      <c r="H41" s="1" t="s">
        <v>14</v>
      </c>
      <c r="I41" s="4">
        <v>40148.0</v>
      </c>
      <c r="J41" s="5">
        <v>0.38055555555555554</v>
      </c>
      <c r="K41" s="1">
        <v>9.0</v>
      </c>
      <c r="L41" s="1">
        <v>12.75</v>
      </c>
    </row>
    <row r="42">
      <c r="A42" s="1">
        <v>489437.0</v>
      </c>
      <c r="B42" s="2" t="s">
        <v>93</v>
      </c>
      <c r="C42" s="1" t="s">
        <v>94</v>
      </c>
      <c r="D42" s="1">
        <v>12.0</v>
      </c>
      <c r="E42" s="3">
        <v>40148.38055555556</v>
      </c>
      <c r="F42" s="1">
        <v>1.25</v>
      </c>
      <c r="G42" s="1">
        <v>15362.0</v>
      </c>
      <c r="H42" s="1" t="s">
        <v>14</v>
      </c>
      <c r="I42" s="4">
        <v>40148.0</v>
      </c>
      <c r="J42" s="5">
        <v>0.38055555555555554</v>
      </c>
      <c r="K42" s="1">
        <v>9.0</v>
      </c>
      <c r="L42" s="1">
        <v>15.0</v>
      </c>
    </row>
    <row r="43">
      <c r="A43" s="1">
        <v>489437.0</v>
      </c>
      <c r="B43" s="2" t="s">
        <v>95</v>
      </c>
      <c r="C43" s="1" t="s">
        <v>96</v>
      </c>
      <c r="D43" s="1">
        <v>12.0</v>
      </c>
      <c r="E43" s="3">
        <v>40148.38055555556</v>
      </c>
      <c r="F43" s="1">
        <v>0.85</v>
      </c>
      <c r="G43" s="1">
        <v>15362.0</v>
      </c>
      <c r="H43" s="1" t="s">
        <v>14</v>
      </c>
      <c r="I43" s="4">
        <v>40148.0</v>
      </c>
      <c r="J43" s="5">
        <v>0.38055555555555554</v>
      </c>
      <c r="K43" s="1">
        <v>9.0</v>
      </c>
      <c r="L43" s="1">
        <v>10.2</v>
      </c>
    </row>
    <row r="44">
      <c r="A44" s="1">
        <v>489437.0</v>
      </c>
      <c r="B44" s="2" t="s">
        <v>97</v>
      </c>
      <c r="C44" s="1" t="s">
        <v>98</v>
      </c>
      <c r="D44" s="1">
        <v>6.0</v>
      </c>
      <c r="E44" s="3">
        <v>40148.38055555556</v>
      </c>
      <c r="F44" s="1">
        <v>2.55</v>
      </c>
      <c r="G44" s="1">
        <v>15362.0</v>
      </c>
      <c r="H44" s="1" t="s">
        <v>14</v>
      </c>
      <c r="I44" s="4">
        <v>40148.0</v>
      </c>
      <c r="J44" s="5">
        <v>0.38055555555555554</v>
      </c>
      <c r="K44" s="1">
        <v>9.0</v>
      </c>
      <c r="L44" s="1">
        <v>15.2999999999999</v>
      </c>
    </row>
    <row r="45">
      <c r="A45" s="1">
        <v>489437.0</v>
      </c>
      <c r="B45" s="2" t="s">
        <v>99</v>
      </c>
      <c r="C45" s="1" t="s">
        <v>100</v>
      </c>
      <c r="D45" s="1">
        <v>3.0</v>
      </c>
      <c r="E45" s="3">
        <v>40148.38055555556</v>
      </c>
      <c r="F45" s="1">
        <v>4.25</v>
      </c>
      <c r="G45" s="1">
        <v>15362.0</v>
      </c>
      <c r="H45" s="1" t="s">
        <v>14</v>
      </c>
      <c r="I45" s="4">
        <v>40148.0</v>
      </c>
      <c r="J45" s="5">
        <v>0.38055555555555554</v>
      </c>
      <c r="K45" s="1">
        <v>9.0</v>
      </c>
      <c r="L45" s="1">
        <v>12.75</v>
      </c>
    </row>
    <row r="46">
      <c r="A46" s="1">
        <v>489437.0</v>
      </c>
      <c r="B46" s="2" t="s">
        <v>101</v>
      </c>
      <c r="C46" s="1" t="s">
        <v>102</v>
      </c>
      <c r="D46" s="1">
        <v>12.0</v>
      </c>
      <c r="E46" s="3">
        <v>40148.38055555556</v>
      </c>
      <c r="F46" s="1">
        <v>0.65</v>
      </c>
      <c r="G46" s="1">
        <v>15362.0</v>
      </c>
      <c r="H46" s="1" t="s">
        <v>14</v>
      </c>
      <c r="I46" s="4">
        <v>40148.0</v>
      </c>
      <c r="J46" s="5">
        <v>0.38055555555555554</v>
      </c>
      <c r="K46" s="1">
        <v>9.0</v>
      </c>
      <c r="L46" s="1">
        <v>7.8</v>
      </c>
    </row>
    <row r="47">
      <c r="A47" s="1">
        <v>489437.0</v>
      </c>
      <c r="B47" s="2" t="s">
        <v>103</v>
      </c>
      <c r="C47" s="1" t="s">
        <v>104</v>
      </c>
      <c r="D47" s="1">
        <v>12.0</v>
      </c>
      <c r="E47" s="3">
        <v>40148.38055555556</v>
      </c>
      <c r="F47" s="1">
        <v>0.85</v>
      </c>
      <c r="G47" s="1">
        <v>15362.0</v>
      </c>
      <c r="H47" s="1" t="s">
        <v>14</v>
      </c>
      <c r="I47" s="4">
        <v>40148.0</v>
      </c>
      <c r="J47" s="5">
        <v>0.38055555555555554</v>
      </c>
      <c r="K47" s="1">
        <v>9.0</v>
      </c>
      <c r="L47" s="1">
        <v>10.2</v>
      </c>
    </row>
    <row r="48">
      <c r="A48" s="1">
        <v>489437.0</v>
      </c>
      <c r="B48" s="2" t="s">
        <v>105</v>
      </c>
      <c r="C48" s="1" t="s">
        <v>106</v>
      </c>
      <c r="D48" s="1">
        <v>12.0</v>
      </c>
      <c r="E48" s="3">
        <v>40148.38055555556</v>
      </c>
      <c r="F48" s="1">
        <v>0.85</v>
      </c>
      <c r="G48" s="1">
        <v>15362.0</v>
      </c>
      <c r="H48" s="1" t="s">
        <v>14</v>
      </c>
      <c r="I48" s="4">
        <v>40148.0</v>
      </c>
      <c r="J48" s="5">
        <v>0.38055555555555554</v>
      </c>
      <c r="K48" s="1">
        <v>9.0</v>
      </c>
      <c r="L48" s="1">
        <v>10.2</v>
      </c>
    </row>
    <row r="49">
      <c r="A49" s="1">
        <v>489437.0</v>
      </c>
      <c r="B49" s="2" t="s">
        <v>107</v>
      </c>
      <c r="C49" s="1" t="s">
        <v>108</v>
      </c>
      <c r="D49" s="1">
        <v>12.0</v>
      </c>
      <c r="E49" s="3">
        <v>40148.38055555556</v>
      </c>
      <c r="F49" s="1">
        <v>1.25</v>
      </c>
      <c r="G49" s="1">
        <v>15362.0</v>
      </c>
      <c r="H49" s="1" t="s">
        <v>14</v>
      </c>
      <c r="I49" s="4">
        <v>40148.0</v>
      </c>
      <c r="J49" s="5">
        <v>0.38055555555555554</v>
      </c>
      <c r="K49" s="1">
        <v>9.0</v>
      </c>
      <c r="L49" s="1">
        <v>15.0</v>
      </c>
    </row>
    <row r="50">
      <c r="A50" s="1">
        <v>489437.0</v>
      </c>
      <c r="B50" s="2" t="s">
        <v>109</v>
      </c>
      <c r="C50" s="1" t="s">
        <v>110</v>
      </c>
      <c r="D50" s="1">
        <v>6.0</v>
      </c>
      <c r="E50" s="3">
        <v>40148.38055555556</v>
      </c>
      <c r="F50" s="1">
        <v>2.95</v>
      </c>
      <c r="G50" s="1">
        <v>15362.0</v>
      </c>
      <c r="H50" s="1" t="s">
        <v>14</v>
      </c>
      <c r="I50" s="4">
        <v>40148.0</v>
      </c>
      <c r="J50" s="5">
        <v>0.38055555555555554</v>
      </c>
      <c r="K50" s="1">
        <v>9.0</v>
      </c>
      <c r="L50" s="1">
        <v>17.7</v>
      </c>
    </row>
    <row r="51">
      <c r="A51" s="1">
        <v>489437.0</v>
      </c>
      <c r="B51" s="2" t="s">
        <v>111</v>
      </c>
      <c r="C51" s="1" t="s">
        <v>112</v>
      </c>
      <c r="D51" s="1">
        <v>6.0</v>
      </c>
      <c r="E51" s="3">
        <v>40148.38055555556</v>
      </c>
      <c r="F51" s="1">
        <v>2.95</v>
      </c>
      <c r="G51" s="1">
        <v>15362.0</v>
      </c>
      <c r="H51" s="1" t="s">
        <v>14</v>
      </c>
      <c r="I51" s="4">
        <v>40148.0</v>
      </c>
      <c r="J51" s="5">
        <v>0.38055555555555554</v>
      </c>
      <c r="K51" s="1">
        <v>9.0</v>
      </c>
      <c r="L51" s="1">
        <v>17.7</v>
      </c>
    </row>
    <row r="52">
      <c r="A52" s="1">
        <v>489437.0</v>
      </c>
      <c r="B52" s="2" t="s">
        <v>113</v>
      </c>
      <c r="C52" s="1" t="s">
        <v>114</v>
      </c>
      <c r="D52" s="1">
        <v>6.0</v>
      </c>
      <c r="E52" s="3">
        <v>40148.38055555556</v>
      </c>
      <c r="F52" s="1">
        <v>2.95</v>
      </c>
      <c r="G52" s="1">
        <v>15362.0</v>
      </c>
      <c r="H52" s="1" t="s">
        <v>14</v>
      </c>
      <c r="I52" s="4">
        <v>40148.0</v>
      </c>
      <c r="J52" s="5">
        <v>0.38055555555555554</v>
      </c>
      <c r="K52" s="1">
        <v>9.0</v>
      </c>
      <c r="L52" s="1">
        <v>17.7</v>
      </c>
    </row>
    <row r="53">
      <c r="A53" s="1">
        <v>489437.0</v>
      </c>
      <c r="B53" s="2" t="s">
        <v>115</v>
      </c>
      <c r="C53" s="1" t="s">
        <v>116</v>
      </c>
      <c r="D53" s="1">
        <v>4.0</v>
      </c>
      <c r="E53" s="3">
        <v>40148.38055555556</v>
      </c>
      <c r="F53" s="1">
        <v>3.75</v>
      </c>
      <c r="G53" s="1">
        <v>15362.0</v>
      </c>
      <c r="H53" s="1" t="s">
        <v>14</v>
      </c>
      <c r="I53" s="4">
        <v>40148.0</v>
      </c>
      <c r="J53" s="5">
        <v>0.38055555555555554</v>
      </c>
      <c r="K53" s="1">
        <v>9.0</v>
      </c>
      <c r="L53" s="1">
        <v>15.0</v>
      </c>
    </row>
    <row r="54">
      <c r="A54" s="1">
        <v>489437.0</v>
      </c>
      <c r="B54" s="2" t="s">
        <v>73</v>
      </c>
      <c r="C54" s="1" t="s">
        <v>74</v>
      </c>
      <c r="D54" s="1">
        <v>3.0</v>
      </c>
      <c r="E54" s="3">
        <v>40148.38055555556</v>
      </c>
      <c r="F54" s="1">
        <v>4.95</v>
      </c>
      <c r="G54" s="1">
        <v>15362.0</v>
      </c>
      <c r="H54" s="1" t="s">
        <v>14</v>
      </c>
      <c r="I54" s="4">
        <v>40148.0</v>
      </c>
      <c r="J54" s="5">
        <v>0.38055555555555554</v>
      </c>
      <c r="K54" s="1">
        <v>9.0</v>
      </c>
      <c r="L54" s="1">
        <v>14.85</v>
      </c>
    </row>
    <row r="55">
      <c r="A55" s="1">
        <v>489437.0</v>
      </c>
      <c r="B55" s="2" t="s">
        <v>117</v>
      </c>
      <c r="C55" s="1" t="s">
        <v>118</v>
      </c>
      <c r="D55" s="1">
        <v>3.0</v>
      </c>
      <c r="E55" s="3">
        <v>40148.38055555556</v>
      </c>
      <c r="F55" s="1">
        <v>4.95</v>
      </c>
      <c r="G55" s="1">
        <v>15362.0</v>
      </c>
      <c r="H55" s="1" t="s">
        <v>14</v>
      </c>
      <c r="I55" s="4">
        <v>40148.0</v>
      </c>
      <c r="J55" s="5">
        <v>0.38055555555555554</v>
      </c>
      <c r="K55" s="1">
        <v>9.0</v>
      </c>
      <c r="L55" s="1">
        <v>14.85</v>
      </c>
    </row>
    <row r="56">
      <c r="A56" s="1">
        <v>489438.0</v>
      </c>
      <c r="B56" s="2" t="s">
        <v>119</v>
      </c>
      <c r="C56" s="1" t="s">
        <v>120</v>
      </c>
      <c r="D56" s="1">
        <v>28.0</v>
      </c>
      <c r="E56" s="3">
        <v>40148.39166666667</v>
      </c>
      <c r="F56" s="1">
        <v>0.98</v>
      </c>
      <c r="G56" s="1">
        <v>18102.0</v>
      </c>
      <c r="H56" s="1" t="s">
        <v>14</v>
      </c>
      <c r="I56" s="4">
        <v>40148.0</v>
      </c>
      <c r="J56" s="5">
        <v>0.39166666666666666</v>
      </c>
      <c r="K56" s="1">
        <v>9.0</v>
      </c>
      <c r="L56" s="1">
        <v>27.4399999999999</v>
      </c>
    </row>
    <row r="57">
      <c r="A57" s="1">
        <v>489438.0</v>
      </c>
      <c r="B57" s="2" t="s">
        <v>121</v>
      </c>
      <c r="C57" s="1" t="s">
        <v>122</v>
      </c>
      <c r="D57" s="1">
        <v>30.0</v>
      </c>
      <c r="E57" s="3">
        <v>40148.39166666667</v>
      </c>
      <c r="F57" s="1">
        <v>1.69</v>
      </c>
      <c r="G57" s="1">
        <v>18102.0</v>
      </c>
      <c r="H57" s="1" t="s">
        <v>14</v>
      </c>
      <c r="I57" s="4">
        <v>40148.0</v>
      </c>
      <c r="J57" s="5">
        <v>0.39166666666666666</v>
      </c>
      <c r="K57" s="1">
        <v>9.0</v>
      </c>
      <c r="L57" s="1">
        <v>50.6999999999999</v>
      </c>
    </row>
    <row r="58">
      <c r="A58" s="1">
        <v>489438.0</v>
      </c>
      <c r="B58" s="2" t="s">
        <v>123</v>
      </c>
      <c r="C58" s="1" t="s">
        <v>124</v>
      </c>
      <c r="D58" s="1">
        <v>30.0</v>
      </c>
      <c r="E58" s="3">
        <v>40148.39166666667</v>
      </c>
      <c r="F58" s="1">
        <v>1.15</v>
      </c>
      <c r="G58" s="1">
        <v>18102.0</v>
      </c>
      <c r="H58" s="1" t="s">
        <v>14</v>
      </c>
      <c r="I58" s="4">
        <v>40148.0</v>
      </c>
      <c r="J58" s="5">
        <v>0.39166666666666666</v>
      </c>
      <c r="K58" s="1">
        <v>9.0</v>
      </c>
      <c r="L58" s="1">
        <v>34.5</v>
      </c>
    </row>
    <row r="59">
      <c r="A59" s="1">
        <v>489438.0</v>
      </c>
      <c r="B59" s="2" t="s">
        <v>125</v>
      </c>
      <c r="C59" s="1" t="s">
        <v>126</v>
      </c>
      <c r="D59" s="1">
        <v>30.0</v>
      </c>
      <c r="E59" s="3">
        <v>40148.39166666667</v>
      </c>
      <c r="F59" s="1">
        <v>2.0</v>
      </c>
      <c r="G59" s="1">
        <v>18102.0</v>
      </c>
      <c r="H59" s="1" t="s">
        <v>14</v>
      </c>
      <c r="I59" s="4">
        <v>40148.0</v>
      </c>
      <c r="J59" s="5">
        <v>0.39166666666666666</v>
      </c>
      <c r="K59" s="1">
        <v>9.0</v>
      </c>
      <c r="L59" s="1">
        <v>60.0</v>
      </c>
    </row>
    <row r="60">
      <c r="A60" s="1">
        <v>489438.0</v>
      </c>
      <c r="B60" s="2" t="s">
        <v>127</v>
      </c>
      <c r="C60" s="1" t="s">
        <v>128</v>
      </c>
      <c r="D60" s="1">
        <v>60.0</v>
      </c>
      <c r="E60" s="3">
        <v>40148.39166666667</v>
      </c>
      <c r="F60" s="1">
        <v>1.3</v>
      </c>
      <c r="G60" s="1">
        <v>18102.0</v>
      </c>
      <c r="H60" s="1" t="s">
        <v>14</v>
      </c>
      <c r="I60" s="4">
        <v>40148.0</v>
      </c>
      <c r="J60" s="5">
        <v>0.39166666666666666</v>
      </c>
      <c r="K60" s="1">
        <v>9.0</v>
      </c>
      <c r="L60" s="1">
        <v>78.0</v>
      </c>
    </row>
    <row r="61">
      <c r="A61" s="1">
        <v>489438.0</v>
      </c>
      <c r="B61" s="2" t="s">
        <v>129</v>
      </c>
      <c r="C61" s="1" t="s">
        <v>130</v>
      </c>
      <c r="D61" s="1">
        <v>32.0</v>
      </c>
      <c r="E61" s="3">
        <v>40148.39166666667</v>
      </c>
      <c r="F61" s="1">
        <v>2.5</v>
      </c>
      <c r="G61" s="1">
        <v>18102.0</v>
      </c>
      <c r="H61" s="1" t="s">
        <v>14</v>
      </c>
      <c r="I61" s="4">
        <v>40148.0</v>
      </c>
      <c r="J61" s="5">
        <v>0.39166666666666666</v>
      </c>
      <c r="K61" s="1">
        <v>9.0</v>
      </c>
      <c r="L61" s="1">
        <v>80.0</v>
      </c>
    </row>
    <row r="62">
      <c r="A62" s="1">
        <v>489438.0</v>
      </c>
      <c r="B62" s="2" t="s">
        <v>131</v>
      </c>
      <c r="C62" s="1" t="s">
        <v>132</v>
      </c>
      <c r="D62" s="1">
        <v>32.0</v>
      </c>
      <c r="E62" s="3">
        <v>40148.39166666667</v>
      </c>
      <c r="F62" s="1">
        <v>2.5</v>
      </c>
      <c r="G62" s="1">
        <v>18102.0</v>
      </c>
      <c r="H62" s="1" t="s">
        <v>14</v>
      </c>
      <c r="I62" s="4">
        <v>40148.0</v>
      </c>
      <c r="J62" s="5">
        <v>0.39166666666666666</v>
      </c>
      <c r="K62" s="1">
        <v>9.0</v>
      </c>
      <c r="L62" s="1">
        <v>80.0</v>
      </c>
    </row>
    <row r="63">
      <c r="A63" s="1">
        <v>489438.0</v>
      </c>
      <c r="B63" s="2" t="s">
        <v>133</v>
      </c>
      <c r="C63" s="1" t="s">
        <v>134</v>
      </c>
      <c r="D63" s="1">
        <v>56.0</v>
      </c>
      <c r="E63" s="3">
        <v>40148.39166666667</v>
      </c>
      <c r="F63" s="1">
        <v>3.0</v>
      </c>
      <c r="G63" s="1">
        <v>18102.0</v>
      </c>
      <c r="H63" s="1" t="s">
        <v>14</v>
      </c>
      <c r="I63" s="4">
        <v>40148.0</v>
      </c>
      <c r="J63" s="5">
        <v>0.39166666666666666</v>
      </c>
      <c r="K63" s="1">
        <v>9.0</v>
      </c>
      <c r="L63" s="1">
        <v>168.0</v>
      </c>
    </row>
    <row r="64">
      <c r="A64" s="1">
        <v>489438.0</v>
      </c>
      <c r="B64" s="2" t="s">
        <v>135</v>
      </c>
      <c r="C64" s="1" t="s">
        <v>136</v>
      </c>
      <c r="D64" s="1">
        <v>56.0</v>
      </c>
      <c r="E64" s="3">
        <v>40148.39166666667</v>
      </c>
      <c r="F64" s="1">
        <v>3.0</v>
      </c>
      <c r="G64" s="1">
        <v>18102.0</v>
      </c>
      <c r="H64" s="1" t="s">
        <v>14</v>
      </c>
      <c r="I64" s="4">
        <v>40148.0</v>
      </c>
      <c r="J64" s="5">
        <v>0.39166666666666666</v>
      </c>
      <c r="K64" s="1">
        <v>9.0</v>
      </c>
      <c r="L64" s="1">
        <v>168.0</v>
      </c>
    </row>
    <row r="65">
      <c r="A65" s="1">
        <v>489438.0</v>
      </c>
      <c r="B65" s="2" t="s">
        <v>137</v>
      </c>
      <c r="C65" s="1" t="s">
        <v>138</v>
      </c>
      <c r="D65" s="1">
        <v>60.0</v>
      </c>
      <c r="E65" s="3">
        <v>40148.39166666667</v>
      </c>
      <c r="F65" s="1">
        <v>1.9</v>
      </c>
      <c r="G65" s="1">
        <v>18102.0</v>
      </c>
      <c r="H65" s="1" t="s">
        <v>14</v>
      </c>
      <c r="I65" s="4">
        <v>40148.0</v>
      </c>
      <c r="J65" s="5">
        <v>0.39166666666666666</v>
      </c>
      <c r="K65" s="1">
        <v>9.0</v>
      </c>
      <c r="L65" s="1">
        <v>114.0</v>
      </c>
    </row>
    <row r="66">
      <c r="A66" s="1">
        <v>489438.0</v>
      </c>
      <c r="B66" s="2" t="s">
        <v>139</v>
      </c>
      <c r="C66" s="1" t="s">
        <v>140</v>
      </c>
      <c r="D66" s="1">
        <v>56.0</v>
      </c>
      <c r="E66" s="3">
        <v>40148.39166666667</v>
      </c>
      <c r="F66" s="1">
        <v>1.9</v>
      </c>
      <c r="G66" s="1">
        <v>18102.0</v>
      </c>
      <c r="H66" s="1" t="s">
        <v>14</v>
      </c>
      <c r="I66" s="4">
        <v>40148.0</v>
      </c>
      <c r="J66" s="5">
        <v>0.39166666666666666</v>
      </c>
      <c r="K66" s="1">
        <v>9.0</v>
      </c>
      <c r="L66" s="1">
        <v>106.399999999999</v>
      </c>
    </row>
    <row r="67">
      <c r="A67" s="1">
        <v>489438.0</v>
      </c>
      <c r="B67" s="2" t="s">
        <v>141</v>
      </c>
      <c r="C67" s="1" t="s">
        <v>142</v>
      </c>
      <c r="D67" s="1">
        <v>56.0</v>
      </c>
      <c r="E67" s="3">
        <v>40148.39166666667</v>
      </c>
      <c r="F67" s="1">
        <v>2.15</v>
      </c>
      <c r="G67" s="1">
        <v>18102.0</v>
      </c>
      <c r="H67" s="1" t="s">
        <v>14</v>
      </c>
      <c r="I67" s="4">
        <v>40148.0</v>
      </c>
      <c r="J67" s="5">
        <v>0.39166666666666666</v>
      </c>
      <c r="K67" s="1">
        <v>9.0</v>
      </c>
      <c r="L67" s="1">
        <v>120.399999999999</v>
      </c>
    </row>
    <row r="68">
      <c r="A68" s="1">
        <v>489438.0</v>
      </c>
      <c r="B68" s="2" t="s">
        <v>143</v>
      </c>
      <c r="C68" s="1" t="s">
        <v>144</v>
      </c>
      <c r="D68" s="1">
        <v>60.0</v>
      </c>
      <c r="E68" s="3">
        <v>40148.39166666667</v>
      </c>
      <c r="F68" s="1">
        <v>2.4</v>
      </c>
      <c r="G68" s="1">
        <v>18102.0</v>
      </c>
      <c r="H68" s="1" t="s">
        <v>14</v>
      </c>
      <c r="I68" s="4">
        <v>40148.0</v>
      </c>
      <c r="J68" s="5">
        <v>0.39166666666666666</v>
      </c>
      <c r="K68" s="1">
        <v>9.0</v>
      </c>
      <c r="L68" s="1">
        <v>144.0</v>
      </c>
    </row>
    <row r="69">
      <c r="A69" s="1">
        <v>489438.0</v>
      </c>
      <c r="B69" s="2" t="s">
        <v>145</v>
      </c>
      <c r="C69" s="1" t="s">
        <v>146</v>
      </c>
      <c r="D69" s="1">
        <v>60.0</v>
      </c>
      <c r="E69" s="3">
        <v>40148.39166666667</v>
      </c>
      <c r="F69" s="1">
        <v>6.38</v>
      </c>
      <c r="G69" s="1">
        <v>18102.0</v>
      </c>
      <c r="H69" s="1" t="s">
        <v>14</v>
      </c>
      <c r="I69" s="4">
        <v>40148.0</v>
      </c>
      <c r="J69" s="5">
        <v>0.39166666666666666</v>
      </c>
      <c r="K69" s="1">
        <v>9.0</v>
      </c>
      <c r="L69" s="1">
        <v>382.8</v>
      </c>
    </row>
    <row r="70">
      <c r="A70" s="1">
        <v>489438.0</v>
      </c>
      <c r="B70" s="2" t="s">
        <v>147</v>
      </c>
      <c r="C70" s="1" t="s">
        <v>148</v>
      </c>
      <c r="D70" s="1">
        <v>60.0</v>
      </c>
      <c r="E70" s="3">
        <v>40148.39166666667</v>
      </c>
      <c r="F70" s="1">
        <v>6.4</v>
      </c>
      <c r="G70" s="1">
        <v>18102.0</v>
      </c>
      <c r="H70" s="1" t="s">
        <v>14</v>
      </c>
      <c r="I70" s="4">
        <v>40148.0</v>
      </c>
      <c r="J70" s="5">
        <v>0.39166666666666666</v>
      </c>
      <c r="K70" s="1">
        <v>9.0</v>
      </c>
      <c r="L70" s="1">
        <v>384.0</v>
      </c>
    </row>
    <row r="71">
      <c r="A71" s="1">
        <v>489438.0</v>
      </c>
      <c r="B71" s="2" t="s">
        <v>149</v>
      </c>
      <c r="C71" s="1" t="s">
        <v>150</v>
      </c>
      <c r="D71" s="1">
        <v>60.0</v>
      </c>
      <c r="E71" s="3">
        <v>40148.39166666667</v>
      </c>
      <c r="F71" s="1">
        <v>2.4</v>
      </c>
      <c r="G71" s="1">
        <v>18102.0</v>
      </c>
      <c r="H71" s="1" t="s">
        <v>14</v>
      </c>
      <c r="I71" s="4">
        <v>40148.0</v>
      </c>
      <c r="J71" s="5">
        <v>0.39166666666666666</v>
      </c>
      <c r="K71" s="1">
        <v>9.0</v>
      </c>
      <c r="L71" s="1">
        <v>144.0</v>
      </c>
    </row>
    <row r="72">
      <c r="A72" s="1">
        <v>489438.0</v>
      </c>
      <c r="B72" s="2" t="s">
        <v>151</v>
      </c>
      <c r="C72" s="1" t="s">
        <v>152</v>
      </c>
      <c r="D72" s="1">
        <v>60.0</v>
      </c>
      <c r="E72" s="3">
        <v>40148.39166666667</v>
      </c>
      <c r="F72" s="1">
        <v>2.4</v>
      </c>
      <c r="G72" s="1">
        <v>18102.0</v>
      </c>
      <c r="H72" s="1" t="s">
        <v>14</v>
      </c>
      <c r="I72" s="4">
        <v>40148.0</v>
      </c>
      <c r="J72" s="5">
        <v>0.39166666666666666</v>
      </c>
      <c r="K72" s="1">
        <v>9.0</v>
      </c>
      <c r="L72" s="1">
        <v>144.0</v>
      </c>
    </row>
    <row r="73">
      <c r="A73" s="1">
        <v>489439.0</v>
      </c>
      <c r="B73" s="2" t="s">
        <v>153</v>
      </c>
      <c r="C73" s="1" t="s">
        <v>154</v>
      </c>
      <c r="D73" s="1">
        <v>12.0</v>
      </c>
      <c r="E73" s="3">
        <v>40148.39444444444</v>
      </c>
      <c r="F73" s="1">
        <v>1.45</v>
      </c>
      <c r="G73" s="1">
        <v>12682.0</v>
      </c>
      <c r="H73" s="1" t="s">
        <v>155</v>
      </c>
      <c r="I73" s="4">
        <v>40148.0</v>
      </c>
      <c r="J73" s="5">
        <v>0.39444444444444443</v>
      </c>
      <c r="K73" s="1">
        <v>9.0</v>
      </c>
      <c r="L73" s="1">
        <v>17.4</v>
      </c>
    </row>
    <row r="74">
      <c r="A74" s="1">
        <v>489439.0</v>
      </c>
      <c r="B74" s="2" t="s">
        <v>156</v>
      </c>
      <c r="C74" s="1" t="s">
        <v>157</v>
      </c>
      <c r="D74" s="1">
        <v>9.0</v>
      </c>
      <c r="E74" s="3">
        <v>40148.39444444444</v>
      </c>
      <c r="F74" s="1">
        <v>4.95</v>
      </c>
      <c r="G74" s="1">
        <v>12682.0</v>
      </c>
      <c r="H74" s="1" t="s">
        <v>155</v>
      </c>
      <c r="I74" s="4">
        <v>40148.0</v>
      </c>
      <c r="J74" s="5">
        <v>0.39444444444444443</v>
      </c>
      <c r="K74" s="1">
        <v>9.0</v>
      </c>
      <c r="L74" s="1">
        <v>44.55</v>
      </c>
    </row>
    <row r="75">
      <c r="A75" s="1">
        <v>489439.0</v>
      </c>
      <c r="B75" s="2" t="s">
        <v>158</v>
      </c>
      <c r="C75" s="1" t="s">
        <v>159</v>
      </c>
      <c r="D75" s="1">
        <v>9.0</v>
      </c>
      <c r="E75" s="3">
        <v>40148.39444444444</v>
      </c>
      <c r="F75" s="1">
        <v>4.95</v>
      </c>
      <c r="G75" s="1">
        <v>12682.0</v>
      </c>
      <c r="H75" s="1" t="s">
        <v>155</v>
      </c>
      <c r="I75" s="4">
        <v>40148.0</v>
      </c>
      <c r="J75" s="5">
        <v>0.39444444444444443</v>
      </c>
      <c r="K75" s="1">
        <v>9.0</v>
      </c>
      <c r="L75" s="1">
        <v>44.55</v>
      </c>
    </row>
    <row r="76">
      <c r="A76" s="1">
        <v>489439.0</v>
      </c>
      <c r="B76" s="2" t="s">
        <v>160</v>
      </c>
      <c r="C76" s="1" t="s">
        <v>161</v>
      </c>
      <c r="D76" s="1">
        <v>12.0</v>
      </c>
      <c r="E76" s="3">
        <v>40148.39444444444</v>
      </c>
      <c r="F76" s="1">
        <v>2.55</v>
      </c>
      <c r="G76" s="1">
        <v>12682.0</v>
      </c>
      <c r="H76" s="1" t="s">
        <v>155</v>
      </c>
      <c r="I76" s="4">
        <v>40148.0</v>
      </c>
      <c r="J76" s="5">
        <v>0.39444444444444443</v>
      </c>
      <c r="K76" s="1">
        <v>9.0</v>
      </c>
      <c r="L76" s="1">
        <v>30.5999999999999</v>
      </c>
    </row>
    <row r="77">
      <c r="A77" s="1">
        <v>489439.0</v>
      </c>
      <c r="B77" s="2" t="s">
        <v>162</v>
      </c>
      <c r="C77" s="1" t="s">
        <v>163</v>
      </c>
      <c r="D77" s="1">
        <v>3.0</v>
      </c>
      <c r="E77" s="3">
        <v>40148.39444444444</v>
      </c>
      <c r="F77" s="1">
        <v>5.95</v>
      </c>
      <c r="G77" s="1">
        <v>12682.0</v>
      </c>
      <c r="H77" s="1" t="s">
        <v>155</v>
      </c>
      <c r="I77" s="4">
        <v>40148.0</v>
      </c>
      <c r="J77" s="5">
        <v>0.39444444444444443</v>
      </c>
      <c r="K77" s="1">
        <v>9.0</v>
      </c>
      <c r="L77" s="1">
        <v>17.85</v>
      </c>
    </row>
    <row r="78">
      <c r="A78" s="1">
        <v>489439.0</v>
      </c>
      <c r="B78" s="2" t="s">
        <v>164</v>
      </c>
      <c r="C78" s="1" t="s">
        <v>165</v>
      </c>
      <c r="D78" s="1">
        <v>3.0</v>
      </c>
      <c r="E78" s="3">
        <v>40148.39444444444</v>
      </c>
      <c r="F78" s="1">
        <v>5.95</v>
      </c>
      <c r="G78" s="1">
        <v>12682.0</v>
      </c>
      <c r="H78" s="1" t="s">
        <v>155</v>
      </c>
      <c r="I78" s="4">
        <v>40148.0</v>
      </c>
      <c r="J78" s="5">
        <v>0.39444444444444443</v>
      </c>
      <c r="K78" s="1">
        <v>9.0</v>
      </c>
      <c r="L78" s="1">
        <v>17.85</v>
      </c>
    </row>
    <row r="79">
      <c r="A79" s="1">
        <v>489439.0</v>
      </c>
      <c r="B79" s="2" t="s">
        <v>166</v>
      </c>
      <c r="C79" s="1" t="s">
        <v>167</v>
      </c>
      <c r="D79" s="1">
        <v>25.0</v>
      </c>
      <c r="E79" s="3">
        <v>40148.39444444444</v>
      </c>
      <c r="F79" s="1">
        <v>0.42</v>
      </c>
      <c r="G79" s="1">
        <v>12682.0</v>
      </c>
      <c r="H79" s="1" t="s">
        <v>155</v>
      </c>
      <c r="I79" s="4">
        <v>40148.0</v>
      </c>
      <c r="J79" s="5">
        <v>0.39444444444444443</v>
      </c>
      <c r="K79" s="1">
        <v>9.0</v>
      </c>
      <c r="L79" s="1">
        <v>10.5</v>
      </c>
    </row>
    <row r="80">
      <c r="A80" s="1">
        <v>489439.0</v>
      </c>
      <c r="B80" s="2" t="s">
        <v>168</v>
      </c>
      <c r="C80" s="1" t="s">
        <v>169</v>
      </c>
      <c r="D80" s="1">
        <v>25.0</v>
      </c>
      <c r="E80" s="3">
        <v>40148.39444444444</v>
      </c>
      <c r="F80" s="1">
        <v>0.42</v>
      </c>
      <c r="G80" s="1">
        <v>12682.0</v>
      </c>
      <c r="H80" s="1" t="s">
        <v>155</v>
      </c>
      <c r="I80" s="4">
        <v>40148.0</v>
      </c>
      <c r="J80" s="5">
        <v>0.39444444444444443</v>
      </c>
      <c r="K80" s="1">
        <v>9.0</v>
      </c>
      <c r="L80" s="1">
        <v>10.5</v>
      </c>
    </row>
    <row r="81">
      <c r="A81" s="1">
        <v>489439.0</v>
      </c>
      <c r="B81" s="2" t="s">
        <v>170</v>
      </c>
      <c r="C81" s="1" t="s">
        <v>171</v>
      </c>
      <c r="D81" s="1">
        <v>6.0</v>
      </c>
      <c r="E81" s="3">
        <v>40148.39444444444</v>
      </c>
      <c r="F81" s="1">
        <v>1.95</v>
      </c>
      <c r="G81" s="1">
        <v>12682.0</v>
      </c>
      <c r="H81" s="1" t="s">
        <v>155</v>
      </c>
      <c r="I81" s="4">
        <v>40148.0</v>
      </c>
      <c r="J81" s="5">
        <v>0.39444444444444443</v>
      </c>
      <c r="K81" s="1">
        <v>9.0</v>
      </c>
      <c r="L81" s="1">
        <v>11.7</v>
      </c>
    </row>
    <row r="82">
      <c r="A82" s="1">
        <v>489439.0</v>
      </c>
      <c r="B82" s="2" t="s">
        <v>172</v>
      </c>
      <c r="C82" s="1" t="s">
        <v>173</v>
      </c>
      <c r="D82" s="1">
        <v>8.0</v>
      </c>
      <c r="E82" s="3">
        <v>40148.39444444444</v>
      </c>
      <c r="F82" s="1">
        <v>1.65</v>
      </c>
      <c r="G82" s="1">
        <v>12682.0</v>
      </c>
      <c r="H82" s="1" t="s">
        <v>155</v>
      </c>
      <c r="I82" s="4">
        <v>40148.0</v>
      </c>
      <c r="J82" s="5">
        <v>0.39444444444444443</v>
      </c>
      <c r="K82" s="1">
        <v>9.0</v>
      </c>
      <c r="L82" s="1">
        <v>13.2</v>
      </c>
    </row>
    <row r="83">
      <c r="A83" s="1">
        <v>489439.0</v>
      </c>
      <c r="B83" s="2" t="s">
        <v>174</v>
      </c>
      <c r="C83" s="1" t="s">
        <v>175</v>
      </c>
      <c r="D83" s="1">
        <v>12.0</v>
      </c>
      <c r="E83" s="3">
        <v>40148.39444444444</v>
      </c>
      <c r="F83" s="1">
        <v>0.65</v>
      </c>
      <c r="G83" s="1">
        <v>12682.0</v>
      </c>
      <c r="H83" s="1" t="s">
        <v>155</v>
      </c>
      <c r="I83" s="4">
        <v>40148.0</v>
      </c>
      <c r="J83" s="5">
        <v>0.39444444444444443</v>
      </c>
      <c r="K83" s="1">
        <v>9.0</v>
      </c>
      <c r="L83" s="1">
        <v>7.8</v>
      </c>
    </row>
    <row r="84">
      <c r="A84" s="1">
        <v>489439.0</v>
      </c>
      <c r="B84" s="2" t="s">
        <v>176</v>
      </c>
      <c r="C84" s="1" t="s">
        <v>177</v>
      </c>
      <c r="D84" s="1">
        <v>12.0</v>
      </c>
      <c r="E84" s="3">
        <v>40148.39444444444</v>
      </c>
      <c r="F84" s="1">
        <v>0.85</v>
      </c>
      <c r="G84" s="1">
        <v>12682.0</v>
      </c>
      <c r="H84" s="1" t="s">
        <v>155</v>
      </c>
      <c r="I84" s="4">
        <v>40148.0</v>
      </c>
      <c r="J84" s="5">
        <v>0.39444444444444443</v>
      </c>
      <c r="K84" s="1">
        <v>9.0</v>
      </c>
      <c r="L84" s="1">
        <v>10.2</v>
      </c>
    </row>
    <row r="85">
      <c r="A85" s="1">
        <v>489439.0</v>
      </c>
      <c r="B85" s="2" t="s">
        <v>79</v>
      </c>
      <c r="C85" s="1" t="s">
        <v>80</v>
      </c>
      <c r="D85" s="1">
        <v>24.0</v>
      </c>
      <c r="E85" s="3">
        <v>40148.39444444444</v>
      </c>
      <c r="F85" s="1">
        <v>0.85</v>
      </c>
      <c r="G85" s="1">
        <v>12682.0</v>
      </c>
      <c r="H85" s="1" t="s">
        <v>155</v>
      </c>
      <c r="I85" s="4">
        <v>40148.0</v>
      </c>
      <c r="J85" s="5">
        <v>0.39444444444444443</v>
      </c>
      <c r="K85" s="1">
        <v>9.0</v>
      </c>
      <c r="L85" s="1">
        <v>20.4</v>
      </c>
    </row>
    <row r="86">
      <c r="A86" s="1">
        <v>489439.0</v>
      </c>
      <c r="B86" s="2" t="s">
        <v>23</v>
      </c>
      <c r="C86" s="1" t="s">
        <v>24</v>
      </c>
      <c r="D86" s="1">
        <v>12.0</v>
      </c>
      <c r="E86" s="3">
        <v>40148.39444444444</v>
      </c>
      <c r="F86" s="1">
        <v>1.65</v>
      </c>
      <c r="G86" s="1">
        <v>12682.0</v>
      </c>
      <c r="H86" s="1" t="s">
        <v>155</v>
      </c>
      <c r="I86" s="4">
        <v>40148.0</v>
      </c>
      <c r="J86" s="5">
        <v>0.39444444444444443</v>
      </c>
      <c r="K86" s="1">
        <v>9.0</v>
      </c>
      <c r="L86" s="1">
        <v>19.7999999999999</v>
      </c>
    </row>
    <row r="87">
      <c r="A87" s="1">
        <v>489439.0</v>
      </c>
      <c r="B87" s="2" t="s">
        <v>178</v>
      </c>
      <c r="C87" s="1" t="s">
        <v>179</v>
      </c>
      <c r="D87" s="1">
        <v>24.0</v>
      </c>
      <c r="E87" s="3">
        <v>40148.39444444444</v>
      </c>
      <c r="F87" s="1">
        <v>1.65</v>
      </c>
      <c r="G87" s="1">
        <v>12682.0</v>
      </c>
      <c r="H87" s="1" t="s">
        <v>155</v>
      </c>
      <c r="I87" s="4">
        <v>40148.0</v>
      </c>
      <c r="J87" s="5">
        <v>0.39444444444444443</v>
      </c>
      <c r="K87" s="1">
        <v>9.0</v>
      </c>
      <c r="L87" s="1">
        <v>39.5999999999999</v>
      </c>
    </row>
    <row r="88">
      <c r="A88" s="1">
        <v>489439.0</v>
      </c>
      <c r="B88" s="2" t="s">
        <v>180</v>
      </c>
      <c r="C88" s="1" t="s">
        <v>181</v>
      </c>
      <c r="D88" s="1">
        <v>6.0</v>
      </c>
      <c r="E88" s="3">
        <v>40148.39444444444</v>
      </c>
      <c r="F88" s="1">
        <v>4.95</v>
      </c>
      <c r="G88" s="1">
        <v>12682.0</v>
      </c>
      <c r="H88" s="1" t="s">
        <v>155</v>
      </c>
      <c r="I88" s="4">
        <v>40148.0</v>
      </c>
      <c r="J88" s="5">
        <v>0.39444444444444443</v>
      </c>
      <c r="K88" s="1">
        <v>9.0</v>
      </c>
      <c r="L88" s="1">
        <v>29.7</v>
      </c>
    </row>
    <row r="89">
      <c r="A89" s="1">
        <v>489439.0</v>
      </c>
      <c r="B89" s="2" t="s">
        <v>182</v>
      </c>
      <c r="C89" s="1" t="s">
        <v>183</v>
      </c>
      <c r="D89" s="1">
        <v>12.0</v>
      </c>
      <c r="E89" s="3">
        <v>40148.39444444444</v>
      </c>
      <c r="F89" s="1">
        <v>0.85</v>
      </c>
      <c r="G89" s="1">
        <v>12682.0</v>
      </c>
      <c r="H89" s="1" t="s">
        <v>155</v>
      </c>
      <c r="I89" s="4">
        <v>40148.0</v>
      </c>
      <c r="J89" s="5">
        <v>0.39444444444444443</v>
      </c>
      <c r="K89" s="1">
        <v>9.0</v>
      </c>
      <c r="L89" s="1">
        <v>10.2</v>
      </c>
    </row>
    <row r="90">
      <c r="A90" s="1">
        <v>489439.0</v>
      </c>
      <c r="B90" s="2" t="s">
        <v>184</v>
      </c>
      <c r="C90" s="1" t="s">
        <v>185</v>
      </c>
      <c r="D90" s="1">
        <v>2.0</v>
      </c>
      <c r="E90" s="3">
        <v>40148.39444444444</v>
      </c>
      <c r="F90" s="1">
        <v>7.95</v>
      </c>
      <c r="G90" s="1">
        <v>12682.0</v>
      </c>
      <c r="H90" s="1" t="s">
        <v>155</v>
      </c>
      <c r="I90" s="4">
        <v>40148.0</v>
      </c>
      <c r="J90" s="5">
        <v>0.39444444444444443</v>
      </c>
      <c r="K90" s="1">
        <v>9.0</v>
      </c>
      <c r="L90" s="1">
        <v>15.9</v>
      </c>
    </row>
    <row r="91">
      <c r="A91" s="1">
        <v>489439.0</v>
      </c>
      <c r="B91" s="2" t="s">
        <v>186</v>
      </c>
      <c r="C91" s="1" t="s">
        <v>187</v>
      </c>
      <c r="D91" s="1">
        <v>3.0</v>
      </c>
      <c r="E91" s="3">
        <v>40148.39444444444</v>
      </c>
      <c r="F91" s="1">
        <v>18.0</v>
      </c>
      <c r="G91" s="1">
        <v>12682.0</v>
      </c>
      <c r="H91" s="1" t="s">
        <v>155</v>
      </c>
      <c r="I91" s="4">
        <v>40148.0</v>
      </c>
      <c r="J91" s="5">
        <v>0.39444444444444443</v>
      </c>
      <c r="K91" s="1">
        <v>9.0</v>
      </c>
      <c r="L91" s="1">
        <v>54.0</v>
      </c>
    </row>
    <row r="92">
      <c r="A92" s="1">
        <v>489440.0</v>
      </c>
      <c r="B92" s="2" t="s">
        <v>29</v>
      </c>
      <c r="C92" s="1" t="s">
        <v>30</v>
      </c>
      <c r="D92" s="1">
        <v>8.0</v>
      </c>
      <c r="E92" s="3">
        <v>40148.404861111114</v>
      </c>
      <c r="F92" s="1">
        <v>2.55</v>
      </c>
      <c r="G92" s="1">
        <v>18087.0</v>
      </c>
      <c r="H92" s="1" t="s">
        <v>14</v>
      </c>
      <c r="I92" s="4">
        <v>40148.0</v>
      </c>
      <c r="J92" s="5">
        <v>0.4048611111111111</v>
      </c>
      <c r="K92" s="1">
        <v>9.0</v>
      </c>
      <c r="L92" s="1">
        <v>20.4</v>
      </c>
    </row>
    <row r="93">
      <c r="A93" s="1">
        <v>489440.0</v>
      </c>
      <c r="B93" s="2" t="s">
        <v>31</v>
      </c>
      <c r="C93" s="1" t="s">
        <v>32</v>
      </c>
      <c r="D93" s="1">
        <v>8.0</v>
      </c>
      <c r="E93" s="3">
        <v>40148.404861111114</v>
      </c>
      <c r="F93" s="1">
        <v>3.75</v>
      </c>
      <c r="G93" s="1">
        <v>18087.0</v>
      </c>
      <c r="H93" s="1" t="s">
        <v>14</v>
      </c>
      <c r="I93" s="4">
        <v>40148.0</v>
      </c>
      <c r="J93" s="5">
        <v>0.4048611111111111</v>
      </c>
      <c r="K93" s="1">
        <v>9.0</v>
      </c>
      <c r="L93" s="1">
        <v>30.0</v>
      </c>
    </row>
    <row r="94">
      <c r="A94" s="1">
        <v>489441.0</v>
      </c>
      <c r="B94" s="2" t="s">
        <v>188</v>
      </c>
      <c r="C94" s="1" t="s">
        <v>189</v>
      </c>
      <c r="D94" s="1">
        <v>12.0</v>
      </c>
      <c r="E94" s="3">
        <v>40148.40555555555</v>
      </c>
      <c r="F94" s="1">
        <v>0.72</v>
      </c>
      <c r="G94" s="1">
        <v>18087.0</v>
      </c>
      <c r="H94" s="1" t="s">
        <v>14</v>
      </c>
      <c r="I94" s="4">
        <v>40148.0</v>
      </c>
      <c r="J94" s="5">
        <v>0.40555555555555556</v>
      </c>
      <c r="K94" s="1">
        <v>9.0</v>
      </c>
      <c r="L94" s="1">
        <v>8.64</v>
      </c>
    </row>
    <row r="95">
      <c r="A95" s="1">
        <v>489441.0</v>
      </c>
      <c r="B95" s="2" t="s">
        <v>156</v>
      </c>
      <c r="C95" s="1" t="s">
        <v>157</v>
      </c>
      <c r="D95" s="1">
        <v>6.0</v>
      </c>
      <c r="E95" s="3">
        <v>40148.40555555555</v>
      </c>
      <c r="F95" s="1">
        <v>4.25</v>
      </c>
      <c r="G95" s="1">
        <v>18087.0</v>
      </c>
      <c r="H95" s="1" t="s">
        <v>14</v>
      </c>
      <c r="I95" s="4">
        <v>40148.0</v>
      </c>
      <c r="J95" s="5">
        <v>0.40555555555555556</v>
      </c>
      <c r="K95" s="1">
        <v>9.0</v>
      </c>
      <c r="L95" s="1">
        <v>25.5</v>
      </c>
    </row>
    <row r="96">
      <c r="A96" s="1">
        <v>489441.0</v>
      </c>
      <c r="B96" s="2" t="s">
        <v>190</v>
      </c>
      <c r="C96" s="1" t="s">
        <v>191</v>
      </c>
      <c r="D96" s="1">
        <v>36.0</v>
      </c>
      <c r="E96" s="3">
        <v>40148.40555555555</v>
      </c>
      <c r="F96" s="1">
        <v>2.95</v>
      </c>
      <c r="G96" s="1">
        <v>18087.0</v>
      </c>
      <c r="H96" s="1" t="s">
        <v>14</v>
      </c>
      <c r="I96" s="4">
        <v>40148.0</v>
      </c>
      <c r="J96" s="5">
        <v>0.40555555555555556</v>
      </c>
      <c r="K96" s="1">
        <v>9.0</v>
      </c>
      <c r="L96" s="1">
        <v>106.2</v>
      </c>
    </row>
    <row r="97">
      <c r="A97" s="1">
        <v>489441.0</v>
      </c>
      <c r="B97" s="2" t="s">
        <v>73</v>
      </c>
      <c r="C97" s="1" t="s">
        <v>74</v>
      </c>
      <c r="D97" s="1">
        <v>48.0</v>
      </c>
      <c r="E97" s="3">
        <v>40148.40555555555</v>
      </c>
      <c r="F97" s="1">
        <v>4.25</v>
      </c>
      <c r="G97" s="1">
        <v>18087.0</v>
      </c>
      <c r="H97" s="1" t="s">
        <v>14</v>
      </c>
      <c r="I97" s="4">
        <v>40148.0</v>
      </c>
      <c r="J97" s="5">
        <v>0.40555555555555556</v>
      </c>
      <c r="K97" s="1">
        <v>9.0</v>
      </c>
      <c r="L97" s="1">
        <v>204.0</v>
      </c>
    </row>
    <row r="98">
      <c r="A98" s="1">
        <v>489442.0</v>
      </c>
      <c r="B98" s="2" t="s">
        <v>192</v>
      </c>
      <c r="C98" s="1" t="s">
        <v>193</v>
      </c>
      <c r="D98" s="1">
        <v>2.0</v>
      </c>
      <c r="E98" s="3">
        <v>40148.40694444445</v>
      </c>
      <c r="F98" s="1">
        <v>6.75</v>
      </c>
      <c r="G98" s="1">
        <v>13635.0</v>
      </c>
      <c r="H98" s="1" t="s">
        <v>14</v>
      </c>
      <c r="I98" s="4">
        <v>40148.0</v>
      </c>
      <c r="J98" s="5">
        <v>0.40694444444444444</v>
      </c>
      <c r="K98" s="1">
        <v>9.0</v>
      </c>
      <c r="L98" s="1">
        <v>13.5</v>
      </c>
    </row>
    <row r="99">
      <c r="A99" s="1">
        <v>489442.0</v>
      </c>
      <c r="B99" s="2" t="s">
        <v>73</v>
      </c>
      <c r="C99" s="1" t="s">
        <v>74</v>
      </c>
      <c r="D99" s="1">
        <v>3.0</v>
      </c>
      <c r="E99" s="3">
        <v>40148.40694444445</v>
      </c>
      <c r="F99" s="1">
        <v>4.95</v>
      </c>
      <c r="G99" s="1">
        <v>13635.0</v>
      </c>
      <c r="H99" s="1" t="s">
        <v>14</v>
      </c>
      <c r="I99" s="4">
        <v>40148.0</v>
      </c>
      <c r="J99" s="5">
        <v>0.40694444444444444</v>
      </c>
      <c r="K99" s="1">
        <v>9.0</v>
      </c>
      <c r="L99" s="1">
        <v>14.85</v>
      </c>
    </row>
    <row r="100">
      <c r="A100" s="1">
        <v>489442.0</v>
      </c>
      <c r="B100" s="2" t="s">
        <v>49</v>
      </c>
      <c r="C100" s="1" t="s">
        <v>50</v>
      </c>
      <c r="D100" s="1">
        <v>12.0</v>
      </c>
      <c r="E100" s="3">
        <v>40148.40694444445</v>
      </c>
      <c r="F100" s="1">
        <v>1.65</v>
      </c>
      <c r="G100" s="1">
        <v>13635.0</v>
      </c>
      <c r="H100" s="1" t="s">
        <v>14</v>
      </c>
      <c r="I100" s="4">
        <v>40148.0</v>
      </c>
      <c r="J100" s="5">
        <v>0.40694444444444444</v>
      </c>
      <c r="K100" s="1">
        <v>9.0</v>
      </c>
      <c r="L100" s="1">
        <v>19.7999999999999</v>
      </c>
    </row>
    <row r="101">
      <c r="A101" s="1">
        <v>489442.0</v>
      </c>
      <c r="B101" s="2" t="s">
        <v>194</v>
      </c>
      <c r="C101" s="1" t="s">
        <v>195</v>
      </c>
      <c r="D101" s="1">
        <v>12.0</v>
      </c>
      <c r="E101" s="3">
        <v>40148.40694444445</v>
      </c>
      <c r="F101" s="1">
        <v>1.25</v>
      </c>
      <c r="G101" s="1">
        <v>13635.0</v>
      </c>
      <c r="H101" s="1" t="s">
        <v>14</v>
      </c>
      <c r="I101" s="4">
        <v>40148.0</v>
      </c>
      <c r="J101" s="5">
        <v>0.40694444444444444</v>
      </c>
      <c r="K101" s="1">
        <v>9.0</v>
      </c>
      <c r="L101" s="1">
        <v>15.0</v>
      </c>
    </row>
    <row r="102">
      <c r="A102" s="1">
        <v>489442.0</v>
      </c>
      <c r="B102" s="2" t="s">
        <v>109</v>
      </c>
      <c r="C102" s="1" t="s">
        <v>110</v>
      </c>
      <c r="D102" s="1">
        <v>6.0</v>
      </c>
      <c r="E102" s="3">
        <v>40148.40694444445</v>
      </c>
      <c r="F102" s="1">
        <v>2.95</v>
      </c>
      <c r="G102" s="1">
        <v>13635.0</v>
      </c>
      <c r="H102" s="1" t="s">
        <v>14</v>
      </c>
      <c r="I102" s="4">
        <v>40148.0</v>
      </c>
      <c r="J102" s="5">
        <v>0.40694444444444444</v>
      </c>
      <c r="K102" s="1">
        <v>9.0</v>
      </c>
      <c r="L102" s="1">
        <v>17.7</v>
      </c>
    </row>
    <row r="103">
      <c r="A103" s="1">
        <v>489442.0</v>
      </c>
      <c r="B103" s="2" t="s">
        <v>111</v>
      </c>
      <c r="C103" s="1" t="s">
        <v>112</v>
      </c>
      <c r="D103" s="1">
        <v>6.0</v>
      </c>
      <c r="E103" s="3">
        <v>40148.40694444445</v>
      </c>
      <c r="F103" s="1">
        <v>2.95</v>
      </c>
      <c r="G103" s="1">
        <v>13635.0</v>
      </c>
      <c r="H103" s="1" t="s">
        <v>14</v>
      </c>
      <c r="I103" s="4">
        <v>40148.0</v>
      </c>
      <c r="J103" s="5">
        <v>0.40694444444444444</v>
      </c>
      <c r="K103" s="1">
        <v>9.0</v>
      </c>
      <c r="L103" s="1">
        <v>17.7</v>
      </c>
    </row>
    <row r="104">
      <c r="A104" s="1">
        <v>489442.0</v>
      </c>
      <c r="B104" s="2" t="s">
        <v>196</v>
      </c>
      <c r="C104" s="1" t="s">
        <v>197</v>
      </c>
      <c r="D104" s="1">
        <v>6.0</v>
      </c>
      <c r="E104" s="3">
        <v>40148.40694444445</v>
      </c>
      <c r="F104" s="1">
        <v>2.95</v>
      </c>
      <c r="G104" s="1">
        <v>13635.0</v>
      </c>
      <c r="H104" s="1" t="s">
        <v>14</v>
      </c>
      <c r="I104" s="4">
        <v>40148.0</v>
      </c>
      <c r="J104" s="5">
        <v>0.40694444444444444</v>
      </c>
      <c r="K104" s="1">
        <v>9.0</v>
      </c>
      <c r="L104" s="1">
        <v>17.7</v>
      </c>
    </row>
    <row r="105">
      <c r="A105" s="1">
        <v>489442.0</v>
      </c>
      <c r="B105" s="2" t="s">
        <v>198</v>
      </c>
      <c r="C105" s="1" t="s">
        <v>199</v>
      </c>
      <c r="D105" s="1">
        <v>20.0</v>
      </c>
      <c r="E105" s="3">
        <v>40148.40694444445</v>
      </c>
      <c r="F105" s="1">
        <v>1.65</v>
      </c>
      <c r="G105" s="1">
        <v>13635.0</v>
      </c>
      <c r="H105" s="1" t="s">
        <v>14</v>
      </c>
      <c r="I105" s="4">
        <v>40148.0</v>
      </c>
      <c r="J105" s="5">
        <v>0.40694444444444444</v>
      </c>
      <c r="K105" s="1">
        <v>9.0</v>
      </c>
      <c r="L105" s="1">
        <v>33.0</v>
      </c>
    </row>
    <row r="106">
      <c r="A106" s="1">
        <v>489442.0</v>
      </c>
      <c r="B106" s="2" t="s">
        <v>200</v>
      </c>
      <c r="C106" s="1" t="s">
        <v>201</v>
      </c>
      <c r="D106" s="1">
        <v>12.0</v>
      </c>
      <c r="E106" s="3">
        <v>40148.40694444445</v>
      </c>
      <c r="F106" s="1">
        <v>2.55</v>
      </c>
      <c r="G106" s="1">
        <v>13635.0</v>
      </c>
      <c r="H106" s="1" t="s">
        <v>14</v>
      </c>
      <c r="I106" s="4">
        <v>40148.0</v>
      </c>
      <c r="J106" s="5">
        <v>0.40694444444444444</v>
      </c>
      <c r="K106" s="1">
        <v>9.0</v>
      </c>
      <c r="L106" s="1">
        <v>30.5999999999999</v>
      </c>
    </row>
    <row r="107">
      <c r="A107" s="1">
        <v>489442.0</v>
      </c>
      <c r="B107" s="2" t="s">
        <v>202</v>
      </c>
      <c r="C107" s="1" t="s">
        <v>203</v>
      </c>
      <c r="D107" s="1">
        <v>48.0</v>
      </c>
      <c r="E107" s="3">
        <v>40148.40694444445</v>
      </c>
      <c r="F107" s="1">
        <v>1.25</v>
      </c>
      <c r="G107" s="1">
        <v>13635.0</v>
      </c>
      <c r="H107" s="1" t="s">
        <v>14</v>
      </c>
      <c r="I107" s="4">
        <v>40148.0</v>
      </c>
      <c r="J107" s="5">
        <v>0.40694444444444444</v>
      </c>
      <c r="K107" s="1">
        <v>9.0</v>
      </c>
      <c r="L107" s="1">
        <v>60.0</v>
      </c>
    </row>
    <row r="108">
      <c r="A108" s="1">
        <v>489442.0</v>
      </c>
      <c r="B108" s="2" t="s">
        <v>204</v>
      </c>
      <c r="C108" s="1" t="s">
        <v>205</v>
      </c>
      <c r="D108" s="1">
        <v>12.0</v>
      </c>
      <c r="E108" s="3">
        <v>40148.40694444445</v>
      </c>
      <c r="F108" s="1">
        <v>1.25</v>
      </c>
      <c r="G108" s="1">
        <v>13635.0</v>
      </c>
      <c r="H108" s="1" t="s">
        <v>14</v>
      </c>
      <c r="I108" s="4">
        <v>40148.0</v>
      </c>
      <c r="J108" s="5">
        <v>0.40694444444444444</v>
      </c>
      <c r="K108" s="1">
        <v>9.0</v>
      </c>
      <c r="L108" s="1">
        <v>15.0</v>
      </c>
    </row>
    <row r="109">
      <c r="A109" s="1">
        <v>489442.0</v>
      </c>
      <c r="B109" s="2" t="s">
        <v>206</v>
      </c>
      <c r="C109" s="1" t="s">
        <v>207</v>
      </c>
      <c r="D109" s="1">
        <v>12.0</v>
      </c>
      <c r="E109" s="3">
        <v>40148.40694444445</v>
      </c>
      <c r="F109" s="1">
        <v>0.42</v>
      </c>
      <c r="G109" s="1">
        <v>13635.0</v>
      </c>
      <c r="H109" s="1" t="s">
        <v>14</v>
      </c>
      <c r="I109" s="4">
        <v>40148.0</v>
      </c>
      <c r="J109" s="5">
        <v>0.40694444444444444</v>
      </c>
      <c r="K109" s="1">
        <v>9.0</v>
      </c>
      <c r="L109" s="1">
        <v>5.04</v>
      </c>
    </row>
    <row r="110">
      <c r="A110" s="1">
        <v>489442.0</v>
      </c>
      <c r="B110" s="2" t="s">
        <v>208</v>
      </c>
      <c r="C110" s="1" t="s">
        <v>209</v>
      </c>
      <c r="D110" s="1">
        <v>12.0</v>
      </c>
      <c r="E110" s="3">
        <v>40148.40694444445</v>
      </c>
      <c r="F110" s="1">
        <v>0.42</v>
      </c>
      <c r="G110" s="1">
        <v>13635.0</v>
      </c>
      <c r="H110" s="1" t="s">
        <v>14</v>
      </c>
      <c r="I110" s="4">
        <v>40148.0</v>
      </c>
      <c r="J110" s="5">
        <v>0.40694444444444444</v>
      </c>
      <c r="K110" s="1">
        <v>9.0</v>
      </c>
      <c r="L110" s="1">
        <v>5.04</v>
      </c>
    </row>
    <row r="111">
      <c r="A111" s="1">
        <v>489442.0</v>
      </c>
      <c r="B111" s="2" t="s">
        <v>210</v>
      </c>
      <c r="C111" s="1" t="s">
        <v>211</v>
      </c>
      <c r="D111" s="1">
        <v>12.0</v>
      </c>
      <c r="E111" s="3">
        <v>40148.40694444445</v>
      </c>
      <c r="F111" s="1">
        <v>0.42</v>
      </c>
      <c r="G111" s="1">
        <v>13635.0</v>
      </c>
      <c r="H111" s="1" t="s">
        <v>14</v>
      </c>
      <c r="I111" s="4">
        <v>40148.0</v>
      </c>
      <c r="J111" s="5">
        <v>0.40694444444444444</v>
      </c>
      <c r="K111" s="1">
        <v>9.0</v>
      </c>
      <c r="L111" s="1">
        <v>5.04</v>
      </c>
    </row>
    <row r="112">
      <c r="A112" s="1">
        <v>489442.0</v>
      </c>
      <c r="B112" s="2" t="s">
        <v>212</v>
      </c>
      <c r="C112" s="1" t="s">
        <v>213</v>
      </c>
      <c r="D112" s="1">
        <v>12.0</v>
      </c>
      <c r="E112" s="3">
        <v>40148.40694444445</v>
      </c>
      <c r="F112" s="1">
        <v>0.42</v>
      </c>
      <c r="G112" s="1">
        <v>13635.0</v>
      </c>
      <c r="H112" s="1" t="s">
        <v>14</v>
      </c>
      <c r="I112" s="4">
        <v>40148.0</v>
      </c>
      <c r="J112" s="5">
        <v>0.40694444444444444</v>
      </c>
      <c r="K112" s="1">
        <v>9.0</v>
      </c>
      <c r="L112" s="1">
        <v>5.04</v>
      </c>
    </row>
    <row r="113">
      <c r="A113" s="1">
        <v>489442.0</v>
      </c>
      <c r="B113" s="2" t="s">
        <v>214</v>
      </c>
      <c r="C113" s="1" t="s">
        <v>215</v>
      </c>
      <c r="D113" s="1">
        <v>12.0</v>
      </c>
      <c r="E113" s="3">
        <v>40148.40694444445</v>
      </c>
      <c r="F113" s="1">
        <v>0.42</v>
      </c>
      <c r="G113" s="1">
        <v>13635.0</v>
      </c>
      <c r="H113" s="1" t="s">
        <v>14</v>
      </c>
      <c r="I113" s="4">
        <v>40148.0</v>
      </c>
      <c r="J113" s="5">
        <v>0.40694444444444444</v>
      </c>
      <c r="K113" s="1">
        <v>9.0</v>
      </c>
      <c r="L113" s="1">
        <v>5.04</v>
      </c>
    </row>
    <row r="114">
      <c r="A114" s="1">
        <v>489442.0</v>
      </c>
      <c r="B114" s="2" t="s">
        <v>216</v>
      </c>
      <c r="C114" s="1" t="s">
        <v>217</v>
      </c>
      <c r="D114" s="1">
        <v>12.0</v>
      </c>
      <c r="E114" s="3">
        <v>40148.40694444445</v>
      </c>
      <c r="F114" s="1">
        <v>0.42</v>
      </c>
      <c r="G114" s="1">
        <v>13635.0</v>
      </c>
      <c r="H114" s="1" t="s">
        <v>14</v>
      </c>
      <c r="I114" s="4">
        <v>40148.0</v>
      </c>
      <c r="J114" s="5">
        <v>0.40694444444444444</v>
      </c>
      <c r="K114" s="1">
        <v>9.0</v>
      </c>
      <c r="L114" s="1">
        <v>5.04</v>
      </c>
    </row>
    <row r="115">
      <c r="A115" s="1">
        <v>489442.0</v>
      </c>
      <c r="B115" s="2" t="s">
        <v>218</v>
      </c>
      <c r="C115" s="1" t="s">
        <v>219</v>
      </c>
      <c r="D115" s="1">
        <v>4.0</v>
      </c>
      <c r="E115" s="3">
        <v>40148.40694444445</v>
      </c>
      <c r="F115" s="1">
        <v>4.25</v>
      </c>
      <c r="G115" s="1">
        <v>13635.0</v>
      </c>
      <c r="H115" s="1" t="s">
        <v>14</v>
      </c>
      <c r="I115" s="4">
        <v>40148.0</v>
      </c>
      <c r="J115" s="5">
        <v>0.40694444444444444</v>
      </c>
      <c r="K115" s="1">
        <v>9.0</v>
      </c>
      <c r="L115" s="1">
        <v>17.0</v>
      </c>
    </row>
    <row r="116">
      <c r="A116" s="1">
        <v>489442.0</v>
      </c>
      <c r="B116" s="2" t="s">
        <v>220</v>
      </c>
      <c r="C116" s="1" t="s">
        <v>221</v>
      </c>
      <c r="D116" s="1">
        <v>4.0</v>
      </c>
      <c r="E116" s="3">
        <v>40148.40694444445</v>
      </c>
      <c r="F116" s="1">
        <v>3.75</v>
      </c>
      <c r="G116" s="1">
        <v>13635.0</v>
      </c>
      <c r="H116" s="1" t="s">
        <v>14</v>
      </c>
      <c r="I116" s="4">
        <v>40148.0</v>
      </c>
      <c r="J116" s="5">
        <v>0.40694444444444444</v>
      </c>
      <c r="K116" s="1">
        <v>9.0</v>
      </c>
      <c r="L116" s="1">
        <v>15.0</v>
      </c>
    </row>
    <row r="117">
      <c r="A117" s="1">
        <v>489442.0</v>
      </c>
      <c r="B117" s="2" t="s">
        <v>222</v>
      </c>
      <c r="C117" s="1" t="s">
        <v>223</v>
      </c>
      <c r="D117" s="1">
        <v>24.0</v>
      </c>
      <c r="E117" s="3">
        <v>40148.40694444445</v>
      </c>
      <c r="F117" s="1">
        <v>0.42</v>
      </c>
      <c r="G117" s="1">
        <v>13635.0</v>
      </c>
      <c r="H117" s="1" t="s">
        <v>14</v>
      </c>
      <c r="I117" s="4">
        <v>40148.0</v>
      </c>
      <c r="J117" s="5">
        <v>0.40694444444444444</v>
      </c>
      <c r="K117" s="1">
        <v>9.0</v>
      </c>
      <c r="L117" s="1">
        <v>10.08</v>
      </c>
    </row>
    <row r="118">
      <c r="A118" s="1">
        <v>489442.0</v>
      </c>
      <c r="B118" s="2" t="s">
        <v>224</v>
      </c>
      <c r="C118" s="1" t="s">
        <v>225</v>
      </c>
      <c r="D118" s="1">
        <v>12.0</v>
      </c>
      <c r="E118" s="3">
        <v>40148.40694444445</v>
      </c>
      <c r="F118" s="1">
        <v>0.85</v>
      </c>
      <c r="G118" s="1">
        <v>13635.0</v>
      </c>
      <c r="H118" s="1" t="s">
        <v>14</v>
      </c>
      <c r="I118" s="4">
        <v>40148.0</v>
      </c>
      <c r="J118" s="5">
        <v>0.40694444444444444</v>
      </c>
      <c r="K118" s="1">
        <v>9.0</v>
      </c>
      <c r="L118" s="1">
        <v>10.2</v>
      </c>
    </row>
    <row r="119">
      <c r="A119" s="1">
        <v>489442.0</v>
      </c>
      <c r="B119" s="2" t="s">
        <v>226</v>
      </c>
      <c r="C119" s="1" t="s">
        <v>227</v>
      </c>
      <c r="D119" s="1">
        <v>8.0</v>
      </c>
      <c r="E119" s="3">
        <v>40148.40694444445</v>
      </c>
      <c r="F119" s="1">
        <v>3.75</v>
      </c>
      <c r="G119" s="1">
        <v>13635.0</v>
      </c>
      <c r="H119" s="1" t="s">
        <v>14</v>
      </c>
      <c r="I119" s="4">
        <v>40148.0</v>
      </c>
      <c r="J119" s="5">
        <v>0.40694444444444444</v>
      </c>
      <c r="K119" s="1">
        <v>9.0</v>
      </c>
      <c r="L119" s="1">
        <v>30.0</v>
      </c>
    </row>
    <row r="120">
      <c r="A120" s="1">
        <v>489442.0</v>
      </c>
      <c r="B120" s="2" t="s">
        <v>228</v>
      </c>
      <c r="C120" s="1" t="s">
        <v>229</v>
      </c>
      <c r="D120" s="1">
        <v>12.0</v>
      </c>
      <c r="E120" s="3">
        <v>40148.40694444445</v>
      </c>
      <c r="F120" s="1">
        <v>1.25</v>
      </c>
      <c r="G120" s="1">
        <v>13635.0</v>
      </c>
      <c r="H120" s="1" t="s">
        <v>14</v>
      </c>
      <c r="I120" s="4">
        <v>40148.0</v>
      </c>
      <c r="J120" s="5">
        <v>0.40694444444444444</v>
      </c>
      <c r="K120" s="1">
        <v>9.0</v>
      </c>
      <c r="L120" s="1">
        <v>15.0</v>
      </c>
    </row>
    <row r="121">
      <c r="A121" s="1">
        <v>489443.0</v>
      </c>
      <c r="B121" s="2" t="s">
        <v>230</v>
      </c>
      <c r="C121" s="1" t="s">
        <v>231</v>
      </c>
      <c r="D121" s="1">
        <v>6.0</v>
      </c>
      <c r="E121" s="3">
        <v>40148.40972222222</v>
      </c>
      <c r="F121" s="1">
        <v>2.1</v>
      </c>
      <c r="G121" s="1">
        <v>14110.0</v>
      </c>
      <c r="H121" s="1" t="s">
        <v>14</v>
      </c>
      <c r="I121" s="4">
        <v>40148.0</v>
      </c>
      <c r="J121" s="5">
        <v>0.4097222222222222</v>
      </c>
      <c r="K121" s="1">
        <v>9.0</v>
      </c>
      <c r="L121" s="1">
        <v>12.6</v>
      </c>
    </row>
    <row r="122">
      <c r="A122" s="1">
        <v>489443.0</v>
      </c>
      <c r="B122" s="2" t="s">
        <v>232</v>
      </c>
      <c r="C122" s="1" t="s">
        <v>233</v>
      </c>
      <c r="D122" s="1">
        <v>12.0</v>
      </c>
      <c r="E122" s="3">
        <v>40148.40972222222</v>
      </c>
      <c r="F122" s="1">
        <v>2.95</v>
      </c>
      <c r="G122" s="1">
        <v>14110.0</v>
      </c>
      <c r="H122" s="1" t="s">
        <v>14</v>
      </c>
      <c r="I122" s="4">
        <v>40148.0</v>
      </c>
      <c r="J122" s="5">
        <v>0.4097222222222222</v>
      </c>
      <c r="K122" s="1">
        <v>9.0</v>
      </c>
      <c r="L122" s="1">
        <v>35.4</v>
      </c>
    </row>
    <row r="123">
      <c r="A123" s="1">
        <v>489443.0</v>
      </c>
      <c r="B123" s="2" t="s">
        <v>19</v>
      </c>
      <c r="C123" s="1" t="s">
        <v>20</v>
      </c>
      <c r="D123" s="1">
        <v>48.0</v>
      </c>
      <c r="E123" s="3">
        <v>40148.40972222222</v>
      </c>
      <c r="F123" s="1">
        <v>2.1</v>
      </c>
      <c r="G123" s="1">
        <v>14110.0</v>
      </c>
      <c r="H123" s="1" t="s">
        <v>14</v>
      </c>
      <c r="I123" s="4">
        <v>40148.0</v>
      </c>
      <c r="J123" s="5">
        <v>0.4097222222222222</v>
      </c>
      <c r="K123" s="1">
        <v>9.0</v>
      </c>
      <c r="L123" s="1">
        <v>100.8</v>
      </c>
    </row>
    <row r="124">
      <c r="A124" s="1">
        <v>489443.0</v>
      </c>
      <c r="B124" s="2" t="s">
        <v>234</v>
      </c>
      <c r="C124" s="1" t="s">
        <v>235</v>
      </c>
      <c r="D124" s="1">
        <v>24.0</v>
      </c>
      <c r="E124" s="3">
        <v>40148.40972222222</v>
      </c>
      <c r="F124" s="1">
        <v>3.39</v>
      </c>
      <c r="G124" s="1">
        <v>14110.0</v>
      </c>
      <c r="H124" s="1" t="s">
        <v>14</v>
      </c>
      <c r="I124" s="4">
        <v>40148.0</v>
      </c>
      <c r="J124" s="5">
        <v>0.4097222222222222</v>
      </c>
      <c r="K124" s="1">
        <v>9.0</v>
      </c>
      <c r="L124" s="1">
        <v>81.36</v>
      </c>
    </row>
    <row r="125">
      <c r="A125" s="1">
        <v>489443.0</v>
      </c>
      <c r="B125" s="2" t="s">
        <v>236</v>
      </c>
      <c r="C125" s="1" t="s">
        <v>237</v>
      </c>
      <c r="D125" s="1">
        <v>12.0</v>
      </c>
      <c r="E125" s="3">
        <v>40148.40972222222</v>
      </c>
      <c r="F125" s="1">
        <v>0.55</v>
      </c>
      <c r="G125" s="1">
        <v>14110.0</v>
      </c>
      <c r="H125" s="1" t="s">
        <v>14</v>
      </c>
      <c r="I125" s="4">
        <v>40148.0</v>
      </c>
      <c r="J125" s="5">
        <v>0.4097222222222222</v>
      </c>
      <c r="K125" s="1">
        <v>9.0</v>
      </c>
      <c r="L125" s="1">
        <v>6.6</v>
      </c>
    </row>
    <row r="126">
      <c r="A126" s="1">
        <v>489443.0</v>
      </c>
      <c r="B126" s="2" t="s">
        <v>238</v>
      </c>
      <c r="C126" s="1" t="s">
        <v>239</v>
      </c>
      <c r="D126" s="1">
        <v>12.0</v>
      </c>
      <c r="E126" s="3">
        <v>40148.40972222222</v>
      </c>
      <c r="F126" s="1">
        <v>2.55</v>
      </c>
      <c r="G126" s="1">
        <v>14110.0</v>
      </c>
      <c r="H126" s="1" t="s">
        <v>14</v>
      </c>
      <c r="I126" s="4">
        <v>40148.0</v>
      </c>
      <c r="J126" s="5">
        <v>0.4097222222222222</v>
      </c>
      <c r="K126" s="1">
        <v>9.0</v>
      </c>
      <c r="L126" s="1">
        <v>30.5999999999999</v>
      </c>
    </row>
    <row r="127">
      <c r="A127" s="1">
        <v>489443.0</v>
      </c>
      <c r="B127" s="2" t="s">
        <v>240</v>
      </c>
      <c r="C127" s="1" t="s">
        <v>241</v>
      </c>
      <c r="D127" s="1">
        <v>6.0</v>
      </c>
      <c r="E127" s="3">
        <v>40148.40972222222</v>
      </c>
      <c r="F127" s="1">
        <v>2.95</v>
      </c>
      <c r="G127" s="1">
        <v>14110.0</v>
      </c>
      <c r="H127" s="1" t="s">
        <v>14</v>
      </c>
      <c r="I127" s="4">
        <v>40148.0</v>
      </c>
      <c r="J127" s="5">
        <v>0.4097222222222222</v>
      </c>
      <c r="K127" s="1">
        <v>9.0</v>
      </c>
      <c r="L127" s="1">
        <v>17.7</v>
      </c>
    </row>
    <row r="128">
      <c r="A128" s="1">
        <v>489444.0</v>
      </c>
      <c r="B128" s="2" t="s">
        <v>186</v>
      </c>
      <c r="C128" s="1" t="s">
        <v>187</v>
      </c>
      <c r="D128" s="1">
        <v>1.0</v>
      </c>
      <c r="E128" s="3">
        <v>40148.413194444445</v>
      </c>
      <c r="F128" s="1">
        <v>141.0</v>
      </c>
      <c r="G128" s="1">
        <v>12636.0</v>
      </c>
      <c r="H128" s="1" t="s">
        <v>242</v>
      </c>
      <c r="I128" s="4">
        <v>40148.0</v>
      </c>
      <c r="J128" s="5">
        <v>0.4131944444444444</v>
      </c>
      <c r="K128" s="1">
        <v>9.0</v>
      </c>
      <c r="L128" s="1">
        <v>141.0</v>
      </c>
    </row>
    <row r="129">
      <c r="A129" s="1">
        <v>489445.0</v>
      </c>
      <c r="B129" s="2" t="s">
        <v>243</v>
      </c>
      <c r="C129" s="1" t="s">
        <v>244</v>
      </c>
      <c r="D129" s="1">
        <v>12.0</v>
      </c>
      <c r="E129" s="3">
        <v>40148.41458333333</v>
      </c>
      <c r="F129" s="1">
        <v>0.85</v>
      </c>
      <c r="G129" s="1">
        <v>17519.0</v>
      </c>
      <c r="H129" s="1" t="s">
        <v>14</v>
      </c>
      <c r="I129" s="4">
        <v>40148.0</v>
      </c>
      <c r="J129" s="5">
        <v>0.41458333333333336</v>
      </c>
      <c r="K129" s="1">
        <v>9.0</v>
      </c>
      <c r="L129" s="1">
        <v>10.2</v>
      </c>
    </row>
    <row r="130">
      <c r="A130" s="1">
        <v>489445.0</v>
      </c>
      <c r="B130" s="2" t="s">
        <v>245</v>
      </c>
      <c r="C130" s="1" t="s">
        <v>246</v>
      </c>
      <c r="D130" s="1">
        <v>12.0</v>
      </c>
      <c r="E130" s="3">
        <v>40148.41458333333</v>
      </c>
      <c r="F130" s="1">
        <v>0.85</v>
      </c>
      <c r="G130" s="1">
        <v>17519.0</v>
      </c>
      <c r="H130" s="1" t="s">
        <v>14</v>
      </c>
      <c r="I130" s="4">
        <v>40148.0</v>
      </c>
      <c r="J130" s="5">
        <v>0.41458333333333336</v>
      </c>
      <c r="K130" s="1">
        <v>9.0</v>
      </c>
      <c r="L130" s="1">
        <v>10.2</v>
      </c>
    </row>
    <row r="131">
      <c r="A131" s="1">
        <v>489445.0</v>
      </c>
      <c r="B131" s="2" t="s">
        <v>188</v>
      </c>
      <c r="C131" s="1" t="s">
        <v>189</v>
      </c>
      <c r="D131" s="1">
        <v>24.0</v>
      </c>
      <c r="E131" s="3">
        <v>40148.41458333333</v>
      </c>
      <c r="F131" s="1">
        <v>0.85</v>
      </c>
      <c r="G131" s="1">
        <v>17519.0</v>
      </c>
      <c r="H131" s="1" t="s">
        <v>14</v>
      </c>
      <c r="I131" s="4">
        <v>40148.0</v>
      </c>
      <c r="J131" s="5">
        <v>0.41458333333333336</v>
      </c>
      <c r="K131" s="1">
        <v>9.0</v>
      </c>
      <c r="L131" s="1">
        <v>20.4</v>
      </c>
    </row>
    <row r="132">
      <c r="A132" s="1">
        <v>489445.0</v>
      </c>
      <c r="B132" s="2" t="s">
        <v>79</v>
      </c>
      <c r="C132" s="1" t="s">
        <v>80</v>
      </c>
      <c r="D132" s="1">
        <v>12.0</v>
      </c>
      <c r="E132" s="3">
        <v>40148.41458333333</v>
      </c>
      <c r="F132" s="1">
        <v>0.85</v>
      </c>
      <c r="G132" s="1">
        <v>17519.0</v>
      </c>
      <c r="H132" s="1" t="s">
        <v>14</v>
      </c>
      <c r="I132" s="4">
        <v>40148.0</v>
      </c>
      <c r="J132" s="5">
        <v>0.41458333333333336</v>
      </c>
      <c r="K132" s="1">
        <v>9.0</v>
      </c>
      <c r="L132" s="1">
        <v>10.2</v>
      </c>
    </row>
    <row r="133">
      <c r="A133" s="1">
        <v>489445.0</v>
      </c>
      <c r="B133" s="2" t="s">
        <v>247</v>
      </c>
      <c r="C133" s="1" t="s">
        <v>248</v>
      </c>
      <c r="D133" s="1">
        <v>2.0</v>
      </c>
      <c r="E133" s="3">
        <v>40148.41458333333</v>
      </c>
      <c r="F133" s="1">
        <v>9.95</v>
      </c>
      <c r="G133" s="1">
        <v>17519.0</v>
      </c>
      <c r="H133" s="1" t="s">
        <v>14</v>
      </c>
      <c r="I133" s="4">
        <v>40148.0</v>
      </c>
      <c r="J133" s="5">
        <v>0.41458333333333336</v>
      </c>
      <c r="K133" s="1">
        <v>9.0</v>
      </c>
      <c r="L133" s="1">
        <v>19.9</v>
      </c>
    </row>
    <row r="134">
      <c r="A134" s="1">
        <v>489445.0</v>
      </c>
      <c r="B134" s="2" t="s">
        <v>249</v>
      </c>
      <c r="C134" s="1" t="s">
        <v>250</v>
      </c>
      <c r="D134" s="1">
        <v>12.0</v>
      </c>
      <c r="E134" s="3">
        <v>40148.41458333333</v>
      </c>
      <c r="F134" s="1">
        <v>1.25</v>
      </c>
      <c r="G134" s="1">
        <v>17519.0</v>
      </c>
      <c r="H134" s="1" t="s">
        <v>14</v>
      </c>
      <c r="I134" s="4">
        <v>40148.0</v>
      </c>
      <c r="J134" s="5">
        <v>0.41458333333333336</v>
      </c>
      <c r="K134" s="1">
        <v>9.0</v>
      </c>
      <c r="L134" s="1">
        <v>15.0</v>
      </c>
    </row>
    <row r="135">
      <c r="A135" s="1">
        <v>489445.0</v>
      </c>
      <c r="B135" s="2" t="s">
        <v>251</v>
      </c>
      <c r="C135" s="1" t="s">
        <v>252</v>
      </c>
      <c r="D135" s="1">
        <v>6.0</v>
      </c>
      <c r="E135" s="3">
        <v>40148.41458333333</v>
      </c>
      <c r="F135" s="1">
        <v>2.95</v>
      </c>
      <c r="G135" s="1">
        <v>17519.0</v>
      </c>
      <c r="H135" s="1" t="s">
        <v>14</v>
      </c>
      <c r="I135" s="4">
        <v>40148.0</v>
      </c>
      <c r="J135" s="5">
        <v>0.41458333333333336</v>
      </c>
      <c r="K135" s="1">
        <v>9.0</v>
      </c>
      <c r="L135" s="1">
        <v>17.7</v>
      </c>
    </row>
    <row r="136">
      <c r="A136" s="1">
        <v>489445.0</v>
      </c>
      <c r="B136" s="2" t="s">
        <v>253</v>
      </c>
      <c r="C136" s="1" t="s">
        <v>254</v>
      </c>
      <c r="D136" s="1">
        <v>48.0</v>
      </c>
      <c r="E136" s="3">
        <v>40148.41458333333</v>
      </c>
      <c r="F136" s="1">
        <v>0.38</v>
      </c>
      <c r="G136" s="1">
        <v>17519.0</v>
      </c>
      <c r="H136" s="1" t="s">
        <v>14</v>
      </c>
      <c r="I136" s="4">
        <v>40148.0</v>
      </c>
      <c r="J136" s="5">
        <v>0.41458333333333336</v>
      </c>
      <c r="K136" s="1">
        <v>9.0</v>
      </c>
      <c r="L136" s="1">
        <v>18.24</v>
      </c>
    </row>
    <row r="137">
      <c r="A137" s="1">
        <v>489445.0</v>
      </c>
      <c r="B137" s="2" t="s">
        <v>255</v>
      </c>
      <c r="C137" s="1" t="s">
        <v>256</v>
      </c>
      <c r="D137" s="1">
        <v>12.0</v>
      </c>
      <c r="E137" s="3">
        <v>40148.41458333333</v>
      </c>
      <c r="F137" s="1">
        <v>1.25</v>
      </c>
      <c r="G137" s="1">
        <v>17519.0</v>
      </c>
      <c r="H137" s="1" t="s">
        <v>14</v>
      </c>
      <c r="I137" s="4">
        <v>40148.0</v>
      </c>
      <c r="J137" s="5">
        <v>0.41458333333333336</v>
      </c>
      <c r="K137" s="1">
        <v>9.0</v>
      </c>
      <c r="L137" s="1">
        <v>15.0</v>
      </c>
    </row>
    <row r="138">
      <c r="A138" s="1">
        <v>489445.0</v>
      </c>
      <c r="B138" s="2" t="s">
        <v>257</v>
      </c>
      <c r="C138" s="1" t="s">
        <v>258</v>
      </c>
      <c r="D138" s="1">
        <v>12.0</v>
      </c>
      <c r="E138" s="3">
        <v>40148.41458333333</v>
      </c>
      <c r="F138" s="1">
        <v>1.45</v>
      </c>
      <c r="G138" s="1">
        <v>17519.0</v>
      </c>
      <c r="H138" s="1" t="s">
        <v>14</v>
      </c>
      <c r="I138" s="4">
        <v>40148.0</v>
      </c>
      <c r="J138" s="5">
        <v>0.41458333333333336</v>
      </c>
      <c r="K138" s="1">
        <v>9.0</v>
      </c>
      <c r="L138" s="1">
        <v>17.4</v>
      </c>
    </row>
    <row r="139">
      <c r="A139" s="1">
        <v>489445.0</v>
      </c>
      <c r="B139" s="2" t="s">
        <v>259</v>
      </c>
      <c r="C139" s="1" t="s">
        <v>260</v>
      </c>
      <c r="D139" s="1">
        <v>24.0</v>
      </c>
      <c r="E139" s="3">
        <v>40148.41458333333</v>
      </c>
      <c r="F139" s="1">
        <v>0.85</v>
      </c>
      <c r="G139" s="1">
        <v>17519.0</v>
      </c>
      <c r="H139" s="1" t="s">
        <v>14</v>
      </c>
      <c r="I139" s="4">
        <v>40148.0</v>
      </c>
      <c r="J139" s="5">
        <v>0.41458333333333336</v>
      </c>
      <c r="K139" s="1">
        <v>9.0</v>
      </c>
      <c r="L139" s="1">
        <v>20.4</v>
      </c>
    </row>
    <row r="140">
      <c r="A140" s="1">
        <v>489445.0</v>
      </c>
      <c r="B140" s="2" t="s">
        <v>261</v>
      </c>
      <c r="C140" s="1" t="s">
        <v>262</v>
      </c>
      <c r="D140" s="1">
        <v>6.0</v>
      </c>
      <c r="E140" s="3">
        <v>40148.41458333333</v>
      </c>
      <c r="F140" s="1">
        <v>2.55</v>
      </c>
      <c r="G140" s="1">
        <v>17519.0</v>
      </c>
      <c r="H140" s="1" t="s">
        <v>14</v>
      </c>
      <c r="I140" s="4">
        <v>40148.0</v>
      </c>
      <c r="J140" s="5">
        <v>0.41458333333333336</v>
      </c>
      <c r="K140" s="1">
        <v>9.0</v>
      </c>
      <c r="L140" s="1">
        <v>15.2999999999999</v>
      </c>
    </row>
    <row r="141">
      <c r="A141" s="1">
        <v>489445.0</v>
      </c>
      <c r="B141" s="2" t="s">
        <v>156</v>
      </c>
      <c r="C141" s="1" t="s">
        <v>157</v>
      </c>
      <c r="D141" s="1">
        <v>3.0</v>
      </c>
      <c r="E141" s="3">
        <v>40148.41458333333</v>
      </c>
      <c r="F141" s="1">
        <v>4.95</v>
      </c>
      <c r="G141" s="1">
        <v>17519.0</v>
      </c>
      <c r="H141" s="1" t="s">
        <v>14</v>
      </c>
      <c r="I141" s="4">
        <v>40148.0</v>
      </c>
      <c r="J141" s="5">
        <v>0.41458333333333336</v>
      </c>
      <c r="K141" s="1">
        <v>9.0</v>
      </c>
      <c r="L141" s="1">
        <v>14.85</v>
      </c>
    </row>
    <row r="142">
      <c r="A142" s="1">
        <v>489445.0</v>
      </c>
      <c r="B142" s="2" t="s">
        <v>263</v>
      </c>
      <c r="C142" s="1" t="s">
        <v>264</v>
      </c>
      <c r="D142" s="1">
        <v>1.0</v>
      </c>
      <c r="E142" s="3">
        <v>40148.41458333333</v>
      </c>
      <c r="F142" s="1">
        <v>12.75</v>
      </c>
      <c r="G142" s="1">
        <v>17519.0</v>
      </c>
      <c r="H142" s="1" t="s">
        <v>14</v>
      </c>
      <c r="I142" s="4">
        <v>40148.0</v>
      </c>
      <c r="J142" s="5">
        <v>0.41458333333333336</v>
      </c>
      <c r="K142" s="1">
        <v>9.0</v>
      </c>
      <c r="L142" s="1">
        <v>12.75</v>
      </c>
    </row>
    <row r="143">
      <c r="A143" s="1">
        <v>489445.0</v>
      </c>
      <c r="B143" s="2" t="s">
        <v>265</v>
      </c>
      <c r="C143" s="1" t="s">
        <v>266</v>
      </c>
      <c r="D143" s="1">
        <v>24.0</v>
      </c>
      <c r="E143" s="3">
        <v>40148.41458333333</v>
      </c>
      <c r="F143" s="1">
        <v>0.65</v>
      </c>
      <c r="G143" s="1">
        <v>17519.0</v>
      </c>
      <c r="H143" s="1" t="s">
        <v>14</v>
      </c>
      <c r="I143" s="4">
        <v>40148.0</v>
      </c>
      <c r="J143" s="5">
        <v>0.41458333333333336</v>
      </c>
      <c r="K143" s="1">
        <v>9.0</v>
      </c>
      <c r="L143" s="1">
        <v>15.6</v>
      </c>
    </row>
    <row r="144">
      <c r="A144" s="1">
        <v>489445.0</v>
      </c>
      <c r="B144" s="2" t="s">
        <v>267</v>
      </c>
      <c r="C144" s="1" t="s">
        <v>268</v>
      </c>
      <c r="D144" s="1">
        <v>24.0</v>
      </c>
      <c r="E144" s="3">
        <v>40148.41458333333</v>
      </c>
      <c r="F144" s="1">
        <v>0.65</v>
      </c>
      <c r="G144" s="1">
        <v>17519.0</v>
      </c>
      <c r="H144" s="1" t="s">
        <v>14</v>
      </c>
      <c r="I144" s="4">
        <v>40148.0</v>
      </c>
      <c r="J144" s="5">
        <v>0.41458333333333336</v>
      </c>
      <c r="K144" s="1">
        <v>9.0</v>
      </c>
      <c r="L144" s="1">
        <v>15.6</v>
      </c>
    </row>
    <row r="145">
      <c r="A145" s="1">
        <v>489445.0</v>
      </c>
      <c r="B145" s="2" t="s">
        <v>269</v>
      </c>
      <c r="C145" s="1" t="s">
        <v>270</v>
      </c>
      <c r="D145" s="1">
        <v>10.0</v>
      </c>
      <c r="E145" s="3">
        <v>40148.41458333333</v>
      </c>
      <c r="F145" s="1">
        <v>1.95</v>
      </c>
      <c r="G145" s="1">
        <v>17519.0</v>
      </c>
      <c r="H145" s="1" t="s">
        <v>14</v>
      </c>
      <c r="I145" s="4">
        <v>40148.0</v>
      </c>
      <c r="J145" s="5">
        <v>0.41458333333333336</v>
      </c>
      <c r="K145" s="1">
        <v>9.0</v>
      </c>
      <c r="L145" s="1">
        <v>19.5</v>
      </c>
    </row>
    <row r="146">
      <c r="A146" s="1">
        <v>489445.0</v>
      </c>
      <c r="B146" s="2" t="s">
        <v>271</v>
      </c>
      <c r="C146" s="1" t="s">
        <v>272</v>
      </c>
      <c r="D146" s="1">
        <v>24.0</v>
      </c>
      <c r="E146" s="3">
        <v>40148.41458333333</v>
      </c>
      <c r="F146" s="1">
        <v>1.25</v>
      </c>
      <c r="G146" s="1">
        <v>17519.0</v>
      </c>
      <c r="H146" s="1" t="s">
        <v>14</v>
      </c>
      <c r="I146" s="4">
        <v>40148.0</v>
      </c>
      <c r="J146" s="5">
        <v>0.41458333333333336</v>
      </c>
      <c r="K146" s="1">
        <v>9.0</v>
      </c>
      <c r="L146" s="1">
        <v>30.0</v>
      </c>
    </row>
    <row r="147">
      <c r="A147" s="1">
        <v>489445.0</v>
      </c>
      <c r="B147" s="2" t="s">
        <v>273</v>
      </c>
      <c r="C147" s="1" t="s">
        <v>274</v>
      </c>
      <c r="D147" s="1">
        <v>12.0</v>
      </c>
      <c r="E147" s="3">
        <v>40148.41458333333</v>
      </c>
      <c r="F147" s="1">
        <v>0.85</v>
      </c>
      <c r="G147" s="1">
        <v>17519.0</v>
      </c>
      <c r="H147" s="1" t="s">
        <v>14</v>
      </c>
      <c r="I147" s="4">
        <v>40148.0</v>
      </c>
      <c r="J147" s="5">
        <v>0.41458333333333336</v>
      </c>
      <c r="K147" s="1">
        <v>9.0</v>
      </c>
      <c r="L147" s="1">
        <v>10.2</v>
      </c>
    </row>
    <row r="148">
      <c r="A148" s="1">
        <v>489446.0</v>
      </c>
      <c r="B148" s="2" t="s">
        <v>275</v>
      </c>
      <c r="C148" s="1" t="s">
        <v>276</v>
      </c>
      <c r="D148" s="1">
        <v>32.0</v>
      </c>
      <c r="E148" s="3">
        <v>40148.42083333333</v>
      </c>
      <c r="F148" s="1">
        <v>2.55</v>
      </c>
      <c r="G148" s="1">
        <v>13758.0</v>
      </c>
      <c r="H148" s="1" t="s">
        <v>14</v>
      </c>
      <c r="I148" s="4">
        <v>40148.0</v>
      </c>
      <c r="J148" s="5">
        <v>0.42083333333333334</v>
      </c>
      <c r="K148" s="1">
        <v>10.0</v>
      </c>
      <c r="L148" s="1">
        <v>81.6</v>
      </c>
    </row>
    <row r="149">
      <c r="A149" s="1">
        <v>489446.0</v>
      </c>
      <c r="B149" s="2" t="s">
        <v>196</v>
      </c>
      <c r="C149" s="1" t="s">
        <v>197</v>
      </c>
      <c r="D149" s="1">
        <v>32.0</v>
      </c>
      <c r="E149" s="3">
        <v>40148.42083333333</v>
      </c>
      <c r="F149" s="1">
        <v>2.55</v>
      </c>
      <c r="G149" s="1">
        <v>13758.0</v>
      </c>
      <c r="H149" s="1" t="s">
        <v>14</v>
      </c>
      <c r="I149" s="4">
        <v>40148.0</v>
      </c>
      <c r="J149" s="5">
        <v>0.42083333333333334</v>
      </c>
      <c r="K149" s="1">
        <v>10.0</v>
      </c>
      <c r="L149" s="1">
        <v>81.6</v>
      </c>
    </row>
    <row r="150">
      <c r="A150" s="1">
        <v>489446.0</v>
      </c>
      <c r="B150" s="2" t="s">
        <v>277</v>
      </c>
      <c r="C150" s="1" t="s">
        <v>278</v>
      </c>
      <c r="D150" s="1">
        <v>12.0</v>
      </c>
      <c r="E150" s="3">
        <v>40148.42083333333</v>
      </c>
      <c r="F150" s="1">
        <v>1.25</v>
      </c>
      <c r="G150" s="1">
        <v>13758.0</v>
      </c>
      <c r="H150" s="1" t="s">
        <v>14</v>
      </c>
      <c r="I150" s="4">
        <v>40148.0</v>
      </c>
      <c r="J150" s="5">
        <v>0.42083333333333334</v>
      </c>
      <c r="K150" s="1">
        <v>10.0</v>
      </c>
      <c r="L150" s="1">
        <v>15.0</v>
      </c>
    </row>
    <row r="151">
      <c r="A151" s="1">
        <v>489446.0</v>
      </c>
      <c r="B151" s="2" t="s">
        <v>279</v>
      </c>
      <c r="C151" s="1" t="s">
        <v>280</v>
      </c>
      <c r="D151" s="1">
        <v>12.0</v>
      </c>
      <c r="E151" s="3">
        <v>40148.42083333333</v>
      </c>
      <c r="F151" s="1">
        <v>5.95</v>
      </c>
      <c r="G151" s="1">
        <v>13758.0</v>
      </c>
      <c r="H151" s="1" t="s">
        <v>14</v>
      </c>
      <c r="I151" s="4">
        <v>40148.0</v>
      </c>
      <c r="J151" s="5">
        <v>0.42083333333333334</v>
      </c>
      <c r="K151" s="1">
        <v>10.0</v>
      </c>
      <c r="L151" s="1">
        <v>71.4</v>
      </c>
    </row>
    <row r="152">
      <c r="A152" s="1">
        <v>489446.0</v>
      </c>
      <c r="B152" s="2" t="s">
        <v>281</v>
      </c>
      <c r="C152" s="1" t="s">
        <v>282</v>
      </c>
      <c r="D152" s="1">
        <v>12.0</v>
      </c>
      <c r="E152" s="3">
        <v>40148.42083333333</v>
      </c>
      <c r="F152" s="1">
        <v>1.25</v>
      </c>
      <c r="G152" s="1">
        <v>13758.0</v>
      </c>
      <c r="H152" s="1" t="s">
        <v>14</v>
      </c>
      <c r="I152" s="4">
        <v>40148.0</v>
      </c>
      <c r="J152" s="5">
        <v>0.42083333333333334</v>
      </c>
      <c r="K152" s="1">
        <v>10.0</v>
      </c>
      <c r="L152" s="1">
        <v>15.0</v>
      </c>
    </row>
    <row r="153">
      <c r="A153" s="1">
        <v>489446.0</v>
      </c>
      <c r="B153" s="2" t="s">
        <v>283</v>
      </c>
      <c r="C153" s="1" t="s">
        <v>284</v>
      </c>
      <c r="D153" s="1">
        <v>12.0</v>
      </c>
      <c r="E153" s="3">
        <v>40148.42083333333</v>
      </c>
      <c r="F153" s="1">
        <v>2.95</v>
      </c>
      <c r="G153" s="1">
        <v>13758.0</v>
      </c>
      <c r="H153" s="1" t="s">
        <v>14</v>
      </c>
      <c r="I153" s="4">
        <v>40148.0</v>
      </c>
      <c r="J153" s="5">
        <v>0.42083333333333334</v>
      </c>
      <c r="K153" s="1">
        <v>10.0</v>
      </c>
      <c r="L153" s="1">
        <v>35.4</v>
      </c>
    </row>
    <row r="154">
      <c r="A154" s="1">
        <v>489446.0</v>
      </c>
      <c r="B154" s="2" t="s">
        <v>73</v>
      </c>
      <c r="C154" s="1" t="s">
        <v>74</v>
      </c>
      <c r="D154" s="1">
        <v>6.0</v>
      </c>
      <c r="E154" s="3">
        <v>40148.42083333333</v>
      </c>
      <c r="F154" s="1">
        <v>4.95</v>
      </c>
      <c r="G154" s="1">
        <v>13758.0</v>
      </c>
      <c r="H154" s="1" t="s">
        <v>14</v>
      </c>
      <c r="I154" s="4">
        <v>40148.0</v>
      </c>
      <c r="J154" s="5">
        <v>0.42083333333333334</v>
      </c>
      <c r="K154" s="1">
        <v>10.0</v>
      </c>
      <c r="L154" s="1">
        <v>29.7</v>
      </c>
    </row>
    <row r="155">
      <c r="A155" s="1">
        <v>489446.0</v>
      </c>
      <c r="B155" s="2" t="s">
        <v>117</v>
      </c>
      <c r="C155" s="1" t="s">
        <v>118</v>
      </c>
      <c r="D155" s="1">
        <v>12.0</v>
      </c>
      <c r="E155" s="3">
        <v>40148.42083333333</v>
      </c>
      <c r="F155" s="1">
        <v>4.95</v>
      </c>
      <c r="G155" s="1">
        <v>13758.0</v>
      </c>
      <c r="H155" s="1" t="s">
        <v>14</v>
      </c>
      <c r="I155" s="4">
        <v>40148.0</v>
      </c>
      <c r="J155" s="5">
        <v>0.42083333333333334</v>
      </c>
      <c r="K155" s="1">
        <v>10.0</v>
      </c>
      <c r="L155" s="1">
        <v>59.4</v>
      </c>
    </row>
    <row r="156">
      <c r="A156" s="1">
        <v>489446.0</v>
      </c>
      <c r="B156" s="2" t="s">
        <v>285</v>
      </c>
      <c r="C156" s="1" t="s">
        <v>286</v>
      </c>
      <c r="D156" s="1">
        <v>24.0</v>
      </c>
      <c r="E156" s="3">
        <v>40148.42083333333</v>
      </c>
      <c r="F156" s="1">
        <v>1.25</v>
      </c>
      <c r="G156" s="1">
        <v>13758.0</v>
      </c>
      <c r="H156" s="1" t="s">
        <v>14</v>
      </c>
      <c r="I156" s="4">
        <v>40148.0</v>
      </c>
      <c r="J156" s="5">
        <v>0.42083333333333334</v>
      </c>
      <c r="K156" s="1">
        <v>10.0</v>
      </c>
      <c r="L156" s="1">
        <v>30.0</v>
      </c>
    </row>
    <row r="157">
      <c r="A157" s="1">
        <v>489446.0</v>
      </c>
      <c r="B157" s="2" t="s">
        <v>287</v>
      </c>
      <c r="C157" s="1" t="s">
        <v>288</v>
      </c>
      <c r="D157" s="1">
        <v>4.0</v>
      </c>
      <c r="E157" s="3">
        <v>40148.42083333333</v>
      </c>
      <c r="F157" s="1">
        <v>4.25</v>
      </c>
      <c r="G157" s="1">
        <v>13758.0</v>
      </c>
      <c r="H157" s="1" t="s">
        <v>14</v>
      </c>
      <c r="I157" s="4">
        <v>40148.0</v>
      </c>
      <c r="J157" s="5">
        <v>0.42083333333333334</v>
      </c>
      <c r="K157" s="1">
        <v>10.0</v>
      </c>
      <c r="L157" s="1">
        <v>17.0</v>
      </c>
    </row>
    <row r="158">
      <c r="A158" s="1">
        <v>489446.0</v>
      </c>
      <c r="B158" s="2" t="s">
        <v>289</v>
      </c>
      <c r="C158" s="1" t="s">
        <v>290</v>
      </c>
      <c r="D158" s="1">
        <v>24.0</v>
      </c>
      <c r="E158" s="3">
        <v>40148.42083333333</v>
      </c>
      <c r="F158" s="1">
        <v>2.95</v>
      </c>
      <c r="G158" s="1">
        <v>13758.0</v>
      </c>
      <c r="H158" s="1" t="s">
        <v>14</v>
      </c>
      <c r="I158" s="4">
        <v>40148.0</v>
      </c>
      <c r="J158" s="5">
        <v>0.42083333333333334</v>
      </c>
      <c r="K158" s="1">
        <v>10.0</v>
      </c>
      <c r="L158" s="1">
        <v>70.8</v>
      </c>
    </row>
    <row r="159">
      <c r="A159" s="1">
        <v>489446.0</v>
      </c>
      <c r="B159" s="2" t="s">
        <v>291</v>
      </c>
      <c r="C159" s="1" t="s">
        <v>292</v>
      </c>
      <c r="D159" s="1">
        <v>12.0</v>
      </c>
      <c r="E159" s="3">
        <v>40148.42083333333</v>
      </c>
      <c r="F159" s="1">
        <v>3.95</v>
      </c>
      <c r="G159" s="1">
        <v>13758.0</v>
      </c>
      <c r="H159" s="1" t="s">
        <v>14</v>
      </c>
      <c r="I159" s="4">
        <v>40148.0</v>
      </c>
      <c r="J159" s="5">
        <v>0.42083333333333334</v>
      </c>
      <c r="K159" s="1">
        <v>10.0</v>
      </c>
      <c r="L159" s="1">
        <v>47.4</v>
      </c>
    </row>
    <row r="160">
      <c r="A160" s="1">
        <v>489446.0</v>
      </c>
      <c r="B160" s="2" t="s">
        <v>293</v>
      </c>
      <c r="C160" s="1" t="s">
        <v>294</v>
      </c>
      <c r="D160" s="1">
        <v>12.0</v>
      </c>
      <c r="E160" s="3">
        <v>40148.42083333333</v>
      </c>
      <c r="F160" s="1">
        <v>4.95</v>
      </c>
      <c r="G160" s="1">
        <v>13758.0</v>
      </c>
      <c r="H160" s="1" t="s">
        <v>14</v>
      </c>
      <c r="I160" s="4">
        <v>40148.0</v>
      </c>
      <c r="J160" s="5">
        <v>0.42083333333333334</v>
      </c>
      <c r="K160" s="1">
        <v>10.0</v>
      </c>
      <c r="L160" s="1">
        <v>59.4</v>
      </c>
    </row>
    <row r="161">
      <c r="A161" s="1">
        <v>489446.0</v>
      </c>
      <c r="B161" s="2" t="s">
        <v>295</v>
      </c>
      <c r="C161" s="1" t="s">
        <v>296</v>
      </c>
      <c r="D161" s="1">
        <v>10.0</v>
      </c>
      <c r="E161" s="3">
        <v>40148.42083333333</v>
      </c>
      <c r="F161" s="1">
        <v>1.95</v>
      </c>
      <c r="G161" s="1">
        <v>13758.0</v>
      </c>
      <c r="H161" s="1" t="s">
        <v>14</v>
      </c>
      <c r="I161" s="4">
        <v>40148.0</v>
      </c>
      <c r="J161" s="5">
        <v>0.42083333333333334</v>
      </c>
      <c r="K161" s="1">
        <v>10.0</v>
      </c>
      <c r="L161" s="1">
        <v>19.5</v>
      </c>
    </row>
    <row r="162">
      <c r="A162" s="1">
        <v>489446.0</v>
      </c>
      <c r="B162" s="2" t="s">
        <v>269</v>
      </c>
      <c r="C162" s="1" t="s">
        <v>270</v>
      </c>
      <c r="D162" s="1">
        <v>10.0</v>
      </c>
      <c r="E162" s="3">
        <v>40148.42083333333</v>
      </c>
      <c r="F162" s="1">
        <v>1.95</v>
      </c>
      <c r="G162" s="1">
        <v>13758.0</v>
      </c>
      <c r="H162" s="1" t="s">
        <v>14</v>
      </c>
      <c r="I162" s="4">
        <v>40148.0</v>
      </c>
      <c r="J162" s="5">
        <v>0.42083333333333334</v>
      </c>
      <c r="K162" s="1">
        <v>10.0</v>
      </c>
      <c r="L162" s="1">
        <v>19.5</v>
      </c>
    </row>
    <row r="163">
      <c r="A163" s="1">
        <v>489446.0</v>
      </c>
      <c r="B163" s="2" t="s">
        <v>297</v>
      </c>
      <c r="C163" s="1" t="s">
        <v>298</v>
      </c>
      <c r="D163" s="1">
        <v>20.0</v>
      </c>
      <c r="E163" s="3">
        <v>40148.42083333333</v>
      </c>
      <c r="F163" s="1">
        <v>1.95</v>
      </c>
      <c r="G163" s="1">
        <v>13758.0</v>
      </c>
      <c r="H163" s="1" t="s">
        <v>14</v>
      </c>
      <c r="I163" s="4">
        <v>40148.0</v>
      </c>
      <c r="J163" s="5">
        <v>0.42083333333333334</v>
      </c>
      <c r="K163" s="1">
        <v>10.0</v>
      </c>
      <c r="L163" s="1">
        <v>39.0</v>
      </c>
    </row>
    <row r="164">
      <c r="A164" s="1">
        <v>489446.0</v>
      </c>
      <c r="B164" s="2" t="s">
        <v>299</v>
      </c>
      <c r="C164" s="1" t="s">
        <v>300</v>
      </c>
      <c r="D164" s="1">
        <v>10.0</v>
      </c>
      <c r="E164" s="3">
        <v>40148.42083333333</v>
      </c>
      <c r="F164" s="1">
        <v>0.85</v>
      </c>
      <c r="G164" s="1">
        <v>13758.0</v>
      </c>
      <c r="H164" s="1" t="s">
        <v>14</v>
      </c>
      <c r="I164" s="4">
        <v>40148.0</v>
      </c>
      <c r="J164" s="5">
        <v>0.42083333333333334</v>
      </c>
      <c r="K164" s="1">
        <v>10.0</v>
      </c>
      <c r="L164" s="1">
        <v>8.5</v>
      </c>
    </row>
    <row r="165">
      <c r="A165" s="1">
        <v>489446.0</v>
      </c>
      <c r="B165" s="2" t="s">
        <v>301</v>
      </c>
      <c r="C165" s="1" t="s">
        <v>302</v>
      </c>
      <c r="D165" s="1">
        <v>10.0</v>
      </c>
      <c r="E165" s="3">
        <v>40148.42083333333</v>
      </c>
      <c r="F165" s="1">
        <v>0.85</v>
      </c>
      <c r="G165" s="1">
        <v>13758.0</v>
      </c>
      <c r="H165" s="1" t="s">
        <v>14</v>
      </c>
      <c r="I165" s="4">
        <v>40148.0</v>
      </c>
      <c r="J165" s="5">
        <v>0.42083333333333334</v>
      </c>
      <c r="K165" s="1">
        <v>10.0</v>
      </c>
      <c r="L165" s="1">
        <v>8.5</v>
      </c>
    </row>
    <row r="166">
      <c r="A166" s="1">
        <v>489446.0</v>
      </c>
      <c r="B166" s="2" t="s">
        <v>202</v>
      </c>
      <c r="C166" s="1" t="s">
        <v>203</v>
      </c>
      <c r="D166" s="1">
        <v>24.0</v>
      </c>
      <c r="E166" s="3">
        <v>40148.42083333333</v>
      </c>
      <c r="F166" s="1">
        <v>1.25</v>
      </c>
      <c r="G166" s="1">
        <v>13758.0</v>
      </c>
      <c r="H166" s="1" t="s">
        <v>14</v>
      </c>
      <c r="I166" s="4">
        <v>40148.0</v>
      </c>
      <c r="J166" s="5">
        <v>0.42083333333333334</v>
      </c>
      <c r="K166" s="1">
        <v>10.0</v>
      </c>
      <c r="L166" s="1">
        <v>30.0</v>
      </c>
    </row>
    <row r="167">
      <c r="A167" s="1">
        <v>489446.0</v>
      </c>
      <c r="B167" s="2" t="s">
        <v>303</v>
      </c>
      <c r="C167" s="1" t="s">
        <v>304</v>
      </c>
      <c r="D167" s="1">
        <v>24.0</v>
      </c>
      <c r="E167" s="3">
        <v>40148.42083333333</v>
      </c>
      <c r="F167" s="1">
        <v>1.25</v>
      </c>
      <c r="G167" s="1">
        <v>13758.0</v>
      </c>
      <c r="H167" s="1" t="s">
        <v>14</v>
      </c>
      <c r="I167" s="4">
        <v>40148.0</v>
      </c>
      <c r="J167" s="5">
        <v>0.42083333333333334</v>
      </c>
      <c r="K167" s="1">
        <v>10.0</v>
      </c>
      <c r="L167" s="1">
        <v>30.0</v>
      </c>
    </row>
    <row r="168">
      <c r="A168" s="1">
        <v>489446.0</v>
      </c>
      <c r="B168" s="2" t="s">
        <v>305</v>
      </c>
      <c r="C168" s="1" t="s">
        <v>306</v>
      </c>
      <c r="D168" s="1">
        <v>10.0</v>
      </c>
      <c r="E168" s="3">
        <v>40148.42083333333</v>
      </c>
      <c r="F168" s="1">
        <v>1.65</v>
      </c>
      <c r="G168" s="1">
        <v>13758.0</v>
      </c>
      <c r="H168" s="1" t="s">
        <v>14</v>
      </c>
      <c r="I168" s="4">
        <v>40148.0</v>
      </c>
      <c r="J168" s="5">
        <v>0.42083333333333334</v>
      </c>
      <c r="K168" s="1">
        <v>10.0</v>
      </c>
      <c r="L168" s="1">
        <v>16.5</v>
      </c>
    </row>
    <row r="169">
      <c r="A169" s="1">
        <v>489446.0</v>
      </c>
      <c r="B169" s="2" t="s">
        <v>307</v>
      </c>
      <c r="C169" s="1" t="s">
        <v>308</v>
      </c>
      <c r="D169" s="1">
        <v>10.0</v>
      </c>
      <c r="E169" s="3">
        <v>40148.42083333333</v>
      </c>
      <c r="F169" s="1">
        <v>1.65</v>
      </c>
      <c r="G169" s="1">
        <v>13758.0</v>
      </c>
      <c r="H169" s="1" t="s">
        <v>14</v>
      </c>
      <c r="I169" s="4">
        <v>40148.0</v>
      </c>
      <c r="J169" s="5">
        <v>0.42083333333333334</v>
      </c>
      <c r="K169" s="1">
        <v>10.0</v>
      </c>
      <c r="L169" s="1">
        <v>16.5</v>
      </c>
    </row>
    <row r="170">
      <c r="A170" s="1">
        <v>489446.0</v>
      </c>
      <c r="B170" s="2" t="s">
        <v>309</v>
      </c>
      <c r="C170" s="1" t="s">
        <v>310</v>
      </c>
      <c r="D170" s="1">
        <v>10.0</v>
      </c>
      <c r="E170" s="3">
        <v>40148.42083333333</v>
      </c>
      <c r="F170" s="1">
        <v>1.65</v>
      </c>
      <c r="G170" s="1">
        <v>13758.0</v>
      </c>
      <c r="H170" s="1" t="s">
        <v>14</v>
      </c>
      <c r="I170" s="4">
        <v>40148.0</v>
      </c>
      <c r="J170" s="5">
        <v>0.42083333333333334</v>
      </c>
      <c r="K170" s="1">
        <v>10.0</v>
      </c>
      <c r="L170" s="1">
        <v>16.5</v>
      </c>
    </row>
    <row r="171">
      <c r="A171" s="1">
        <v>489446.0</v>
      </c>
      <c r="B171" s="2" t="s">
        <v>230</v>
      </c>
      <c r="C171" s="1" t="s">
        <v>231</v>
      </c>
      <c r="D171" s="1">
        <v>12.0</v>
      </c>
      <c r="E171" s="3">
        <v>40148.42083333333</v>
      </c>
      <c r="F171" s="1">
        <v>2.1</v>
      </c>
      <c r="G171" s="1">
        <v>13758.0</v>
      </c>
      <c r="H171" s="1" t="s">
        <v>14</v>
      </c>
      <c r="I171" s="4">
        <v>40148.0</v>
      </c>
      <c r="J171" s="5">
        <v>0.42083333333333334</v>
      </c>
      <c r="K171" s="1">
        <v>10.0</v>
      </c>
      <c r="L171" s="1">
        <v>25.2</v>
      </c>
    </row>
    <row r="172">
      <c r="A172" s="1">
        <v>489446.0</v>
      </c>
      <c r="B172" s="2" t="s">
        <v>311</v>
      </c>
      <c r="C172" s="1" t="s">
        <v>312</v>
      </c>
      <c r="D172" s="1">
        <v>12.0</v>
      </c>
      <c r="E172" s="3">
        <v>40148.42083333333</v>
      </c>
      <c r="F172" s="1">
        <v>8.95</v>
      </c>
      <c r="G172" s="1">
        <v>13758.0</v>
      </c>
      <c r="H172" s="1" t="s">
        <v>14</v>
      </c>
      <c r="I172" s="4">
        <v>40148.0</v>
      </c>
      <c r="J172" s="5">
        <v>0.42083333333333334</v>
      </c>
      <c r="K172" s="1">
        <v>10.0</v>
      </c>
      <c r="L172" s="1">
        <v>107.399999999999</v>
      </c>
    </row>
    <row r="173">
      <c r="A173" s="1">
        <v>489446.0</v>
      </c>
      <c r="B173" s="2" t="s">
        <v>33</v>
      </c>
      <c r="C173" s="1" t="s">
        <v>313</v>
      </c>
      <c r="D173" s="1">
        <v>12.0</v>
      </c>
      <c r="E173" s="3">
        <v>40148.42083333333</v>
      </c>
      <c r="F173" s="1">
        <v>1.65</v>
      </c>
      <c r="G173" s="1">
        <v>13758.0</v>
      </c>
      <c r="H173" s="1" t="s">
        <v>14</v>
      </c>
      <c r="I173" s="4">
        <v>40148.0</v>
      </c>
      <c r="J173" s="5">
        <v>0.42083333333333334</v>
      </c>
      <c r="K173" s="1">
        <v>10.0</v>
      </c>
      <c r="L173" s="1">
        <v>19.7999999999999</v>
      </c>
    </row>
    <row r="174">
      <c r="A174" s="1">
        <v>489446.0</v>
      </c>
      <c r="B174" s="2" t="s">
        <v>314</v>
      </c>
      <c r="C174" s="1" t="s">
        <v>315</v>
      </c>
      <c r="D174" s="1">
        <v>2.0</v>
      </c>
      <c r="E174" s="3">
        <v>40148.42083333333</v>
      </c>
      <c r="F174" s="1">
        <v>12.75</v>
      </c>
      <c r="G174" s="1">
        <v>13758.0</v>
      </c>
      <c r="H174" s="1" t="s">
        <v>14</v>
      </c>
      <c r="I174" s="4">
        <v>40148.0</v>
      </c>
      <c r="J174" s="5">
        <v>0.42083333333333334</v>
      </c>
      <c r="K174" s="1">
        <v>10.0</v>
      </c>
      <c r="L174" s="1">
        <v>25.5</v>
      </c>
    </row>
    <row r="175">
      <c r="A175" s="1">
        <v>489447.0</v>
      </c>
      <c r="B175" s="2" t="s">
        <v>186</v>
      </c>
      <c r="C175" s="1" t="s">
        <v>187</v>
      </c>
      <c r="D175" s="1">
        <v>1.0</v>
      </c>
      <c r="E175" s="3">
        <v>40148.42361111111</v>
      </c>
      <c r="F175" s="1">
        <v>130.0</v>
      </c>
      <c r="G175" s="1">
        <v>12362.0</v>
      </c>
      <c r="H175" s="1" t="s">
        <v>316</v>
      </c>
      <c r="I175" s="4">
        <v>40148.0</v>
      </c>
      <c r="J175" s="5">
        <v>0.4236111111111111</v>
      </c>
      <c r="K175" s="1">
        <v>10.0</v>
      </c>
      <c r="L175" s="1">
        <v>130.0</v>
      </c>
    </row>
    <row r="176">
      <c r="A176" s="1">
        <v>489448.0</v>
      </c>
      <c r="B176" s="2" t="s">
        <v>317</v>
      </c>
      <c r="C176" s="1" t="s">
        <v>318</v>
      </c>
      <c r="D176" s="1">
        <v>48.0</v>
      </c>
      <c r="E176" s="3">
        <v>40148.42916666667</v>
      </c>
      <c r="F176" s="1">
        <v>2.12</v>
      </c>
      <c r="G176" s="1">
        <v>15413.0</v>
      </c>
      <c r="H176" s="1" t="s">
        <v>14</v>
      </c>
      <c r="I176" s="4">
        <v>40148.0</v>
      </c>
      <c r="J176" s="5">
        <v>0.42916666666666664</v>
      </c>
      <c r="K176" s="1">
        <v>10.0</v>
      </c>
      <c r="L176" s="1">
        <v>101.76</v>
      </c>
    </row>
    <row r="177">
      <c r="A177" s="1">
        <v>489448.0</v>
      </c>
      <c r="B177" s="2" t="s">
        <v>319</v>
      </c>
      <c r="C177" s="1" t="s">
        <v>320</v>
      </c>
      <c r="D177" s="1">
        <v>48.0</v>
      </c>
      <c r="E177" s="3">
        <v>40148.42916666667</v>
      </c>
      <c r="F177" s="1">
        <v>3.39</v>
      </c>
      <c r="G177" s="1">
        <v>15413.0</v>
      </c>
      <c r="H177" s="1" t="s">
        <v>14</v>
      </c>
      <c r="I177" s="4">
        <v>40148.0</v>
      </c>
      <c r="J177" s="5">
        <v>0.42916666666666664</v>
      </c>
      <c r="K177" s="1">
        <v>10.0</v>
      </c>
      <c r="L177" s="1">
        <v>162.72</v>
      </c>
    </row>
    <row r="178">
      <c r="A178" s="1">
        <v>489448.0</v>
      </c>
      <c r="B178" s="2" t="s">
        <v>321</v>
      </c>
      <c r="C178" s="1" t="s">
        <v>322</v>
      </c>
      <c r="D178" s="1">
        <v>48.0</v>
      </c>
      <c r="E178" s="3">
        <v>40148.42916666667</v>
      </c>
      <c r="F178" s="1">
        <v>4.25</v>
      </c>
      <c r="G178" s="1">
        <v>15413.0</v>
      </c>
      <c r="H178" s="1" t="s">
        <v>14</v>
      </c>
      <c r="I178" s="4">
        <v>40148.0</v>
      </c>
      <c r="J178" s="5">
        <v>0.42916666666666664</v>
      </c>
      <c r="K178" s="1">
        <v>10.0</v>
      </c>
      <c r="L178" s="1">
        <v>204.0</v>
      </c>
    </row>
    <row r="179">
      <c r="A179" s="1">
        <v>489448.0</v>
      </c>
      <c r="B179" s="2" t="s">
        <v>323</v>
      </c>
      <c r="C179" s="1" t="s">
        <v>324</v>
      </c>
      <c r="D179" s="1">
        <v>48.0</v>
      </c>
      <c r="E179" s="3">
        <v>40148.42916666667</v>
      </c>
      <c r="F179" s="1">
        <v>2.12</v>
      </c>
      <c r="G179" s="1">
        <v>15413.0</v>
      </c>
      <c r="H179" s="1" t="s">
        <v>14</v>
      </c>
      <c r="I179" s="4">
        <v>40148.0</v>
      </c>
      <c r="J179" s="5">
        <v>0.42916666666666664</v>
      </c>
      <c r="K179" s="1">
        <v>10.0</v>
      </c>
      <c r="L179" s="1">
        <v>101.76</v>
      </c>
    </row>
    <row r="180">
      <c r="A180" s="1" t="s">
        <v>325</v>
      </c>
      <c r="B180" s="2" t="s">
        <v>326</v>
      </c>
      <c r="C180" s="1" t="s">
        <v>327</v>
      </c>
      <c r="D180" s="1">
        <v>-12.0</v>
      </c>
      <c r="E180" s="3">
        <v>40148.43958333333</v>
      </c>
      <c r="F180" s="1">
        <v>2.95</v>
      </c>
      <c r="G180" s="1">
        <v>16321.0</v>
      </c>
      <c r="H180" s="1" t="s">
        <v>328</v>
      </c>
      <c r="I180" s="4">
        <v>40148.0</v>
      </c>
      <c r="J180" s="5">
        <v>0.4395833333333333</v>
      </c>
      <c r="K180" s="1">
        <v>10.0</v>
      </c>
      <c r="L180" s="1">
        <v>-35.4</v>
      </c>
    </row>
    <row r="181">
      <c r="A181" s="1" t="s">
        <v>325</v>
      </c>
      <c r="B181" s="2" t="s">
        <v>329</v>
      </c>
      <c r="C181" s="1" t="s">
        <v>330</v>
      </c>
      <c r="D181" s="1">
        <v>-6.0</v>
      </c>
      <c r="E181" s="3">
        <v>40148.43958333333</v>
      </c>
      <c r="F181" s="1">
        <v>1.65</v>
      </c>
      <c r="G181" s="1">
        <v>16321.0</v>
      </c>
      <c r="H181" s="1" t="s">
        <v>328</v>
      </c>
      <c r="I181" s="4">
        <v>40148.0</v>
      </c>
      <c r="J181" s="5">
        <v>0.4395833333333333</v>
      </c>
      <c r="K181" s="1">
        <v>10.0</v>
      </c>
      <c r="L181" s="1">
        <v>-9.89999999999999</v>
      </c>
    </row>
    <row r="182">
      <c r="A182" s="1" t="s">
        <v>325</v>
      </c>
      <c r="B182" s="2" t="s">
        <v>331</v>
      </c>
      <c r="C182" s="1" t="s">
        <v>332</v>
      </c>
      <c r="D182" s="1">
        <v>-4.0</v>
      </c>
      <c r="E182" s="3">
        <v>40148.43958333333</v>
      </c>
      <c r="F182" s="1">
        <v>4.25</v>
      </c>
      <c r="G182" s="1">
        <v>16321.0</v>
      </c>
      <c r="H182" s="1" t="s">
        <v>328</v>
      </c>
      <c r="I182" s="4">
        <v>40148.0</v>
      </c>
      <c r="J182" s="5">
        <v>0.4395833333333333</v>
      </c>
      <c r="K182" s="1">
        <v>10.0</v>
      </c>
      <c r="L182" s="1">
        <v>-17.0</v>
      </c>
    </row>
    <row r="183">
      <c r="A183" s="1" t="s">
        <v>325</v>
      </c>
      <c r="B183" s="2" t="s">
        <v>333</v>
      </c>
      <c r="C183" s="1" t="s">
        <v>334</v>
      </c>
      <c r="D183" s="1">
        <v>-6.0</v>
      </c>
      <c r="E183" s="3">
        <v>40148.43958333333</v>
      </c>
      <c r="F183" s="1">
        <v>2.1</v>
      </c>
      <c r="G183" s="1">
        <v>16321.0</v>
      </c>
      <c r="H183" s="1" t="s">
        <v>328</v>
      </c>
      <c r="I183" s="4">
        <v>40148.0</v>
      </c>
      <c r="J183" s="5">
        <v>0.4395833333333333</v>
      </c>
      <c r="K183" s="1">
        <v>10.0</v>
      </c>
      <c r="L183" s="1">
        <v>-12.6</v>
      </c>
    </row>
    <row r="184">
      <c r="A184" s="1" t="s">
        <v>325</v>
      </c>
      <c r="B184" s="2" t="s">
        <v>289</v>
      </c>
      <c r="C184" s="1" t="s">
        <v>290</v>
      </c>
      <c r="D184" s="1">
        <v>-12.0</v>
      </c>
      <c r="E184" s="3">
        <v>40148.43958333333</v>
      </c>
      <c r="F184" s="1">
        <v>2.95</v>
      </c>
      <c r="G184" s="1">
        <v>16321.0</v>
      </c>
      <c r="H184" s="1" t="s">
        <v>328</v>
      </c>
      <c r="I184" s="4">
        <v>40148.0</v>
      </c>
      <c r="J184" s="5">
        <v>0.4395833333333333</v>
      </c>
      <c r="K184" s="1">
        <v>10.0</v>
      </c>
      <c r="L184" s="1">
        <v>-35.4</v>
      </c>
    </row>
    <row r="185">
      <c r="A185" s="1" t="s">
        <v>325</v>
      </c>
      <c r="B185" s="2" t="s">
        <v>25</v>
      </c>
      <c r="C185" s="1" t="s">
        <v>26</v>
      </c>
      <c r="D185" s="1">
        <v>-12.0</v>
      </c>
      <c r="E185" s="3">
        <v>40148.43958333333</v>
      </c>
      <c r="F185" s="1">
        <v>1.25</v>
      </c>
      <c r="G185" s="1">
        <v>16321.0</v>
      </c>
      <c r="H185" s="1" t="s">
        <v>328</v>
      </c>
      <c r="I185" s="4">
        <v>40148.0</v>
      </c>
      <c r="J185" s="5">
        <v>0.4395833333333333</v>
      </c>
      <c r="K185" s="1">
        <v>10.0</v>
      </c>
      <c r="L185" s="1">
        <v>-15.0</v>
      </c>
    </row>
    <row r="186">
      <c r="A186" s="1" t="s">
        <v>325</v>
      </c>
      <c r="B186" s="2" t="s">
        <v>335</v>
      </c>
      <c r="C186" s="1" t="s">
        <v>336</v>
      </c>
      <c r="D186" s="1">
        <v>-12.0</v>
      </c>
      <c r="E186" s="3">
        <v>40148.43958333333</v>
      </c>
      <c r="F186" s="1">
        <v>1.25</v>
      </c>
      <c r="G186" s="1">
        <v>16321.0</v>
      </c>
      <c r="H186" s="1" t="s">
        <v>328</v>
      </c>
      <c r="I186" s="4">
        <v>40148.0</v>
      </c>
      <c r="J186" s="5">
        <v>0.4395833333333333</v>
      </c>
      <c r="K186" s="1">
        <v>10.0</v>
      </c>
      <c r="L186" s="1">
        <v>-15.0</v>
      </c>
    </row>
    <row r="187">
      <c r="A187" s="1" t="s">
        <v>325</v>
      </c>
      <c r="B187" s="2" t="s">
        <v>105</v>
      </c>
      <c r="C187" s="1" t="s">
        <v>106</v>
      </c>
      <c r="D187" s="1">
        <v>-24.0</v>
      </c>
      <c r="E187" s="3">
        <v>40148.43958333333</v>
      </c>
      <c r="F187" s="1">
        <v>0.85</v>
      </c>
      <c r="G187" s="1">
        <v>16321.0</v>
      </c>
      <c r="H187" s="1" t="s">
        <v>328</v>
      </c>
      <c r="I187" s="4">
        <v>40148.0</v>
      </c>
      <c r="J187" s="5">
        <v>0.4395833333333333</v>
      </c>
      <c r="K187" s="1">
        <v>10.0</v>
      </c>
      <c r="L187" s="1">
        <v>-20.4</v>
      </c>
    </row>
    <row r="188">
      <c r="A188" s="1" t="s">
        <v>325</v>
      </c>
      <c r="B188" s="2" t="s">
        <v>337</v>
      </c>
      <c r="C188" s="1" t="s">
        <v>338</v>
      </c>
      <c r="D188" s="1">
        <v>-12.0</v>
      </c>
      <c r="E188" s="3">
        <v>40148.43958333333</v>
      </c>
      <c r="F188" s="1">
        <v>2.95</v>
      </c>
      <c r="G188" s="1">
        <v>16321.0</v>
      </c>
      <c r="H188" s="1" t="s">
        <v>328</v>
      </c>
      <c r="I188" s="4">
        <v>40148.0</v>
      </c>
      <c r="J188" s="5">
        <v>0.4395833333333333</v>
      </c>
      <c r="K188" s="1">
        <v>10.0</v>
      </c>
      <c r="L188" s="1">
        <v>-35.4</v>
      </c>
    </row>
    <row r="189">
      <c r="A189" s="1">
        <v>489450.0</v>
      </c>
      <c r="B189" s="2" t="s">
        <v>326</v>
      </c>
      <c r="C189" s="1" t="s">
        <v>327</v>
      </c>
      <c r="D189" s="1">
        <v>12.0</v>
      </c>
      <c r="E189" s="3">
        <v>40148.441666666666</v>
      </c>
      <c r="F189" s="1">
        <v>2.95</v>
      </c>
      <c r="G189" s="1">
        <v>16321.0</v>
      </c>
      <c r="H189" s="1" t="s">
        <v>328</v>
      </c>
      <c r="I189" s="4">
        <v>40148.0</v>
      </c>
      <c r="J189" s="5">
        <v>0.44166666666666665</v>
      </c>
      <c r="K189" s="1">
        <v>10.0</v>
      </c>
      <c r="L189" s="1">
        <v>35.4</v>
      </c>
    </row>
    <row r="190">
      <c r="A190" s="1">
        <v>489450.0</v>
      </c>
      <c r="B190" s="2" t="s">
        <v>329</v>
      </c>
      <c r="C190" s="1" t="s">
        <v>330</v>
      </c>
      <c r="D190" s="1">
        <v>6.0</v>
      </c>
      <c r="E190" s="3">
        <v>40148.441666666666</v>
      </c>
      <c r="F190" s="1">
        <v>1.65</v>
      </c>
      <c r="G190" s="1">
        <v>16321.0</v>
      </c>
      <c r="H190" s="1" t="s">
        <v>328</v>
      </c>
      <c r="I190" s="4">
        <v>40148.0</v>
      </c>
      <c r="J190" s="5">
        <v>0.44166666666666665</v>
      </c>
      <c r="K190" s="1">
        <v>10.0</v>
      </c>
      <c r="L190" s="1">
        <v>9.89999999999999</v>
      </c>
    </row>
    <row r="191">
      <c r="A191" s="1">
        <v>489450.0</v>
      </c>
      <c r="B191" s="2" t="s">
        <v>331</v>
      </c>
      <c r="C191" s="1" t="s">
        <v>332</v>
      </c>
      <c r="D191" s="1">
        <v>4.0</v>
      </c>
      <c r="E191" s="3">
        <v>40148.441666666666</v>
      </c>
      <c r="F191" s="1">
        <v>4.25</v>
      </c>
      <c r="G191" s="1">
        <v>16321.0</v>
      </c>
      <c r="H191" s="1" t="s">
        <v>328</v>
      </c>
      <c r="I191" s="4">
        <v>40148.0</v>
      </c>
      <c r="J191" s="5">
        <v>0.44166666666666665</v>
      </c>
      <c r="K191" s="1">
        <v>10.0</v>
      </c>
      <c r="L191" s="1">
        <v>17.0</v>
      </c>
    </row>
    <row r="192">
      <c r="A192" s="1">
        <v>489450.0</v>
      </c>
      <c r="B192" s="2" t="s">
        <v>333</v>
      </c>
      <c r="C192" s="1" t="s">
        <v>334</v>
      </c>
      <c r="D192" s="1">
        <v>6.0</v>
      </c>
      <c r="E192" s="3">
        <v>40148.441666666666</v>
      </c>
      <c r="F192" s="1">
        <v>2.1</v>
      </c>
      <c r="G192" s="1">
        <v>16321.0</v>
      </c>
      <c r="H192" s="1" t="s">
        <v>328</v>
      </c>
      <c r="I192" s="4">
        <v>40148.0</v>
      </c>
      <c r="J192" s="5">
        <v>0.44166666666666665</v>
      </c>
      <c r="K192" s="1">
        <v>10.0</v>
      </c>
      <c r="L192" s="1">
        <v>12.6</v>
      </c>
    </row>
    <row r="193">
      <c r="A193" s="1">
        <v>489450.0</v>
      </c>
      <c r="B193" s="2" t="s">
        <v>289</v>
      </c>
      <c r="C193" s="1" t="s">
        <v>290</v>
      </c>
      <c r="D193" s="1">
        <v>12.0</v>
      </c>
      <c r="E193" s="3">
        <v>40148.441666666666</v>
      </c>
      <c r="F193" s="1">
        <v>2.95</v>
      </c>
      <c r="G193" s="1">
        <v>16321.0</v>
      </c>
      <c r="H193" s="1" t="s">
        <v>328</v>
      </c>
      <c r="I193" s="4">
        <v>40148.0</v>
      </c>
      <c r="J193" s="5">
        <v>0.44166666666666665</v>
      </c>
      <c r="K193" s="1">
        <v>10.0</v>
      </c>
      <c r="L193" s="1">
        <v>35.4</v>
      </c>
    </row>
    <row r="194">
      <c r="A194" s="1">
        <v>489450.0</v>
      </c>
      <c r="B194" s="2" t="s">
        <v>25</v>
      </c>
      <c r="C194" s="1" t="s">
        <v>26</v>
      </c>
      <c r="D194" s="1">
        <v>12.0</v>
      </c>
      <c r="E194" s="3">
        <v>40148.441666666666</v>
      </c>
      <c r="F194" s="1">
        <v>1.25</v>
      </c>
      <c r="G194" s="1">
        <v>16321.0</v>
      </c>
      <c r="H194" s="1" t="s">
        <v>328</v>
      </c>
      <c r="I194" s="4">
        <v>40148.0</v>
      </c>
      <c r="J194" s="5">
        <v>0.44166666666666665</v>
      </c>
      <c r="K194" s="1">
        <v>10.0</v>
      </c>
      <c r="L194" s="1">
        <v>15.0</v>
      </c>
    </row>
    <row r="195">
      <c r="A195" s="1">
        <v>489450.0</v>
      </c>
      <c r="B195" s="2" t="s">
        <v>335</v>
      </c>
      <c r="C195" s="1" t="s">
        <v>336</v>
      </c>
      <c r="D195" s="1">
        <v>12.0</v>
      </c>
      <c r="E195" s="3">
        <v>40148.441666666666</v>
      </c>
      <c r="F195" s="1">
        <v>1.25</v>
      </c>
      <c r="G195" s="1">
        <v>16321.0</v>
      </c>
      <c r="H195" s="1" t="s">
        <v>328</v>
      </c>
      <c r="I195" s="4">
        <v>40148.0</v>
      </c>
      <c r="J195" s="5">
        <v>0.44166666666666665</v>
      </c>
      <c r="K195" s="1">
        <v>10.0</v>
      </c>
      <c r="L195" s="1">
        <v>15.0</v>
      </c>
    </row>
    <row r="196">
      <c r="A196" s="1">
        <v>489450.0</v>
      </c>
      <c r="B196" s="2" t="s">
        <v>105</v>
      </c>
      <c r="C196" s="1" t="s">
        <v>106</v>
      </c>
      <c r="D196" s="1">
        <v>24.0</v>
      </c>
      <c r="E196" s="3">
        <v>40148.441666666666</v>
      </c>
      <c r="F196" s="1">
        <v>0.85</v>
      </c>
      <c r="G196" s="1">
        <v>16321.0</v>
      </c>
      <c r="H196" s="1" t="s">
        <v>328</v>
      </c>
      <c r="I196" s="4">
        <v>40148.0</v>
      </c>
      <c r="J196" s="5">
        <v>0.44166666666666665</v>
      </c>
      <c r="K196" s="1">
        <v>10.0</v>
      </c>
      <c r="L196" s="1">
        <v>20.4</v>
      </c>
    </row>
    <row r="197">
      <c r="A197" s="1">
        <v>489450.0</v>
      </c>
      <c r="B197" s="2" t="s">
        <v>337</v>
      </c>
      <c r="C197" s="1" t="s">
        <v>338</v>
      </c>
      <c r="D197" s="1">
        <v>12.0</v>
      </c>
      <c r="E197" s="3">
        <v>40148.441666666666</v>
      </c>
      <c r="F197" s="1">
        <v>2.95</v>
      </c>
      <c r="G197" s="1">
        <v>16321.0</v>
      </c>
      <c r="H197" s="1" t="s">
        <v>328</v>
      </c>
      <c r="I197" s="4">
        <v>40148.0</v>
      </c>
      <c r="J197" s="5">
        <v>0.44166666666666665</v>
      </c>
      <c r="K197" s="1">
        <v>10.0</v>
      </c>
      <c r="L197" s="1">
        <v>35.4</v>
      </c>
    </row>
    <row r="198">
      <c r="A198" s="1" t="s">
        <v>339</v>
      </c>
      <c r="B198" s="2" t="s">
        <v>340</v>
      </c>
      <c r="C198" s="1" t="s">
        <v>341</v>
      </c>
      <c r="D198" s="1">
        <v>-3.0</v>
      </c>
      <c r="E198" s="3">
        <v>40148.447222222225</v>
      </c>
      <c r="F198" s="1">
        <v>4.25</v>
      </c>
      <c r="G198" s="1">
        <v>17592.0</v>
      </c>
      <c r="H198" s="1" t="s">
        <v>14</v>
      </c>
      <c r="I198" s="4">
        <v>40148.0</v>
      </c>
      <c r="J198" s="5">
        <v>0.44722222222222224</v>
      </c>
      <c r="K198" s="1">
        <v>10.0</v>
      </c>
      <c r="L198" s="1">
        <v>-12.75</v>
      </c>
    </row>
    <row r="199">
      <c r="A199" s="1" t="s">
        <v>339</v>
      </c>
      <c r="B199" s="2" t="s">
        <v>342</v>
      </c>
      <c r="C199" s="1" t="s">
        <v>343</v>
      </c>
      <c r="D199" s="1">
        <v>-3.0</v>
      </c>
      <c r="E199" s="3">
        <v>40148.447222222225</v>
      </c>
      <c r="F199" s="1">
        <v>4.25</v>
      </c>
      <c r="G199" s="1">
        <v>17592.0</v>
      </c>
      <c r="H199" s="1" t="s">
        <v>14</v>
      </c>
      <c r="I199" s="4">
        <v>40148.0</v>
      </c>
      <c r="J199" s="5">
        <v>0.44722222222222224</v>
      </c>
      <c r="K199" s="1">
        <v>10.0</v>
      </c>
      <c r="L199" s="1">
        <v>-12.75</v>
      </c>
    </row>
    <row r="200">
      <c r="A200" s="1" t="s">
        <v>339</v>
      </c>
      <c r="B200" s="2" t="s">
        <v>344</v>
      </c>
      <c r="C200" s="1" t="s">
        <v>345</v>
      </c>
      <c r="D200" s="1">
        <v>-3.0</v>
      </c>
      <c r="E200" s="3">
        <v>40148.447222222225</v>
      </c>
      <c r="F200" s="1">
        <v>4.25</v>
      </c>
      <c r="G200" s="1">
        <v>17592.0</v>
      </c>
      <c r="H200" s="1" t="s">
        <v>14</v>
      </c>
      <c r="I200" s="4">
        <v>40148.0</v>
      </c>
      <c r="J200" s="5">
        <v>0.44722222222222224</v>
      </c>
      <c r="K200" s="1">
        <v>10.0</v>
      </c>
      <c r="L200" s="1">
        <v>-12.75</v>
      </c>
    </row>
    <row r="201">
      <c r="A201" s="1" t="s">
        <v>339</v>
      </c>
      <c r="B201" s="2" t="s">
        <v>346</v>
      </c>
      <c r="C201" s="1" t="s">
        <v>347</v>
      </c>
      <c r="D201" s="1">
        <v>-3.0</v>
      </c>
      <c r="E201" s="3">
        <v>40148.447222222225</v>
      </c>
      <c r="F201" s="1">
        <v>4.25</v>
      </c>
      <c r="G201" s="1">
        <v>17592.0</v>
      </c>
      <c r="H201" s="1" t="s">
        <v>14</v>
      </c>
      <c r="I201" s="4">
        <v>40148.0</v>
      </c>
      <c r="J201" s="5">
        <v>0.44722222222222224</v>
      </c>
      <c r="K201" s="1">
        <v>10.0</v>
      </c>
      <c r="L201" s="1">
        <v>-12.75</v>
      </c>
    </row>
    <row r="202">
      <c r="A202" s="1" t="s">
        <v>339</v>
      </c>
      <c r="B202" s="2" t="s">
        <v>348</v>
      </c>
      <c r="C202" s="1" t="s">
        <v>349</v>
      </c>
      <c r="D202" s="1">
        <v>-3.0</v>
      </c>
      <c r="E202" s="3">
        <v>40148.447222222225</v>
      </c>
      <c r="F202" s="1">
        <v>4.25</v>
      </c>
      <c r="G202" s="1">
        <v>17592.0</v>
      </c>
      <c r="H202" s="1" t="s">
        <v>14</v>
      </c>
      <c r="I202" s="4">
        <v>40148.0</v>
      </c>
      <c r="J202" s="5">
        <v>0.44722222222222224</v>
      </c>
      <c r="K202" s="1">
        <v>10.0</v>
      </c>
      <c r="L202" s="1">
        <v>-12.75</v>
      </c>
    </row>
    <row r="203">
      <c r="A203" s="1" t="s">
        <v>339</v>
      </c>
      <c r="B203" s="2" t="s">
        <v>350</v>
      </c>
      <c r="C203" s="1" t="s">
        <v>351</v>
      </c>
      <c r="D203" s="1">
        <v>-3.0</v>
      </c>
      <c r="E203" s="3">
        <v>40148.447222222225</v>
      </c>
      <c r="F203" s="1">
        <v>4.25</v>
      </c>
      <c r="G203" s="1">
        <v>17592.0</v>
      </c>
      <c r="H203" s="1" t="s">
        <v>14</v>
      </c>
      <c r="I203" s="4">
        <v>40148.0</v>
      </c>
      <c r="J203" s="5">
        <v>0.44722222222222224</v>
      </c>
      <c r="K203" s="1">
        <v>10.0</v>
      </c>
      <c r="L203" s="1">
        <v>-12.75</v>
      </c>
    </row>
    <row r="204">
      <c r="A204" s="1" t="s">
        <v>339</v>
      </c>
      <c r="B204" s="2" t="s">
        <v>352</v>
      </c>
      <c r="C204" s="1" t="s">
        <v>353</v>
      </c>
      <c r="D204" s="1">
        <v>-3.0</v>
      </c>
      <c r="E204" s="3">
        <v>40148.447222222225</v>
      </c>
      <c r="F204" s="1">
        <v>4.25</v>
      </c>
      <c r="G204" s="1">
        <v>17592.0</v>
      </c>
      <c r="H204" s="1" t="s">
        <v>14</v>
      </c>
      <c r="I204" s="4">
        <v>40148.0</v>
      </c>
      <c r="J204" s="5">
        <v>0.44722222222222224</v>
      </c>
      <c r="K204" s="1">
        <v>10.0</v>
      </c>
      <c r="L204" s="1">
        <v>-12.75</v>
      </c>
    </row>
    <row r="205">
      <c r="A205" s="1" t="s">
        <v>339</v>
      </c>
      <c r="B205" s="2" t="s">
        <v>354</v>
      </c>
      <c r="C205" s="1" t="s">
        <v>355</v>
      </c>
      <c r="D205" s="1">
        <v>-3.0</v>
      </c>
      <c r="E205" s="3">
        <v>40148.447222222225</v>
      </c>
      <c r="F205" s="1">
        <v>3.75</v>
      </c>
      <c r="G205" s="1">
        <v>17592.0</v>
      </c>
      <c r="H205" s="1" t="s">
        <v>14</v>
      </c>
      <c r="I205" s="4">
        <v>40148.0</v>
      </c>
      <c r="J205" s="5">
        <v>0.44722222222222224</v>
      </c>
      <c r="K205" s="1">
        <v>10.0</v>
      </c>
      <c r="L205" s="1">
        <v>-11.25</v>
      </c>
    </row>
    <row r="206">
      <c r="A206" s="1" t="s">
        <v>339</v>
      </c>
      <c r="B206" s="2" t="s">
        <v>356</v>
      </c>
      <c r="C206" s="1" t="s">
        <v>357</v>
      </c>
      <c r="D206" s="1">
        <v>-3.0</v>
      </c>
      <c r="E206" s="3">
        <v>40148.447222222225</v>
      </c>
      <c r="F206" s="1">
        <v>3.75</v>
      </c>
      <c r="G206" s="1">
        <v>17592.0</v>
      </c>
      <c r="H206" s="1" t="s">
        <v>14</v>
      </c>
      <c r="I206" s="4">
        <v>40148.0</v>
      </c>
      <c r="J206" s="5">
        <v>0.44722222222222224</v>
      </c>
      <c r="K206" s="1">
        <v>10.0</v>
      </c>
      <c r="L206" s="1">
        <v>-11.25</v>
      </c>
    </row>
    <row r="207">
      <c r="A207" s="1" t="s">
        <v>339</v>
      </c>
      <c r="B207" s="2" t="s">
        <v>358</v>
      </c>
      <c r="C207" s="1" t="s">
        <v>359</v>
      </c>
      <c r="D207" s="1">
        <v>-3.0</v>
      </c>
      <c r="E207" s="3">
        <v>40148.447222222225</v>
      </c>
      <c r="F207" s="1">
        <v>3.75</v>
      </c>
      <c r="G207" s="1">
        <v>17592.0</v>
      </c>
      <c r="H207" s="1" t="s">
        <v>14</v>
      </c>
      <c r="I207" s="4">
        <v>40148.0</v>
      </c>
      <c r="J207" s="5">
        <v>0.44722222222222224</v>
      </c>
      <c r="K207" s="1">
        <v>10.0</v>
      </c>
      <c r="L207" s="1">
        <v>-11.25</v>
      </c>
    </row>
    <row r="208">
      <c r="A208" s="1" t="s">
        <v>339</v>
      </c>
      <c r="B208" s="2" t="s">
        <v>360</v>
      </c>
      <c r="C208" s="1" t="s">
        <v>361</v>
      </c>
      <c r="D208" s="1">
        <v>-3.0</v>
      </c>
      <c r="E208" s="3">
        <v>40148.447222222225</v>
      </c>
      <c r="F208" s="1">
        <v>2.1</v>
      </c>
      <c r="G208" s="1">
        <v>17592.0</v>
      </c>
      <c r="H208" s="1" t="s">
        <v>14</v>
      </c>
      <c r="I208" s="4">
        <v>40148.0</v>
      </c>
      <c r="J208" s="5">
        <v>0.44722222222222224</v>
      </c>
      <c r="K208" s="1">
        <v>10.0</v>
      </c>
      <c r="L208" s="1">
        <v>-6.3</v>
      </c>
    </row>
    <row r="209">
      <c r="A209" s="1" t="s">
        <v>339</v>
      </c>
      <c r="B209" s="2" t="s">
        <v>362</v>
      </c>
      <c r="C209" s="1" t="s">
        <v>363</v>
      </c>
      <c r="D209" s="1">
        <v>-3.0</v>
      </c>
      <c r="E209" s="3">
        <v>40148.447222222225</v>
      </c>
      <c r="F209" s="1">
        <v>2.1</v>
      </c>
      <c r="G209" s="1">
        <v>17592.0</v>
      </c>
      <c r="H209" s="1" t="s">
        <v>14</v>
      </c>
      <c r="I209" s="4">
        <v>40148.0</v>
      </c>
      <c r="J209" s="5">
        <v>0.44722222222222224</v>
      </c>
      <c r="K209" s="1">
        <v>10.0</v>
      </c>
      <c r="L209" s="1">
        <v>-6.3</v>
      </c>
    </row>
    <row r="210">
      <c r="A210" s="1" t="s">
        <v>339</v>
      </c>
      <c r="B210" s="2" t="s">
        <v>364</v>
      </c>
      <c r="C210" s="1" t="s">
        <v>365</v>
      </c>
      <c r="D210" s="1">
        <v>-2.0</v>
      </c>
      <c r="E210" s="3">
        <v>40148.447222222225</v>
      </c>
      <c r="F210" s="1">
        <v>6.35</v>
      </c>
      <c r="G210" s="1">
        <v>17592.0</v>
      </c>
      <c r="H210" s="1" t="s">
        <v>14</v>
      </c>
      <c r="I210" s="4">
        <v>40148.0</v>
      </c>
      <c r="J210" s="5">
        <v>0.44722222222222224</v>
      </c>
      <c r="K210" s="1">
        <v>10.0</v>
      </c>
      <c r="L210" s="1">
        <v>-12.7</v>
      </c>
    </row>
    <row r="211">
      <c r="A211" s="1">
        <v>489460.0</v>
      </c>
      <c r="B211" s="2" t="s">
        <v>15</v>
      </c>
      <c r="C211" s="1" t="s">
        <v>16</v>
      </c>
      <c r="D211" s="1">
        <v>8.0</v>
      </c>
      <c r="E211" s="3">
        <v>40148.44861111111</v>
      </c>
      <c r="F211" s="1">
        <v>6.75</v>
      </c>
      <c r="G211" s="1">
        <v>16167.0</v>
      </c>
      <c r="H211" s="1" t="s">
        <v>14</v>
      </c>
      <c r="I211" s="4">
        <v>40148.0</v>
      </c>
      <c r="J211" s="5">
        <v>0.4486111111111111</v>
      </c>
      <c r="K211" s="1">
        <v>10.0</v>
      </c>
      <c r="L211" s="1">
        <v>54.0</v>
      </c>
    </row>
    <row r="212">
      <c r="A212" s="1">
        <v>489460.0</v>
      </c>
      <c r="B212" s="2" t="s">
        <v>366</v>
      </c>
      <c r="C212" s="1" t="s">
        <v>367</v>
      </c>
      <c r="D212" s="1">
        <v>24.0</v>
      </c>
      <c r="E212" s="3">
        <v>40148.44861111111</v>
      </c>
      <c r="F212" s="1">
        <v>0.55</v>
      </c>
      <c r="G212" s="1">
        <v>16167.0</v>
      </c>
      <c r="H212" s="1" t="s">
        <v>14</v>
      </c>
      <c r="I212" s="4">
        <v>40148.0</v>
      </c>
      <c r="J212" s="5">
        <v>0.4486111111111111</v>
      </c>
      <c r="K212" s="1">
        <v>10.0</v>
      </c>
      <c r="L212" s="1">
        <v>13.2</v>
      </c>
    </row>
    <row r="213">
      <c r="A213" s="1">
        <v>489460.0</v>
      </c>
      <c r="B213" s="2" t="s">
        <v>368</v>
      </c>
      <c r="C213" s="1" t="s">
        <v>369</v>
      </c>
      <c r="D213" s="1">
        <v>24.0</v>
      </c>
      <c r="E213" s="3">
        <v>40148.44861111111</v>
      </c>
      <c r="F213" s="1">
        <v>0.55</v>
      </c>
      <c r="G213" s="1">
        <v>16167.0</v>
      </c>
      <c r="H213" s="1" t="s">
        <v>14</v>
      </c>
      <c r="I213" s="4">
        <v>40148.0</v>
      </c>
      <c r="J213" s="5">
        <v>0.4486111111111111</v>
      </c>
      <c r="K213" s="1">
        <v>10.0</v>
      </c>
      <c r="L213" s="1">
        <v>13.2</v>
      </c>
    </row>
    <row r="214">
      <c r="A214" s="1">
        <v>489460.0</v>
      </c>
      <c r="B214" s="2" t="s">
        <v>113</v>
      </c>
      <c r="C214" s="1" t="s">
        <v>114</v>
      </c>
      <c r="D214" s="1">
        <v>6.0</v>
      </c>
      <c r="E214" s="3">
        <v>40148.44861111111</v>
      </c>
      <c r="F214" s="1">
        <v>2.95</v>
      </c>
      <c r="G214" s="1">
        <v>16167.0</v>
      </c>
      <c r="H214" s="1" t="s">
        <v>14</v>
      </c>
      <c r="I214" s="4">
        <v>40148.0</v>
      </c>
      <c r="J214" s="5">
        <v>0.4486111111111111</v>
      </c>
      <c r="K214" s="1">
        <v>10.0</v>
      </c>
      <c r="L214" s="1">
        <v>17.7</v>
      </c>
    </row>
    <row r="215">
      <c r="A215" s="1">
        <v>489460.0</v>
      </c>
      <c r="B215" s="2" t="s">
        <v>370</v>
      </c>
      <c r="C215" s="1" t="s">
        <v>371</v>
      </c>
      <c r="D215" s="1">
        <v>6.0</v>
      </c>
      <c r="E215" s="3">
        <v>40148.44861111111</v>
      </c>
      <c r="F215" s="1">
        <v>2.95</v>
      </c>
      <c r="G215" s="1">
        <v>16167.0</v>
      </c>
      <c r="H215" s="1" t="s">
        <v>14</v>
      </c>
      <c r="I215" s="4">
        <v>40148.0</v>
      </c>
      <c r="J215" s="5">
        <v>0.4486111111111111</v>
      </c>
      <c r="K215" s="1">
        <v>10.0</v>
      </c>
      <c r="L215" s="1">
        <v>17.7</v>
      </c>
    </row>
    <row r="216">
      <c r="A216" s="1">
        <v>489460.0</v>
      </c>
      <c r="B216" s="2" t="s">
        <v>372</v>
      </c>
      <c r="C216" s="1" t="s">
        <v>373</v>
      </c>
      <c r="D216" s="1">
        <v>4.0</v>
      </c>
      <c r="E216" s="3">
        <v>40148.44861111111</v>
      </c>
      <c r="F216" s="1">
        <v>6.75</v>
      </c>
      <c r="G216" s="1">
        <v>16167.0</v>
      </c>
      <c r="H216" s="1" t="s">
        <v>14</v>
      </c>
      <c r="I216" s="4">
        <v>40148.0</v>
      </c>
      <c r="J216" s="5">
        <v>0.4486111111111111</v>
      </c>
      <c r="K216" s="1">
        <v>10.0</v>
      </c>
      <c r="L216" s="1">
        <v>27.0</v>
      </c>
    </row>
    <row r="217">
      <c r="A217" s="1">
        <v>489460.0</v>
      </c>
      <c r="B217" s="2" t="s">
        <v>374</v>
      </c>
      <c r="C217" s="1" t="s">
        <v>375</v>
      </c>
      <c r="D217" s="1">
        <v>3.0</v>
      </c>
      <c r="E217" s="3">
        <v>40148.44861111111</v>
      </c>
      <c r="F217" s="1">
        <v>5.95</v>
      </c>
      <c r="G217" s="1">
        <v>16167.0</v>
      </c>
      <c r="H217" s="1" t="s">
        <v>14</v>
      </c>
      <c r="I217" s="4">
        <v>40148.0</v>
      </c>
      <c r="J217" s="5">
        <v>0.4486111111111111</v>
      </c>
      <c r="K217" s="1">
        <v>10.0</v>
      </c>
      <c r="L217" s="1">
        <v>17.85</v>
      </c>
    </row>
    <row r="218">
      <c r="A218" s="1">
        <v>489460.0</v>
      </c>
      <c r="B218" s="2" t="s">
        <v>376</v>
      </c>
      <c r="C218" s="1" t="s">
        <v>377</v>
      </c>
      <c r="D218" s="1">
        <v>8.0</v>
      </c>
      <c r="E218" s="3">
        <v>40148.44861111111</v>
      </c>
      <c r="F218" s="1">
        <v>1.65</v>
      </c>
      <c r="G218" s="1">
        <v>16167.0</v>
      </c>
      <c r="H218" s="1" t="s">
        <v>14</v>
      </c>
      <c r="I218" s="4">
        <v>40148.0</v>
      </c>
      <c r="J218" s="5">
        <v>0.4486111111111111</v>
      </c>
      <c r="K218" s="1">
        <v>10.0</v>
      </c>
      <c r="L218" s="1">
        <v>13.2</v>
      </c>
    </row>
    <row r="219">
      <c r="A219" s="1">
        <v>489460.0</v>
      </c>
      <c r="B219" s="2" t="s">
        <v>378</v>
      </c>
      <c r="C219" s="1" t="s">
        <v>379</v>
      </c>
      <c r="D219" s="1">
        <v>576.0</v>
      </c>
      <c r="E219" s="3">
        <v>40148.44861111111</v>
      </c>
      <c r="F219" s="1">
        <v>0.21</v>
      </c>
      <c r="G219" s="1">
        <v>16167.0</v>
      </c>
      <c r="H219" s="1" t="s">
        <v>14</v>
      </c>
      <c r="I219" s="4">
        <v>40148.0</v>
      </c>
      <c r="J219" s="5">
        <v>0.4486111111111111</v>
      </c>
      <c r="K219" s="1">
        <v>10.0</v>
      </c>
      <c r="L219" s="1">
        <v>120.96</v>
      </c>
    </row>
    <row r="220">
      <c r="A220" s="1">
        <v>489460.0</v>
      </c>
      <c r="B220" s="2" t="s">
        <v>17</v>
      </c>
      <c r="C220" s="1" t="s">
        <v>18</v>
      </c>
      <c r="D220" s="1">
        <v>8.0</v>
      </c>
      <c r="E220" s="3">
        <v>40148.44861111111</v>
      </c>
      <c r="F220" s="1">
        <v>6.75</v>
      </c>
      <c r="G220" s="1">
        <v>16167.0</v>
      </c>
      <c r="H220" s="1" t="s">
        <v>14</v>
      </c>
      <c r="I220" s="4">
        <v>40148.0</v>
      </c>
      <c r="J220" s="5">
        <v>0.4486111111111111</v>
      </c>
      <c r="K220" s="1">
        <v>10.0</v>
      </c>
      <c r="L220" s="1">
        <v>54.0</v>
      </c>
    </row>
    <row r="221">
      <c r="A221" s="1">
        <v>489460.0</v>
      </c>
      <c r="B221" s="2" t="s">
        <v>156</v>
      </c>
      <c r="C221" s="1" t="s">
        <v>157</v>
      </c>
      <c r="D221" s="1">
        <v>3.0</v>
      </c>
      <c r="E221" s="3">
        <v>40148.44861111111</v>
      </c>
      <c r="F221" s="1">
        <v>4.95</v>
      </c>
      <c r="G221" s="1">
        <v>16167.0</v>
      </c>
      <c r="H221" s="1" t="s">
        <v>14</v>
      </c>
      <c r="I221" s="4">
        <v>40148.0</v>
      </c>
      <c r="J221" s="5">
        <v>0.4486111111111111</v>
      </c>
      <c r="K221" s="1">
        <v>10.0</v>
      </c>
      <c r="L221" s="1">
        <v>14.85</v>
      </c>
    </row>
    <row r="222">
      <c r="A222" s="1">
        <v>489460.0</v>
      </c>
      <c r="B222" s="2" t="s">
        <v>158</v>
      </c>
      <c r="C222" s="1" t="s">
        <v>159</v>
      </c>
      <c r="D222" s="1">
        <v>3.0</v>
      </c>
      <c r="E222" s="3">
        <v>40148.44861111111</v>
      </c>
      <c r="F222" s="1">
        <v>4.95</v>
      </c>
      <c r="G222" s="1">
        <v>16167.0</v>
      </c>
      <c r="H222" s="1" t="s">
        <v>14</v>
      </c>
      <c r="I222" s="4">
        <v>40148.0</v>
      </c>
      <c r="J222" s="5">
        <v>0.4486111111111111</v>
      </c>
      <c r="K222" s="1">
        <v>10.0</v>
      </c>
      <c r="L222" s="1">
        <v>14.85</v>
      </c>
    </row>
    <row r="223">
      <c r="A223" s="1">
        <v>489460.0</v>
      </c>
      <c r="B223" s="2" t="s">
        <v>380</v>
      </c>
      <c r="C223" s="1" t="s">
        <v>381</v>
      </c>
      <c r="D223" s="1">
        <v>4.0</v>
      </c>
      <c r="E223" s="3">
        <v>40148.44861111111</v>
      </c>
      <c r="F223" s="1">
        <v>6.75</v>
      </c>
      <c r="G223" s="1">
        <v>16167.0</v>
      </c>
      <c r="H223" s="1" t="s">
        <v>14</v>
      </c>
      <c r="I223" s="4">
        <v>40148.0</v>
      </c>
      <c r="J223" s="5">
        <v>0.4486111111111111</v>
      </c>
      <c r="K223" s="1">
        <v>10.0</v>
      </c>
      <c r="L223" s="1">
        <v>27.0</v>
      </c>
    </row>
    <row r="224">
      <c r="A224" s="1">
        <v>489460.0</v>
      </c>
      <c r="B224" s="2" t="s">
        <v>178</v>
      </c>
      <c r="C224" s="1" t="s">
        <v>179</v>
      </c>
      <c r="D224" s="1">
        <v>12.0</v>
      </c>
      <c r="E224" s="3">
        <v>40148.44861111111</v>
      </c>
      <c r="F224" s="1">
        <v>1.65</v>
      </c>
      <c r="G224" s="1">
        <v>16167.0</v>
      </c>
      <c r="H224" s="1" t="s">
        <v>14</v>
      </c>
      <c r="I224" s="4">
        <v>40148.0</v>
      </c>
      <c r="J224" s="5">
        <v>0.4486111111111111</v>
      </c>
      <c r="K224" s="1">
        <v>10.0</v>
      </c>
      <c r="L224" s="1">
        <v>19.7999999999999</v>
      </c>
    </row>
    <row r="225">
      <c r="A225" s="1">
        <v>489460.0</v>
      </c>
      <c r="B225" s="2" t="s">
        <v>382</v>
      </c>
      <c r="C225" s="1" t="s">
        <v>383</v>
      </c>
      <c r="D225" s="1">
        <v>288.0</v>
      </c>
      <c r="E225" s="3">
        <v>40148.44861111111</v>
      </c>
      <c r="F225" s="1">
        <v>0.21</v>
      </c>
      <c r="G225" s="1">
        <v>16167.0</v>
      </c>
      <c r="H225" s="1" t="s">
        <v>14</v>
      </c>
      <c r="I225" s="4">
        <v>40148.0</v>
      </c>
      <c r="J225" s="5">
        <v>0.4486111111111111</v>
      </c>
      <c r="K225" s="1">
        <v>10.0</v>
      </c>
      <c r="L225" s="1">
        <v>60.48</v>
      </c>
    </row>
    <row r="226">
      <c r="A226" s="1">
        <v>489461.0</v>
      </c>
      <c r="B226" s="2" t="s">
        <v>384</v>
      </c>
      <c r="C226" s="1" t="s">
        <v>385</v>
      </c>
      <c r="D226" s="1">
        <v>24.0</v>
      </c>
      <c r="E226" s="3">
        <v>40148.450694444444</v>
      </c>
      <c r="F226" s="1">
        <v>1.25</v>
      </c>
      <c r="G226" s="1">
        <v>17865.0</v>
      </c>
      <c r="H226" s="1" t="s">
        <v>14</v>
      </c>
      <c r="I226" s="4">
        <v>40148.0</v>
      </c>
      <c r="J226" s="5">
        <v>0.45069444444444445</v>
      </c>
      <c r="K226" s="1">
        <v>10.0</v>
      </c>
      <c r="L226" s="1">
        <v>30.0</v>
      </c>
    </row>
    <row r="227">
      <c r="A227" s="1">
        <v>489461.0</v>
      </c>
      <c r="B227" s="2" t="s">
        <v>386</v>
      </c>
      <c r="C227" s="1" t="s">
        <v>387</v>
      </c>
      <c r="D227" s="1">
        <v>24.0</v>
      </c>
      <c r="E227" s="3">
        <v>40148.450694444444</v>
      </c>
      <c r="F227" s="1">
        <v>1.25</v>
      </c>
      <c r="G227" s="1">
        <v>17865.0</v>
      </c>
      <c r="H227" s="1" t="s">
        <v>14</v>
      </c>
      <c r="I227" s="4">
        <v>40148.0</v>
      </c>
      <c r="J227" s="5">
        <v>0.45069444444444445</v>
      </c>
      <c r="K227" s="1">
        <v>10.0</v>
      </c>
      <c r="L227" s="1">
        <v>30.0</v>
      </c>
    </row>
    <row r="228">
      <c r="A228" s="1">
        <v>489461.0</v>
      </c>
      <c r="B228" s="2" t="s">
        <v>388</v>
      </c>
      <c r="C228" s="1" t="s">
        <v>389</v>
      </c>
      <c r="D228" s="1">
        <v>24.0</v>
      </c>
      <c r="E228" s="3">
        <v>40148.450694444444</v>
      </c>
      <c r="F228" s="1">
        <v>1.25</v>
      </c>
      <c r="G228" s="1">
        <v>17865.0</v>
      </c>
      <c r="H228" s="1" t="s">
        <v>14</v>
      </c>
      <c r="I228" s="4">
        <v>40148.0</v>
      </c>
      <c r="J228" s="5">
        <v>0.45069444444444445</v>
      </c>
      <c r="K228" s="1">
        <v>10.0</v>
      </c>
      <c r="L228" s="1">
        <v>30.0</v>
      </c>
    </row>
    <row r="229">
      <c r="A229" s="1">
        <v>489461.0</v>
      </c>
      <c r="B229" s="2" t="s">
        <v>281</v>
      </c>
      <c r="C229" s="1" t="s">
        <v>282</v>
      </c>
      <c r="D229" s="1">
        <v>24.0</v>
      </c>
      <c r="E229" s="3">
        <v>40148.450694444444</v>
      </c>
      <c r="F229" s="1">
        <v>1.25</v>
      </c>
      <c r="G229" s="1">
        <v>17865.0</v>
      </c>
      <c r="H229" s="1" t="s">
        <v>14</v>
      </c>
      <c r="I229" s="4">
        <v>40148.0</v>
      </c>
      <c r="J229" s="5">
        <v>0.45069444444444445</v>
      </c>
      <c r="K229" s="1">
        <v>10.0</v>
      </c>
      <c r="L229" s="1">
        <v>30.0</v>
      </c>
    </row>
    <row r="230">
      <c r="A230" s="1">
        <v>489461.0</v>
      </c>
      <c r="B230" s="2" t="s">
        <v>390</v>
      </c>
      <c r="C230" s="1" t="s">
        <v>391</v>
      </c>
      <c r="D230" s="1">
        <v>24.0</v>
      </c>
      <c r="E230" s="3">
        <v>40148.450694444444</v>
      </c>
      <c r="F230" s="1">
        <v>1.25</v>
      </c>
      <c r="G230" s="1">
        <v>17865.0</v>
      </c>
      <c r="H230" s="1" t="s">
        <v>14</v>
      </c>
      <c r="I230" s="4">
        <v>40148.0</v>
      </c>
      <c r="J230" s="5">
        <v>0.45069444444444445</v>
      </c>
      <c r="K230" s="1">
        <v>10.0</v>
      </c>
      <c r="L230" s="1">
        <v>30.0</v>
      </c>
    </row>
    <row r="231">
      <c r="A231" s="1">
        <v>489461.0</v>
      </c>
      <c r="B231" s="2" t="s">
        <v>392</v>
      </c>
      <c r="C231" s="1" t="s">
        <v>393</v>
      </c>
      <c r="D231" s="1">
        <v>24.0</v>
      </c>
      <c r="E231" s="3">
        <v>40148.450694444444</v>
      </c>
      <c r="F231" s="1">
        <v>1.25</v>
      </c>
      <c r="G231" s="1">
        <v>17865.0</v>
      </c>
      <c r="H231" s="1" t="s">
        <v>14</v>
      </c>
      <c r="I231" s="4">
        <v>40148.0</v>
      </c>
      <c r="J231" s="5">
        <v>0.45069444444444445</v>
      </c>
      <c r="K231" s="1">
        <v>10.0</v>
      </c>
      <c r="L231" s="1">
        <v>30.0</v>
      </c>
    </row>
    <row r="232">
      <c r="A232" s="1">
        <v>489461.0</v>
      </c>
      <c r="B232" s="2" t="s">
        <v>279</v>
      </c>
      <c r="C232" s="1" t="s">
        <v>280</v>
      </c>
      <c r="D232" s="1">
        <v>3.0</v>
      </c>
      <c r="E232" s="3">
        <v>40148.450694444444</v>
      </c>
      <c r="F232" s="1">
        <v>5.95</v>
      </c>
      <c r="G232" s="1">
        <v>17865.0</v>
      </c>
      <c r="H232" s="1" t="s">
        <v>14</v>
      </c>
      <c r="I232" s="4">
        <v>40148.0</v>
      </c>
      <c r="J232" s="5">
        <v>0.45069444444444445</v>
      </c>
      <c r="K232" s="1">
        <v>10.0</v>
      </c>
      <c r="L232" s="1">
        <v>17.85</v>
      </c>
    </row>
    <row r="233">
      <c r="A233" s="1">
        <v>489461.0</v>
      </c>
      <c r="B233" s="2" t="s">
        <v>21</v>
      </c>
      <c r="C233" s="1" t="s">
        <v>22</v>
      </c>
      <c r="D233" s="1">
        <v>48.0</v>
      </c>
      <c r="E233" s="3">
        <v>40148.450694444444</v>
      </c>
      <c r="F233" s="1">
        <v>1.25</v>
      </c>
      <c r="G233" s="1">
        <v>17865.0</v>
      </c>
      <c r="H233" s="1" t="s">
        <v>14</v>
      </c>
      <c r="I233" s="4">
        <v>40148.0</v>
      </c>
      <c r="J233" s="5">
        <v>0.45069444444444445</v>
      </c>
      <c r="K233" s="1">
        <v>10.0</v>
      </c>
      <c r="L233" s="1">
        <v>60.0</v>
      </c>
    </row>
    <row r="234">
      <c r="A234" s="1">
        <v>489461.0</v>
      </c>
      <c r="B234" s="2" t="s">
        <v>394</v>
      </c>
      <c r="C234" s="1" t="s">
        <v>395</v>
      </c>
      <c r="D234" s="1">
        <v>6.0</v>
      </c>
      <c r="E234" s="3">
        <v>40148.450694444444</v>
      </c>
      <c r="F234" s="1">
        <v>2.95</v>
      </c>
      <c r="G234" s="1">
        <v>17865.0</v>
      </c>
      <c r="H234" s="1" t="s">
        <v>14</v>
      </c>
      <c r="I234" s="4">
        <v>40148.0</v>
      </c>
      <c r="J234" s="5">
        <v>0.45069444444444445</v>
      </c>
      <c r="K234" s="1">
        <v>10.0</v>
      </c>
      <c r="L234" s="1">
        <v>17.7</v>
      </c>
    </row>
    <row r="235">
      <c r="A235" s="1">
        <v>489461.0</v>
      </c>
      <c r="B235" s="2" t="s">
        <v>396</v>
      </c>
      <c r="C235" s="1" t="s">
        <v>397</v>
      </c>
      <c r="D235" s="1">
        <v>6.0</v>
      </c>
      <c r="E235" s="3">
        <v>40148.450694444444</v>
      </c>
      <c r="F235" s="1">
        <v>2.95</v>
      </c>
      <c r="G235" s="1">
        <v>17865.0</v>
      </c>
      <c r="H235" s="1" t="s">
        <v>14</v>
      </c>
      <c r="I235" s="4">
        <v>40148.0</v>
      </c>
      <c r="J235" s="5">
        <v>0.45069444444444445</v>
      </c>
      <c r="K235" s="1">
        <v>10.0</v>
      </c>
      <c r="L235" s="1">
        <v>17.7</v>
      </c>
    </row>
    <row r="236">
      <c r="A236" s="1">
        <v>489461.0</v>
      </c>
      <c r="B236" s="2" t="s">
        <v>398</v>
      </c>
      <c r="C236" s="1" t="s">
        <v>399</v>
      </c>
      <c r="D236" s="1">
        <v>12.0</v>
      </c>
      <c r="E236" s="3">
        <v>40148.450694444444</v>
      </c>
      <c r="F236" s="1">
        <v>1.45</v>
      </c>
      <c r="G236" s="1">
        <v>17865.0</v>
      </c>
      <c r="H236" s="1" t="s">
        <v>14</v>
      </c>
      <c r="I236" s="4">
        <v>40148.0</v>
      </c>
      <c r="J236" s="5">
        <v>0.45069444444444445</v>
      </c>
      <c r="K236" s="1">
        <v>10.0</v>
      </c>
      <c r="L236" s="1">
        <v>17.4</v>
      </c>
    </row>
    <row r="237">
      <c r="A237" s="1">
        <v>489461.0</v>
      </c>
      <c r="B237" s="2" t="s">
        <v>400</v>
      </c>
      <c r="C237" s="1" t="s">
        <v>401</v>
      </c>
      <c r="D237" s="1">
        <v>12.0</v>
      </c>
      <c r="E237" s="3">
        <v>40148.450694444444</v>
      </c>
      <c r="F237" s="1">
        <v>1.45</v>
      </c>
      <c r="G237" s="1">
        <v>17865.0</v>
      </c>
      <c r="H237" s="1" t="s">
        <v>14</v>
      </c>
      <c r="I237" s="4">
        <v>40148.0</v>
      </c>
      <c r="J237" s="5">
        <v>0.45069444444444445</v>
      </c>
      <c r="K237" s="1">
        <v>10.0</v>
      </c>
      <c r="L237" s="1">
        <v>17.4</v>
      </c>
    </row>
    <row r="238">
      <c r="A238" s="1">
        <v>489461.0</v>
      </c>
      <c r="B238" s="2" t="s">
        <v>402</v>
      </c>
      <c r="C238" s="1" t="s">
        <v>403</v>
      </c>
      <c r="D238" s="1">
        <v>12.0</v>
      </c>
      <c r="E238" s="3">
        <v>40148.450694444444</v>
      </c>
      <c r="F238" s="1">
        <v>1.45</v>
      </c>
      <c r="G238" s="1">
        <v>17865.0</v>
      </c>
      <c r="H238" s="1" t="s">
        <v>14</v>
      </c>
      <c r="I238" s="4">
        <v>40148.0</v>
      </c>
      <c r="J238" s="5">
        <v>0.45069444444444445</v>
      </c>
      <c r="K238" s="1">
        <v>10.0</v>
      </c>
      <c r="L238" s="1">
        <v>17.4</v>
      </c>
    </row>
    <row r="239">
      <c r="A239" s="1">
        <v>489461.0</v>
      </c>
      <c r="B239" s="2" t="s">
        <v>404</v>
      </c>
      <c r="C239" s="1" t="s">
        <v>405</v>
      </c>
      <c r="D239" s="1">
        <v>12.0</v>
      </c>
      <c r="E239" s="3">
        <v>40148.450694444444</v>
      </c>
      <c r="F239" s="1">
        <v>1.45</v>
      </c>
      <c r="G239" s="1">
        <v>17865.0</v>
      </c>
      <c r="H239" s="1" t="s">
        <v>14</v>
      </c>
      <c r="I239" s="4">
        <v>40148.0</v>
      </c>
      <c r="J239" s="5">
        <v>0.45069444444444445</v>
      </c>
      <c r="K239" s="1">
        <v>10.0</v>
      </c>
      <c r="L239" s="1">
        <v>17.4</v>
      </c>
    </row>
    <row r="240">
      <c r="A240" s="1">
        <v>489461.0</v>
      </c>
      <c r="B240" s="2" t="s">
        <v>61</v>
      </c>
      <c r="C240" s="1" t="s">
        <v>62</v>
      </c>
      <c r="D240" s="1">
        <v>12.0</v>
      </c>
      <c r="E240" s="3">
        <v>40148.450694444444</v>
      </c>
      <c r="F240" s="1">
        <v>2.1</v>
      </c>
      <c r="G240" s="1">
        <v>17865.0</v>
      </c>
      <c r="H240" s="1" t="s">
        <v>14</v>
      </c>
      <c r="I240" s="4">
        <v>40148.0</v>
      </c>
      <c r="J240" s="5">
        <v>0.45069444444444445</v>
      </c>
      <c r="K240" s="1">
        <v>10.0</v>
      </c>
      <c r="L240" s="1">
        <v>25.2</v>
      </c>
    </row>
    <row r="241">
      <c r="A241" s="1">
        <v>489461.0</v>
      </c>
      <c r="B241" s="2" t="s">
        <v>63</v>
      </c>
      <c r="C241" s="1" t="s">
        <v>64</v>
      </c>
      <c r="D241" s="1">
        <v>6.0</v>
      </c>
      <c r="E241" s="3">
        <v>40148.450694444444</v>
      </c>
      <c r="F241" s="1">
        <v>2.1</v>
      </c>
      <c r="G241" s="1">
        <v>17865.0</v>
      </c>
      <c r="H241" s="1" t="s">
        <v>14</v>
      </c>
      <c r="I241" s="4">
        <v>40148.0</v>
      </c>
      <c r="J241" s="5">
        <v>0.45069444444444445</v>
      </c>
      <c r="K241" s="1">
        <v>10.0</v>
      </c>
      <c r="L241" s="1">
        <v>12.6</v>
      </c>
    </row>
    <row r="242">
      <c r="A242" s="1">
        <v>489461.0</v>
      </c>
      <c r="B242" s="2" t="s">
        <v>238</v>
      </c>
      <c r="C242" s="1" t="s">
        <v>239</v>
      </c>
      <c r="D242" s="1">
        <v>6.0</v>
      </c>
      <c r="E242" s="3">
        <v>40148.450694444444</v>
      </c>
      <c r="F242" s="1">
        <v>2.55</v>
      </c>
      <c r="G242" s="1">
        <v>17865.0</v>
      </c>
      <c r="H242" s="1" t="s">
        <v>14</v>
      </c>
      <c r="I242" s="4">
        <v>40148.0</v>
      </c>
      <c r="J242" s="5">
        <v>0.45069444444444445</v>
      </c>
      <c r="K242" s="1">
        <v>10.0</v>
      </c>
      <c r="L242" s="1">
        <v>15.2999999999999</v>
      </c>
    </row>
    <row r="243">
      <c r="A243" s="1">
        <v>489461.0</v>
      </c>
      <c r="B243" s="2" t="s">
        <v>406</v>
      </c>
      <c r="C243" s="1" t="s">
        <v>407</v>
      </c>
      <c r="D243" s="1">
        <v>6.0</v>
      </c>
      <c r="E243" s="3">
        <v>40148.450694444444</v>
      </c>
      <c r="F243" s="1">
        <v>2.95</v>
      </c>
      <c r="G243" s="1">
        <v>17865.0</v>
      </c>
      <c r="H243" s="1" t="s">
        <v>14</v>
      </c>
      <c r="I243" s="4">
        <v>40148.0</v>
      </c>
      <c r="J243" s="5">
        <v>0.45069444444444445</v>
      </c>
      <c r="K243" s="1">
        <v>10.0</v>
      </c>
      <c r="L243" s="1">
        <v>17.7</v>
      </c>
    </row>
    <row r="244">
      <c r="A244" s="1">
        <v>489461.0</v>
      </c>
      <c r="B244" s="2" t="s">
        <v>408</v>
      </c>
      <c r="C244" s="1" t="s">
        <v>409</v>
      </c>
      <c r="D244" s="1">
        <v>2.0</v>
      </c>
      <c r="E244" s="3">
        <v>40148.450694444444</v>
      </c>
      <c r="F244" s="1">
        <v>7.95</v>
      </c>
      <c r="G244" s="1">
        <v>17865.0</v>
      </c>
      <c r="H244" s="1" t="s">
        <v>14</v>
      </c>
      <c r="I244" s="4">
        <v>40148.0</v>
      </c>
      <c r="J244" s="5">
        <v>0.45069444444444445</v>
      </c>
      <c r="K244" s="1">
        <v>10.0</v>
      </c>
      <c r="L244" s="1">
        <v>15.9</v>
      </c>
    </row>
    <row r="245">
      <c r="A245" s="1">
        <v>489461.0</v>
      </c>
      <c r="B245" s="2" t="s">
        <v>410</v>
      </c>
      <c r="C245" s="1" t="s">
        <v>411</v>
      </c>
      <c r="D245" s="1">
        <v>3.0</v>
      </c>
      <c r="E245" s="3">
        <v>40148.450694444444</v>
      </c>
      <c r="F245" s="1">
        <v>5.95</v>
      </c>
      <c r="G245" s="1">
        <v>17865.0</v>
      </c>
      <c r="H245" s="1" t="s">
        <v>14</v>
      </c>
      <c r="I245" s="4">
        <v>40148.0</v>
      </c>
      <c r="J245" s="5">
        <v>0.45069444444444445</v>
      </c>
      <c r="K245" s="1">
        <v>10.0</v>
      </c>
      <c r="L245" s="1">
        <v>17.85</v>
      </c>
    </row>
    <row r="246">
      <c r="A246" s="1">
        <v>489462.0</v>
      </c>
      <c r="B246" s="2" t="s">
        <v>342</v>
      </c>
      <c r="C246" s="1" t="s">
        <v>343</v>
      </c>
      <c r="D246" s="1">
        <v>3.0</v>
      </c>
      <c r="E246" s="3">
        <v>40148.450694444444</v>
      </c>
      <c r="F246" s="1">
        <v>4.25</v>
      </c>
      <c r="G246" s="1">
        <v>17592.0</v>
      </c>
      <c r="H246" s="1" t="s">
        <v>14</v>
      </c>
      <c r="I246" s="4">
        <v>40148.0</v>
      </c>
      <c r="J246" s="5">
        <v>0.45069444444444445</v>
      </c>
      <c r="K246" s="1">
        <v>10.0</v>
      </c>
      <c r="L246" s="1">
        <v>12.75</v>
      </c>
    </row>
    <row r="247">
      <c r="A247" s="1">
        <v>489462.0</v>
      </c>
      <c r="B247" s="2" t="s">
        <v>346</v>
      </c>
      <c r="C247" s="1" t="s">
        <v>347</v>
      </c>
      <c r="D247" s="1">
        <v>3.0</v>
      </c>
      <c r="E247" s="3">
        <v>40148.450694444444</v>
      </c>
      <c r="F247" s="1">
        <v>4.25</v>
      </c>
      <c r="G247" s="1">
        <v>17592.0</v>
      </c>
      <c r="H247" s="1" t="s">
        <v>14</v>
      </c>
      <c r="I247" s="4">
        <v>40148.0</v>
      </c>
      <c r="J247" s="5">
        <v>0.45069444444444445</v>
      </c>
      <c r="K247" s="1">
        <v>10.0</v>
      </c>
      <c r="L247" s="1">
        <v>12.75</v>
      </c>
    </row>
    <row r="248">
      <c r="A248" s="1">
        <v>489461.0</v>
      </c>
      <c r="B248" s="2" t="s">
        <v>412</v>
      </c>
      <c r="C248" s="1" t="s">
        <v>413</v>
      </c>
      <c r="D248" s="1">
        <v>24.0</v>
      </c>
      <c r="E248" s="3">
        <v>40148.450694444444</v>
      </c>
      <c r="F248" s="1">
        <v>0.55</v>
      </c>
      <c r="G248" s="1">
        <v>17865.0</v>
      </c>
      <c r="H248" s="1" t="s">
        <v>14</v>
      </c>
      <c r="I248" s="4">
        <v>40148.0</v>
      </c>
      <c r="J248" s="5">
        <v>0.45069444444444445</v>
      </c>
      <c r="K248" s="1">
        <v>10.0</v>
      </c>
      <c r="L248" s="1">
        <v>13.2</v>
      </c>
    </row>
    <row r="249">
      <c r="A249" s="1">
        <v>489461.0</v>
      </c>
      <c r="B249" s="2" t="s">
        <v>368</v>
      </c>
      <c r="C249" s="1" t="s">
        <v>369</v>
      </c>
      <c r="D249" s="1">
        <v>24.0</v>
      </c>
      <c r="E249" s="3">
        <v>40148.450694444444</v>
      </c>
      <c r="F249" s="1">
        <v>0.55</v>
      </c>
      <c r="G249" s="1">
        <v>17865.0</v>
      </c>
      <c r="H249" s="1" t="s">
        <v>14</v>
      </c>
      <c r="I249" s="4">
        <v>40148.0</v>
      </c>
      <c r="J249" s="5">
        <v>0.45069444444444445</v>
      </c>
      <c r="K249" s="1">
        <v>10.0</v>
      </c>
      <c r="L249" s="1">
        <v>13.2</v>
      </c>
    </row>
    <row r="250">
      <c r="A250" s="1">
        <v>489461.0</v>
      </c>
      <c r="B250" s="2" t="s">
        <v>247</v>
      </c>
      <c r="C250" s="1" t="s">
        <v>248</v>
      </c>
      <c r="D250" s="1">
        <v>2.0</v>
      </c>
      <c r="E250" s="3">
        <v>40148.450694444444</v>
      </c>
      <c r="F250" s="1">
        <v>9.95</v>
      </c>
      <c r="G250" s="1">
        <v>17865.0</v>
      </c>
      <c r="H250" s="1" t="s">
        <v>14</v>
      </c>
      <c r="I250" s="4">
        <v>40148.0</v>
      </c>
      <c r="J250" s="5">
        <v>0.45069444444444445</v>
      </c>
      <c r="K250" s="1">
        <v>10.0</v>
      </c>
      <c r="L250" s="1">
        <v>19.9</v>
      </c>
    </row>
    <row r="251">
      <c r="A251" s="1">
        <v>489461.0</v>
      </c>
      <c r="B251" s="2" t="s">
        <v>414</v>
      </c>
      <c r="C251" s="1" t="s">
        <v>415</v>
      </c>
      <c r="D251" s="1">
        <v>27.0</v>
      </c>
      <c r="E251" s="3">
        <v>40148.450694444444</v>
      </c>
      <c r="F251" s="1">
        <v>1.49</v>
      </c>
      <c r="G251" s="1">
        <v>17865.0</v>
      </c>
      <c r="H251" s="1" t="s">
        <v>14</v>
      </c>
      <c r="I251" s="4">
        <v>40148.0</v>
      </c>
      <c r="J251" s="5">
        <v>0.45069444444444445</v>
      </c>
      <c r="K251" s="1">
        <v>10.0</v>
      </c>
      <c r="L251" s="1">
        <v>40.23</v>
      </c>
    </row>
    <row r="252">
      <c r="A252" s="1">
        <v>489461.0</v>
      </c>
      <c r="B252" s="2" t="s">
        <v>416</v>
      </c>
      <c r="C252" s="1" t="s">
        <v>417</v>
      </c>
      <c r="D252" s="1">
        <v>6.0</v>
      </c>
      <c r="E252" s="3">
        <v>40148.450694444444</v>
      </c>
      <c r="F252" s="1">
        <v>2.95</v>
      </c>
      <c r="G252" s="1">
        <v>17865.0</v>
      </c>
      <c r="H252" s="1" t="s">
        <v>14</v>
      </c>
      <c r="I252" s="4">
        <v>40148.0</v>
      </c>
      <c r="J252" s="5">
        <v>0.45069444444444445</v>
      </c>
      <c r="K252" s="1">
        <v>10.0</v>
      </c>
      <c r="L252" s="1">
        <v>17.7</v>
      </c>
    </row>
    <row r="253">
      <c r="A253" s="1">
        <v>489461.0</v>
      </c>
      <c r="B253" s="2" t="s">
        <v>418</v>
      </c>
      <c r="C253" s="1" t="s">
        <v>419</v>
      </c>
      <c r="D253" s="1">
        <v>6.0</v>
      </c>
      <c r="E253" s="3">
        <v>40148.450694444444</v>
      </c>
      <c r="F253" s="1">
        <v>2.95</v>
      </c>
      <c r="G253" s="1">
        <v>17865.0</v>
      </c>
      <c r="H253" s="1" t="s">
        <v>14</v>
      </c>
      <c r="I253" s="4">
        <v>40148.0</v>
      </c>
      <c r="J253" s="5">
        <v>0.45069444444444445</v>
      </c>
      <c r="K253" s="1">
        <v>10.0</v>
      </c>
      <c r="L253" s="1">
        <v>17.7</v>
      </c>
    </row>
    <row r="254">
      <c r="A254" s="1">
        <v>489462.0</v>
      </c>
      <c r="B254" s="2" t="s">
        <v>340</v>
      </c>
      <c r="C254" s="1" t="s">
        <v>341</v>
      </c>
      <c r="D254" s="1">
        <v>3.0</v>
      </c>
      <c r="E254" s="3">
        <v>40148.450694444444</v>
      </c>
      <c r="F254" s="1">
        <v>4.25</v>
      </c>
      <c r="G254" s="1">
        <v>17592.0</v>
      </c>
      <c r="H254" s="1" t="s">
        <v>14</v>
      </c>
      <c r="I254" s="4">
        <v>40148.0</v>
      </c>
      <c r="J254" s="5">
        <v>0.45069444444444445</v>
      </c>
      <c r="K254" s="1">
        <v>10.0</v>
      </c>
      <c r="L254" s="1">
        <v>12.75</v>
      </c>
    </row>
    <row r="255">
      <c r="A255" s="1">
        <v>489462.0</v>
      </c>
      <c r="B255" s="2" t="s">
        <v>348</v>
      </c>
      <c r="C255" s="1" t="s">
        <v>349</v>
      </c>
      <c r="D255" s="1">
        <v>3.0</v>
      </c>
      <c r="E255" s="3">
        <v>40148.450694444444</v>
      </c>
      <c r="F255" s="1">
        <v>4.25</v>
      </c>
      <c r="G255" s="1">
        <v>17592.0</v>
      </c>
      <c r="H255" s="1" t="s">
        <v>14</v>
      </c>
      <c r="I255" s="4">
        <v>40148.0</v>
      </c>
      <c r="J255" s="5">
        <v>0.45069444444444445</v>
      </c>
      <c r="K255" s="1">
        <v>10.0</v>
      </c>
      <c r="L255" s="1">
        <v>12.75</v>
      </c>
    </row>
    <row r="256">
      <c r="A256" s="1">
        <v>489462.0</v>
      </c>
      <c r="B256" s="2" t="s">
        <v>344</v>
      </c>
      <c r="C256" s="1" t="s">
        <v>345</v>
      </c>
      <c r="D256" s="1">
        <v>3.0</v>
      </c>
      <c r="E256" s="3">
        <v>40148.450694444444</v>
      </c>
      <c r="F256" s="1">
        <v>4.25</v>
      </c>
      <c r="G256" s="1">
        <v>17592.0</v>
      </c>
      <c r="H256" s="1" t="s">
        <v>14</v>
      </c>
      <c r="I256" s="4">
        <v>40148.0</v>
      </c>
      <c r="J256" s="5">
        <v>0.45069444444444445</v>
      </c>
      <c r="K256" s="1">
        <v>10.0</v>
      </c>
      <c r="L256" s="1">
        <v>12.75</v>
      </c>
    </row>
    <row r="257">
      <c r="A257" s="1">
        <v>489462.0</v>
      </c>
      <c r="B257" s="2" t="s">
        <v>350</v>
      </c>
      <c r="C257" s="1" t="s">
        <v>351</v>
      </c>
      <c r="D257" s="1">
        <v>3.0</v>
      </c>
      <c r="E257" s="3">
        <v>40148.450694444444</v>
      </c>
      <c r="F257" s="1">
        <v>4.25</v>
      </c>
      <c r="G257" s="1">
        <v>17592.0</v>
      </c>
      <c r="H257" s="1" t="s">
        <v>14</v>
      </c>
      <c r="I257" s="4">
        <v>40148.0</v>
      </c>
      <c r="J257" s="5">
        <v>0.45069444444444445</v>
      </c>
      <c r="K257" s="1">
        <v>10.0</v>
      </c>
      <c r="L257" s="1">
        <v>12.75</v>
      </c>
    </row>
    <row r="258">
      <c r="A258" s="1">
        <v>489462.0</v>
      </c>
      <c r="B258" s="2" t="s">
        <v>352</v>
      </c>
      <c r="C258" s="1" t="s">
        <v>353</v>
      </c>
      <c r="D258" s="1">
        <v>3.0</v>
      </c>
      <c r="E258" s="3">
        <v>40148.450694444444</v>
      </c>
      <c r="F258" s="1">
        <v>4.25</v>
      </c>
      <c r="G258" s="1">
        <v>17592.0</v>
      </c>
      <c r="H258" s="1" t="s">
        <v>14</v>
      </c>
      <c r="I258" s="4">
        <v>40148.0</v>
      </c>
      <c r="J258" s="5">
        <v>0.45069444444444445</v>
      </c>
      <c r="K258" s="1">
        <v>10.0</v>
      </c>
      <c r="L258" s="1">
        <v>12.75</v>
      </c>
    </row>
    <row r="259">
      <c r="A259" s="1">
        <v>489462.0</v>
      </c>
      <c r="B259" s="2" t="s">
        <v>354</v>
      </c>
      <c r="C259" s="1" t="s">
        <v>355</v>
      </c>
      <c r="D259" s="1">
        <v>3.0</v>
      </c>
      <c r="E259" s="3">
        <v>40148.450694444444</v>
      </c>
      <c r="F259" s="1">
        <v>3.75</v>
      </c>
      <c r="G259" s="1">
        <v>17592.0</v>
      </c>
      <c r="H259" s="1" t="s">
        <v>14</v>
      </c>
      <c r="I259" s="4">
        <v>40148.0</v>
      </c>
      <c r="J259" s="5">
        <v>0.45069444444444445</v>
      </c>
      <c r="K259" s="1">
        <v>10.0</v>
      </c>
      <c r="L259" s="1">
        <v>11.25</v>
      </c>
    </row>
    <row r="260">
      <c r="A260" s="1">
        <v>489462.0</v>
      </c>
      <c r="B260" s="2" t="s">
        <v>356</v>
      </c>
      <c r="C260" s="1" t="s">
        <v>357</v>
      </c>
      <c r="D260" s="1">
        <v>3.0</v>
      </c>
      <c r="E260" s="3">
        <v>40148.450694444444</v>
      </c>
      <c r="F260" s="1">
        <v>3.75</v>
      </c>
      <c r="G260" s="1">
        <v>17592.0</v>
      </c>
      <c r="H260" s="1" t="s">
        <v>14</v>
      </c>
      <c r="I260" s="4">
        <v>40148.0</v>
      </c>
      <c r="J260" s="5">
        <v>0.45069444444444445</v>
      </c>
      <c r="K260" s="1">
        <v>10.0</v>
      </c>
      <c r="L260" s="1">
        <v>11.25</v>
      </c>
    </row>
    <row r="261">
      <c r="A261" s="1">
        <v>489462.0</v>
      </c>
      <c r="B261" s="2" t="s">
        <v>358</v>
      </c>
      <c r="C261" s="1" t="s">
        <v>359</v>
      </c>
      <c r="D261" s="1">
        <v>3.0</v>
      </c>
      <c r="E261" s="3">
        <v>40148.450694444444</v>
      </c>
      <c r="F261" s="1">
        <v>3.75</v>
      </c>
      <c r="G261" s="1">
        <v>17592.0</v>
      </c>
      <c r="H261" s="1" t="s">
        <v>14</v>
      </c>
      <c r="I261" s="4">
        <v>40148.0</v>
      </c>
      <c r="J261" s="5">
        <v>0.45069444444444445</v>
      </c>
      <c r="K261" s="1">
        <v>10.0</v>
      </c>
      <c r="L261" s="1">
        <v>11.25</v>
      </c>
    </row>
    <row r="262">
      <c r="A262" s="1">
        <v>489462.0</v>
      </c>
      <c r="B262" s="2" t="s">
        <v>360</v>
      </c>
      <c r="C262" s="1" t="s">
        <v>361</v>
      </c>
      <c r="D262" s="1">
        <v>3.0</v>
      </c>
      <c r="E262" s="3">
        <v>40148.450694444444</v>
      </c>
      <c r="F262" s="1">
        <v>2.1</v>
      </c>
      <c r="G262" s="1">
        <v>17592.0</v>
      </c>
      <c r="H262" s="1" t="s">
        <v>14</v>
      </c>
      <c r="I262" s="4">
        <v>40148.0</v>
      </c>
      <c r="J262" s="5">
        <v>0.45069444444444445</v>
      </c>
      <c r="K262" s="1">
        <v>10.0</v>
      </c>
      <c r="L262" s="1">
        <v>6.3</v>
      </c>
    </row>
    <row r="263">
      <c r="A263" s="1">
        <v>489462.0</v>
      </c>
      <c r="B263" s="2" t="s">
        <v>362</v>
      </c>
      <c r="C263" s="1" t="s">
        <v>363</v>
      </c>
      <c r="D263" s="1">
        <v>3.0</v>
      </c>
      <c r="E263" s="3">
        <v>40148.450694444444</v>
      </c>
      <c r="F263" s="1">
        <v>2.1</v>
      </c>
      <c r="G263" s="1">
        <v>17592.0</v>
      </c>
      <c r="H263" s="1" t="s">
        <v>14</v>
      </c>
      <c r="I263" s="4">
        <v>40148.0</v>
      </c>
      <c r="J263" s="5">
        <v>0.45069444444444445</v>
      </c>
      <c r="K263" s="1">
        <v>10.0</v>
      </c>
      <c r="L263" s="1">
        <v>6.3</v>
      </c>
    </row>
    <row r="264">
      <c r="A264" s="1">
        <v>489462.0</v>
      </c>
      <c r="B264" s="2" t="s">
        <v>364</v>
      </c>
      <c r="C264" s="1" t="s">
        <v>365</v>
      </c>
      <c r="D264" s="1">
        <v>2.0</v>
      </c>
      <c r="E264" s="3">
        <v>40148.450694444444</v>
      </c>
      <c r="F264" s="1">
        <v>6.35</v>
      </c>
      <c r="G264" s="1">
        <v>17592.0</v>
      </c>
      <c r="H264" s="1" t="s">
        <v>14</v>
      </c>
      <c r="I264" s="4">
        <v>40148.0</v>
      </c>
      <c r="J264" s="5">
        <v>0.45069444444444445</v>
      </c>
      <c r="K264" s="1">
        <v>10.0</v>
      </c>
      <c r="L264" s="1">
        <v>12.7</v>
      </c>
    </row>
    <row r="265">
      <c r="A265" s="1">
        <v>489464.0</v>
      </c>
      <c r="B265" s="2" t="s">
        <v>275</v>
      </c>
      <c r="C265" s="1" t="s">
        <v>420</v>
      </c>
      <c r="D265" s="1">
        <v>-96.0</v>
      </c>
      <c r="E265" s="3">
        <v>40148.45277777778</v>
      </c>
      <c r="F265" s="1">
        <v>2.95</v>
      </c>
      <c r="G265" s="1" t="s">
        <v>421</v>
      </c>
      <c r="H265" s="1" t="s">
        <v>14</v>
      </c>
      <c r="I265" s="4">
        <v>40148.0</v>
      </c>
      <c r="J265" s="5">
        <v>0.4527777777777778</v>
      </c>
      <c r="K265" s="1">
        <v>10.0</v>
      </c>
      <c r="L265" s="1">
        <v>-283.2</v>
      </c>
    </row>
    <row r="266">
      <c r="A266" s="1">
        <v>489465.0</v>
      </c>
      <c r="B266" s="2" t="s">
        <v>422</v>
      </c>
      <c r="C266" s="1" t="s">
        <v>423</v>
      </c>
      <c r="D266" s="1">
        <v>12.0</v>
      </c>
      <c r="E266" s="3">
        <v>40148.45277777778</v>
      </c>
      <c r="F266" s="1">
        <v>4.95</v>
      </c>
      <c r="G266" s="1">
        <v>13767.0</v>
      </c>
      <c r="H266" s="1" t="s">
        <v>14</v>
      </c>
      <c r="I266" s="4">
        <v>40148.0</v>
      </c>
      <c r="J266" s="5">
        <v>0.4527777777777778</v>
      </c>
      <c r="K266" s="1">
        <v>10.0</v>
      </c>
      <c r="L266" s="1">
        <v>59.4</v>
      </c>
    </row>
    <row r="267">
      <c r="A267" s="1">
        <v>489465.0</v>
      </c>
      <c r="B267" s="2" t="s">
        <v>424</v>
      </c>
      <c r="C267" s="1" t="s">
        <v>425</v>
      </c>
      <c r="D267" s="1">
        <v>12.0</v>
      </c>
      <c r="E267" s="3">
        <v>40148.45277777778</v>
      </c>
      <c r="F267" s="1">
        <v>4.95</v>
      </c>
      <c r="G267" s="1">
        <v>13767.0</v>
      </c>
      <c r="H267" s="1" t="s">
        <v>14</v>
      </c>
      <c r="I267" s="4">
        <v>40148.0</v>
      </c>
      <c r="J267" s="5">
        <v>0.4527777777777778</v>
      </c>
      <c r="K267" s="1">
        <v>10.0</v>
      </c>
      <c r="L267" s="1">
        <v>59.4</v>
      </c>
    </row>
    <row r="268">
      <c r="A268" s="1">
        <v>489465.0</v>
      </c>
      <c r="B268" s="2" t="s">
        <v>426</v>
      </c>
      <c r="C268" s="1" t="s">
        <v>427</v>
      </c>
      <c r="D268" s="1">
        <v>12.0</v>
      </c>
      <c r="E268" s="3">
        <v>40148.45277777778</v>
      </c>
      <c r="F268" s="1">
        <v>4.95</v>
      </c>
      <c r="G268" s="1">
        <v>13767.0</v>
      </c>
      <c r="H268" s="1" t="s">
        <v>14</v>
      </c>
      <c r="I268" s="4">
        <v>40148.0</v>
      </c>
      <c r="J268" s="5">
        <v>0.4527777777777778</v>
      </c>
      <c r="K268" s="1">
        <v>10.0</v>
      </c>
      <c r="L268" s="1">
        <v>59.4</v>
      </c>
    </row>
    <row r="269">
      <c r="A269" s="1">
        <v>489465.0</v>
      </c>
      <c r="B269" s="2" t="s">
        <v>428</v>
      </c>
      <c r="C269" s="1" t="s">
        <v>429</v>
      </c>
      <c r="D269" s="1">
        <v>12.0</v>
      </c>
      <c r="E269" s="3">
        <v>40148.45277777778</v>
      </c>
      <c r="F269" s="1">
        <v>4.95</v>
      </c>
      <c r="G269" s="1">
        <v>13767.0</v>
      </c>
      <c r="H269" s="1" t="s">
        <v>14</v>
      </c>
      <c r="I269" s="4">
        <v>40148.0</v>
      </c>
      <c r="J269" s="5">
        <v>0.4527777777777778</v>
      </c>
      <c r="K269" s="1">
        <v>10.0</v>
      </c>
      <c r="L269" s="1">
        <v>59.4</v>
      </c>
    </row>
    <row r="270">
      <c r="A270" s="1">
        <v>489465.0</v>
      </c>
      <c r="B270" s="2" t="s">
        <v>430</v>
      </c>
      <c r="C270" s="1" t="s">
        <v>431</v>
      </c>
      <c r="D270" s="1">
        <v>12.0</v>
      </c>
      <c r="E270" s="3">
        <v>40148.45277777778</v>
      </c>
      <c r="F270" s="1">
        <v>4.95</v>
      </c>
      <c r="G270" s="1">
        <v>13767.0</v>
      </c>
      <c r="H270" s="1" t="s">
        <v>14</v>
      </c>
      <c r="I270" s="4">
        <v>40148.0</v>
      </c>
      <c r="J270" s="5">
        <v>0.4527777777777778</v>
      </c>
      <c r="K270" s="1">
        <v>10.0</v>
      </c>
      <c r="L270" s="1">
        <v>59.4</v>
      </c>
    </row>
    <row r="271">
      <c r="A271" s="1">
        <v>489465.0</v>
      </c>
      <c r="B271" s="2" t="s">
        <v>432</v>
      </c>
      <c r="C271" s="1" t="s">
        <v>433</v>
      </c>
      <c r="D271" s="1">
        <v>4.0</v>
      </c>
      <c r="E271" s="3">
        <v>40148.45277777778</v>
      </c>
      <c r="F271" s="1">
        <v>14.95</v>
      </c>
      <c r="G271" s="1">
        <v>13767.0</v>
      </c>
      <c r="H271" s="1" t="s">
        <v>14</v>
      </c>
      <c r="I271" s="4">
        <v>40148.0</v>
      </c>
      <c r="J271" s="5">
        <v>0.4527777777777778</v>
      </c>
      <c r="K271" s="1">
        <v>10.0</v>
      </c>
      <c r="L271" s="1">
        <v>59.8</v>
      </c>
    </row>
    <row r="272">
      <c r="A272" s="1">
        <v>489465.0</v>
      </c>
      <c r="B272" s="2" t="s">
        <v>279</v>
      </c>
      <c r="C272" s="1" t="s">
        <v>280</v>
      </c>
      <c r="D272" s="1">
        <v>12.0</v>
      </c>
      <c r="E272" s="3">
        <v>40148.45277777778</v>
      </c>
      <c r="F272" s="1">
        <v>5.95</v>
      </c>
      <c r="G272" s="1">
        <v>13767.0</v>
      </c>
      <c r="H272" s="1" t="s">
        <v>14</v>
      </c>
      <c r="I272" s="4">
        <v>40148.0</v>
      </c>
      <c r="J272" s="5">
        <v>0.4527777777777778</v>
      </c>
      <c r="K272" s="1">
        <v>10.0</v>
      </c>
      <c r="L272" s="1">
        <v>71.4</v>
      </c>
    </row>
    <row r="273">
      <c r="A273" s="1">
        <v>489465.0</v>
      </c>
      <c r="B273" s="2" t="s">
        <v>196</v>
      </c>
      <c r="C273" s="1" t="s">
        <v>197</v>
      </c>
      <c r="D273" s="1">
        <v>64.0</v>
      </c>
      <c r="E273" s="3">
        <v>40148.45277777778</v>
      </c>
      <c r="F273" s="1">
        <v>2.55</v>
      </c>
      <c r="G273" s="1">
        <v>13767.0</v>
      </c>
      <c r="H273" s="1" t="s">
        <v>14</v>
      </c>
      <c r="I273" s="4">
        <v>40148.0</v>
      </c>
      <c r="J273" s="5">
        <v>0.4527777777777778</v>
      </c>
      <c r="K273" s="1">
        <v>10.0</v>
      </c>
      <c r="L273" s="1">
        <v>163.2</v>
      </c>
    </row>
    <row r="274">
      <c r="A274" s="1">
        <v>489465.0</v>
      </c>
      <c r="B274" s="2" t="s">
        <v>275</v>
      </c>
      <c r="C274" s="1" t="s">
        <v>276</v>
      </c>
      <c r="D274" s="1">
        <v>20.0</v>
      </c>
      <c r="E274" s="3">
        <v>40148.45277777778</v>
      </c>
      <c r="F274" s="1">
        <v>2.95</v>
      </c>
      <c r="G274" s="1">
        <v>13767.0</v>
      </c>
      <c r="H274" s="1" t="s">
        <v>14</v>
      </c>
      <c r="I274" s="4">
        <v>40148.0</v>
      </c>
      <c r="J274" s="5">
        <v>0.4527777777777778</v>
      </c>
      <c r="K274" s="1">
        <v>10.0</v>
      </c>
      <c r="L274" s="1">
        <v>59.0</v>
      </c>
    </row>
    <row r="275">
      <c r="A275" s="1">
        <v>489465.0</v>
      </c>
      <c r="B275" s="2" t="s">
        <v>434</v>
      </c>
      <c r="C275" s="1" t="s">
        <v>435</v>
      </c>
      <c r="D275" s="1">
        <v>8.0</v>
      </c>
      <c r="E275" s="3">
        <v>40148.45277777778</v>
      </c>
      <c r="F275" s="1">
        <v>2.1</v>
      </c>
      <c r="G275" s="1">
        <v>13767.0</v>
      </c>
      <c r="H275" s="1" t="s">
        <v>14</v>
      </c>
      <c r="I275" s="4">
        <v>40148.0</v>
      </c>
      <c r="J275" s="5">
        <v>0.4527777777777778</v>
      </c>
      <c r="K275" s="1">
        <v>10.0</v>
      </c>
      <c r="L275" s="1">
        <v>16.8</v>
      </c>
    </row>
    <row r="276">
      <c r="A276" s="1">
        <v>489465.0</v>
      </c>
      <c r="B276" s="2" t="s">
        <v>436</v>
      </c>
      <c r="C276" s="1" t="s">
        <v>437</v>
      </c>
      <c r="D276" s="1">
        <v>8.0</v>
      </c>
      <c r="E276" s="3">
        <v>40148.45277777778</v>
      </c>
      <c r="F276" s="1">
        <v>2.1</v>
      </c>
      <c r="G276" s="1">
        <v>13767.0</v>
      </c>
      <c r="H276" s="1" t="s">
        <v>14</v>
      </c>
      <c r="I276" s="4">
        <v>40148.0</v>
      </c>
      <c r="J276" s="5">
        <v>0.4527777777777778</v>
      </c>
      <c r="K276" s="1">
        <v>10.0</v>
      </c>
      <c r="L276" s="1">
        <v>16.8</v>
      </c>
    </row>
    <row r="277">
      <c r="A277" s="1">
        <v>489465.0</v>
      </c>
      <c r="B277" s="2" t="s">
        <v>230</v>
      </c>
      <c r="C277" s="1" t="s">
        <v>231</v>
      </c>
      <c r="D277" s="1">
        <v>8.0</v>
      </c>
      <c r="E277" s="3">
        <v>40148.45277777778</v>
      </c>
      <c r="F277" s="1">
        <v>2.1</v>
      </c>
      <c r="G277" s="1">
        <v>13767.0</v>
      </c>
      <c r="H277" s="1" t="s">
        <v>14</v>
      </c>
      <c r="I277" s="4">
        <v>40148.0</v>
      </c>
      <c r="J277" s="5">
        <v>0.4527777777777778</v>
      </c>
      <c r="K277" s="1">
        <v>10.0</v>
      </c>
      <c r="L277" s="1">
        <v>16.8</v>
      </c>
    </row>
    <row r="278">
      <c r="A278" s="1">
        <v>489465.0</v>
      </c>
      <c r="B278" s="2" t="s">
        <v>438</v>
      </c>
      <c r="C278" s="1" t="s">
        <v>439</v>
      </c>
      <c r="D278" s="1">
        <v>12.0</v>
      </c>
      <c r="E278" s="3">
        <v>40148.45277777778</v>
      </c>
      <c r="F278" s="1">
        <v>2.1</v>
      </c>
      <c r="G278" s="1">
        <v>13767.0</v>
      </c>
      <c r="H278" s="1" t="s">
        <v>14</v>
      </c>
      <c r="I278" s="4">
        <v>40148.0</v>
      </c>
      <c r="J278" s="5">
        <v>0.4527777777777778</v>
      </c>
      <c r="K278" s="1">
        <v>10.0</v>
      </c>
      <c r="L278" s="1">
        <v>25.2</v>
      </c>
    </row>
    <row r="279">
      <c r="A279" s="1">
        <v>489465.0</v>
      </c>
      <c r="B279" s="2" t="s">
        <v>440</v>
      </c>
      <c r="C279" s="1" t="s">
        <v>441</v>
      </c>
      <c r="D279" s="1">
        <v>4.0</v>
      </c>
      <c r="E279" s="3">
        <v>40148.45277777778</v>
      </c>
      <c r="F279" s="1">
        <v>6.75</v>
      </c>
      <c r="G279" s="1">
        <v>13767.0</v>
      </c>
      <c r="H279" s="1" t="s">
        <v>14</v>
      </c>
      <c r="I279" s="4">
        <v>40148.0</v>
      </c>
      <c r="J279" s="5">
        <v>0.4527777777777778</v>
      </c>
      <c r="K279" s="1">
        <v>10.0</v>
      </c>
      <c r="L279" s="1">
        <v>27.0</v>
      </c>
    </row>
    <row r="280">
      <c r="A280" s="1">
        <v>489465.0</v>
      </c>
      <c r="B280" s="2" t="s">
        <v>291</v>
      </c>
      <c r="C280" s="1" t="s">
        <v>292</v>
      </c>
      <c r="D280" s="1">
        <v>12.0</v>
      </c>
      <c r="E280" s="3">
        <v>40148.45277777778</v>
      </c>
      <c r="F280" s="1">
        <v>3.95</v>
      </c>
      <c r="G280" s="1">
        <v>13767.0</v>
      </c>
      <c r="H280" s="1" t="s">
        <v>14</v>
      </c>
      <c r="I280" s="4">
        <v>40148.0</v>
      </c>
      <c r="J280" s="5">
        <v>0.4527777777777778</v>
      </c>
      <c r="K280" s="1">
        <v>10.0</v>
      </c>
      <c r="L280" s="1">
        <v>47.4</v>
      </c>
    </row>
    <row r="281">
      <c r="A281" s="1">
        <v>489465.0</v>
      </c>
      <c r="B281" s="2" t="s">
        <v>442</v>
      </c>
      <c r="C281" s="1" t="s">
        <v>443</v>
      </c>
      <c r="D281" s="1">
        <v>8.0</v>
      </c>
      <c r="E281" s="3">
        <v>40148.45277777778</v>
      </c>
      <c r="F281" s="1">
        <v>2.95</v>
      </c>
      <c r="G281" s="1">
        <v>13767.0</v>
      </c>
      <c r="H281" s="1" t="s">
        <v>14</v>
      </c>
      <c r="I281" s="4">
        <v>40148.0</v>
      </c>
      <c r="J281" s="5">
        <v>0.4527777777777778</v>
      </c>
      <c r="K281" s="1">
        <v>10.0</v>
      </c>
      <c r="L281" s="1">
        <v>23.6</v>
      </c>
    </row>
    <row r="282">
      <c r="A282" s="1">
        <v>489465.0</v>
      </c>
      <c r="B282" s="2" t="s">
        <v>444</v>
      </c>
      <c r="C282" s="1" t="s">
        <v>445</v>
      </c>
      <c r="D282" s="1">
        <v>24.0</v>
      </c>
      <c r="E282" s="3">
        <v>40148.45277777778</v>
      </c>
      <c r="F282" s="1">
        <v>4.25</v>
      </c>
      <c r="G282" s="1">
        <v>13767.0</v>
      </c>
      <c r="H282" s="1" t="s">
        <v>14</v>
      </c>
      <c r="I282" s="4">
        <v>40148.0</v>
      </c>
      <c r="J282" s="5">
        <v>0.4527777777777778</v>
      </c>
      <c r="K282" s="1">
        <v>10.0</v>
      </c>
      <c r="L282" s="1">
        <v>102.0</v>
      </c>
    </row>
    <row r="283">
      <c r="A283" s="1">
        <v>489465.0</v>
      </c>
      <c r="B283" s="2" t="s">
        <v>446</v>
      </c>
      <c r="C283" s="1" t="s">
        <v>447</v>
      </c>
      <c r="D283" s="1">
        <v>4.0</v>
      </c>
      <c r="E283" s="3">
        <v>40148.45277777778</v>
      </c>
      <c r="F283" s="1">
        <v>9.95</v>
      </c>
      <c r="G283" s="1">
        <v>13767.0</v>
      </c>
      <c r="H283" s="1" t="s">
        <v>14</v>
      </c>
      <c r="I283" s="4">
        <v>40148.0</v>
      </c>
      <c r="J283" s="5">
        <v>0.4527777777777778</v>
      </c>
      <c r="K283" s="1">
        <v>10.0</v>
      </c>
      <c r="L283" s="1">
        <v>39.8</v>
      </c>
    </row>
    <row r="284">
      <c r="A284" s="1">
        <v>489465.0</v>
      </c>
      <c r="B284" s="2" t="s">
        <v>43</v>
      </c>
      <c r="C284" s="1" t="s">
        <v>44</v>
      </c>
      <c r="D284" s="1">
        <v>160.0</v>
      </c>
      <c r="E284" s="3">
        <v>40148.45277777778</v>
      </c>
      <c r="F284" s="1">
        <v>1.45</v>
      </c>
      <c r="G284" s="1">
        <v>13767.0</v>
      </c>
      <c r="H284" s="1" t="s">
        <v>14</v>
      </c>
      <c r="I284" s="4">
        <v>40148.0</v>
      </c>
      <c r="J284" s="5">
        <v>0.4527777777777778</v>
      </c>
      <c r="K284" s="1">
        <v>10.0</v>
      </c>
      <c r="L284" s="1">
        <v>232.0</v>
      </c>
    </row>
    <row r="285">
      <c r="A285" s="1">
        <v>489467.0</v>
      </c>
      <c r="B285" s="2" t="s">
        <v>196</v>
      </c>
      <c r="C285" s="1" t="s">
        <v>448</v>
      </c>
      <c r="D285" s="1">
        <v>-192.0</v>
      </c>
      <c r="E285" s="3">
        <v>40148.45347222222</v>
      </c>
      <c r="F285" s="1">
        <v>2.95</v>
      </c>
      <c r="G285" s="1" t="s">
        <v>421</v>
      </c>
      <c r="H285" s="1" t="s">
        <v>14</v>
      </c>
      <c r="I285" s="4">
        <v>40148.0</v>
      </c>
      <c r="J285" s="5">
        <v>0.4534722222222222</v>
      </c>
      <c r="K285" s="1">
        <v>10.0</v>
      </c>
      <c r="L285" s="1">
        <v>-566.4</v>
      </c>
    </row>
    <row r="286">
      <c r="A286" s="1" t="s">
        <v>449</v>
      </c>
      <c r="B286" s="2" t="s">
        <v>450</v>
      </c>
      <c r="C286" s="1" t="s">
        <v>451</v>
      </c>
      <c r="D286" s="1">
        <v>-6.0</v>
      </c>
      <c r="E286" s="3">
        <v>40148.45486111111</v>
      </c>
      <c r="F286" s="1">
        <v>2.1</v>
      </c>
      <c r="G286" s="1">
        <v>13293.0</v>
      </c>
      <c r="H286" s="1" t="s">
        <v>14</v>
      </c>
      <c r="I286" s="4">
        <v>40148.0</v>
      </c>
      <c r="J286" s="5">
        <v>0.4548611111111111</v>
      </c>
      <c r="K286" s="1">
        <v>10.0</v>
      </c>
      <c r="L286" s="1">
        <v>-12.6</v>
      </c>
    </row>
    <row r="287">
      <c r="A287" s="1">
        <v>489488.0</v>
      </c>
      <c r="B287" s="2" t="s">
        <v>135</v>
      </c>
      <c r="C287" s="1" t="s">
        <v>136</v>
      </c>
      <c r="D287" s="1">
        <v>1.0</v>
      </c>
      <c r="E287" s="3">
        <v>40148.45763888889</v>
      </c>
      <c r="F287" s="1">
        <v>4.65</v>
      </c>
      <c r="G287" s="1">
        <v>17238.0</v>
      </c>
      <c r="H287" s="1" t="s">
        <v>14</v>
      </c>
      <c r="I287" s="4">
        <v>40148.0</v>
      </c>
      <c r="J287" s="5">
        <v>0.4576388888888889</v>
      </c>
      <c r="K287" s="1">
        <v>10.0</v>
      </c>
      <c r="L287" s="1">
        <v>4.65</v>
      </c>
    </row>
    <row r="288">
      <c r="A288" s="1">
        <v>489488.0</v>
      </c>
      <c r="B288" s="2" t="s">
        <v>137</v>
      </c>
      <c r="C288" s="1" t="s">
        <v>138</v>
      </c>
      <c r="D288" s="1">
        <v>1.0</v>
      </c>
      <c r="E288" s="3">
        <v>40148.45763888889</v>
      </c>
      <c r="F288" s="1">
        <v>2.95</v>
      </c>
      <c r="G288" s="1">
        <v>17238.0</v>
      </c>
      <c r="H288" s="1" t="s">
        <v>14</v>
      </c>
      <c r="I288" s="4">
        <v>40148.0</v>
      </c>
      <c r="J288" s="5">
        <v>0.4576388888888889</v>
      </c>
      <c r="K288" s="1">
        <v>10.0</v>
      </c>
      <c r="L288" s="1">
        <v>2.95</v>
      </c>
    </row>
    <row r="289">
      <c r="A289" s="1">
        <v>489488.0</v>
      </c>
      <c r="B289" s="2" t="s">
        <v>139</v>
      </c>
      <c r="C289" s="1" t="s">
        <v>140</v>
      </c>
      <c r="D289" s="1">
        <v>1.0</v>
      </c>
      <c r="E289" s="3">
        <v>40148.45763888889</v>
      </c>
      <c r="F289" s="1">
        <v>2.95</v>
      </c>
      <c r="G289" s="1">
        <v>17238.0</v>
      </c>
      <c r="H289" s="1" t="s">
        <v>14</v>
      </c>
      <c r="I289" s="4">
        <v>40148.0</v>
      </c>
      <c r="J289" s="5">
        <v>0.4576388888888889</v>
      </c>
      <c r="K289" s="1">
        <v>10.0</v>
      </c>
      <c r="L289" s="1">
        <v>2.95</v>
      </c>
    </row>
    <row r="290">
      <c r="A290" s="1">
        <v>489488.0</v>
      </c>
      <c r="B290" s="2" t="s">
        <v>279</v>
      </c>
      <c r="C290" s="1" t="s">
        <v>280</v>
      </c>
      <c r="D290" s="1">
        <v>2.0</v>
      </c>
      <c r="E290" s="3">
        <v>40148.45763888889</v>
      </c>
      <c r="F290" s="1">
        <v>5.95</v>
      </c>
      <c r="G290" s="1">
        <v>17238.0</v>
      </c>
      <c r="H290" s="1" t="s">
        <v>14</v>
      </c>
      <c r="I290" s="4">
        <v>40148.0</v>
      </c>
      <c r="J290" s="5">
        <v>0.4576388888888889</v>
      </c>
      <c r="K290" s="1">
        <v>10.0</v>
      </c>
      <c r="L290" s="1">
        <v>11.9</v>
      </c>
    </row>
    <row r="291">
      <c r="A291" s="1">
        <v>489488.0</v>
      </c>
      <c r="B291" s="2" t="s">
        <v>452</v>
      </c>
      <c r="C291" s="1" t="s">
        <v>453</v>
      </c>
      <c r="D291" s="1">
        <v>2.0</v>
      </c>
      <c r="E291" s="3">
        <v>40148.45763888889</v>
      </c>
      <c r="F291" s="1">
        <v>2.95</v>
      </c>
      <c r="G291" s="1">
        <v>17238.0</v>
      </c>
      <c r="H291" s="1" t="s">
        <v>14</v>
      </c>
      <c r="I291" s="4">
        <v>40148.0</v>
      </c>
      <c r="J291" s="5">
        <v>0.4576388888888889</v>
      </c>
      <c r="K291" s="1">
        <v>10.0</v>
      </c>
      <c r="L291" s="1">
        <v>5.9</v>
      </c>
    </row>
    <row r="292">
      <c r="A292" s="1">
        <v>489488.0</v>
      </c>
      <c r="B292" s="2" t="s">
        <v>454</v>
      </c>
      <c r="C292" s="1" t="s">
        <v>455</v>
      </c>
      <c r="D292" s="1">
        <v>3.0</v>
      </c>
      <c r="E292" s="3">
        <v>40148.45763888889</v>
      </c>
      <c r="F292" s="1">
        <v>3.45</v>
      </c>
      <c r="G292" s="1">
        <v>17238.0</v>
      </c>
      <c r="H292" s="1" t="s">
        <v>14</v>
      </c>
      <c r="I292" s="4">
        <v>40148.0</v>
      </c>
      <c r="J292" s="5">
        <v>0.4576388888888889</v>
      </c>
      <c r="K292" s="1">
        <v>10.0</v>
      </c>
      <c r="L292" s="1">
        <v>10.35</v>
      </c>
    </row>
    <row r="293">
      <c r="A293" s="1">
        <v>489488.0</v>
      </c>
      <c r="B293" s="2" t="s">
        <v>456</v>
      </c>
      <c r="C293" s="1" t="s">
        <v>457</v>
      </c>
      <c r="D293" s="1">
        <v>1.0</v>
      </c>
      <c r="E293" s="3">
        <v>40148.45763888889</v>
      </c>
      <c r="F293" s="1">
        <v>3.75</v>
      </c>
      <c r="G293" s="1">
        <v>17238.0</v>
      </c>
      <c r="H293" s="1" t="s">
        <v>14</v>
      </c>
      <c r="I293" s="4">
        <v>40148.0</v>
      </c>
      <c r="J293" s="5">
        <v>0.4576388888888889</v>
      </c>
      <c r="K293" s="1">
        <v>10.0</v>
      </c>
      <c r="L293" s="1">
        <v>3.75</v>
      </c>
    </row>
    <row r="294">
      <c r="A294" s="1">
        <v>489488.0</v>
      </c>
      <c r="B294" s="2" t="s">
        <v>458</v>
      </c>
      <c r="C294" s="1" t="s">
        <v>459</v>
      </c>
      <c r="D294" s="1">
        <v>2.0</v>
      </c>
      <c r="E294" s="3">
        <v>40148.45763888889</v>
      </c>
      <c r="F294" s="1">
        <v>3.75</v>
      </c>
      <c r="G294" s="1">
        <v>17238.0</v>
      </c>
      <c r="H294" s="1" t="s">
        <v>14</v>
      </c>
      <c r="I294" s="4">
        <v>40148.0</v>
      </c>
      <c r="J294" s="5">
        <v>0.4576388888888889</v>
      </c>
      <c r="K294" s="1">
        <v>10.0</v>
      </c>
      <c r="L294" s="1">
        <v>7.5</v>
      </c>
    </row>
    <row r="295">
      <c r="A295" s="1">
        <v>489488.0</v>
      </c>
      <c r="B295" s="2" t="s">
        <v>123</v>
      </c>
      <c r="C295" s="1" t="s">
        <v>124</v>
      </c>
      <c r="D295" s="1">
        <v>2.0</v>
      </c>
      <c r="E295" s="3">
        <v>40148.45763888889</v>
      </c>
      <c r="F295" s="1">
        <v>1.65</v>
      </c>
      <c r="G295" s="1">
        <v>17238.0</v>
      </c>
      <c r="H295" s="1" t="s">
        <v>14</v>
      </c>
      <c r="I295" s="4">
        <v>40148.0</v>
      </c>
      <c r="J295" s="5">
        <v>0.4576388888888889</v>
      </c>
      <c r="K295" s="1">
        <v>10.0</v>
      </c>
      <c r="L295" s="1">
        <v>3.3</v>
      </c>
    </row>
    <row r="296">
      <c r="A296" s="1">
        <v>489488.0</v>
      </c>
      <c r="B296" s="2" t="s">
        <v>460</v>
      </c>
      <c r="C296" s="1" t="s">
        <v>461</v>
      </c>
      <c r="D296" s="1">
        <v>2.0</v>
      </c>
      <c r="E296" s="3">
        <v>40148.45763888889</v>
      </c>
      <c r="F296" s="1">
        <v>4.25</v>
      </c>
      <c r="G296" s="1">
        <v>17238.0</v>
      </c>
      <c r="H296" s="1" t="s">
        <v>14</v>
      </c>
      <c r="I296" s="4">
        <v>40148.0</v>
      </c>
      <c r="J296" s="5">
        <v>0.4576388888888889</v>
      </c>
      <c r="K296" s="1">
        <v>10.0</v>
      </c>
      <c r="L296" s="1">
        <v>8.5</v>
      </c>
    </row>
    <row r="297">
      <c r="A297" s="1">
        <v>489488.0</v>
      </c>
      <c r="B297" s="2" t="s">
        <v>462</v>
      </c>
      <c r="C297" s="1" t="s">
        <v>463</v>
      </c>
      <c r="D297" s="1">
        <v>3.0</v>
      </c>
      <c r="E297" s="3">
        <v>40148.45763888889</v>
      </c>
      <c r="F297" s="1">
        <v>1.25</v>
      </c>
      <c r="G297" s="1">
        <v>17238.0</v>
      </c>
      <c r="H297" s="1" t="s">
        <v>14</v>
      </c>
      <c r="I297" s="4">
        <v>40148.0</v>
      </c>
      <c r="J297" s="5">
        <v>0.4576388888888889</v>
      </c>
      <c r="K297" s="1">
        <v>10.0</v>
      </c>
      <c r="L297" s="1">
        <v>3.75</v>
      </c>
    </row>
    <row r="298">
      <c r="A298" s="1">
        <v>489488.0</v>
      </c>
      <c r="B298" s="2" t="s">
        <v>107</v>
      </c>
      <c r="C298" s="1" t="s">
        <v>108</v>
      </c>
      <c r="D298" s="1">
        <v>1.0</v>
      </c>
      <c r="E298" s="3">
        <v>40148.45763888889</v>
      </c>
      <c r="F298" s="1">
        <v>1.25</v>
      </c>
      <c r="G298" s="1">
        <v>17238.0</v>
      </c>
      <c r="H298" s="1" t="s">
        <v>14</v>
      </c>
      <c r="I298" s="4">
        <v>40148.0</v>
      </c>
      <c r="J298" s="5">
        <v>0.4576388888888889</v>
      </c>
      <c r="K298" s="1">
        <v>10.0</v>
      </c>
      <c r="L298" s="1">
        <v>1.25</v>
      </c>
    </row>
    <row r="299">
      <c r="A299" s="1">
        <v>489488.0</v>
      </c>
      <c r="B299" s="2" t="s">
        <v>464</v>
      </c>
      <c r="C299" s="1" t="s">
        <v>465</v>
      </c>
      <c r="D299" s="1">
        <v>2.0</v>
      </c>
      <c r="E299" s="3">
        <v>40148.45763888889</v>
      </c>
      <c r="F299" s="1">
        <v>2.1</v>
      </c>
      <c r="G299" s="1">
        <v>17238.0</v>
      </c>
      <c r="H299" s="1" t="s">
        <v>14</v>
      </c>
      <c r="I299" s="4">
        <v>40148.0</v>
      </c>
      <c r="J299" s="5">
        <v>0.4576388888888889</v>
      </c>
      <c r="K299" s="1">
        <v>10.0</v>
      </c>
      <c r="L299" s="1">
        <v>4.2</v>
      </c>
    </row>
    <row r="300">
      <c r="A300" s="1">
        <v>489488.0</v>
      </c>
      <c r="B300" s="2" t="s">
        <v>279</v>
      </c>
      <c r="C300" s="1" t="s">
        <v>280</v>
      </c>
      <c r="D300" s="1">
        <v>1.0</v>
      </c>
      <c r="E300" s="3">
        <v>40148.45763888889</v>
      </c>
      <c r="F300" s="1">
        <v>5.95</v>
      </c>
      <c r="G300" s="1">
        <v>17238.0</v>
      </c>
      <c r="H300" s="1" t="s">
        <v>14</v>
      </c>
      <c r="I300" s="4">
        <v>40148.0</v>
      </c>
      <c r="J300" s="5">
        <v>0.4576388888888889</v>
      </c>
      <c r="K300" s="1">
        <v>10.0</v>
      </c>
      <c r="L300" s="1">
        <v>5.95</v>
      </c>
    </row>
    <row r="301">
      <c r="A301" s="1">
        <v>489488.0</v>
      </c>
      <c r="B301" s="2" t="s">
        <v>466</v>
      </c>
      <c r="C301" s="1" t="s">
        <v>467</v>
      </c>
      <c r="D301" s="1">
        <v>3.0</v>
      </c>
      <c r="E301" s="3">
        <v>40148.45763888889</v>
      </c>
      <c r="F301" s="1">
        <v>1.95</v>
      </c>
      <c r="G301" s="1">
        <v>17238.0</v>
      </c>
      <c r="H301" s="1" t="s">
        <v>14</v>
      </c>
      <c r="I301" s="4">
        <v>40148.0</v>
      </c>
      <c r="J301" s="5">
        <v>0.4576388888888889</v>
      </c>
      <c r="K301" s="1">
        <v>10.0</v>
      </c>
      <c r="L301" s="1">
        <v>5.85</v>
      </c>
    </row>
    <row r="302">
      <c r="A302" s="1">
        <v>489488.0</v>
      </c>
      <c r="B302" s="2" t="s">
        <v>468</v>
      </c>
      <c r="C302" s="1" t="s">
        <v>469</v>
      </c>
      <c r="D302" s="1">
        <v>4.0</v>
      </c>
      <c r="E302" s="3">
        <v>40148.45763888889</v>
      </c>
      <c r="F302" s="1">
        <v>0.85</v>
      </c>
      <c r="G302" s="1">
        <v>17238.0</v>
      </c>
      <c r="H302" s="1" t="s">
        <v>14</v>
      </c>
      <c r="I302" s="4">
        <v>40148.0</v>
      </c>
      <c r="J302" s="5">
        <v>0.4576388888888889</v>
      </c>
      <c r="K302" s="1">
        <v>10.0</v>
      </c>
      <c r="L302" s="1">
        <v>3.4</v>
      </c>
    </row>
    <row r="303">
      <c r="A303" s="1">
        <v>489488.0</v>
      </c>
      <c r="B303" s="2" t="s">
        <v>470</v>
      </c>
      <c r="C303" s="1" t="s">
        <v>471</v>
      </c>
      <c r="D303" s="1">
        <v>3.0</v>
      </c>
      <c r="E303" s="3">
        <v>40148.45763888889</v>
      </c>
      <c r="F303" s="1">
        <v>0.85</v>
      </c>
      <c r="G303" s="1">
        <v>17238.0</v>
      </c>
      <c r="H303" s="1" t="s">
        <v>14</v>
      </c>
      <c r="I303" s="4">
        <v>40148.0</v>
      </c>
      <c r="J303" s="5">
        <v>0.4576388888888889</v>
      </c>
      <c r="K303" s="1">
        <v>10.0</v>
      </c>
      <c r="L303" s="1">
        <v>2.55</v>
      </c>
    </row>
    <row r="304">
      <c r="A304" s="1">
        <v>489488.0</v>
      </c>
      <c r="B304" s="2" t="s">
        <v>283</v>
      </c>
      <c r="C304" s="1" t="s">
        <v>284</v>
      </c>
      <c r="D304" s="1">
        <v>5.0</v>
      </c>
      <c r="E304" s="3">
        <v>40148.45763888889</v>
      </c>
      <c r="F304" s="1">
        <v>2.95</v>
      </c>
      <c r="G304" s="1">
        <v>17238.0</v>
      </c>
      <c r="H304" s="1" t="s">
        <v>14</v>
      </c>
      <c r="I304" s="4">
        <v>40148.0</v>
      </c>
      <c r="J304" s="5">
        <v>0.4576388888888889</v>
      </c>
      <c r="K304" s="1">
        <v>10.0</v>
      </c>
      <c r="L304" s="1">
        <v>14.75</v>
      </c>
    </row>
    <row r="305">
      <c r="A305" s="1">
        <v>489488.0</v>
      </c>
      <c r="B305" s="2" t="s">
        <v>472</v>
      </c>
      <c r="C305" s="1" t="s">
        <v>473</v>
      </c>
      <c r="D305" s="1">
        <v>4.0</v>
      </c>
      <c r="E305" s="3">
        <v>40148.45763888889</v>
      </c>
      <c r="F305" s="1">
        <v>3.75</v>
      </c>
      <c r="G305" s="1">
        <v>17238.0</v>
      </c>
      <c r="H305" s="1" t="s">
        <v>14</v>
      </c>
      <c r="I305" s="4">
        <v>40148.0</v>
      </c>
      <c r="J305" s="5">
        <v>0.4576388888888889</v>
      </c>
      <c r="K305" s="1">
        <v>10.0</v>
      </c>
      <c r="L305" s="1">
        <v>15.0</v>
      </c>
    </row>
    <row r="306">
      <c r="A306" s="1">
        <v>489488.0</v>
      </c>
      <c r="B306" s="2" t="s">
        <v>474</v>
      </c>
      <c r="C306" s="1" t="s">
        <v>475</v>
      </c>
      <c r="D306" s="1">
        <v>4.0</v>
      </c>
      <c r="E306" s="3">
        <v>40148.45763888889</v>
      </c>
      <c r="F306" s="1">
        <v>3.75</v>
      </c>
      <c r="G306" s="1">
        <v>17238.0</v>
      </c>
      <c r="H306" s="1" t="s">
        <v>14</v>
      </c>
      <c r="I306" s="4">
        <v>40148.0</v>
      </c>
      <c r="J306" s="5">
        <v>0.4576388888888889</v>
      </c>
      <c r="K306" s="1">
        <v>10.0</v>
      </c>
      <c r="L306" s="1">
        <v>15.0</v>
      </c>
    </row>
    <row r="307">
      <c r="A307" s="1">
        <v>489488.0</v>
      </c>
      <c r="B307" s="2" t="s">
        <v>476</v>
      </c>
      <c r="C307" s="1" t="s">
        <v>477</v>
      </c>
      <c r="D307" s="1">
        <v>2.0</v>
      </c>
      <c r="E307" s="3">
        <v>40148.45763888889</v>
      </c>
      <c r="F307" s="1">
        <v>2.55</v>
      </c>
      <c r="G307" s="1">
        <v>17238.0</v>
      </c>
      <c r="H307" s="1" t="s">
        <v>14</v>
      </c>
      <c r="I307" s="4">
        <v>40148.0</v>
      </c>
      <c r="J307" s="5">
        <v>0.4576388888888889</v>
      </c>
      <c r="K307" s="1">
        <v>10.0</v>
      </c>
      <c r="L307" s="1">
        <v>5.1</v>
      </c>
    </row>
    <row r="308">
      <c r="A308" s="1">
        <v>489488.0</v>
      </c>
      <c r="B308" s="2" t="s">
        <v>478</v>
      </c>
      <c r="C308" s="1" t="s">
        <v>479</v>
      </c>
      <c r="D308" s="1">
        <v>3.0</v>
      </c>
      <c r="E308" s="3">
        <v>40148.45763888889</v>
      </c>
      <c r="F308" s="1">
        <v>2.55</v>
      </c>
      <c r="G308" s="1">
        <v>17238.0</v>
      </c>
      <c r="H308" s="1" t="s">
        <v>14</v>
      </c>
      <c r="I308" s="4">
        <v>40148.0</v>
      </c>
      <c r="J308" s="5">
        <v>0.4576388888888889</v>
      </c>
      <c r="K308" s="1">
        <v>10.0</v>
      </c>
      <c r="L308" s="1">
        <v>7.64999999999999</v>
      </c>
    </row>
    <row r="309">
      <c r="A309" s="1">
        <v>489488.0</v>
      </c>
      <c r="B309" s="2" t="s">
        <v>176</v>
      </c>
      <c r="C309" s="1" t="s">
        <v>177</v>
      </c>
      <c r="D309" s="1">
        <v>6.0</v>
      </c>
      <c r="E309" s="3">
        <v>40148.45763888889</v>
      </c>
      <c r="F309" s="1">
        <v>0.85</v>
      </c>
      <c r="G309" s="1">
        <v>17238.0</v>
      </c>
      <c r="H309" s="1" t="s">
        <v>14</v>
      </c>
      <c r="I309" s="4">
        <v>40148.0</v>
      </c>
      <c r="J309" s="5">
        <v>0.4576388888888889</v>
      </c>
      <c r="K309" s="1">
        <v>10.0</v>
      </c>
      <c r="L309" s="1">
        <v>5.1</v>
      </c>
    </row>
    <row r="310">
      <c r="A310" s="1">
        <v>489488.0</v>
      </c>
      <c r="B310" s="2" t="s">
        <v>480</v>
      </c>
      <c r="C310" s="1" t="s">
        <v>481</v>
      </c>
      <c r="D310" s="1">
        <v>4.0</v>
      </c>
      <c r="E310" s="3">
        <v>40148.45763888889</v>
      </c>
      <c r="F310" s="1">
        <v>1.25</v>
      </c>
      <c r="G310" s="1">
        <v>17238.0</v>
      </c>
      <c r="H310" s="1" t="s">
        <v>14</v>
      </c>
      <c r="I310" s="4">
        <v>40148.0</v>
      </c>
      <c r="J310" s="5">
        <v>0.4576388888888889</v>
      </c>
      <c r="K310" s="1">
        <v>10.0</v>
      </c>
      <c r="L310" s="1">
        <v>5.0</v>
      </c>
    </row>
    <row r="311">
      <c r="A311" s="1">
        <v>489488.0</v>
      </c>
      <c r="B311" s="2" t="s">
        <v>482</v>
      </c>
      <c r="C311" s="1" t="s">
        <v>483</v>
      </c>
      <c r="D311" s="1">
        <v>6.0</v>
      </c>
      <c r="E311" s="3">
        <v>40148.45763888889</v>
      </c>
      <c r="F311" s="1">
        <v>2.1</v>
      </c>
      <c r="G311" s="1">
        <v>17238.0</v>
      </c>
      <c r="H311" s="1" t="s">
        <v>14</v>
      </c>
      <c r="I311" s="4">
        <v>40148.0</v>
      </c>
      <c r="J311" s="5">
        <v>0.4576388888888889</v>
      </c>
      <c r="K311" s="1">
        <v>10.0</v>
      </c>
      <c r="L311" s="1">
        <v>12.6</v>
      </c>
    </row>
    <row r="312">
      <c r="A312" s="1">
        <v>489488.0</v>
      </c>
      <c r="B312" s="2" t="s">
        <v>484</v>
      </c>
      <c r="C312" s="1" t="s">
        <v>485</v>
      </c>
      <c r="D312" s="1">
        <v>4.0</v>
      </c>
      <c r="E312" s="3">
        <v>40148.45763888889</v>
      </c>
      <c r="F312" s="1">
        <v>4.25</v>
      </c>
      <c r="G312" s="1">
        <v>17238.0</v>
      </c>
      <c r="H312" s="1" t="s">
        <v>14</v>
      </c>
      <c r="I312" s="4">
        <v>40148.0</v>
      </c>
      <c r="J312" s="5">
        <v>0.4576388888888889</v>
      </c>
      <c r="K312" s="1">
        <v>10.0</v>
      </c>
      <c r="L312" s="1">
        <v>17.0</v>
      </c>
    </row>
    <row r="313">
      <c r="A313" s="1">
        <v>489488.0</v>
      </c>
      <c r="B313" s="2" t="s">
        <v>486</v>
      </c>
      <c r="C313" s="1" t="s">
        <v>487</v>
      </c>
      <c r="D313" s="1">
        <v>2.0</v>
      </c>
      <c r="E313" s="3">
        <v>40148.45763888889</v>
      </c>
      <c r="F313" s="1">
        <v>8.95</v>
      </c>
      <c r="G313" s="1">
        <v>17238.0</v>
      </c>
      <c r="H313" s="1" t="s">
        <v>14</v>
      </c>
      <c r="I313" s="4">
        <v>40148.0</v>
      </c>
      <c r="J313" s="5">
        <v>0.4576388888888889</v>
      </c>
      <c r="K313" s="1">
        <v>10.0</v>
      </c>
      <c r="L313" s="1">
        <v>17.9</v>
      </c>
    </row>
    <row r="314">
      <c r="A314" s="1">
        <v>489488.0</v>
      </c>
      <c r="B314" s="2" t="s">
        <v>488</v>
      </c>
      <c r="C314" s="1" t="s">
        <v>489</v>
      </c>
      <c r="D314" s="1">
        <v>2.0</v>
      </c>
      <c r="E314" s="3">
        <v>40148.45763888889</v>
      </c>
      <c r="F314" s="1">
        <v>8.95</v>
      </c>
      <c r="G314" s="1">
        <v>17238.0</v>
      </c>
      <c r="H314" s="1" t="s">
        <v>14</v>
      </c>
      <c r="I314" s="4">
        <v>40148.0</v>
      </c>
      <c r="J314" s="5">
        <v>0.4576388888888889</v>
      </c>
      <c r="K314" s="1">
        <v>10.0</v>
      </c>
      <c r="L314" s="1">
        <v>17.9</v>
      </c>
    </row>
    <row r="315">
      <c r="A315" s="1">
        <v>489488.0</v>
      </c>
      <c r="B315" s="2" t="s">
        <v>490</v>
      </c>
      <c r="C315" s="1" t="s">
        <v>491</v>
      </c>
      <c r="D315" s="1">
        <v>2.0</v>
      </c>
      <c r="E315" s="3">
        <v>40148.45763888889</v>
      </c>
      <c r="F315" s="1">
        <v>12.75</v>
      </c>
      <c r="G315" s="1">
        <v>17238.0</v>
      </c>
      <c r="H315" s="1" t="s">
        <v>14</v>
      </c>
      <c r="I315" s="4">
        <v>40148.0</v>
      </c>
      <c r="J315" s="5">
        <v>0.4576388888888889</v>
      </c>
      <c r="K315" s="1">
        <v>10.0</v>
      </c>
      <c r="L315" s="1">
        <v>25.5</v>
      </c>
    </row>
    <row r="316">
      <c r="A316" s="1">
        <v>489488.0</v>
      </c>
      <c r="B316" s="2" t="s">
        <v>492</v>
      </c>
      <c r="C316" s="1" t="s">
        <v>493</v>
      </c>
      <c r="D316" s="1">
        <v>2.0</v>
      </c>
      <c r="E316" s="3">
        <v>40148.45763888889</v>
      </c>
      <c r="F316" s="1">
        <v>1.95</v>
      </c>
      <c r="G316" s="1">
        <v>17238.0</v>
      </c>
      <c r="H316" s="1" t="s">
        <v>14</v>
      </c>
      <c r="I316" s="4">
        <v>40148.0</v>
      </c>
      <c r="J316" s="5">
        <v>0.4576388888888889</v>
      </c>
      <c r="K316" s="1">
        <v>10.0</v>
      </c>
      <c r="L316" s="1">
        <v>3.9</v>
      </c>
    </row>
    <row r="317">
      <c r="A317" s="1" t="s">
        <v>494</v>
      </c>
      <c r="B317" s="2" t="s">
        <v>495</v>
      </c>
      <c r="C317" s="1" t="s">
        <v>496</v>
      </c>
      <c r="D317" s="1">
        <v>-2.0</v>
      </c>
      <c r="E317" s="3">
        <v>40148.46111111111</v>
      </c>
      <c r="F317" s="1">
        <v>4.25</v>
      </c>
      <c r="G317" s="1">
        <v>16011.0</v>
      </c>
      <c r="H317" s="1" t="s">
        <v>14</v>
      </c>
      <c r="I317" s="4">
        <v>40148.0</v>
      </c>
      <c r="J317" s="5">
        <v>0.46111111111111114</v>
      </c>
      <c r="K317" s="1">
        <v>11.0</v>
      </c>
      <c r="L317" s="1">
        <v>-8.5</v>
      </c>
    </row>
    <row r="318">
      <c r="A318" s="1" t="s">
        <v>494</v>
      </c>
      <c r="B318" s="2" t="s">
        <v>497</v>
      </c>
      <c r="C318" s="1" t="s">
        <v>498</v>
      </c>
      <c r="D318" s="1">
        <v>-1.0</v>
      </c>
      <c r="E318" s="3">
        <v>40148.46111111111</v>
      </c>
      <c r="F318" s="1">
        <v>4.95</v>
      </c>
      <c r="G318" s="1">
        <v>16011.0</v>
      </c>
      <c r="H318" s="1" t="s">
        <v>14</v>
      </c>
      <c r="I318" s="4">
        <v>40148.0</v>
      </c>
      <c r="J318" s="5">
        <v>0.46111111111111114</v>
      </c>
      <c r="K318" s="1">
        <v>11.0</v>
      </c>
      <c r="L318" s="1">
        <v>-4.95</v>
      </c>
    </row>
    <row r="319">
      <c r="A319" s="1" t="s">
        <v>499</v>
      </c>
      <c r="B319" s="2" t="s">
        <v>500</v>
      </c>
      <c r="C319" s="1" t="s">
        <v>501</v>
      </c>
      <c r="D319" s="1">
        <v>-6.0</v>
      </c>
      <c r="E319" s="3">
        <v>40148.46527777778</v>
      </c>
      <c r="F319" s="1">
        <v>2.55</v>
      </c>
      <c r="G319" s="1">
        <v>13916.0</v>
      </c>
      <c r="H319" s="1" t="s">
        <v>14</v>
      </c>
      <c r="I319" s="4">
        <v>40148.0</v>
      </c>
      <c r="J319" s="5">
        <v>0.4652777777777778</v>
      </c>
      <c r="K319" s="1">
        <v>11.0</v>
      </c>
      <c r="L319" s="1">
        <v>-15.2999999999999</v>
      </c>
    </row>
    <row r="320">
      <c r="A320" s="1">
        <v>489505.0</v>
      </c>
      <c r="B320" s="2" t="s">
        <v>502</v>
      </c>
      <c r="C320" s="1" t="s">
        <v>503</v>
      </c>
      <c r="D320" s="1">
        <v>6.0</v>
      </c>
      <c r="E320" s="3">
        <v>40148.470138888886</v>
      </c>
      <c r="F320" s="1">
        <v>3.75</v>
      </c>
      <c r="G320" s="1">
        <v>15712.0</v>
      </c>
      <c r="H320" s="1" t="s">
        <v>14</v>
      </c>
      <c r="I320" s="4">
        <v>40148.0</v>
      </c>
      <c r="J320" s="5">
        <v>0.4701388888888889</v>
      </c>
      <c r="K320" s="1">
        <v>11.0</v>
      </c>
      <c r="L320" s="1">
        <v>22.5</v>
      </c>
    </row>
    <row r="321">
      <c r="A321" s="1">
        <v>489505.0</v>
      </c>
      <c r="B321" s="2" t="s">
        <v>297</v>
      </c>
      <c r="C321" s="1" t="s">
        <v>298</v>
      </c>
      <c r="D321" s="1">
        <v>10.0</v>
      </c>
      <c r="E321" s="3">
        <v>40148.470138888886</v>
      </c>
      <c r="F321" s="1">
        <v>1.95</v>
      </c>
      <c r="G321" s="1">
        <v>15712.0</v>
      </c>
      <c r="H321" s="1" t="s">
        <v>14</v>
      </c>
      <c r="I321" s="4">
        <v>40148.0</v>
      </c>
      <c r="J321" s="5">
        <v>0.4701388888888889</v>
      </c>
      <c r="K321" s="1">
        <v>11.0</v>
      </c>
      <c r="L321" s="1">
        <v>19.5</v>
      </c>
    </row>
    <row r="322">
      <c r="A322" s="1">
        <v>489505.0</v>
      </c>
      <c r="B322" s="2" t="s">
        <v>440</v>
      </c>
      <c r="C322" s="1" t="s">
        <v>441</v>
      </c>
      <c r="D322" s="1">
        <v>10.0</v>
      </c>
      <c r="E322" s="3">
        <v>40148.470138888886</v>
      </c>
      <c r="F322" s="1">
        <v>5.95</v>
      </c>
      <c r="G322" s="1">
        <v>15712.0</v>
      </c>
      <c r="H322" s="1" t="s">
        <v>14</v>
      </c>
      <c r="I322" s="4">
        <v>40148.0</v>
      </c>
      <c r="J322" s="5">
        <v>0.4701388888888889</v>
      </c>
      <c r="K322" s="1">
        <v>11.0</v>
      </c>
      <c r="L322" s="1">
        <v>59.5</v>
      </c>
    </row>
    <row r="323">
      <c r="A323" s="1">
        <v>489505.0</v>
      </c>
      <c r="B323" s="2" t="s">
        <v>504</v>
      </c>
      <c r="C323" s="1" t="s">
        <v>505</v>
      </c>
      <c r="D323" s="1">
        <v>5.0</v>
      </c>
      <c r="E323" s="3">
        <v>40148.470138888886</v>
      </c>
      <c r="F323" s="1">
        <v>4.65</v>
      </c>
      <c r="G323" s="1">
        <v>15712.0</v>
      </c>
      <c r="H323" s="1" t="s">
        <v>14</v>
      </c>
      <c r="I323" s="4">
        <v>40148.0</v>
      </c>
      <c r="J323" s="5">
        <v>0.4701388888888889</v>
      </c>
      <c r="K323" s="1">
        <v>11.0</v>
      </c>
      <c r="L323" s="1">
        <v>23.25</v>
      </c>
    </row>
    <row r="324">
      <c r="A324" s="1">
        <v>489505.0</v>
      </c>
      <c r="B324" s="2" t="s">
        <v>269</v>
      </c>
      <c r="C324" s="1" t="s">
        <v>270</v>
      </c>
      <c r="D324" s="1">
        <v>10.0</v>
      </c>
      <c r="E324" s="3">
        <v>40148.470138888886</v>
      </c>
      <c r="F324" s="1">
        <v>1.95</v>
      </c>
      <c r="G324" s="1">
        <v>15712.0</v>
      </c>
      <c r="H324" s="1" t="s">
        <v>14</v>
      </c>
      <c r="I324" s="4">
        <v>40148.0</v>
      </c>
      <c r="J324" s="5">
        <v>0.4701388888888889</v>
      </c>
      <c r="K324" s="1">
        <v>11.0</v>
      </c>
      <c r="L324" s="1">
        <v>19.5</v>
      </c>
    </row>
    <row r="325">
      <c r="A325" s="1">
        <v>489505.0</v>
      </c>
      <c r="B325" s="2" t="s">
        <v>158</v>
      </c>
      <c r="C325" s="1" t="s">
        <v>159</v>
      </c>
      <c r="D325" s="1">
        <v>6.0</v>
      </c>
      <c r="E325" s="3">
        <v>40148.470138888886</v>
      </c>
      <c r="F325" s="1">
        <v>4.95</v>
      </c>
      <c r="G325" s="1">
        <v>15712.0</v>
      </c>
      <c r="H325" s="1" t="s">
        <v>14</v>
      </c>
      <c r="I325" s="4">
        <v>40148.0</v>
      </c>
      <c r="J325" s="5">
        <v>0.4701388888888889</v>
      </c>
      <c r="K325" s="1">
        <v>11.0</v>
      </c>
      <c r="L325" s="1">
        <v>29.7</v>
      </c>
    </row>
    <row r="326">
      <c r="A326" s="1">
        <v>489505.0</v>
      </c>
      <c r="B326" s="2" t="s">
        <v>283</v>
      </c>
      <c r="C326" s="1" t="s">
        <v>284</v>
      </c>
      <c r="D326" s="1">
        <v>6.0</v>
      </c>
      <c r="E326" s="3">
        <v>40148.470138888886</v>
      </c>
      <c r="F326" s="1">
        <v>2.95</v>
      </c>
      <c r="G326" s="1">
        <v>15712.0</v>
      </c>
      <c r="H326" s="1" t="s">
        <v>14</v>
      </c>
      <c r="I326" s="4">
        <v>40148.0</v>
      </c>
      <c r="J326" s="5">
        <v>0.4701388888888889</v>
      </c>
      <c r="K326" s="1">
        <v>11.0</v>
      </c>
      <c r="L326" s="1">
        <v>17.7</v>
      </c>
    </row>
    <row r="327">
      <c r="A327" s="1">
        <v>489505.0</v>
      </c>
      <c r="B327" s="2" t="s">
        <v>506</v>
      </c>
      <c r="C327" s="1" t="s">
        <v>507</v>
      </c>
      <c r="D327" s="1">
        <v>4.0</v>
      </c>
      <c r="E327" s="3">
        <v>40148.470138888886</v>
      </c>
      <c r="F327" s="1">
        <v>8.5</v>
      </c>
      <c r="G327" s="1">
        <v>15712.0</v>
      </c>
      <c r="H327" s="1" t="s">
        <v>14</v>
      </c>
      <c r="I327" s="4">
        <v>40148.0</v>
      </c>
      <c r="J327" s="5">
        <v>0.4701388888888889</v>
      </c>
      <c r="K327" s="1">
        <v>11.0</v>
      </c>
      <c r="L327" s="1">
        <v>34.0</v>
      </c>
    </row>
    <row r="328">
      <c r="A328" s="1">
        <v>489505.0</v>
      </c>
      <c r="B328" s="2" t="s">
        <v>156</v>
      </c>
      <c r="C328" s="1" t="s">
        <v>157</v>
      </c>
      <c r="D328" s="1">
        <v>3.0</v>
      </c>
      <c r="E328" s="3">
        <v>40148.470138888886</v>
      </c>
      <c r="F328" s="1">
        <v>4.95</v>
      </c>
      <c r="G328" s="1">
        <v>15712.0</v>
      </c>
      <c r="H328" s="1" t="s">
        <v>14</v>
      </c>
      <c r="I328" s="4">
        <v>40148.0</v>
      </c>
      <c r="J328" s="5">
        <v>0.4701388888888889</v>
      </c>
      <c r="K328" s="1">
        <v>11.0</v>
      </c>
      <c r="L328" s="1">
        <v>14.85</v>
      </c>
    </row>
    <row r="329">
      <c r="A329" s="1">
        <v>489505.0</v>
      </c>
      <c r="B329" s="2" t="s">
        <v>508</v>
      </c>
      <c r="C329" s="1" t="s">
        <v>509</v>
      </c>
      <c r="D329" s="1">
        <v>4.0</v>
      </c>
      <c r="E329" s="3">
        <v>40148.470138888886</v>
      </c>
      <c r="F329" s="1">
        <v>3.75</v>
      </c>
      <c r="G329" s="1">
        <v>15712.0</v>
      </c>
      <c r="H329" s="1" t="s">
        <v>14</v>
      </c>
      <c r="I329" s="4">
        <v>40148.0</v>
      </c>
      <c r="J329" s="5">
        <v>0.4701388888888889</v>
      </c>
      <c r="K329" s="1">
        <v>11.0</v>
      </c>
      <c r="L329" s="1">
        <v>15.0</v>
      </c>
    </row>
    <row r="330">
      <c r="A330" s="1">
        <v>489514.0</v>
      </c>
      <c r="B330" s="2" t="s">
        <v>510</v>
      </c>
      <c r="C330" s="1" t="s">
        <v>511</v>
      </c>
      <c r="D330" s="1">
        <v>72.0</v>
      </c>
      <c r="E330" s="3">
        <v>40148.472916666666</v>
      </c>
      <c r="F330" s="1">
        <v>1.06</v>
      </c>
      <c r="G330" s="1">
        <v>15311.0</v>
      </c>
      <c r="H330" s="1" t="s">
        <v>14</v>
      </c>
      <c r="I330" s="4">
        <v>40148.0</v>
      </c>
      <c r="J330" s="5">
        <v>0.47291666666666665</v>
      </c>
      <c r="K330" s="1">
        <v>11.0</v>
      </c>
      <c r="L330" s="1">
        <v>76.32</v>
      </c>
    </row>
    <row r="331">
      <c r="A331" s="1">
        <v>489514.0</v>
      </c>
      <c r="B331" s="2" t="s">
        <v>137</v>
      </c>
      <c r="C331" s="1" t="s">
        <v>138</v>
      </c>
      <c r="D331" s="1">
        <v>36.0</v>
      </c>
      <c r="E331" s="3">
        <v>40148.472916666666</v>
      </c>
      <c r="F331" s="1">
        <v>2.55</v>
      </c>
      <c r="G331" s="1">
        <v>15311.0</v>
      </c>
      <c r="H331" s="1" t="s">
        <v>14</v>
      </c>
      <c r="I331" s="4">
        <v>40148.0</v>
      </c>
      <c r="J331" s="5">
        <v>0.47291666666666665</v>
      </c>
      <c r="K331" s="1">
        <v>11.0</v>
      </c>
      <c r="L331" s="1">
        <v>91.8</v>
      </c>
    </row>
    <row r="332">
      <c r="A332" s="1">
        <v>489514.0</v>
      </c>
      <c r="B332" s="2" t="s">
        <v>444</v>
      </c>
      <c r="C332" s="1" t="s">
        <v>445</v>
      </c>
      <c r="D332" s="1">
        <v>24.0</v>
      </c>
      <c r="E332" s="3">
        <v>40148.472916666666</v>
      </c>
      <c r="F332" s="1">
        <v>4.25</v>
      </c>
      <c r="G332" s="1">
        <v>15311.0</v>
      </c>
      <c r="H332" s="1" t="s">
        <v>14</v>
      </c>
      <c r="I332" s="4">
        <v>40148.0</v>
      </c>
      <c r="J332" s="5">
        <v>0.47291666666666665</v>
      </c>
      <c r="K332" s="1">
        <v>11.0</v>
      </c>
      <c r="L332" s="1">
        <v>102.0</v>
      </c>
    </row>
    <row r="333">
      <c r="A333" s="1">
        <v>489514.0</v>
      </c>
      <c r="B333" s="2" t="s">
        <v>512</v>
      </c>
      <c r="C333" s="1" t="s">
        <v>513</v>
      </c>
      <c r="D333" s="1">
        <v>24.0</v>
      </c>
      <c r="E333" s="3">
        <v>40148.472916666666</v>
      </c>
      <c r="F333" s="1">
        <v>2.75</v>
      </c>
      <c r="G333" s="1">
        <v>15311.0</v>
      </c>
      <c r="H333" s="1" t="s">
        <v>14</v>
      </c>
      <c r="I333" s="4">
        <v>40148.0</v>
      </c>
      <c r="J333" s="5">
        <v>0.47291666666666665</v>
      </c>
      <c r="K333" s="1">
        <v>11.0</v>
      </c>
      <c r="L333" s="1">
        <v>66.0</v>
      </c>
    </row>
    <row r="334">
      <c r="A334" s="1">
        <v>489514.0</v>
      </c>
      <c r="B334" s="2" t="s">
        <v>514</v>
      </c>
      <c r="C334" s="1" t="s">
        <v>515</v>
      </c>
      <c r="D334" s="1">
        <v>8.0</v>
      </c>
      <c r="E334" s="3">
        <v>40148.472916666666</v>
      </c>
      <c r="F334" s="1">
        <v>8.5</v>
      </c>
      <c r="G334" s="1">
        <v>15311.0</v>
      </c>
      <c r="H334" s="1" t="s">
        <v>14</v>
      </c>
      <c r="I334" s="4">
        <v>40148.0</v>
      </c>
      <c r="J334" s="5">
        <v>0.47291666666666665</v>
      </c>
      <c r="K334" s="1">
        <v>11.0</v>
      </c>
      <c r="L334" s="1">
        <v>68.0</v>
      </c>
    </row>
    <row r="335">
      <c r="A335" s="1">
        <v>489514.0</v>
      </c>
      <c r="B335" s="2" t="s">
        <v>516</v>
      </c>
      <c r="C335" s="1" t="s">
        <v>517</v>
      </c>
      <c r="D335" s="1">
        <v>32.0</v>
      </c>
      <c r="E335" s="3">
        <v>40148.472916666666</v>
      </c>
      <c r="F335" s="1">
        <v>1.25</v>
      </c>
      <c r="G335" s="1">
        <v>15311.0</v>
      </c>
      <c r="H335" s="1" t="s">
        <v>14</v>
      </c>
      <c r="I335" s="4">
        <v>40148.0</v>
      </c>
      <c r="J335" s="5">
        <v>0.47291666666666665</v>
      </c>
      <c r="K335" s="1">
        <v>11.0</v>
      </c>
      <c r="L335" s="1">
        <v>40.0</v>
      </c>
    </row>
    <row r="336">
      <c r="A336" s="1">
        <v>489514.0</v>
      </c>
      <c r="B336" s="2" t="s">
        <v>192</v>
      </c>
      <c r="C336" s="1" t="s">
        <v>193</v>
      </c>
      <c r="D336" s="1">
        <v>10.0</v>
      </c>
      <c r="E336" s="3">
        <v>40148.472916666666</v>
      </c>
      <c r="F336" s="1">
        <v>5.95</v>
      </c>
      <c r="G336" s="1">
        <v>15311.0</v>
      </c>
      <c r="H336" s="1" t="s">
        <v>14</v>
      </c>
      <c r="I336" s="4">
        <v>40148.0</v>
      </c>
      <c r="J336" s="5">
        <v>0.47291666666666665</v>
      </c>
      <c r="K336" s="1">
        <v>11.0</v>
      </c>
      <c r="L336" s="1">
        <v>59.5</v>
      </c>
    </row>
    <row r="337">
      <c r="A337" s="1">
        <v>489514.0</v>
      </c>
      <c r="B337" s="2" t="s">
        <v>518</v>
      </c>
      <c r="C337" s="1" t="s">
        <v>519</v>
      </c>
      <c r="D337" s="1">
        <v>8.0</v>
      </c>
      <c r="E337" s="3">
        <v>40148.472916666666</v>
      </c>
      <c r="F337" s="1">
        <v>10.95</v>
      </c>
      <c r="G337" s="1">
        <v>15311.0</v>
      </c>
      <c r="H337" s="1" t="s">
        <v>14</v>
      </c>
      <c r="I337" s="4">
        <v>40148.0</v>
      </c>
      <c r="J337" s="5">
        <v>0.47291666666666665</v>
      </c>
      <c r="K337" s="1">
        <v>11.0</v>
      </c>
      <c r="L337" s="1">
        <v>87.6</v>
      </c>
    </row>
    <row r="338">
      <c r="A338" s="1">
        <v>489514.0</v>
      </c>
      <c r="B338" s="2" t="s">
        <v>520</v>
      </c>
      <c r="C338" s="1" t="s">
        <v>521</v>
      </c>
      <c r="D338" s="1">
        <v>8.0</v>
      </c>
      <c r="E338" s="3">
        <v>40148.472916666666</v>
      </c>
      <c r="F338" s="1">
        <v>3.95</v>
      </c>
      <c r="G338" s="1">
        <v>15311.0</v>
      </c>
      <c r="H338" s="1" t="s">
        <v>14</v>
      </c>
      <c r="I338" s="4">
        <v>40148.0</v>
      </c>
      <c r="J338" s="5">
        <v>0.47291666666666665</v>
      </c>
      <c r="K338" s="1">
        <v>11.0</v>
      </c>
      <c r="L338" s="1">
        <v>31.6</v>
      </c>
    </row>
    <row r="339">
      <c r="A339" s="1">
        <v>489514.0</v>
      </c>
      <c r="B339" s="2" t="s">
        <v>522</v>
      </c>
      <c r="C339" s="1" t="s">
        <v>523</v>
      </c>
      <c r="D339" s="1">
        <v>50.0</v>
      </c>
      <c r="E339" s="3">
        <v>40148.472916666666</v>
      </c>
      <c r="F339" s="1">
        <v>1.65</v>
      </c>
      <c r="G339" s="1">
        <v>15311.0</v>
      </c>
      <c r="H339" s="1" t="s">
        <v>14</v>
      </c>
      <c r="I339" s="4">
        <v>40148.0</v>
      </c>
      <c r="J339" s="5">
        <v>0.47291666666666665</v>
      </c>
      <c r="K339" s="1">
        <v>11.0</v>
      </c>
      <c r="L339" s="1">
        <v>82.5</v>
      </c>
    </row>
    <row r="340">
      <c r="A340" s="1">
        <v>489514.0</v>
      </c>
      <c r="B340" s="2" t="s">
        <v>524</v>
      </c>
      <c r="C340" s="1" t="s">
        <v>525</v>
      </c>
      <c r="D340" s="1">
        <v>1.0</v>
      </c>
      <c r="E340" s="3">
        <v>40148.472916666666</v>
      </c>
      <c r="F340" s="1">
        <v>1.25</v>
      </c>
      <c r="G340" s="1">
        <v>15311.0</v>
      </c>
      <c r="H340" s="1" t="s">
        <v>14</v>
      </c>
      <c r="I340" s="4">
        <v>40148.0</v>
      </c>
      <c r="J340" s="5">
        <v>0.47291666666666665</v>
      </c>
      <c r="K340" s="1">
        <v>11.0</v>
      </c>
      <c r="L340" s="1">
        <v>1.25</v>
      </c>
    </row>
    <row r="341">
      <c r="A341" s="1">
        <v>489514.0</v>
      </c>
      <c r="B341" s="2" t="s">
        <v>240</v>
      </c>
      <c r="C341" s="1" t="s">
        <v>241</v>
      </c>
      <c r="D341" s="1">
        <v>5.0</v>
      </c>
      <c r="E341" s="3">
        <v>40148.472916666666</v>
      </c>
      <c r="F341" s="1">
        <v>2.95</v>
      </c>
      <c r="G341" s="1">
        <v>15311.0</v>
      </c>
      <c r="H341" s="1" t="s">
        <v>14</v>
      </c>
      <c r="I341" s="4">
        <v>40148.0</v>
      </c>
      <c r="J341" s="5">
        <v>0.47291666666666665</v>
      </c>
      <c r="K341" s="1">
        <v>11.0</v>
      </c>
      <c r="L341" s="1">
        <v>14.75</v>
      </c>
    </row>
    <row r="342">
      <c r="A342" s="1">
        <v>489514.0</v>
      </c>
      <c r="B342" s="2" t="s">
        <v>526</v>
      </c>
      <c r="C342" s="1" t="s">
        <v>527</v>
      </c>
      <c r="D342" s="1">
        <v>2.0</v>
      </c>
      <c r="E342" s="3">
        <v>40148.472916666666</v>
      </c>
      <c r="F342" s="1">
        <v>1.25</v>
      </c>
      <c r="G342" s="1">
        <v>15311.0</v>
      </c>
      <c r="H342" s="1" t="s">
        <v>14</v>
      </c>
      <c r="I342" s="4">
        <v>40148.0</v>
      </c>
      <c r="J342" s="5">
        <v>0.47291666666666665</v>
      </c>
      <c r="K342" s="1">
        <v>11.0</v>
      </c>
      <c r="L342" s="1">
        <v>2.5</v>
      </c>
    </row>
    <row r="343">
      <c r="A343" s="1">
        <v>489514.0</v>
      </c>
      <c r="B343" s="2" t="s">
        <v>528</v>
      </c>
      <c r="C343" s="1" t="s">
        <v>529</v>
      </c>
      <c r="D343" s="1">
        <v>1.0</v>
      </c>
      <c r="E343" s="3">
        <v>40148.472916666666</v>
      </c>
      <c r="F343" s="1">
        <v>2.1</v>
      </c>
      <c r="G343" s="1">
        <v>15311.0</v>
      </c>
      <c r="H343" s="1" t="s">
        <v>14</v>
      </c>
      <c r="I343" s="4">
        <v>40148.0</v>
      </c>
      <c r="J343" s="5">
        <v>0.47291666666666665</v>
      </c>
      <c r="K343" s="1">
        <v>11.0</v>
      </c>
      <c r="L343" s="1">
        <v>2.1</v>
      </c>
    </row>
    <row r="344">
      <c r="A344" s="1">
        <v>489514.0</v>
      </c>
      <c r="B344" s="2" t="s">
        <v>398</v>
      </c>
      <c r="C344" s="1" t="s">
        <v>399</v>
      </c>
      <c r="D344" s="1">
        <v>3.0</v>
      </c>
      <c r="E344" s="3">
        <v>40148.472916666666</v>
      </c>
      <c r="F344" s="1">
        <v>1.45</v>
      </c>
      <c r="G344" s="1">
        <v>15311.0</v>
      </c>
      <c r="H344" s="1" t="s">
        <v>14</v>
      </c>
      <c r="I344" s="4">
        <v>40148.0</v>
      </c>
      <c r="J344" s="5">
        <v>0.47291666666666665</v>
      </c>
      <c r="K344" s="1">
        <v>11.0</v>
      </c>
      <c r="L344" s="1">
        <v>4.35</v>
      </c>
    </row>
    <row r="345">
      <c r="A345" s="1">
        <v>489514.0</v>
      </c>
      <c r="B345" s="2" t="s">
        <v>530</v>
      </c>
      <c r="C345" s="1" t="s">
        <v>531</v>
      </c>
      <c r="D345" s="1">
        <v>2.0</v>
      </c>
      <c r="E345" s="3">
        <v>40148.472916666666</v>
      </c>
      <c r="F345" s="1">
        <v>1.25</v>
      </c>
      <c r="G345" s="1">
        <v>15311.0</v>
      </c>
      <c r="H345" s="1" t="s">
        <v>14</v>
      </c>
      <c r="I345" s="4">
        <v>40148.0</v>
      </c>
      <c r="J345" s="5">
        <v>0.47291666666666665</v>
      </c>
      <c r="K345" s="1">
        <v>11.0</v>
      </c>
      <c r="L345" s="1">
        <v>2.5</v>
      </c>
    </row>
    <row r="346">
      <c r="A346" s="1">
        <v>489514.0</v>
      </c>
      <c r="B346" s="2" t="s">
        <v>532</v>
      </c>
      <c r="C346" s="1" t="s">
        <v>533</v>
      </c>
      <c r="D346" s="1">
        <v>2.0</v>
      </c>
      <c r="E346" s="3">
        <v>40148.472916666666</v>
      </c>
      <c r="F346" s="1">
        <v>1.25</v>
      </c>
      <c r="G346" s="1">
        <v>15311.0</v>
      </c>
      <c r="H346" s="1" t="s">
        <v>14</v>
      </c>
      <c r="I346" s="4">
        <v>40148.0</v>
      </c>
      <c r="J346" s="5">
        <v>0.47291666666666665</v>
      </c>
      <c r="K346" s="1">
        <v>11.0</v>
      </c>
      <c r="L346" s="1">
        <v>2.5</v>
      </c>
    </row>
    <row r="347">
      <c r="A347" s="1">
        <v>489514.0</v>
      </c>
      <c r="B347" s="2" t="s">
        <v>534</v>
      </c>
      <c r="C347" s="1" t="s">
        <v>535</v>
      </c>
      <c r="D347" s="1">
        <v>3.0</v>
      </c>
      <c r="E347" s="3">
        <v>40148.472916666666</v>
      </c>
      <c r="F347" s="1">
        <v>2.1</v>
      </c>
      <c r="G347" s="1">
        <v>15311.0</v>
      </c>
      <c r="H347" s="1" t="s">
        <v>14</v>
      </c>
      <c r="I347" s="4">
        <v>40148.0</v>
      </c>
      <c r="J347" s="5">
        <v>0.47291666666666665</v>
      </c>
      <c r="K347" s="1">
        <v>11.0</v>
      </c>
      <c r="L347" s="1">
        <v>6.3</v>
      </c>
    </row>
    <row r="348">
      <c r="A348" s="1">
        <v>489514.0</v>
      </c>
      <c r="B348" s="2" t="s">
        <v>536</v>
      </c>
      <c r="C348" s="1" t="s">
        <v>537</v>
      </c>
      <c r="D348" s="1">
        <v>2.0</v>
      </c>
      <c r="E348" s="3">
        <v>40148.472916666666</v>
      </c>
      <c r="F348" s="1">
        <v>2.1</v>
      </c>
      <c r="G348" s="1">
        <v>15311.0</v>
      </c>
      <c r="H348" s="1" t="s">
        <v>14</v>
      </c>
      <c r="I348" s="4">
        <v>40148.0</v>
      </c>
      <c r="J348" s="5">
        <v>0.47291666666666665</v>
      </c>
      <c r="K348" s="1">
        <v>11.0</v>
      </c>
      <c r="L348" s="1">
        <v>4.2</v>
      </c>
    </row>
    <row r="349">
      <c r="A349" s="1">
        <v>489514.0</v>
      </c>
      <c r="B349" s="2" t="s">
        <v>538</v>
      </c>
      <c r="C349" s="1" t="s">
        <v>539</v>
      </c>
      <c r="D349" s="1">
        <v>3.0</v>
      </c>
      <c r="E349" s="3">
        <v>40148.472916666666</v>
      </c>
      <c r="F349" s="1">
        <v>0.85</v>
      </c>
      <c r="G349" s="1">
        <v>15311.0</v>
      </c>
      <c r="H349" s="1" t="s">
        <v>14</v>
      </c>
      <c r="I349" s="4">
        <v>40148.0</v>
      </c>
      <c r="J349" s="5">
        <v>0.47291666666666665</v>
      </c>
      <c r="K349" s="1">
        <v>11.0</v>
      </c>
      <c r="L349" s="1">
        <v>2.55</v>
      </c>
    </row>
    <row r="350">
      <c r="A350" s="1">
        <v>489514.0</v>
      </c>
      <c r="B350" s="2" t="s">
        <v>540</v>
      </c>
      <c r="C350" s="1" t="s">
        <v>541</v>
      </c>
      <c r="D350" s="1">
        <v>2.0</v>
      </c>
      <c r="E350" s="3">
        <v>40148.472916666666</v>
      </c>
      <c r="F350" s="1">
        <v>1.25</v>
      </c>
      <c r="G350" s="1">
        <v>15311.0</v>
      </c>
      <c r="H350" s="1" t="s">
        <v>14</v>
      </c>
      <c r="I350" s="4">
        <v>40148.0</v>
      </c>
      <c r="J350" s="5">
        <v>0.47291666666666665</v>
      </c>
      <c r="K350" s="1">
        <v>11.0</v>
      </c>
      <c r="L350" s="1">
        <v>2.5</v>
      </c>
    </row>
    <row r="351">
      <c r="A351" s="1">
        <v>489514.0</v>
      </c>
      <c r="B351" s="2" t="s">
        <v>542</v>
      </c>
      <c r="C351" s="1" t="s">
        <v>543</v>
      </c>
      <c r="D351" s="1">
        <v>2.0</v>
      </c>
      <c r="E351" s="3">
        <v>40148.472916666666</v>
      </c>
      <c r="F351" s="1">
        <v>1.25</v>
      </c>
      <c r="G351" s="1">
        <v>15311.0</v>
      </c>
      <c r="H351" s="1" t="s">
        <v>14</v>
      </c>
      <c r="I351" s="4">
        <v>40148.0</v>
      </c>
      <c r="J351" s="5">
        <v>0.47291666666666665</v>
      </c>
      <c r="K351" s="1">
        <v>11.0</v>
      </c>
      <c r="L351" s="1">
        <v>2.5</v>
      </c>
    </row>
    <row r="352">
      <c r="A352" s="1">
        <v>489514.0</v>
      </c>
      <c r="B352" s="2" t="s">
        <v>230</v>
      </c>
      <c r="C352" s="1" t="s">
        <v>231</v>
      </c>
      <c r="D352" s="1">
        <v>3.0</v>
      </c>
      <c r="E352" s="3">
        <v>40148.472916666666</v>
      </c>
      <c r="F352" s="1">
        <v>2.1</v>
      </c>
      <c r="G352" s="1">
        <v>15311.0</v>
      </c>
      <c r="H352" s="1" t="s">
        <v>14</v>
      </c>
      <c r="I352" s="4">
        <v>40148.0</v>
      </c>
      <c r="J352" s="5">
        <v>0.47291666666666665</v>
      </c>
      <c r="K352" s="1">
        <v>11.0</v>
      </c>
      <c r="L352" s="1">
        <v>6.3</v>
      </c>
    </row>
    <row r="353">
      <c r="A353" s="1">
        <v>489514.0</v>
      </c>
      <c r="B353" s="2" t="s">
        <v>544</v>
      </c>
      <c r="C353" s="1" t="s">
        <v>545</v>
      </c>
      <c r="D353" s="1">
        <v>2.0</v>
      </c>
      <c r="E353" s="3">
        <v>40148.472916666666</v>
      </c>
      <c r="F353" s="1">
        <v>1.69</v>
      </c>
      <c r="G353" s="1">
        <v>15311.0</v>
      </c>
      <c r="H353" s="1" t="s">
        <v>14</v>
      </c>
      <c r="I353" s="4">
        <v>40148.0</v>
      </c>
      <c r="J353" s="5">
        <v>0.47291666666666665</v>
      </c>
      <c r="K353" s="1">
        <v>11.0</v>
      </c>
      <c r="L353" s="1">
        <v>3.38</v>
      </c>
    </row>
    <row r="354">
      <c r="A354" s="1">
        <v>489514.0</v>
      </c>
      <c r="B354" s="2" t="s">
        <v>546</v>
      </c>
      <c r="C354" s="1" t="s">
        <v>547</v>
      </c>
      <c r="D354" s="1">
        <v>5.0</v>
      </c>
      <c r="E354" s="3">
        <v>40148.472916666666</v>
      </c>
      <c r="F354" s="1">
        <v>2.1</v>
      </c>
      <c r="G354" s="1">
        <v>15311.0</v>
      </c>
      <c r="H354" s="1" t="s">
        <v>14</v>
      </c>
      <c r="I354" s="4">
        <v>40148.0</v>
      </c>
      <c r="J354" s="5">
        <v>0.47291666666666665</v>
      </c>
      <c r="K354" s="1">
        <v>11.0</v>
      </c>
      <c r="L354" s="1">
        <v>10.5</v>
      </c>
    </row>
    <row r="355">
      <c r="A355" s="1">
        <v>489514.0</v>
      </c>
      <c r="B355" s="2" t="s">
        <v>548</v>
      </c>
      <c r="C355" s="1" t="s">
        <v>549</v>
      </c>
      <c r="D355" s="1">
        <v>2.0</v>
      </c>
      <c r="E355" s="3">
        <v>40148.472916666666</v>
      </c>
      <c r="F355" s="1">
        <v>3.75</v>
      </c>
      <c r="G355" s="1">
        <v>15311.0</v>
      </c>
      <c r="H355" s="1" t="s">
        <v>14</v>
      </c>
      <c r="I355" s="4">
        <v>40148.0</v>
      </c>
      <c r="J355" s="5">
        <v>0.47291666666666665</v>
      </c>
      <c r="K355" s="1">
        <v>11.0</v>
      </c>
      <c r="L355" s="1">
        <v>7.5</v>
      </c>
    </row>
    <row r="356">
      <c r="A356" s="1">
        <v>489514.0</v>
      </c>
      <c r="B356" s="2" t="s">
        <v>550</v>
      </c>
      <c r="C356" s="1" t="s">
        <v>551</v>
      </c>
      <c r="D356" s="1">
        <v>2.0</v>
      </c>
      <c r="E356" s="3">
        <v>40148.472916666666</v>
      </c>
      <c r="F356" s="1">
        <v>2.95</v>
      </c>
      <c r="G356" s="1">
        <v>15311.0</v>
      </c>
      <c r="H356" s="1" t="s">
        <v>14</v>
      </c>
      <c r="I356" s="4">
        <v>40148.0</v>
      </c>
      <c r="J356" s="5">
        <v>0.47291666666666665</v>
      </c>
      <c r="K356" s="1">
        <v>11.0</v>
      </c>
      <c r="L356" s="1">
        <v>5.9</v>
      </c>
    </row>
    <row r="357">
      <c r="A357" s="1">
        <v>489514.0</v>
      </c>
      <c r="B357" s="2" t="s">
        <v>552</v>
      </c>
      <c r="C357" s="1" t="s">
        <v>553</v>
      </c>
      <c r="D357" s="1">
        <v>1.0</v>
      </c>
      <c r="E357" s="3">
        <v>40148.472916666666</v>
      </c>
      <c r="F357" s="1">
        <v>7.95</v>
      </c>
      <c r="G357" s="1">
        <v>15311.0</v>
      </c>
      <c r="H357" s="1" t="s">
        <v>14</v>
      </c>
      <c r="I357" s="4">
        <v>40148.0</v>
      </c>
      <c r="J357" s="5">
        <v>0.47291666666666665</v>
      </c>
      <c r="K357" s="1">
        <v>11.0</v>
      </c>
      <c r="L357" s="1">
        <v>7.95</v>
      </c>
    </row>
    <row r="358">
      <c r="A358" s="1">
        <v>489514.0</v>
      </c>
      <c r="B358" s="2" t="s">
        <v>554</v>
      </c>
      <c r="C358" s="1" t="s">
        <v>555</v>
      </c>
      <c r="D358" s="1">
        <v>2.0</v>
      </c>
      <c r="E358" s="3">
        <v>40148.472916666666</v>
      </c>
      <c r="F358" s="1">
        <v>4.65</v>
      </c>
      <c r="G358" s="1">
        <v>15311.0</v>
      </c>
      <c r="H358" s="1" t="s">
        <v>14</v>
      </c>
      <c r="I358" s="4">
        <v>40148.0</v>
      </c>
      <c r="J358" s="5">
        <v>0.47291666666666665</v>
      </c>
      <c r="K358" s="1">
        <v>11.0</v>
      </c>
      <c r="L358" s="1">
        <v>9.3</v>
      </c>
    </row>
    <row r="359">
      <c r="A359" s="1">
        <v>489514.0</v>
      </c>
      <c r="B359" s="2" t="s">
        <v>556</v>
      </c>
      <c r="C359" s="1" t="s">
        <v>557</v>
      </c>
      <c r="D359" s="1">
        <v>3.0</v>
      </c>
      <c r="E359" s="3">
        <v>40148.472916666666</v>
      </c>
      <c r="F359" s="1">
        <v>3.75</v>
      </c>
      <c r="G359" s="1">
        <v>15311.0</v>
      </c>
      <c r="H359" s="1" t="s">
        <v>14</v>
      </c>
      <c r="I359" s="4">
        <v>40148.0</v>
      </c>
      <c r="J359" s="5">
        <v>0.47291666666666665</v>
      </c>
      <c r="K359" s="1">
        <v>11.0</v>
      </c>
      <c r="L359" s="1">
        <v>11.25</v>
      </c>
    </row>
    <row r="360">
      <c r="A360" s="1">
        <v>489514.0</v>
      </c>
      <c r="B360" s="2" t="s">
        <v>558</v>
      </c>
      <c r="C360" s="1" t="s">
        <v>559</v>
      </c>
      <c r="D360" s="1">
        <v>3.0</v>
      </c>
      <c r="E360" s="3">
        <v>40148.472916666666</v>
      </c>
      <c r="F360" s="1">
        <v>1.69</v>
      </c>
      <c r="G360" s="1">
        <v>15311.0</v>
      </c>
      <c r="H360" s="1" t="s">
        <v>14</v>
      </c>
      <c r="I360" s="4">
        <v>40148.0</v>
      </c>
      <c r="J360" s="5">
        <v>0.47291666666666665</v>
      </c>
      <c r="K360" s="1">
        <v>11.0</v>
      </c>
      <c r="L360" s="1">
        <v>5.07</v>
      </c>
    </row>
    <row r="361">
      <c r="A361" s="1">
        <v>489514.0</v>
      </c>
      <c r="B361" s="2" t="s">
        <v>560</v>
      </c>
      <c r="C361" s="1" t="s">
        <v>561</v>
      </c>
      <c r="D361" s="1">
        <v>3.0</v>
      </c>
      <c r="E361" s="3">
        <v>40148.472916666666</v>
      </c>
      <c r="F361" s="1">
        <v>0.85</v>
      </c>
      <c r="G361" s="1">
        <v>15311.0</v>
      </c>
      <c r="H361" s="1" t="s">
        <v>14</v>
      </c>
      <c r="I361" s="4">
        <v>40148.0</v>
      </c>
      <c r="J361" s="5">
        <v>0.47291666666666665</v>
      </c>
      <c r="K361" s="1">
        <v>11.0</v>
      </c>
      <c r="L361" s="1">
        <v>2.55</v>
      </c>
    </row>
    <row r="362">
      <c r="A362" s="1">
        <v>489517.0</v>
      </c>
      <c r="B362" s="2" t="s">
        <v>562</v>
      </c>
      <c r="C362" s="1" t="s">
        <v>563</v>
      </c>
      <c r="D362" s="1">
        <v>1.0</v>
      </c>
      <c r="E362" s="3">
        <v>40148.481944444444</v>
      </c>
      <c r="F362" s="1">
        <v>1.65</v>
      </c>
      <c r="G362" s="1">
        <v>16329.0</v>
      </c>
      <c r="H362" s="1" t="s">
        <v>14</v>
      </c>
      <c r="I362" s="4">
        <v>40148.0</v>
      </c>
      <c r="J362" s="5">
        <v>0.48194444444444445</v>
      </c>
      <c r="K362" s="1">
        <v>11.0</v>
      </c>
      <c r="L362" s="1">
        <v>1.65</v>
      </c>
    </row>
    <row r="363">
      <c r="A363" s="1">
        <v>489517.0</v>
      </c>
      <c r="B363" s="2" t="s">
        <v>564</v>
      </c>
      <c r="C363" s="1" t="s">
        <v>565</v>
      </c>
      <c r="D363" s="1">
        <v>1.0</v>
      </c>
      <c r="E363" s="3">
        <v>40148.481944444444</v>
      </c>
      <c r="F363" s="1">
        <v>3.75</v>
      </c>
      <c r="G363" s="1">
        <v>16329.0</v>
      </c>
      <c r="H363" s="1" t="s">
        <v>14</v>
      </c>
      <c r="I363" s="4">
        <v>40148.0</v>
      </c>
      <c r="J363" s="5">
        <v>0.48194444444444445</v>
      </c>
      <c r="K363" s="1">
        <v>11.0</v>
      </c>
      <c r="L363" s="1">
        <v>3.75</v>
      </c>
    </row>
    <row r="364">
      <c r="A364" s="1">
        <v>489517.0</v>
      </c>
      <c r="B364" s="2" t="s">
        <v>115</v>
      </c>
      <c r="C364" s="1" t="s">
        <v>116</v>
      </c>
      <c r="D364" s="1">
        <v>1.0</v>
      </c>
      <c r="E364" s="3">
        <v>40148.481944444444</v>
      </c>
      <c r="F364" s="1">
        <v>3.75</v>
      </c>
      <c r="G364" s="1">
        <v>16329.0</v>
      </c>
      <c r="H364" s="1" t="s">
        <v>14</v>
      </c>
      <c r="I364" s="4">
        <v>40148.0</v>
      </c>
      <c r="J364" s="5">
        <v>0.48194444444444445</v>
      </c>
      <c r="K364" s="1">
        <v>11.0</v>
      </c>
      <c r="L364" s="1">
        <v>3.75</v>
      </c>
    </row>
    <row r="365">
      <c r="A365" s="1">
        <v>489517.0</v>
      </c>
      <c r="B365" s="2" t="s">
        <v>566</v>
      </c>
      <c r="C365" s="1" t="s">
        <v>567</v>
      </c>
      <c r="D365" s="1">
        <v>2.0</v>
      </c>
      <c r="E365" s="3">
        <v>40148.481944444444</v>
      </c>
      <c r="F365" s="1">
        <v>2.95</v>
      </c>
      <c r="G365" s="1">
        <v>16329.0</v>
      </c>
      <c r="H365" s="1" t="s">
        <v>14</v>
      </c>
      <c r="I365" s="4">
        <v>40148.0</v>
      </c>
      <c r="J365" s="5">
        <v>0.48194444444444445</v>
      </c>
      <c r="K365" s="1">
        <v>11.0</v>
      </c>
      <c r="L365" s="1">
        <v>5.9</v>
      </c>
    </row>
    <row r="366">
      <c r="A366" s="1">
        <v>489517.0</v>
      </c>
      <c r="B366" s="2" t="s">
        <v>568</v>
      </c>
      <c r="C366" s="1" t="s">
        <v>569</v>
      </c>
      <c r="D366" s="1">
        <v>1.0</v>
      </c>
      <c r="E366" s="3">
        <v>40148.481944444444</v>
      </c>
      <c r="F366" s="1">
        <v>3.75</v>
      </c>
      <c r="G366" s="1">
        <v>16329.0</v>
      </c>
      <c r="H366" s="1" t="s">
        <v>14</v>
      </c>
      <c r="I366" s="4">
        <v>40148.0</v>
      </c>
      <c r="J366" s="5">
        <v>0.48194444444444445</v>
      </c>
      <c r="K366" s="1">
        <v>11.0</v>
      </c>
      <c r="L366" s="1">
        <v>3.75</v>
      </c>
    </row>
    <row r="367">
      <c r="A367" s="1">
        <v>489517.0</v>
      </c>
      <c r="B367" s="2" t="s">
        <v>196</v>
      </c>
      <c r="C367" s="1" t="s">
        <v>197</v>
      </c>
      <c r="D367" s="1">
        <v>1.0</v>
      </c>
      <c r="E367" s="3">
        <v>40148.481944444444</v>
      </c>
      <c r="F367" s="1">
        <v>2.95</v>
      </c>
      <c r="G367" s="1">
        <v>16329.0</v>
      </c>
      <c r="H367" s="1" t="s">
        <v>14</v>
      </c>
      <c r="I367" s="4">
        <v>40148.0</v>
      </c>
      <c r="J367" s="5">
        <v>0.48194444444444445</v>
      </c>
      <c r="K367" s="1">
        <v>11.0</v>
      </c>
      <c r="L367" s="1">
        <v>2.95</v>
      </c>
    </row>
    <row r="368">
      <c r="A368" s="1">
        <v>489517.0</v>
      </c>
      <c r="B368" s="2" t="s">
        <v>570</v>
      </c>
      <c r="C368" s="1" t="s">
        <v>571</v>
      </c>
      <c r="D368" s="1">
        <v>12.0</v>
      </c>
      <c r="E368" s="3">
        <v>40148.481944444444</v>
      </c>
      <c r="F368" s="1">
        <v>0.65</v>
      </c>
      <c r="G368" s="1">
        <v>16329.0</v>
      </c>
      <c r="H368" s="1" t="s">
        <v>14</v>
      </c>
      <c r="I368" s="4">
        <v>40148.0</v>
      </c>
      <c r="J368" s="5">
        <v>0.48194444444444445</v>
      </c>
      <c r="K368" s="1">
        <v>11.0</v>
      </c>
      <c r="L368" s="1">
        <v>7.8</v>
      </c>
    </row>
    <row r="369">
      <c r="A369" s="1">
        <v>489517.0</v>
      </c>
      <c r="B369" s="2" t="s">
        <v>79</v>
      </c>
      <c r="C369" s="1" t="s">
        <v>80</v>
      </c>
      <c r="D369" s="1">
        <v>6.0</v>
      </c>
      <c r="E369" s="3">
        <v>40148.481944444444</v>
      </c>
      <c r="F369" s="1">
        <v>0.85</v>
      </c>
      <c r="G369" s="1">
        <v>16329.0</v>
      </c>
      <c r="H369" s="1" t="s">
        <v>14</v>
      </c>
      <c r="I369" s="4">
        <v>40148.0</v>
      </c>
      <c r="J369" s="5">
        <v>0.48194444444444445</v>
      </c>
      <c r="K369" s="1">
        <v>11.0</v>
      </c>
      <c r="L369" s="1">
        <v>5.1</v>
      </c>
    </row>
    <row r="370">
      <c r="A370" s="1">
        <v>489517.0</v>
      </c>
      <c r="B370" s="2" t="s">
        <v>572</v>
      </c>
      <c r="C370" s="1" t="s">
        <v>573</v>
      </c>
      <c r="D370" s="1">
        <v>20.0</v>
      </c>
      <c r="E370" s="3">
        <v>40148.481944444444</v>
      </c>
      <c r="F370" s="1">
        <v>1.65</v>
      </c>
      <c r="G370" s="1">
        <v>16329.0</v>
      </c>
      <c r="H370" s="1" t="s">
        <v>14</v>
      </c>
      <c r="I370" s="4">
        <v>40148.0</v>
      </c>
      <c r="J370" s="5">
        <v>0.48194444444444445</v>
      </c>
      <c r="K370" s="1">
        <v>11.0</v>
      </c>
      <c r="L370" s="1">
        <v>33.0</v>
      </c>
    </row>
    <row r="371">
      <c r="A371" s="1">
        <v>489517.0</v>
      </c>
      <c r="B371" s="2" t="s">
        <v>462</v>
      </c>
      <c r="C371" s="1" t="s">
        <v>463</v>
      </c>
      <c r="D371" s="1">
        <v>1.0</v>
      </c>
      <c r="E371" s="3">
        <v>40148.481944444444</v>
      </c>
      <c r="F371" s="1">
        <v>1.25</v>
      </c>
      <c r="G371" s="1">
        <v>16329.0</v>
      </c>
      <c r="H371" s="1" t="s">
        <v>14</v>
      </c>
      <c r="I371" s="4">
        <v>40148.0</v>
      </c>
      <c r="J371" s="5">
        <v>0.48194444444444445</v>
      </c>
      <c r="K371" s="1">
        <v>11.0</v>
      </c>
      <c r="L371" s="1">
        <v>1.25</v>
      </c>
    </row>
    <row r="372">
      <c r="A372" s="1">
        <v>489517.0</v>
      </c>
      <c r="B372" s="2" t="s">
        <v>510</v>
      </c>
      <c r="C372" s="1" t="s">
        <v>511</v>
      </c>
      <c r="D372" s="1">
        <v>6.0</v>
      </c>
      <c r="E372" s="3">
        <v>40148.481944444444</v>
      </c>
      <c r="F372" s="1">
        <v>1.25</v>
      </c>
      <c r="G372" s="1">
        <v>16329.0</v>
      </c>
      <c r="H372" s="1" t="s">
        <v>14</v>
      </c>
      <c r="I372" s="4">
        <v>40148.0</v>
      </c>
      <c r="J372" s="5">
        <v>0.48194444444444445</v>
      </c>
      <c r="K372" s="1">
        <v>11.0</v>
      </c>
      <c r="L372" s="1">
        <v>7.5</v>
      </c>
    </row>
    <row r="373">
      <c r="A373" s="1">
        <v>489517.0</v>
      </c>
      <c r="B373" s="2" t="s">
        <v>224</v>
      </c>
      <c r="C373" s="1" t="s">
        <v>225</v>
      </c>
      <c r="D373" s="1">
        <v>4.0</v>
      </c>
      <c r="E373" s="3">
        <v>40148.481944444444</v>
      </c>
      <c r="F373" s="1">
        <v>0.85</v>
      </c>
      <c r="G373" s="1">
        <v>16329.0</v>
      </c>
      <c r="H373" s="1" t="s">
        <v>14</v>
      </c>
      <c r="I373" s="4">
        <v>40148.0</v>
      </c>
      <c r="J373" s="5">
        <v>0.48194444444444445</v>
      </c>
      <c r="K373" s="1">
        <v>11.0</v>
      </c>
      <c r="L373" s="1">
        <v>3.4</v>
      </c>
    </row>
    <row r="374">
      <c r="A374" s="1">
        <v>489517.0</v>
      </c>
      <c r="B374" s="2" t="s">
        <v>574</v>
      </c>
      <c r="C374" s="1" t="s">
        <v>575</v>
      </c>
      <c r="D374" s="1">
        <v>1.0</v>
      </c>
      <c r="E374" s="3">
        <v>40148.481944444444</v>
      </c>
      <c r="F374" s="1">
        <v>1.95</v>
      </c>
      <c r="G374" s="1">
        <v>16329.0</v>
      </c>
      <c r="H374" s="1" t="s">
        <v>14</v>
      </c>
      <c r="I374" s="4">
        <v>40148.0</v>
      </c>
      <c r="J374" s="5">
        <v>0.48194444444444445</v>
      </c>
      <c r="K374" s="1">
        <v>11.0</v>
      </c>
      <c r="L374" s="1">
        <v>1.95</v>
      </c>
    </row>
    <row r="375">
      <c r="A375" s="1">
        <v>489517.0</v>
      </c>
      <c r="B375" s="2" t="s">
        <v>127</v>
      </c>
      <c r="C375" s="1" t="s">
        <v>128</v>
      </c>
      <c r="D375" s="1">
        <v>1.0</v>
      </c>
      <c r="E375" s="3">
        <v>40148.481944444444</v>
      </c>
      <c r="F375" s="1">
        <v>1.95</v>
      </c>
      <c r="G375" s="1">
        <v>16329.0</v>
      </c>
      <c r="H375" s="1" t="s">
        <v>14</v>
      </c>
      <c r="I375" s="4">
        <v>40148.0</v>
      </c>
      <c r="J375" s="5">
        <v>0.48194444444444445</v>
      </c>
      <c r="K375" s="1">
        <v>11.0</v>
      </c>
      <c r="L375" s="1">
        <v>1.95</v>
      </c>
    </row>
    <row r="376">
      <c r="A376" s="1">
        <v>489517.0</v>
      </c>
      <c r="B376" s="2" t="s">
        <v>576</v>
      </c>
      <c r="C376" s="1" t="s">
        <v>577</v>
      </c>
      <c r="D376" s="1">
        <v>1.0</v>
      </c>
      <c r="E376" s="3">
        <v>40148.481944444444</v>
      </c>
      <c r="F376" s="1">
        <v>1.65</v>
      </c>
      <c r="G376" s="1">
        <v>16329.0</v>
      </c>
      <c r="H376" s="1" t="s">
        <v>14</v>
      </c>
      <c r="I376" s="4">
        <v>40148.0</v>
      </c>
      <c r="J376" s="5">
        <v>0.48194444444444445</v>
      </c>
      <c r="K376" s="1">
        <v>11.0</v>
      </c>
      <c r="L376" s="1">
        <v>1.65</v>
      </c>
    </row>
    <row r="377">
      <c r="A377" s="1">
        <v>489517.0</v>
      </c>
      <c r="B377" s="2" t="s">
        <v>578</v>
      </c>
      <c r="C377" s="1" t="s">
        <v>579</v>
      </c>
      <c r="D377" s="1">
        <v>12.0</v>
      </c>
      <c r="E377" s="3">
        <v>40148.481944444444</v>
      </c>
      <c r="F377" s="1">
        <v>3.75</v>
      </c>
      <c r="G377" s="1">
        <v>16329.0</v>
      </c>
      <c r="H377" s="1" t="s">
        <v>14</v>
      </c>
      <c r="I377" s="4">
        <v>40148.0</v>
      </c>
      <c r="J377" s="5">
        <v>0.48194444444444445</v>
      </c>
      <c r="K377" s="1">
        <v>11.0</v>
      </c>
      <c r="L377" s="1">
        <v>45.0</v>
      </c>
    </row>
    <row r="378">
      <c r="A378" s="1">
        <v>489517.0</v>
      </c>
      <c r="B378" s="2" t="s">
        <v>556</v>
      </c>
      <c r="C378" s="1" t="s">
        <v>557</v>
      </c>
      <c r="D378" s="1">
        <v>12.0</v>
      </c>
      <c r="E378" s="3">
        <v>40148.481944444444</v>
      </c>
      <c r="F378" s="1">
        <v>3.75</v>
      </c>
      <c r="G378" s="1">
        <v>16329.0</v>
      </c>
      <c r="H378" s="1" t="s">
        <v>14</v>
      </c>
      <c r="I378" s="4">
        <v>40148.0</v>
      </c>
      <c r="J378" s="5">
        <v>0.48194444444444445</v>
      </c>
      <c r="K378" s="1">
        <v>11.0</v>
      </c>
      <c r="L378" s="1">
        <v>45.0</v>
      </c>
    </row>
    <row r="379">
      <c r="A379" s="1">
        <v>489517.0</v>
      </c>
      <c r="B379" s="2" t="s">
        <v>170</v>
      </c>
      <c r="C379" s="1" t="s">
        <v>171</v>
      </c>
      <c r="D379" s="1">
        <v>1.0</v>
      </c>
      <c r="E379" s="3">
        <v>40148.481944444444</v>
      </c>
      <c r="F379" s="1">
        <v>1.95</v>
      </c>
      <c r="G379" s="1">
        <v>16329.0</v>
      </c>
      <c r="H379" s="1" t="s">
        <v>14</v>
      </c>
      <c r="I379" s="4">
        <v>40148.0</v>
      </c>
      <c r="J379" s="5">
        <v>0.48194444444444445</v>
      </c>
      <c r="K379" s="1">
        <v>11.0</v>
      </c>
      <c r="L379" s="1">
        <v>1.95</v>
      </c>
    </row>
    <row r="380">
      <c r="A380" s="1">
        <v>489517.0</v>
      </c>
      <c r="B380" s="2" t="s">
        <v>580</v>
      </c>
      <c r="C380" s="1" t="s">
        <v>581</v>
      </c>
      <c r="D380" s="1">
        <v>12.0</v>
      </c>
      <c r="E380" s="3">
        <v>40148.481944444444</v>
      </c>
      <c r="F380" s="1">
        <v>2.95</v>
      </c>
      <c r="G380" s="1">
        <v>16329.0</v>
      </c>
      <c r="H380" s="1" t="s">
        <v>14</v>
      </c>
      <c r="I380" s="4">
        <v>40148.0</v>
      </c>
      <c r="J380" s="5">
        <v>0.48194444444444445</v>
      </c>
      <c r="K380" s="1">
        <v>11.0</v>
      </c>
      <c r="L380" s="1">
        <v>35.4</v>
      </c>
    </row>
    <row r="381">
      <c r="A381" s="1">
        <v>489517.0</v>
      </c>
      <c r="B381" s="2" t="s">
        <v>107</v>
      </c>
      <c r="C381" s="1" t="s">
        <v>108</v>
      </c>
      <c r="D381" s="1">
        <v>1.0</v>
      </c>
      <c r="E381" s="3">
        <v>40148.481944444444</v>
      </c>
      <c r="F381" s="1">
        <v>1.25</v>
      </c>
      <c r="G381" s="1">
        <v>16329.0</v>
      </c>
      <c r="H381" s="1" t="s">
        <v>14</v>
      </c>
      <c r="I381" s="4">
        <v>40148.0</v>
      </c>
      <c r="J381" s="5">
        <v>0.48194444444444445</v>
      </c>
      <c r="K381" s="1">
        <v>11.0</v>
      </c>
      <c r="L381" s="1">
        <v>1.25</v>
      </c>
    </row>
    <row r="382">
      <c r="A382" s="1">
        <v>489517.0</v>
      </c>
      <c r="B382" s="2" t="s">
        <v>121</v>
      </c>
      <c r="C382" s="1" t="s">
        <v>122</v>
      </c>
      <c r="D382" s="1">
        <v>1.0</v>
      </c>
      <c r="E382" s="3">
        <v>40148.481944444444</v>
      </c>
      <c r="F382" s="1">
        <v>2.95</v>
      </c>
      <c r="G382" s="1">
        <v>16329.0</v>
      </c>
      <c r="H382" s="1" t="s">
        <v>14</v>
      </c>
      <c r="I382" s="4">
        <v>40148.0</v>
      </c>
      <c r="J382" s="5">
        <v>0.48194444444444445</v>
      </c>
      <c r="K382" s="1">
        <v>11.0</v>
      </c>
      <c r="L382" s="1">
        <v>2.95</v>
      </c>
    </row>
    <row r="383">
      <c r="A383" s="1">
        <v>489517.0</v>
      </c>
      <c r="B383" s="2" t="s">
        <v>582</v>
      </c>
      <c r="C383" s="1" t="s">
        <v>583</v>
      </c>
      <c r="D383" s="1">
        <v>2.0</v>
      </c>
      <c r="E383" s="3">
        <v>40148.481944444444</v>
      </c>
      <c r="F383" s="1">
        <v>5.95</v>
      </c>
      <c r="G383" s="1">
        <v>16329.0</v>
      </c>
      <c r="H383" s="1" t="s">
        <v>14</v>
      </c>
      <c r="I383" s="4">
        <v>40148.0</v>
      </c>
      <c r="J383" s="5">
        <v>0.48194444444444445</v>
      </c>
      <c r="K383" s="1">
        <v>11.0</v>
      </c>
      <c r="L383" s="1">
        <v>11.9</v>
      </c>
    </row>
    <row r="384">
      <c r="A384" s="1">
        <v>489517.0</v>
      </c>
      <c r="B384" s="2" t="s">
        <v>584</v>
      </c>
      <c r="C384" s="1" t="s">
        <v>585</v>
      </c>
      <c r="D384" s="1">
        <v>1.0</v>
      </c>
      <c r="E384" s="3">
        <v>40148.481944444444</v>
      </c>
      <c r="F384" s="1">
        <v>2.55</v>
      </c>
      <c r="G384" s="1">
        <v>16329.0</v>
      </c>
      <c r="H384" s="1" t="s">
        <v>14</v>
      </c>
      <c r="I384" s="4">
        <v>40148.0</v>
      </c>
      <c r="J384" s="5">
        <v>0.48194444444444445</v>
      </c>
      <c r="K384" s="1">
        <v>11.0</v>
      </c>
      <c r="L384" s="1">
        <v>2.55</v>
      </c>
    </row>
    <row r="385">
      <c r="A385" s="1">
        <v>489517.0</v>
      </c>
      <c r="B385" s="2" t="s">
        <v>586</v>
      </c>
      <c r="C385" s="1" t="s">
        <v>587</v>
      </c>
      <c r="D385" s="1">
        <v>1.0</v>
      </c>
      <c r="E385" s="3">
        <v>40148.481944444444</v>
      </c>
      <c r="F385" s="1">
        <v>0.65</v>
      </c>
      <c r="G385" s="1">
        <v>16329.0</v>
      </c>
      <c r="H385" s="1" t="s">
        <v>14</v>
      </c>
      <c r="I385" s="4">
        <v>40148.0</v>
      </c>
      <c r="J385" s="5">
        <v>0.48194444444444445</v>
      </c>
      <c r="K385" s="1">
        <v>11.0</v>
      </c>
      <c r="L385" s="1">
        <v>0.65</v>
      </c>
    </row>
    <row r="386">
      <c r="A386" s="1">
        <v>489517.0</v>
      </c>
      <c r="B386" s="2" t="s">
        <v>510</v>
      </c>
      <c r="C386" s="1" t="s">
        <v>511</v>
      </c>
      <c r="D386" s="1">
        <v>1.0</v>
      </c>
      <c r="E386" s="3">
        <v>40148.481944444444</v>
      </c>
      <c r="F386" s="1">
        <v>1.25</v>
      </c>
      <c r="G386" s="1">
        <v>16329.0</v>
      </c>
      <c r="H386" s="1" t="s">
        <v>14</v>
      </c>
      <c r="I386" s="4">
        <v>40148.0</v>
      </c>
      <c r="J386" s="5">
        <v>0.48194444444444445</v>
      </c>
      <c r="K386" s="1">
        <v>11.0</v>
      </c>
      <c r="L386" s="1">
        <v>1.25</v>
      </c>
    </row>
    <row r="387">
      <c r="A387" s="1">
        <v>489517.0</v>
      </c>
      <c r="B387" s="2" t="s">
        <v>224</v>
      </c>
      <c r="C387" s="1" t="s">
        <v>225</v>
      </c>
      <c r="D387" s="1">
        <v>1.0</v>
      </c>
      <c r="E387" s="3">
        <v>40148.481944444444</v>
      </c>
      <c r="F387" s="1">
        <v>0.85</v>
      </c>
      <c r="G387" s="1">
        <v>16329.0</v>
      </c>
      <c r="H387" s="1" t="s">
        <v>14</v>
      </c>
      <c r="I387" s="4">
        <v>40148.0</v>
      </c>
      <c r="J387" s="5">
        <v>0.48194444444444445</v>
      </c>
      <c r="K387" s="1">
        <v>11.0</v>
      </c>
      <c r="L387" s="1">
        <v>0.85</v>
      </c>
    </row>
    <row r="388">
      <c r="A388" s="1">
        <v>489517.0</v>
      </c>
      <c r="B388" s="2" t="s">
        <v>588</v>
      </c>
      <c r="C388" s="1" t="s">
        <v>589</v>
      </c>
      <c r="D388" s="1">
        <v>1.0</v>
      </c>
      <c r="E388" s="3">
        <v>40148.481944444444</v>
      </c>
      <c r="F388" s="1">
        <v>1.25</v>
      </c>
      <c r="G388" s="1">
        <v>16329.0</v>
      </c>
      <c r="H388" s="1" t="s">
        <v>14</v>
      </c>
      <c r="I388" s="4">
        <v>40148.0</v>
      </c>
      <c r="J388" s="5">
        <v>0.48194444444444445</v>
      </c>
      <c r="K388" s="1">
        <v>11.0</v>
      </c>
      <c r="L388" s="1">
        <v>1.25</v>
      </c>
    </row>
    <row r="389">
      <c r="A389" s="1">
        <v>489517.0</v>
      </c>
      <c r="B389" s="2" t="s">
        <v>590</v>
      </c>
      <c r="C389" s="1" t="s">
        <v>591</v>
      </c>
      <c r="D389" s="1">
        <v>1.0</v>
      </c>
      <c r="E389" s="3">
        <v>40148.481944444444</v>
      </c>
      <c r="F389" s="1">
        <v>2.95</v>
      </c>
      <c r="G389" s="1">
        <v>16329.0</v>
      </c>
      <c r="H389" s="1" t="s">
        <v>14</v>
      </c>
      <c r="I389" s="4">
        <v>40148.0</v>
      </c>
      <c r="J389" s="5">
        <v>0.48194444444444445</v>
      </c>
      <c r="K389" s="1">
        <v>11.0</v>
      </c>
      <c r="L389" s="1">
        <v>2.95</v>
      </c>
    </row>
    <row r="390">
      <c r="A390" s="1">
        <v>489517.0</v>
      </c>
      <c r="B390" s="2" t="s">
        <v>592</v>
      </c>
      <c r="C390" s="1" t="s">
        <v>593</v>
      </c>
      <c r="D390" s="1">
        <v>4.0</v>
      </c>
      <c r="E390" s="3">
        <v>40148.481944444444</v>
      </c>
      <c r="F390" s="1">
        <v>1.69</v>
      </c>
      <c r="G390" s="1">
        <v>16329.0</v>
      </c>
      <c r="H390" s="1" t="s">
        <v>14</v>
      </c>
      <c r="I390" s="4">
        <v>40148.0</v>
      </c>
      <c r="J390" s="5">
        <v>0.48194444444444445</v>
      </c>
      <c r="K390" s="1">
        <v>11.0</v>
      </c>
      <c r="L390" s="1">
        <v>6.76</v>
      </c>
    </row>
    <row r="391">
      <c r="A391" s="1">
        <v>489517.0</v>
      </c>
      <c r="B391" s="2" t="s">
        <v>594</v>
      </c>
      <c r="C391" s="1" t="s">
        <v>595</v>
      </c>
      <c r="D391" s="1">
        <v>4.0</v>
      </c>
      <c r="E391" s="3">
        <v>40148.481944444444</v>
      </c>
      <c r="F391" s="1">
        <v>1.25</v>
      </c>
      <c r="G391" s="1">
        <v>16329.0</v>
      </c>
      <c r="H391" s="1" t="s">
        <v>14</v>
      </c>
      <c r="I391" s="4">
        <v>40148.0</v>
      </c>
      <c r="J391" s="5">
        <v>0.48194444444444445</v>
      </c>
      <c r="K391" s="1">
        <v>11.0</v>
      </c>
      <c r="L391" s="1">
        <v>5.0</v>
      </c>
    </row>
    <row r="392">
      <c r="A392" s="1" t="s">
        <v>596</v>
      </c>
      <c r="B392" s="2" t="s">
        <v>520</v>
      </c>
      <c r="C392" s="1" t="s">
        <v>521</v>
      </c>
      <c r="D392" s="1">
        <v>-2.0</v>
      </c>
      <c r="E392" s="3">
        <v>40148.48263888889</v>
      </c>
      <c r="F392" s="1">
        <v>12.75</v>
      </c>
      <c r="G392" s="1">
        <v>15461.0</v>
      </c>
      <c r="H392" s="1" t="s">
        <v>14</v>
      </c>
      <c r="I392" s="4">
        <v>40148.0</v>
      </c>
      <c r="J392" s="5">
        <v>0.4826388888888889</v>
      </c>
      <c r="K392" s="1">
        <v>11.0</v>
      </c>
      <c r="L392" s="1">
        <v>-25.5</v>
      </c>
    </row>
    <row r="393">
      <c r="A393" s="1" t="s">
        <v>596</v>
      </c>
      <c r="B393" s="2" t="s">
        <v>12</v>
      </c>
      <c r="C393" s="1" t="s">
        <v>13</v>
      </c>
      <c r="D393" s="1">
        <v>-1.0</v>
      </c>
      <c r="E393" s="3">
        <v>40148.48263888889</v>
      </c>
      <c r="F393" s="1">
        <v>7.95</v>
      </c>
      <c r="G393" s="1">
        <v>15461.0</v>
      </c>
      <c r="H393" s="1" t="s">
        <v>14</v>
      </c>
      <c r="I393" s="4">
        <v>40148.0</v>
      </c>
      <c r="J393" s="5">
        <v>0.4826388888888889</v>
      </c>
      <c r="K393" s="1">
        <v>11.0</v>
      </c>
      <c r="L393" s="1">
        <v>-7.95</v>
      </c>
    </row>
    <row r="394">
      <c r="A394" s="1" t="s">
        <v>596</v>
      </c>
      <c r="B394" s="2" t="s">
        <v>156</v>
      </c>
      <c r="C394" s="1" t="s">
        <v>157</v>
      </c>
      <c r="D394" s="1">
        <v>-1.0</v>
      </c>
      <c r="E394" s="3">
        <v>40148.48263888889</v>
      </c>
      <c r="F394" s="1">
        <v>4.95</v>
      </c>
      <c r="G394" s="1">
        <v>15461.0</v>
      </c>
      <c r="H394" s="1" t="s">
        <v>14</v>
      </c>
      <c r="I394" s="4">
        <v>40148.0</v>
      </c>
      <c r="J394" s="5">
        <v>0.4826388888888889</v>
      </c>
      <c r="K394" s="1">
        <v>11.0</v>
      </c>
      <c r="L394" s="1">
        <v>-4.95</v>
      </c>
    </row>
    <row r="395">
      <c r="A395" s="1">
        <v>489519.0</v>
      </c>
      <c r="B395" s="2" t="s">
        <v>283</v>
      </c>
      <c r="C395" s="1" t="s">
        <v>284</v>
      </c>
      <c r="D395" s="1">
        <v>12.0</v>
      </c>
      <c r="E395" s="3">
        <v>40148.48402777778</v>
      </c>
      <c r="F395" s="1">
        <v>2.95</v>
      </c>
      <c r="G395" s="1">
        <v>17700.0</v>
      </c>
      <c r="H395" s="1" t="s">
        <v>14</v>
      </c>
      <c r="I395" s="4">
        <v>40148.0</v>
      </c>
      <c r="J395" s="5">
        <v>0.4840277777777778</v>
      </c>
      <c r="K395" s="1">
        <v>11.0</v>
      </c>
      <c r="L395" s="1">
        <v>35.4</v>
      </c>
    </row>
    <row r="396">
      <c r="A396" s="1">
        <v>489519.0</v>
      </c>
      <c r="B396" s="2" t="s">
        <v>196</v>
      </c>
      <c r="C396" s="1" t="s">
        <v>197</v>
      </c>
      <c r="D396" s="1">
        <v>32.0</v>
      </c>
      <c r="E396" s="3">
        <v>40148.48402777778</v>
      </c>
      <c r="F396" s="1">
        <v>2.55</v>
      </c>
      <c r="G396" s="1">
        <v>17700.0</v>
      </c>
      <c r="H396" s="1" t="s">
        <v>14</v>
      </c>
      <c r="I396" s="4">
        <v>40148.0</v>
      </c>
      <c r="J396" s="5">
        <v>0.4840277777777778</v>
      </c>
      <c r="K396" s="1">
        <v>11.0</v>
      </c>
      <c r="L396" s="1">
        <v>81.6</v>
      </c>
    </row>
    <row r="397">
      <c r="A397" s="1">
        <v>489519.0</v>
      </c>
      <c r="B397" s="2" t="s">
        <v>597</v>
      </c>
      <c r="C397" s="1" t="s">
        <v>598</v>
      </c>
      <c r="D397" s="1">
        <v>6.0</v>
      </c>
      <c r="E397" s="3">
        <v>40148.48402777778</v>
      </c>
      <c r="F397" s="1">
        <v>2.95</v>
      </c>
      <c r="G397" s="1">
        <v>17700.0</v>
      </c>
      <c r="H397" s="1" t="s">
        <v>14</v>
      </c>
      <c r="I397" s="4">
        <v>40148.0</v>
      </c>
      <c r="J397" s="5">
        <v>0.4840277777777778</v>
      </c>
      <c r="K397" s="1">
        <v>11.0</v>
      </c>
      <c r="L397" s="1">
        <v>17.7</v>
      </c>
    </row>
    <row r="398">
      <c r="A398" s="1">
        <v>489519.0</v>
      </c>
      <c r="B398" s="2" t="s">
        <v>599</v>
      </c>
      <c r="C398" s="1" t="s">
        <v>600</v>
      </c>
      <c r="D398" s="1">
        <v>6.0</v>
      </c>
      <c r="E398" s="3">
        <v>40148.48402777778</v>
      </c>
      <c r="F398" s="1">
        <v>2.55</v>
      </c>
      <c r="G398" s="1">
        <v>17700.0</v>
      </c>
      <c r="H398" s="1" t="s">
        <v>14</v>
      </c>
      <c r="I398" s="4">
        <v>40148.0</v>
      </c>
      <c r="J398" s="5">
        <v>0.4840277777777778</v>
      </c>
      <c r="K398" s="1">
        <v>11.0</v>
      </c>
      <c r="L398" s="1">
        <v>15.2999999999999</v>
      </c>
    </row>
    <row r="399">
      <c r="A399" s="1">
        <v>489519.0</v>
      </c>
      <c r="B399" s="2" t="s">
        <v>601</v>
      </c>
      <c r="C399" s="1" t="s">
        <v>602</v>
      </c>
      <c r="D399" s="1">
        <v>4.0</v>
      </c>
      <c r="E399" s="3">
        <v>40148.48402777778</v>
      </c>
      <c r="F399" s="1">
        <v>3.75</v>
      </c>
      <c r="G399" s="1">
        <v>17700.0</v>
      </c>
      <c r="H399" s="1" t="s">
        <v>14</v>
      </c>
      <c r="I399" s="4">
        <v>40148.0</v>
      </c>
      <c r="J399" s="5">
        <v>0.4840277777777778</v>
      </c>
      <c r="K399" s="1">
        <v>11.0</v>
      </c>
      <c r="L399" s="1">
        <v>15.0</v>
      </c>
    </row>
    <row r="400">
      <c r="A400" s="1">
        <v>489519.0</v>
      </c>
      <c r="B400" s="2" t="s">
        <v>603</v>
      </c>
      <c r="C400" s="1" t="s">
        <v>604</v>
      </c>
      <c r="D400" s="1">
        <v>3.0</v>
      </c>
      <c r="E400" s="3">
        <v>40148.48402777778</v>
      </c>
      <c r="F400" s="1">
        <v>5.95</v>
      </c>
      <c r="G400" s="1">
        <v>17700.0</v>
      </c>
      <c r="H400" s="1" t="s">
        <v>14</v>
      </c>
      <c r="I400" s="4">
        <v>40148.0</v>
      </c>
      <c r="J400" s="5">
        <v>0.4840277777777778</v>
      </c>
      <c r="K400" s="1">
        <v>11.0</v>
      </c>
      <c r="L400" s="1">
        <v>17.85</v>
      </c>
    </row>
    <row r="401">
      <c r="A401" s="1">
        <v>489519.0</v>
      </c>
      <c r="B401" s="2" t="s">
        <v>162</v>
      </c>
      <c r="C401" s="1" t="s">
        <v>163</v>
      </c>
      <c r="D401" s="1">
        <v>3.0</v>
      </c>
      <c r="E401" s="3">
        <v>40148.48402777778</v>
      </c>
      <c r="F401" s="1">
        <v>5.95</v>
      </c>
      <c r="G401" s="1">
        <v>17700.0</v>
      </c>
      <c r="H401" s="1" t="s">
        <v>14</v>
      </c>
      <c r="I401" s="4">
        <v>40148.0</v>
      </c>
      <c r="J401" s="5">
        <v>0.4840277777777778</v>
      </c>
      <c r="K401" s="1">
        <v>11.0</v>
      </c>
      <c r="L401" s="1">
        <v>17.85</v>
      </c>
    </row>
    <row r="402">
      <c r="A402" s="1">
        <v>489519.0</v>
      </c>
      <c r="B402" s="2" t="s">
        <v>164</v>
      </c>
      <c r="C402" s="1" t="s">
        <v>165</v>
      </c>
      <c r="D402" s="1">
        <v>3.0</v>
      </c>
      <c r="E402" s="3">
        <v>40148.48402777778</v>
      </c>
      <c r="F402" s="1">
        <v>5.95</v>
      </c>
      <c r="G402" s="1">
        <v>17700.0</v>
      </c>
      <c r="H402" s="1" t="s">
        <v>14</v>
      </c>
      <c r="I402" s="4">
        <v>40148.0</v>
      </c>
      <c r="J402" s="5">
        <v>0.4840277777777778</v>
      </c>
      <c r="K402" s="1">
        <v>11.0</v>
      </c>
      <c r="L402" s="1">
        <v>17.85</v>
      </c>
    </row>
    <row r="403">
      <c r="A403" s="1">
        <v>489519.0</v>
      </c>
      <c r="B403" s="2" t="s">
        <v>605</v>
      </c>
      <c r="C403" s="1" t="s">
        <v>606</v>
      </c>
      <c r="D403" s="1">
        <v>3.0</v>
      </c>
      <c r="E403" s="3">
        <v>40148.48402777778</v>
      </c>
      <c r="F403" s="1">
        <v>5.95</v>
      </c>
      <c r="G403" s="1">
        <v>17700.0</v>
      </c>
      <c r="H403" s="1" t="s">
        <v>14</v>
      </c>
      <c r="I403" s="4">
        <v>40148.0</v>
      </c>
      <c r="J403" s="5">
        <v>0.4840277777777778</v>
      </c>
      <c r="K403" s="1">
        <v>11.0</v>
      </c>
      <c r="L403" s="1">
        <v>17.85</v>
      </c>
    </row>
    <row r="404">
      <c r="A404" s="1">
        <v>489519.0</v>
      </c>
      <c r="B404" s="2" t="s">
        <v>607</v>
      </c>
      <c r="C404" s="1" t="s">
        <v>608</v>
      </c>
      <c r="D404" s="1">
        <v>12.0</v>
      </c>
      <c r="E404" s="3">
        <v>40148.48402777778</v>
      </c>
      <c r="F404" s="1">
        <v>0.65</v>
      </c>
      <c r="G404" s="1">
        <v>17700.0</v>
      </c>
      <c r="H404" s="1" t="s">
        <v>14</v>
      </c>
      <c r="I404" s="4">
        <v>40148.0</v>
      </c>
      <c r="J404" s="5">
        <v>0.4840277777777778</v>
      </c>
      <c r="K404" s="1">
        <v>11.0</v>
      </c>
      <c r="L404" s="1">
        <v>7.8</v>
      </c>
    </row>
    <row r="405">
      <c r="A405" s="1">
        <v>489519.0</v>
      </c>
      <c r="B405" s="2" t="s">
        <v>335</v>
      </c>
      <c r="C405" s="1" t="s">
        <v>336</v>
      </c>
      <c r="D405" s="1">
        <v>12.0</v>
      </c>
      <c r="E405" s="3">
        <v>40148.48402777778</v>
      </c>
      <c r="F405" s="1">
        <v>1.25</v>
      </c>
      <c r="G405" s="1">
        <v>17700.0</v>
      </c>
      <c r="H405" s="1" t="s">
        <v>14</v>
      </c>
      <c r="I405" s="4">
        <v>40148.0</v>
      </c>
      <c r="J405" s="5">
        <v>0.4840277777777778</v>
      </c>
      <c r="K405" s="1">
        <v>11.0</v>
      </c>
      <c r="L405" s="1">
        <v>15.0</v>
      </c>
    </row>
    <row r="406">
      <c r="A406" s="1">
        <v>489519.0</v>
      </c>
      <c r="B406" s="2" t="s">
        <v>609</v>
      </c>
      <c r="C406" s="1" t="s">
        <v>610</v>
      </c>
      <c r="D406" s="1">
        <v>6.0</v>
      </c>
      <c r="E406" s="3">
        <v>40148.48402777778</v>
      </c>
      <c r="F406" s="1">
        <v>1.65</v>
      </c>
      <c r="G406" s="1">
        <v>17700.0</v>
      </c>
      <c r="H406" s="1" t="s">
        <v>14</v>
      </c>
      <c r="I406" s="4">
        <v>40148.0</v>
      </c>
      <c r="J406" s="5">
        <v>0.4840277777777778</v>
      </c>
      <c r="K406" s="1">
        <v>11.0</v>
      </c>
      <c r="L406" s="1">
        <v>9.89999999999999</v>
      </c>
    </row>
    <row r="407">
      <c r="A407" s="1">
        <v>489519.0</v>
      </c>
      <c r="B407" s="2" t="s">
        <v>170</v>
      </c>
      <c r="C407" s="1" t="s">
        <v>171</v>
      </c>
      <c r="D407" s="1">
        <v>6.0</v>
      </c>
      <c r="E407" s="3">
        <v>40148.48402777778</v>
      </c>
      <c r="F407" s="1">
        <v>1.95</v>
      </c>
      <c r="G407" s="1">
        <v>17700.0</v>
      </c>
      <c r="H407" s="1" t="s">
        <v>14</v>
      </c>
      <c r="I407" s="4">
        <v>40148.0</v>
      </c>
      <c r="J407" s="5">
        <v>0.4840277777777778</v>
      </c>
      <c r="K407" s="1">
        <v>11.0</v>
      </c>
      <c r="L407" s="1">
        <v>11.7</v>
      </c>
    </row>
    <row r="408">
      <c r="A408" s="1">
        <v>489519.0</v>
      </c>
      <c r="B408" s="2" t="s">
        <v>611</v>
      </c>
      <c r="C408" s="1" t="s">
        <v>612</v>
      </c>
      <c r="D408" s="1">
        <v>6.0</v>
      </c>
      <c r="E408" s="3">
        <v>40148.48402777778</v>
      </c>
      <c r="F408" s="1">
        <v>2.1</v>
      </c>
      <c r="G408" s="1">
        <v>17700.0</v>
      </c>
      <c r="H408" s="1" t="s">
        <v>14</v>
      </c>
      <c r="I408" s="4">
        <v>40148.0</v>
      </c>
      <c r="J408" s="5">
        <v>0.4840277777777778</v>
      </c>
      <c r="K408" s="1">
        <v>11.0</v>
      </c>
      <c r="L408" s="1">
        <v>12.6</v>
      </c>
    </row>
    <row r="409">
      <c r="A409" s="1">
        <v>489519.0</v>
      </c>
      <c r="B409" s="2" t="s">
        <v>63</v>
      </c>
      <c r="C409" s="1" t="s">
        <v>64</v>
      </c>
      <c r="D409" s="1">
        <v>6.0</v>
      </c>
      <c r="E409" s="3">
        <v>40148.48402777778</v>
      </c>
      <c r="F409" s="1">
        <v>2.1</v>
      </c>
      <c r="G409" s="1">
        <v>17700.0</v>
      </c>
      <c r="H409" s="1" t="s">
        <v>14</v>
      </c>
      <c r="I409" s="4">
        <v>40148.0</v>
      </c>
      <c r="J409" s="5">
        <v>0.4840277777777778</v>
      </c>
      <c r="K409" s="1">
        <v>11.0</v>
      </c>
      <c r="L409" s="1">
        <v>12.6</v>
      </c>
    </row>
    <row r="410">
      <c r="A410" s="1">
        <v>489519.0</v>
      </c>
      <c r="B410" s="2" t="s">
        <v>410</v>
      </c>
      <c r="C410" s="1" t="s">
        <v>411</v>
      </c>
      <c r="D410" s="1">
        <v>3.0</v>
      </c>
      <c r="E410" s="3">
        <v>40148.48402777778</v>
      </c>
      <c r="F410" s="1">
        <v>5.95</v>
      </c>
      <c r="G410" s="1">
        <v>17700.0</v>
      </c>
      <c r="H410" s="1" t="s">
        <v>14</v>
      </c>
      <c r="I410" s="4">
        <v>40148.0</v>
      </c>
      <c r="J410" s="5">
        <v>0.4840277777777778</v>
      </c>
      <c r="K410" s="1">
        <v>11.0</v>
      </c>
      <c r="L410" s="1">
        <v>17.85</v>
      </c>
    </row>
    <row r="411">
      <c r="A411" s="1">
        <v>489519.0</v>
      </c>
      <c r="B411" s="2" t="s">
        <v>380</v>
      </c>
      <c r="C411" s="1" t="s">
        <v>381</v>
      </c>
      <c r="D411" s="1">
        <v>4.0</v>
      </c>
      <c r="E411" s="3">
        <v>40148.48402777778</v>
      </c>
      <c r="F411" s="1">
        <v>6.75</v>
      </c>
      <c r="G411" s="1">
        <v>17700.0</v>
      </c>
      <c r="H411" s="1" t="s">
        <v>14</v>
      </c>
      <c r="I411" s="4">
        <v>40148.0</v>
      </c>
      <c r="J411" s="5">
        <v>0.4840277777777778</v>
      </c>
      <c r="K411" s="1">
        <v>11.0</v>
      </c>
      <c r="L411" s="1">
        <v>27.0</v>
      </c>
    </row>
    <row r="412">
      <c r="A412" s="1">
        <v>489519.0</v>
      </c>
      <c r="B412" s="2" t="s">
        <v>613</v>
      </c>
      <c r="C412" s="1" t="s">
        <v>614</v>
      </c>
      <c r="D412" s="1">
        <v>6.0</v>
      </c>
      <c r="E412" s="3">
        <v>40148.48402777778</v>
      </c>
      <c r="F412" s="1">
        <v>2.55</v>
      </c>
      <c r="G412" s="1">
        <v>17700.0</v>
      </c>
      <c r="H412" s="1" t="s">
        <v>14</v>
      </c>
      <c r="I412" s="4">
        <v>40148.0</v>
      </c>
      <c r="J412" s="5">
        <v>0.4840277777777778</v>
      </c>
      <c r="K412" s="1">
        <v>11.0</v>
      </c>
      <c r="L412" s="1">
        <v>15.2999999999999</v>
      </c>
    </row>
    <row r="413">
      <c r="A413" s="1">
        <v>489519.0</v>
      </c>
      <c r="B413" s="2" t="s">
        <v>615</v>
      </c>
      <c r="C413" s="1" t="s">
        <v>616</v>
      </c>
      <c r="D413" s="1">
        <v>6.0</v>
      </c>
      <c r="E413" s="3">
        <v>40148.48402777778</v>
      </c>
      <c r="F413" s="1">
        <v>2.1</v>
      </c>
      <c r="G413" s="1">
        <v>17700.0</v>
      </c>
      <c r="H413" s="1" t="s">
        <v>14</v>
      </c>
      <c r="I413" s="4">
        <v>40148.0</v>
      </c>
      <c r="J413" s="5">
        <v>0.4840277777777778</v>
      </c>
      <c r="K413" s="1">
        <v>11.0</v>
      </c>
      <c r="L413" s="1">
        <v>12.6</v>
      </c>
    </row>
    <row r="414">
      <c r="A414" s="1">
        <v>489519.0</v>
      </c>
      <c r="B414" s="2" t="s">
        <v>617</v>
      </c>
      <c r="C414" s="1" t="s">
        <v>618</v>
      </c>
      <c r="D414" s="1">
        <v>12.0</v>
      </c>
      <c r="E414" s="3">
        <v>40148.48402777778</v>
      </c>
      <c r="F414" s="1">
        <v>1.69</v>
      </c>
      <c r="G414" s="1">
        <v>17700.0</v>
      </c>
      <c r="H414" s="1" t="s">
        <v>14</v>
      </c>
      <c r="I414" s="4">
        <v>40148.0</v>
      </c>
      <c r="J414" s="5">
        <v>0.4840277777777778</v>
      </c>
      <c r="K414" s="1">
        <v>11.0</v>
      </c>
      <c r="L414" s="1">
        <v>20.28</v>
      </c>
    </row>
    <row r="415">
      <c r="A415" s="1">
        <v>489519.0</v>
      </c>
      <c r="B415" s="2" t="s">
        <v>619</v>
      </c>
      <c r="C415" s="1" t="s">
        <v>620</v>
      </c>
      <c r="D415" s="1">
        <v>12.0</v>
      </c>
      <c r="E415" s="3">
        <v>40148.48402777778</v>
      </c>
      <c r="F415" s="1">
        <v>0.85</v>
      </c>
      <c r="G415" s="1">
        <v>17700.0</v>
      </c>
      <c r="H415" s="1" t="s">
        <v>14</v>
      </c>
      <c r="I415" s="4">
        <v>40148.0</v>
      </c>
      <c r="J415" s="5">
        <v>0.4840277777777778</v>
      </c>
      <c r="K415" s="1">
        <v>11.0</v>
      </c>
      <c r="L415" s="1">
        <v>10.2</v>
      </c>
    </row>
    <row r="416">
      <c r="A416" s="1">
        <v>489519.0</v>
      </c>
      <c r="B416" s="2" t="s">
        <v>621</v>
      </c>
      <c r="C416" s="1" t="s">
        <v>622</v>
      </c>
      <c r="D416" s="1">
        <v>12.0</v>
      </c>
      <c r="E416" s="3">
        <v>40148.48402777778</v>
      </c>
      <c r="F416" s="1">
        <v>0.85</v>
      </c>
      <c r="G416" s="1">
        <v>17700.0</v>
      </c>
      <c r="H416" s="1" t="s">
        <v>14</v>
      </c>
      <c r="I416" s="4">
        <v>40148.0</v>
      </c>
      <c r="J416" s="5">
        <v>0.4840277777777778</v>
      </c>
      <c r="K416" s="1">
        <v>11.0</v>
      </c>
      <c r="L416" s="1">
        <v>10.2</v>
      </c>
    </row>
    <row r="417">
      <c r="A417" s="1">
        <v>489519.0</v>
      </c>
      <c r="B417" s="2" t="s">
        <v>623</v>
      </c>
      <c r="C417" s="1" t="s">
        <v>624</v>
      </c>
      <c r="D417" s="1">
        <v>12.0</v>
      </c>
      <c r="E417" s="3">
        <v>40148.48402777778</v>
      </c>
      <c r="F417" s="1">
        <v>1.25</v>
      </c>
      <c r="G417" s="1">
        <v>17700.0</v>
      </c>
      <c r="H417" s="1" t="s">
        <v>14</v>
      </c>
      <c r="I417" s="4">
        <v>40148.0</v>
      </c>
      <c r="J417" s="5">
        <v>0.4840277777777778</v>
      </c>
      <c r="K417" s="1">
        <v>11.0</v>
      </c>
      <c r="L417" s="1">
        <v>15.0</v>
      </c>
    </row>
    <row r="418">
      <c r="A418" s="1">
        <v>489519.0</v>
      </c>
      <c r="B418" s="2" t="s">
        <v>115</v>
      </c>
      <c r="C418" s="1" t="s">
        <v>116</v>
      </c>
      <c r="D418" s="1">
        <v>8.0</v>
      </c>
      <c r="E418" s="3">
        <v>40148.48402777778</v>
      </c>
      <c r="F418" s="1">
        <v>3.75</v>
      </c>
      <c r="G418" s="1">
        <v>17700.0</v>
      </c>
      <c r="H418" s="1" t="s">
        <v>14</v>
      </c>
      <c r="I418" s="4">
        <v>40148.0</v>
      </c>
      <c r="J418" s="5">
        <v>0.4840277777777778</v>
      </c>
      <c r="K418" s="1">
        <v>11.0</v>
      </c>
      <c r="L418" s="1">
        <v>30.0</v>
      </c>
    </row>
    <row r="419">
      <c r="A419" s="1">
        <v>489519.0</v>
      </c>
      <c r="B419" s="2" t="s">
        <v>625</v>
      </c>
      <c r="C419" s="1" t="s">
        <v>626</v>
      </c>
      <c r="D419" s="1">
        <v>6.0</v>
      </c>
      <c r="E419" s="3">
        <v>40148.48402777778</v>
      </c>
      <c r="F419" s="1">
        <v>2.95</v>
      </c>
      <c r="G419" s="1">
        <v>17700.0</v>
      </c>
      <c r="H419" s="1" t="s">
        <v>14</v>
      </c>
      <c r="I419" s="4">
        <v>40148.0</v>
      </c>
      <c r="J419" s="5">
        <v>0.4840277777777778</v>
      </c>
      <c r="K419" s="1">
        <v>11.0</v>
      </c>
      <c r="L419" s="1">
        <v>17.7</v>
      </c>
    </row>
    <row r="420">
      <c r="A420" s="1">
        <v>489519.0</v>
      </c>
      <c r="B420" s="2" t="s">
        <v>627</v>
      </c>
      <c r="C420" s="1" t="s">
        <v>628</v>
      </c>
      <c r="D420" s="1">
        <v>5.0</v>
      </c>
      <c r="E420" s="3">
        <v>40148.48402777778</v>
      </c>
      <c r="F420" s="1">
        <v>3.95</v>
      </c>
      <c r="G420" s="1">
        <v>17700.0</v>
      </c>
      <c r="H420" s="1" t="s">
        <v>14</v>
      </c>
      <c r="I420" s="4">
        <v>40148.0</v>
      </c>
      <c r="J420" s="5">
        <v>0.4840277777777778</v>
      </c>
      <c r="K420" s="1">
        <v>11.0</v>
      </c>
      <c r="L420" s="1">
        <v>19.75</v>
      </c>
    </row>
    <row r="421">
      <c r="A421" s="1">
        <v>489519.0</v>
      </c>
      <c r="B421" s="2" t="s">
        <v>17</v>
      </c>
      <c r="C421" s="1" t="s">
        <v>18</v>
      </c>
      <c r="D421" s="1">
        <v>4.0</v>
      </c>
      <c r="E421" s="3">
        <v>40148.48402777778</v>
      </c>
      <c r="F421" s="1">
        <v>6.75</v>
      </c>
      <c r="G421" s="1">
        <v>17700.0</v>
      </c>
      <c r="H421" s="1" t="s">
        <v>14</v>
      </c>
      <c r="I421" s="4">
        <v>40148.0</v>
      </c>
      <c r="J421" s="5">
        <v>0.4840277777777778</v>
      </c>
      <c r="K421" s="1">
        <v>11.0</v>
      </c>
      <c r="L421" s="1">
        <v>27.0</v>
      </c>
    </row>
    <row r="422">
      <c r="A422" s="1">
        <v>489519.0</v>
      </c>
      <c r="B422" s="2" t="s">
        <v>629</v>
      </c>
      <c r="C422" s="1" t="s">
        <v>630</v>
      </c>
      <c r="D422" s="1">
        <v>4.0</v>
      </c>
      <c r="E422" s="3">
        <v>40148.48402777778</v>
      </c>
      <c r="F422" s="1">
        <v>3.75</v>
      </c>
      <c r="G422" s="1">
        <v>17700.0</v>
      </c>
      <c r="H422" s="1" t="s">
        <v>14</v>
      </c>
      <c r="I422" s="4">
        <v>40148.0</v>
      </c>
      <c r="J422" s="5">
        <v>0.4840277777777778</v>
      </c>
      <c r="K422" s="1">
        <v>11.0</v>
      </c>
      <c r="L422" s="1">
        <v>15.0</v>
      </c>
    </row>
    <row r="423">
      <c r="A423" s="1">
        <v>489519.0</v>
      </c>
      <c r="B423" s="2" t="s">
        <v>631</v>
      </c>
      <c r="C423" s="1" t="s">
        <v>632</v>
      </c>
      <c r="D423" s="1">
        <v>2.0</v>
      </c>
      <c r="E423" s="3">
        <v>40148.48402777778</v>
      </c>
      <c r="F423" s="1">
        <v>4.25</v>
      </c>
      <c r="G423" s="1">
        <v>17700.0</v>
      </c>
      <c r="H423" s="1" t="s">
        <v>14</v>
      </c>
      <c r="I423" s="4">
        <v>40148.0</v>
      </c>
      <c r="J423" s="5">
        <v>0.4840277777777778</v>
      </c>
      <c r="K423" s="1">
        <v>11.0</v>
      </c>
      <c r="L423" s="1">
        <v>8.5</v>
      </c>
    </row>
    <row r="424">
      <c r="A424" s="1">
        <v>489519.0</v>
      </c>
      <c r="B424" s="2" t="s">
        <v>633</v>
      </c>
      <c r="C424" s="1" t="s">
        <v>634</v>
      </c>
      <c r="D424" s="1">
        <v>6.0</v>
      </c>
      <c r="E424" s="3">
        <v>40148.48402777778</v>
      </c>
      <c r="F424" s="1">
        <v>2.95</v>
      </c>
      <c r="G424" s="1">
        <v>17700.0</v>
      </c>
      <c r="H424" s="1" t="s">
        <v>14</v>
      </c>
      <c r="I424" s="4">
        <v>40148.0</v>
      </c>
      <c r="J424" s="5">
        <v>0.4840277777777778</v>
      </c>
      <c r="K424" s="1">
        <v>11.0</v>
      </c>
      <c r="L424" s="1">
        <v>17.7</v>
      </c>
    </row>
    <row r="425">
      <c r="A425" s="1">
        <v>489519.0</v>
      </c>
      <c r="B425" s="2" t="s">
        <v>635</v>
      </c>
      <c r="C425" s="1" t="s">
        <v>636</v>
      </c>
      <c r="D425" s="1">
        <v>6.0</v>
      </c>
      <c r="E425" s="3">
        <v>40148.48402777778</v>
      </c>
      <c r="F425" s="1">
        <v>2.95</v>
      </c>
      <c r="G425" s="1">
        <v>17700.0</v>
      </c>
      <c r="H425" s="1" t="s">
        <v>14</v>
      </c>
      <c r="I425" s="4">
        <v>40148.0</v>
      </c>
      <c r="J425" s="5">
        <v>0.4840277777777778</v>
      </c>
      <c r="K425" s="1">
        <v>11.0</v>
      </c>
      <c r="L425" s="1">
        <v>17.7</v>
      </c>
    </row>
    <row r="426">
      <c r="A426" s="1">
        <v>489519.0</v>
      </c>
      <c r="B426" s="2" t="s">
        <v>637</v>
      </c>
      <c r="C426" s="1" t="s">
        <v>638</v>
      </c>
      <c r="D426" s="1">
        <v>2.0</v>
      </c>
      <c r="E426" s="3">
        <v>40148.48402777778</v>
      </c>
      <c r="F426" s="1">
        <v>5.95</v>
      </c>
      <c r="G426" s="1">
        <v>17700.0</v>
      </c>
      <c r="H426" s="1" t="s">
        <v>14</v>
      </c>
      <c r="I426" s="4">
        <v>40148.0</v>
      </c>
      <c r="J426" s="5">
        <v>0.4840277777777778</v>
      </c>
      <c r="K426" s="1">
        <v>11.0</v>
      </c>
      <c r="L426" s="1">
        <v>11.9</v>
      </c>
    </row>
    <row r="427">
      <c r="A427" s="1">
        <v>489519.0</v>
      </c>
      <c r="B427" s="2" t="s">
        <v>639</v>
      </c>
      <c r="C427" s="1" t="s">
        <v>640</v>
      </c>
      <c r="D427" s="1">
        <v>2.0</v>
      </c>
      <c r="E427" s="3">
        <v>40148.48402777778</v>
      </c>
      <c r="F427" s="1">
        <v>5.95</v>
      </c>
      <c r="G427" s="1">
        <v>17700.0</v>
      </c>
      <c r="H427" s="1" t="s">
        <v>14</v>
      </c>
      <c r="I427" s="4">
        <v>40148.0</v>
      </c>
      <c r="J427" s="5">
        <v>0.4840277777777778</v>
      </c>
      <c r="K427" s="1">
        <v>11.0</v>
      </c>
      <c r="L427" s="1">
        <v>11.9</v>
      </c>
    </row>
    <row r="428">
      <c r="A428" s="1">
        <v>489519.0</v>
      </c>
      <c r="B428" s="2" t="s">
        <v>641</v>
      </c>
      <c r="C428" s="1" t="s">
        <v>642</v>
      </c>
      <c r="D428" s="1">
        <v>2.0</v>
      </c>
      <c r="E428" s="3">
        <v>40148.48402777778</v>
      </c>
      <c r="F428" s="1">
        <v>8.5</v>
      </c>
      <c r="G428" s="1">
        <v>17700.0</v>
      </c>
      <c r="H428" s="1" t="s">
        <v>14</v>
      </c>
      <c r="I428" s="4">
        <v>40148.0</v>
      </c>
      <c r="J428" s="5">
        <v>0.4840277777777778</v>
      </c>
      <c r="K428" s="1">
        <v>11.0</v>
      </c>
      <c r="L428" s="1">
        <v>17.0</v>
      </c>
    </row>
    <row r="429">
      <c r="A429" s="1">
        <v>489519.0</v>
      </c>
      <c r="B429" s="2" t="s">
        <v>643</v>
      </c>
      <c r="C429" s="1" t="s">
        <v>644</v>
      </c>
      <c r="D429" s="1">
        <v>3.0</v>
      </c>
      <c r="E429" s="3">
        <v>40148.48402777778</v>
      </c>
      <c r="F429" s="1">
        <v>7.95</v>
      </c>
      <c r="G429" s="1">
        <v>17700.0</v>
      </c>
      <c r="H429" s="1" t="s">
        <v>14</v>
      </c>
      <c r="I429" s="4">
        <v>40148.0</v>
      </c>
      <c r="J429" s="5">
        <v>0.4840277777777778</v>
      </c>
      <c r="K429" s="1">
        <v>11.0</v>
      </c>
      <c r="L429" s="1">
        <v>23.85</v>
      </c>
    </row>
    <row r="430">
      <c r="A430" s="1">
        <v>489519.0</v>
      </c>
      <c r="B430" s="2" t="s">
        <v>645</v>
      </c>
      <c r="C430" s="1" t="s">
        <v>646</v>
      </c>
      <c r="D430" s="1">
        <v>6.0</v>
      </c>
      <c r="E430" s="3">
        <v>40148.48402777778</v>
      </c>
      <c r="F430" s="1">
        <v>2.95</v>
      </c>
      <c r="G430" s="1">
        <v>17700.0</v>
      </c>
      <c r="H430" s="1" t="s">
        <v>14</v>
      </c>
      <c r="I430" s="4">
        <v>40148.0</v>
      </c>
      <c r="J430" s="5">
        <v>0.4840277777777778</v>
      </c>
      <c r="K430" s="1">
        <v>11.0</v>
      </c>
      <c r="L430" s="1">
        <v>17.7</v>
      </c>
    </row>
    <row r="431">
      <c r="A431" s="1">
        <v>489519.0</v>
      </c>
      <c r="B431" s="2" t="s">
        <v>647</v>
      </c>
      <c r="C431" s="1" t="s">
        <v>648</v>
      </c>
      <c r="D431" s="1">
        <v>2.0</v>
      </c>
      <c r="E431" s="3">
        <v>40148.48402777778</v>
      </c>
      <c r="F431" s="1">
        <v>6.95</v>
      </c>
      <c r="G431" s="1">
        <v>17700.0</v>
      </c>
      <c r="H431" s="1" t="s">
        <v>14</v>
      </c>
      <c r="I431" s="4">
        <v>40148.0</v>
      </c>
      <c r="J431" s="5">
        <v>0.4840277777777778</v>
      </c>
      <c r="K431" s="1">
        <v>11.0</v>
      </c>
      <c r="L431" s="1">
        <v>13.9</v>
      </c>
    </row>
    <row r="432">
      <c r="A432" s="1">
        <v>489519.0</v>
      </c>
      <c r="B432" s="2" t="s">
        <v>649</v>
      </c>
      <c r="C432" s="1" t="s">
        <v>650</v>
      </c>
      <c r="D432" s="1">
        <v>2.0</v>
      </c>
      <c r="E432" s="3">
        <v>40148.48402777778</v>
      </c>
      <c r="F432" s="1">
        <v>6.35</v>
      </c>
      <c r="G432" s="1">
        <v>17700.0</v>
      </c>
      <c r="H432" s="1" t="s">
        <v>14</v>
      </c>
      <c r="I432" s="4">
        <v>40148.0</v>
      </c>
      <c r="J432" s="5">
        <v>0.4840277777777778</v>
      </c>
      <c r="K432" s="1">
        <v>11.0</v>
      </c>
      <c r="L432" s="1">
        <v>12.7</v>
      </c>
    </row>
    <row r="433">
      <c r="A433" s="1">
        <v>489520.0</v>
      </c>
      <c r="B433" s="2" t="s">
        <v>651</v>
      </c>
      <c r="C433" s="1" t="s">
        <v>652</v>
      </c>
      <c r="D433" s="1">
        <v>12.0</v>
      </c>
      <c r="E433" s="3">
        <v>40148.486805555556</v>
      </c>
      <c r="F433" s="1">
        <v>0.75</v>
      </c>
      <c r="G433" s="1">
        <v>14911.0</v>
      </c>
      <c r="H433" s="1" t="s">
        <v>653</v>
      </c>
      <c r="I433" s="4">
        <v>40148.0</v>
      </c>
      <c r="J433" s="5">
        <v>0.48680555555555555</v>
      </c>
      <c r="K433" s="1">
        <v>11.0</v>
      </c>
      <c r="L433" s="1">
        <v>9.0</v>
      </c>
    </row>
    <row r="434">
      <c r="A434" s="1">
        <v>489520.0</v>
      </c>
      <c r="B434" s="2" t="s">
        <v>654</v>
      </c>
      <c r="C434" s="1" t="s">
        <v>655</v>
      </c>
      <c r="D434" s="1">
        <v>12.0</v>
      </c>
      <c r="E434" s="3">
        <v>40148.486805555556</v>
      </c>
      <c r="F434" s="1">
        <v>1.25</v>
      </c>
      <c r="G434" s="1">
        <v>14911.0</v>
      </c>
      <c r="H434" s="1" t="s">
        <v>653</v>
      </c>
      <c r="I434" s="4">
        <v>40148.0</v>
      </c>
      <c r="J434" s="5">
        <v>0.48680555555555555</v>
      </c>
      <c r="K434" s="1">
        <v>11.0</v>
      </c>
      <c r="L434" s="1">
        <v>15.0</v>
      </c>
    </row>
    <row r="435">
      <c r="A435" s="1">
        <v>489520.0</v>
      </c>
      <c r="B435" s="2" t="s">
        <v>291</v>
      </c>
      <c r="C435" s="1" t="s">
        <v>292</v>
      </c>
      <c r="D435" s="1">
        <v>8.0</v>
      </c>
      <c r="E435" s="3">
        <v>40148.486805555556</v>
      </c>
      <c r="F435" s="1">
        <v>3.95</v>
      </c>
      <c r="G435" s="1">
        <v>14911.0</v>
      </c>
      <c r="H435" s="1" t="s">
        <v>653</v>
      </c>
      <c r="I435" s="4">
        <v>40148.0</v>
      </c>
      <c r="J435" s="5">
        <v>0.48680555555555555</v>
      </c>
      <c r="K435" s="1">
        <v>11.0</v>
      </c>
      <c r="L435" s="1">
        <v>31.6</v>
      </c>
    </row>
    <row r="436">
      <c r="A436" s="1">
        <v>489520.0</v>
      </c>
      <c r="B436" s="2" t="s">
        <v>656</v>
      </c>
      <c r="C436" s="1" t="s">
        <v>657</v>
      </c>
      <c r="D436" s="1">
        <v>6.0</v>
      </c>
      <c r="E436" s="3">
        <v>40148.486805555556</v>
      </c>
      <c r="F436" s="1">
        <v>2.1</v>
      </c>
      <c r="G436" s="1">
        <v>14911.0</v>
      </c>
      <c r="H436" s="1" t="s">
        <v>653</v>
      </c>
      <c r="I436" s="4">
        <v>40148.0</v>
      </c>
      <c r="J436" s="5">
        <v>0.48680555555555555</v>
      </c>
      <c r="K436" s="1">
        <v>11.0</v>
      </c>
      <c r="L436" s="1">
        <v>12.6</v>
      </c>
    </row>
    <row r="437">
      <c r="A437" s="1">
        <v>489520.0</v>
      </c>
      <c r="B437" s="2" t="s">
        <v>27</v>
      </c>
      <c r="C437" s="1" t="s">
        <v>28</v>
      </c>
      <c r="D437" s="1">
        <v>2.0</v>
      </c>
      <c r="E437" s="3">
        <v>40148.486805555556</v>
      </c>
      <c r="F437" s="1">
        <v>6.75</v>
      </c>
      <c r="G437" s="1">
        <v>14911.0</v>
      </c>
      <c r="H437" s="1" t="s">
        <v>653</v>
      </c>
      <c r="I437" s="4">
        <v>40148.0</v>
      </c>
      <c r="J437" s="5">
        <v>0.48680555555555555</v>
      </c>
      <c r="K437" s="1">
        <v>11.0</v>
      </c>
      <c r="L437" s="1">
        <v>13.5</v>
      </c>
    </row>
    <row r="438">
      <c r="A438" s="1">
        <v>489520.0</v>
      </c>
      <c r="B438" s="2" t="s">
        <v>658</v>
      </c>
      <c r="C438" s="1" t="s">
        <v>659</v>
      </c>
      <c r="D438" s="1">
        <v>2.0</v>
      </c>
      <c r="E438" s="3">
        <v>40148.486805555556</v>
      </c>
      <c r="F438" s="1">
        <v>6.75</v>
      </c>
      <c r="G438" s="1">
        <v>14911.0</v>
      </c>
      <c r="H438" s="1" t="s">
        <v>653</v>
      </c>
      <c r="I438" s="4">
        <v>40148.0</v>
      </c>
      <c r="J438" s="5">
        <v>0.48680555555555555</v>
      </c>
      <c r="K438" s="1">
        <v>11.0</v>
      </c>
      <c r="L438" s="1">
        <v>13.5</v>
      </c>
    </row>
    <row r="439">
      <c r="A439" s="1">
        <v>489520.0</v>
      </c>
      <c r="B439" s="2" t="s">
        <v>660</v>
      </c>
      <c r="C439" s="1" t="s">
        <v>661</v>
      </c>
      <c r="D439" s="1">
        <v>2.0</v>
      </c>
      <c r="E439" s="3">
        <v>40148.486805555556</v>
      </c>
      <c r="F439" s="1">
        <v>6.75</v>
      </c>
      <c r="G439" s="1">
        <v>14911.0</v>
      </c>
      <c r="H439" s="1" t="s">
        <v>653</v>
      </c>
      <c r="I439" s="4">
        <v>40148.0</v>
      </c>
      <c r="J439" s="5">
        <v>0.48680555555555555</v>
      </c>
      <c r="K439" s="1">
        <v>11.0</v>
      </c>
      <c r="L439" s="1">
        <v>13.5</v>
      </c>
    </row>
    <row r="440">
      <c r="A440" s="1">
        <v>489520.0</v>
      </c>
      <c r="B440" s="2" t="s">
        <v>662</v>
      </c>
      <c r="C440" s="1" t="s">
        <v>663</v>
      </c>
      <c r="D440" s="1">
        <v>36.0</v>
      </c>
      <c r="E440" s="3">
        <v>40148.486805555556</v>
      </c>
      <c r="F440" s="1">
        <v>1.45</v>
      </c>
      <c r="G440" s="1">
        <v>14911.0</v>
      </c>
      <c r="H440" s="1" t="s">
        <v>653</v>
      </c>
      <c r="I440" s="4">
        <v>40148.0</v>
      </c>
      <c r="J440" s="5">
        <v>0.48680555555555555</v>
      </c>
      <c r="K440" s="1">
        <v>11.0</v>
      </c>
      <c r="L440" s="1">
        <v>52.1999999999999</v>
      </c>
    </row>
    <row r="441">
      <c r="A441" s="1">
        <v>489520.0</v>
      </c>
      <c r="B441" s="2" t="s">
        <v>664</v>
      </c>
      <c r="C441" s="1" t="s">
        <v>665</v>
      </c>
      <c r="D441" s="1">
        <v>3.0</v>
      </c>
      <c r="E441" s="3">
        <v>40148.486805555556</v>
      </c>
      <c r="F441" s="1">
        <v>4.95</v>
      </c>
      <c r="G441" s="1">
        <v>14911.0</v>
      </c>
      <c r="H441" s="1" t="s">
        <v>653</v>
      </c>
      <c r="I441" s="4">
        <v>40148.0</v>
      </c>
      <c r="J441" s="5">
        <v>0.48680555555555555</v>
      </c>
      <c r="K441" s="1">
        <v>11.0</v>
      </c>
      <c r="L441" s="1">
        <v>14.85</v>
      </c>
    </row>
    <row r="442">
      <c r="A442" s="1">
        <v>489520.0</v>
      </c>
      <c r="B442" s="2" t="s">
        <v>666</v>
      </c>
      <c r="C442" s="1" t="s">
        <v>667</v>
      </c>
      <c r="D442" s="1">
        <v>6.0</v>
      </c>
      <c r="E442" s="3">
        <v>40148.486805555556</v>
      </c>
      <c r="F442" s="1">
        <v>2.55</v>
      </c>
      <c r="G442" s="1">
        <v>14911.0</v>
      </c>
      <c r="H442" s="1" t="s">
        <v>653</v>
      </c>
      <c r="I442" s="4">
        <v>40148.0</v>
      </c>
      <c r="J442" s="5">
        <v>0.48680555555555555</v>
      </c>
      <c r="K442" s="1">
        <v>11.0</v>
      </c>
      <c r="L442" s="1">
        <v>15.2999999999999</v>
      </c>
    </row>
    <row r="443">
      <c r="A443" s="1">
        <v>489520.0</v>
      </c>
      <c r="B443" s="2" t="s">
        <v>668</v>
      </c>
      <c r="C443" s="1" t="s">
        <v>669</v>
      </c>
      <c r="D443" s="1">
        <v>10.0</v>
      </c>
      <c r="E443" s="3">
        <v>40148.486805555556</v>
      </c>
      <c r="F443" s="1">
        <v>1.65</v>
      </c>
      <c r="G443" s="1">
        <v>14911.0</v>
      </c>
      <c r="H443" s="1" t="s">
        <v>653</v>
      </c>
      <c r="I443" s="4">
        <v>40148.0</v>
      </c>
      <c r="J443" s="5">
        <v>0.48680555555555555</v>
      </c>
      <c r="K443" s="1">
        <v>11.0</v>
      </c>
      <c r="L443" s="1">
        <v>16.5</v>
      </c>
    </row>
    <row r="444">
      <c r="A444" s="1">
        <v>489520.0</v>
      </c>
      <c r="B444" s="2" t="s">
        <v>670</v>
      </c>
      <c r="C444" s="1" t="s">
        <v>671</v>
      </c>
      <c r="D444" s="1">
        <v>10.0</v>
      </c>
      <c r="E444" s="3">
        <v>40148.486805555556</v>
      </c>
      <c r="F444" s="1">
        <v>1.65</v>
      </c>
      <c r="G444" s="1">
        <v>14911.0</v>
      </c>
      <c r="H444" s="1" t="s">
        <v>653</v>
      </c>
      <c r="I444" s="4">
        <v>40148.0</v>
      </c>
      <c r="J444" s="5">
        <v>0.48680555555555555</v>
      </c>
      <c r="K444" s="1">
        <v>11.0</v>
      </c>
      <c r="L444" s="1">
        <v>16.5</v>
      </c>
    </row>
    <row r="445">
      <c r="A445" s="1">
        <v>489520.0</v>
      </c>
      <c r="B445" s="2" t="s">
        <v>41</v>
      </c>
      <c r="C445" s="1" t="s">
        <v>42</v>
      </c>
      <c r="D445" s="1">
        <v>6.0</v>
      </c>
      <c r="E445" s="3">
        <v>40148.486805555556</v>
      </c>
      <c r="F445" s="1">
        <v>5.95</v>
      </c>
      <c r="G445" s="1">
        <v>14911.0</v>
      </c>
      <c r="H445" s="1" t="s">
        <v>653</v>
      </c>
      <c r="I445" s="4">
        <v>40148.0</v>
      </c>
      <c r="J445" s="5">
        <v>0.48680555555555555</v>
      </c>
      <c r="K445" s="1">
        <v>11.0</v>
      </c>
      <c r="L445" s="1">
        <v>35.7</v>
      </c>
    </row>
    <row r="446">
      <c r="A446" s="1">
        <v>489520.0</v>
      </c>
      <c r="B446" s="2" t="s">
        <v>672</v>
      </c>
      <c r="C446" s="1" t="s">
        <v>673</v>
      </c>
      <c r="D446" s="1">
        <v>4.0</v>
      </c>
      <c r="E446" s="3">
        <v>40148.486805555556</v>
      </c>
      <c r="F446" s="1">
        <v>9.95</v>
      </c>
      <c r="G446" s="1">
        <v>14911.0</v>
      </c>
      <c r="H446" s="1" t="s">
        <v>653</v>
      </c>
      <c r="I446" s="4">
        <v>40148.0</v>
      </c>
      <c r="J446" s="5">
        <v>0.48680555555555555</v>
      </c>
      <c r="K446" s="1">
        <v>11.0</v>
      </c>
      <c r="L446" s="1">
        <v>39.8</v>
      </c>
    </row>
    <row r="447">
      <c r="A447" s="1">
        <v>489520.0</v>
      </c>
      <c r="B447" s="2" t="s">
        <v>674</v>
      </c>
      <c r="C447" s="1" t="s">
        <v>675</v>
      </c>
      <c r="D447" s="1">
        <v>12.0</v>
      </c>
      <c r="E447" s="3">
        <v>40148.486805555556</v>
      </c>
      <c r="F447" s="1">
        <v>1.45</v>
      </c>
      <c r="G447" s="1">
        <v>14911.0</v>
      </c>
      <c r="H447" s="1" t="s">
        <v>653</v>
      </c>
      <c r="I447" s="4">
        <v>40148.0</v>
      </c>
      <c r="J447" s="5">
        <v>0.48680555555555555</v>
      </c>
      <c r="K447" s="1">
        <v>11.0</v>
      </c>
      <c r="L447" s="1">
        <v>17.4</v>
      </c>
    </row>
    <row r="448">
      <c r="A448" s="1">
        <v>489520.0</v>
      </c>
      <c r="B448" s="2" t="s">
        <v>63</v>
      </c>
      <c r="C448" s="1" t="s">
        <v>64</v>
      </c>
      <c r="D448" s="1">
        <v>6.0</v>
      </c>
      <c r="E448" s="3">
        <v>40148.486805555556</v>
      </c>
      <c r="F448" s="1">
        <v>2.1</v>
      </c>
      <c r="G448" s="1">
        <v>14911.0</v>
      </c>
      <c r="H448" s="1" t="s">
        <v>653</v>
      </c>
      <c r="I448" s="4">
        <v>40148.0</v>
      </c>
      <c r="J448" s="5">
        <v>0.48680555555555555</v>
      </c>
      <c r="K448" s="1">
        <v>11.0</v>
      </c>
      <c r="L448" s="1">
        <v>12.6</v>
      </c>
    </row>
    <row r="449">
      <c r="A449" s="1">
        <v>489520.0</v>
      </c>
      <c r="B449" s="2" t="s">
        <v>676</v>
      </c>
      <c r="C449" s="1" t="s">
        <v>677</v>
      </c>
      <c r="D449" s="1">
        <v>12.0</v>
      </c>
      <c r="E449" s="3">
        <v>40148.486805555556</v>
      </c>
      <c r="F449" s="1">
        <v>2.1</v>
      </c>
      <c r="G449" s="1">
        <v>14911.0</v>
      </c>
      <c r="H449" s="1" t="s">
        <v>653</v>
      </c>
      <c r="I449" s="4">
        <v>40148.0</v>
      </c>
      <c r="J449" s="5">
        <v>0.48680555555555555</v>
      </c>
      <c r="K449" s="1">
        <v>11.0</v>
      </c>
      <c r="L449" s="1">
        <v>25.2</v>
      </c>
    </row>
    <row r="450">
      <c r="A450" s="1">
        <v>489520.0</v>
      </c>
      <c r="B450" s="2" t="s">
        <v>678</v>
      </c>
      <c r="C450" s="1" t="s">
        <v>679</v>
      </c>
      <c r="D450" s="1">
        <v>4.0</v>
      </c>
      <c r="E450" s="3">
        <v>40148.486805555556</v>
      </c>
      <c r="F450" s="1">
        <v>12.75</v>
      </c>
      <c r="G450" s="1">
        <v>14911.0</v>
      </c>
      <c r="H450" s="1" t="s">
        <v>653</v>
      </c>
      <c r="I450" s="4">
        <v>40148.0</v>
      </c>
      <c r="J450" s="5">
        <v>0.48680555555555555</v>
      </c>
      <c r="K450" s="1">
        <v>11.0</v>
      </c>
      <c r="L450" s="1">
        <v>51.0</v>
      </c>
    </row>
    <row r="451">
      <c r="A451" s="1">
        <v>489520.0</v>
      </c>
      <c r="B451" s="2" t="s">
        <v>680</v>
      </c>
      <c r="C451" s="1" t="s">
        <v>681</v>
      </c>
      <c r="D451" s="1">
        <v>54.0</v>
      </c>
      <c r="E451" s="3">
        <v>40148.486805555556</v>
      </c>
      <c r="F451" s="1">
        <v>2.55</v>
      </c>
      <c r="G451" s="1">
        <v>14911.0</v>
      </c>
      <c r="H451" s="1" t="s">
        <v>653</v>
      </c>
      <c r="I451" s="4">
        <v>40148.0</v>
      </c>
      <c r="J451" s="5">
        <v>0.48680555555555555</v>
      </c>
      <c r="K451" s="1">
        <v>11.0</v>
      </c>
      <c r="L451" s="1">
        <v>137.7</v>
      </c>
    </row>
    <row r="452">
      <c r="A452" s="1">
        <v>489520.0</v>
      </c>
      <c r="B452" s="2" t="s">
        <v>682</v>
      </c>
      <c r="C452" s="1" t="s">
        <v>683</v>
      </c>
      <c r="D452" s="1">
        <v>6.0</v>
      </c>
      <c r="E452" s="3">
        <v>40148.486805555556</v>
      </c>
      <c r="F452" s="1">
        <v>2.95</v>
      </c>
      <c r="G452" s="1">
        <v>14911.0</v>
      </c>
      <c r="H452" s="1" t="s">
        <v>653</v>
      </c>
      <c r="I452" s="4">
        <v>40148.0</v>
      </c>
      <c r="J452" s="5">
        <v>0.48680555555555555</v>
      </c>
      <c r="K452" s="1">
        <v>11.0</v>
      </c>
      <c r="L452" s="1">
        <v>17.7</v>
      </c>
    </row>
    <row r="453">
      <c r="A453" s="1">
        <v>489520.0</v>
      </c>
      <c r="B453" s="2" t="s">
        <v>220</v>
      </c>
      <c r="C453" s="1" t="s">
        <v>221</v>
      </c>
      <c r="D453" s="1">
        <v>4.0</v>
      </c>
      <c r="E453" s="3">
        <v>40148.486805555556</v>
      </c>
      <c r="F453" s="1">
        <v>3.75</v>
      </c>
      <c r="G453" s="1">
        <v>14911.0</v>
      </c>
      <c r="H453" s="1" t="s">
        <v>653</v>
      </c>
      <c r="I453" s="4">
        <v>40148.0</v>
      </c>
      <c r="J453" s="5">
        <v>0.48680555555555555</v>
      </c>
      <c r="K453" s="1">
        <v>11.0</v>
      </c>
      <c r="L453" s="1">
        <v>15.0</v>
      </c>
    </row>
    <row r="454">
      <c r="A454" s="1">
        <v>489520.0</v>
      </c>
      <c r="B454" s="2" t="s">
        <v>684</v>
      </c>
      <c r="C454" s="1" t="s">
        <v>685</v>
      </c>
      <c r="D454" s="1">
        <v>10.0</v>
      </c>
      <c r="E454" s="3">
        <v>40148.486805555556</v>
      </c>
      <c r="F454" s="1">
        <v>0.85</v>
      </c>
      <c r="G454" s="1">
        <v>14911.0</v>
      </c>
      <c r="H454" s="1" t="s">
        <v>653</v>
      </c>
      <c r="I454" s="4">
        <v>40148.0</v>
      </c>
      <c r="J454" s="5">
        <v>0.48680555555555555</v>
      </c>
      <c r="K454" s="1">
        <v>11.0</v>
      </c>
      <c r="L454" s="1">
        <v>8.5</v>
      </c>
    </row>
    <row r="455">
      <c r="A455" s="1">
        <v>489520.0</v>
      </c>
      <c r="B455" s="2" t="s">
        <v>617</v>
      </c>
      <c r="C455" s="1" t="s">
        <v>618</v>
      </c>
      <c r="D455" s="1">
        <v>12.0</v>
      </c>
      <c r="E455" s="3">
        <v>40148.486805555556</v>
      </c>
      <c r="F455" s="1">
        <v>1.69</v>
      </c>
      <c r="G455" s="1">
        <v>14911.0</v>
      </c>
      <c r="H455" s="1" t="s">
        <v>653</v>
      </c>
      <c r="I455" s="4">
        <v>40148.0</v>
      </c>
      <c r="J455" s="5">
        <v>0.48680555555555555</v>
      </c>
      <c r="K455" s="1">
        <v>11.0</v>
      </c>
      <c r="L455" s="1">
        <v>20.28</v>
      </c>
    </row>
    <row r="456">
      <c r="A456" s="1">
        <v>489520.0</v>
      </c>
      <c r="B456" s="2" t="s">
        <v>686</v>
      </c>
      <c r="C456" s="1" t="s">
        <v>687</v>
      </c>
      <c r="D456" s="1">
        <v>12.0</v>
      </c>
      <c r="E456" s="3">
        <v>40148.486805555556</v>
      </c>
      <c r="F456" s="1">
        <v>0.85</v>
      </c>
      <c r="G456" s="1">
        <v>14911.0</v>
      </c>
      <c r="H456" s="1" t="s">
        <v>653</v>
      </c>
      <c r="I456" s="4">
        <v>40148.0</v>
      </c>
      <c r="J456" s="5">
        <v>0.48680555555555555</v>
      </c>
      <c r="K456" s="1">
        <v>11.0</v>
      </c>
      <c r="L456" s="1">
        <v>10.2</v>
      </c>
    </row>
    <row r="457">
      <c r="A457" s="1">
        <v>489520.0</v>
      </c>
      <c r="B457" s="2" t="s">
        <v>289</v>
      </c>
      <c r="C457" s="1" t="s">
        <v>290</v>
      </c>
      <c r="D457" s="1">
        <v>6.0</v>
      </c>
      <c r="E457" s="3">
        <v>40148.486805555556</v>
      </c>
      <c r="F457" s="1">
        <v>2.95</v>
      </c>
      <c r="G457" s="1">
        <v>14911.0</v>
      </c>
      <c r="H457" s="1" t="s">
        <v>653</v>
      </c>
      <c r="I457" s="4">
        <v>40148.0</v>
      </c>
      <c r="J457" s="5">
        <v>0.48680555555555555</v>
      </c>
      <c r="K457" s="1">
        <v>11.0</v>
      </c>
      <c r="L457" s="1">
        <v>17.7</v>
      </c>
    </row>
    <row r="458">
      <c r="A458" s="1">
        <v>489520.0</v>
      </c>
      <c r="B458" s="2" t="s">
        <v>283</v>
      </c>
      <c r="C458" s="1" t="s">
        <v>284</v>
      </c>
      <c r="D458" s="1">
        <v>6.0</v>
      </c>
      <c r="E458" s="3">
        <v>40148.486805555556</v>
      </c>
      <c r="F458" s="1">
        <v>2.95</v>
      </c>
      <c r="G458" s="1">
        <v>14911.0</v>
      </c>
      <c r="H458" s="1" t="s">
        <v>653</v>
      </c>
      <c r="I458" s="4">
        <v>40148.0</v>
      </c>
      <c r="J458" s="5">
        <v>0.48680555555555555</v>
      </c>
      <c r="K458" s="1">
        <v>11.0</v>
      </c>
      <c r="L458" s="1">
        <v>17.7</v>
      </c>
    </row>
    <row r="459">
      <c r="A459" s="1">
        <v>489520.0</v>
      </c>
      <c r="B459" s="2" t="s">
        <v>688</v>
      </c>
      <c r="C459" s="1" t="s">
        <v>689</v>
      </c>
      <c r="D459" s="1">
        <v>3.0</v>
      </c>
      <c r="E459" s="3">
        <v>40148.486805555556</v>
      </c>
      <c r="F459" s="1">
        <v>5.95</v>
      </c>
      <c r="G459" s="1">
        <v>14911.0</v>
      </c>
      <c r="H459" s="1" t="s">
        <v>653</v>
      </c>
      <c r="I459" s="4">
        <v>40148.0</v>
      </c>
      <c r="J459" s="5">
        <v>0.48680555555555555</v>
      </c>
      <c r="K459" s="1">
        <v>11.0</v>
      </c>
      <c r="L459" s="1">
        <v>17.85</v>
      </c>
    </row>
    <row r="460">
      <c r="A460" s="1">
        <v>489520.0</v>
      </c>
      <c r="B460" s="2" t="s">
        <v>293</v>
      </c>
      <c r="C460" s="1" t="s">
        <v>294</v>
      </c>
      <c r="D460" s="1">
        <v>3.0</v>
      </c>
      <c r="E460" s="3">
        <v>40148.486805555556</v>
      </c>
      <c r="F460" s="1">
        <v>4.95</v>
      </c>
      <c r="G460" s="1">
        <v>14911.0</v>
      </c>
      <c r="H460" s="1" t="s">
        <v>653</v>
      </c>
      <c r="I460" s="4">
        <v>40148.0</v>
      </c>
      <c r="J460" s="5">
        <v>0.48680555555555555</v>
      </c>
      <c r="K460" s="1">
        <v>11.0</v>
      </c>
      <c r="L460" s="1">
        <v>14.85</v>
      </c>
    </row>
    <row r="461">
      <c r="A461" s="1">
        <v>489520.0</v>
      </c>
      <c r="B461" s="2" t="s">
        <v>690</v>
      </c>
      <c r="C461" s="1" t="s">
        <v>691</v>
      </c>
      <c r="D461" s="1">
        <v>12.0</v>
      </c>
      <c r="E461" s="3">
        <v>40148.486805555556</v>
      </c>
      <c r="F461" s="1">
        <v>1.25</v>
      </c>
      <c r="G461" s="1">
        <v>14911.0</v>
      </c>
      <c r="H461" s="1" t="s">
        <v>653</v>
      </c>
      <c r="I461" s="4">
        <v>40148.0</v>
      </c>
      <c r="J461" s="5">
        <v>0.48680555555555555</v>
      </c>
      <c r="K461" s="1">
        <v>11.0</v>
      </c>
      <c r="L461" s="1">
        <v>15.0</v>
      </c>
    </row>
    <row r="462">
      <c r="A462" s="1">
        <v>489520.0</v>
      </c>
      <c r="B462" s="2" t="s">
        <v>580</v>
      </c>
      <c r="C462" s="1" t="s">
        <v>581</v>
      </c>
      <c r="D462" s="1">
        <v>12.0</v>
      </c>
      <c r="E462" s="3">
        <v>40148.486805555556</v>
      </c>
      <c r="F462" s="1">
        <v>2.95</v>
      </c>
      <c r="G462" s="1">
        <v>14911.0</v>
      </c>
      <c r="H462" s="1" t="s">
        <v>653</v>
      </c>
      <c r="I462" s="4">
        <v>40148.0</v>
      </c>
      <c r="J462" s="5">
        <v>0.48680555555555555</v>
      </c>
      <c r="K462" s="1">
        <v>11.0</v>
      </c>
      <c r="L462" s="1">
        <v>35.4</v>
      </c>
    </row>
    <row r="463">
      <c r="A463" s="1">
        <v>489522.0</v>
      </c>
      <c r="B463" s="2" t="s">
        <v>222</v>
      </c>
      <c r="C463" s="1" t="s">
        <v>223</v>
      </c>
      <c r="D463" s="1">
        <v>3.0</v>
      </c>
      <c r="E463" s="3">
        <v>40148.489583333336</v>
      </c>
      <c r="F463" s="1">
        <v>0.42</v>
      </c>
      <c r="G463" s="1">
        <v>15998.0</v>
      </c>
      <c r="H463" s="1" t="s">
        <v>14</v>
      </c>
      <c r="I463" s="4">
        <v>40148.0</v>
      </c>
      <c r="J463" s="5">
        <v>0.4895833333333333</v>
      </c>
      <c r="K463" s="1">
        <v>11.0</v>
      </c>
      <c r="L463" s="1">
        <v>1.26</v>
      </c>
    </row>
    <row r="464">
      <c r="A464" s="1">
        <v>489522.0</v>
      </c>
      <c r="B464" s="2" t="s">
        <v>446</v>
      </c>
      <c r="C464" s="1" t="s">
        <v>447</v>
      </c>
      <c r="D464" s="1">
        <v>1.0</v>
      </c>
      <c r="E464" s="3">
        <v>40148.489583333336</v>
      </c>
      <c r="F464" s="1">
        <v>9.95</v>
      </c>
      <c r="G464" s="1">
        <v>15998.0</v>
      </c>
      <c r="H464" s="1" t="s">
        <v>14</v>
      </c>
      <c r="I464" s="4">
        <v>40148.0</v>
      </c>
      <c r="J464" s="5">
        <v>0.4895833333333333</v>
      </c>
      <c r="K464" s="1">
        <v>11.0</v>
      </c>
      <c r="L464" s="1">
        <v>9.95</v>
      </c>
    </row>
    <row r="465">
      <c r="A465" s="1">
        <v>489522.0</v>
      </c>
      <c r="B465" s="2" t="s">
        <v>692</v>
      </c>
      <c r="C465" s="1" t="s">
        <v>693</v>
      </c>
      <c r="D465" s="1">
        <v>1.0</v>
      </c>
      <c r="E465" s="3">
        <v>40148.489583333336</v>
      </c>
      <c r="F465" s="1">
        <v>4.65</v>
      </c>
      <c r="G465" s="1">
        <v>15998.0</v>
      </c>
      <c r="H465" s="1" t="s">
        <v>14</v>
      </c>
      <c r="I465" s="4">
        <v>40148.0</v>
      </c>
      <c r="J465" s="5">
        <v>0.4895833333333333</v>
      </c>
      <c r="K465" s="1">
        <v>11.0</v>
      </c>
      <c r="L465" s="1">
        <v>4.65</v>
      </c>
    </row>
    <row r="466">
      <c r="A466" s="1">
        <v>489522.0</v>
      </c>
      <c r="B466" s="2" t="s">
        <v>508</v>
      </c>
      <c r="C466" s="1" t="s">
        <v>509</v>
      </c>
      <c r="D466" s="1">
        <v>2.0</v>
      </c>
      <c r="E466" s="3">
        <v>40148.489583333336</v>
      </c>
      <c r="F466" s="1">
        <v>3.75</v>
      </c>
      <c r="G466" s="1">
        <v>15998.0</v>
      </c>
      <c r="H466" s="1" t="s">
        <v>14</v>
      </c>
      <c r="I466" s="4">
        <v>40148.0</v>
      </c>
      <c r="J466" s="5">
        <v>0.4895833333333333</v>
      </c>
      <c r="K466" s="1">
        <v>11.0</v>
      </c>
      <c r="L466" s="1">
        <v>7.5</v>
      </c>
    </row>
    <row r="467">
      <c r="A467" s="1">
        <v>489522.0</v>
      </c>
      <c r="B467" s="2" t="s">
        <v>694</v>
      </c>
      <c r="C467" s="1" t="s">
        <v>695</v>
      </c>
      <c r="D467" s="1">
        <v>6.0</v>
      </c>
      <c r="E467" s="3">
        <v>40148.489583333336</v>
      </c>
      <c r="F467" s="1">
        <v>0.85</v>
      </c>
      <c r="G467" s="1">
        <v>15998.0</v>
      </c>
      <c r="H467" s="1" t="s">
        <v>14</v>
      </c>
      <c r="I467" s="4">
        <v>40148.0</v>
      </c>
      <c r="J467" s="5">
        <v>0.4895833333333333</v>
      </c>
      <c r="K467" s="1">
        <v>11.0</v>
      </c>
      <c r="L467" s="1">
        <v>5.1</v>
      </c>
    </row>
    <row r="468">
      <c r="A468" s="1">
        <v>489522.0</v>
      </c>
      <c r="B468" s="2" t="s">
        <v>696</v>
      </c>
      <c r="C468" s="1" t="s">
        <v>697</v>
      </c>
      <c r="D468" s="1">
        <v>4.0</v>
      </c>
      <c r="E468" s="3">
        <v>40148.489583333336</v>
      </c>
      <c r="F468" s="1">
        <v>3.45</v>
      </c>
      <c r="G468" s="1">
        <v>15998.0</v>
      </c>
      <c r="H468" s="1" t="s">
        <v>14</v>
      </c>
      <c r="I468" s="4">
        <v>40148.0</v>
      </c>
      <c r="J468" s="5">
        <v>0.4895833333333333</v>
      </c>
      <c r="K468" s="1">
        <v>11.0</v>
      </c>
      <c r="L468" s="1">
        <v>13.8</v>
      </c>
    </row>
    <row r="469">
      <c r="A469" s="1">
        <v>489522.0</v>
      </c>
      <c r="B469" s="2" t="s">
        <v>698</v>
      </c>
      <c r="C469" s="1" t="s">
        <v>699</v>
      </c>
      <c r="D469" s="1">
        <v>1.0</v>
      </c>
      <c r="E469" s="3">
        <v>40148.489583333336</v>
      </c>
      <c r="F469" s="1">
        <v>5.49</v>
      </c>
      <c r="G469" s="1">
        <v>15998.0</v>
      </c>
      <c r="H469" s="1" t="s">
        <v>14</v>
      </c>
      <c r="I469" s="4">
        <v>40148.0</v>
      </c>
      <c r="J469" s="5">
        <v>0.4895833333333333</v>
      </c>
      <c r="K469" s="1">
        <v>11.0</v>
      </c>
      <c r="L469" s="1">
        <v>5.49</v>
      </c>
    </row>
    <row r="470">
      <c r="A470" s="1">
        <v>489522.0</v>
      </c>
      <c r="B470" s="2" t="s">
        <v>700</v>
      </c>
      <c r="C470" s="1" t="s">
        <v>701</v>
      </c>
      <c r="D470" s="1">
        <v>1.0</v>
      </c>
      <c r="E470" s="3">
        <v>40148.489583333336</v>
      </c>
      <c r="F470" s="1">
        <v>2.1</v>
      </c>
      <c r="G470" s="1">
        <v>15998.0</v>
      </c>
      <c r="H470" s="1" t="s">
        <v>14</v>
      </c>
      <c r="I470" s="4">
        <v>40148.0</v>
      </c>
      <c r="J470" s="5">
        <v>0.4895833333333333</v>
      </c>
      <c r="K470" s="1">
        <v>11.0</v>
      </c>
      <c r="L470" s="1">
        <v>2.1</v>
      </c>
    </row>
    <row r="471">
      <c r="A471" s="1">
        <v>489522.0</v>
      </c>
      <c r="B471" s="2" t="s">
        <v>73</v>
      </c>
      <c r="C471" s="1" t="s">
        <v>74</v>
      </c>
      <c r="D471" s="1">
        <v>2.0</v>
      </c>
      <c r="E471" s="3">
        <v>40148.489583333336</v>
      </c>
      <c r="F471" s="1">
        <v>4.95</v>
      </c>
      <c r="G471" s="1">
        <v>15998.0</v>
      </c>
      <c r="H471" s="1" t="s">
        <v>14</v>
      </c>
      <c r="I471" s="4">
        <v>40148.0</v>
      </c>
      <c r="J471" s="5">
        <v>0.4895833333333333</v>
      </c>
      <c r="K471" s="1">
        <v>11.0</v>
      </c>
      <c r="L471" s="1">
        <v>9.9</v>
      </c>
    </row>
    <row r="472">
      <c r="A472" s="1">
        <v>489522.0</v>
      </c>
      <c r="B472" s="2" t="s">
        <v>702</v>
      </c>
      <c r="C472" s="1" t="s">
        <v>703</v>
      </c>
      <c r="D472" s="1">
        <v>1.0</v>
      </c>
      <c r="E472" s="3">
        <v>40148.489583333336</v>
      </c>
      <c r="F472" s="1">
        <v>3.75</v>
      </c>
      <c r="G472" s="1">
        <v>15998.0</v>
      </c>
      <c r="H472" s="1" t="s">
        <v>14</v>
      </c>
      <c r="I472" s="4">
        <v>40148.0</v>
      </c>
      <c r="J472" s="5">
        <v>0.4895833333333333</v>
      </c>
      <c r="K472" s="1">
        <v>11.0</v>
      </c>
      <c r="L472" s="1">
        <v>3.75</v>
      </c>
    </row>
    <row r="473">
      <c r="A473" s="1">
        <v>489522.0</v>
      </c>
      <c r="B473" s="2" t="s">
        <v>291</v>
      </c>
      <c r="C473" s="1" t="s">
        <v>292</v>
      </c>
      <c r="D473" s="1">
        <v>1.0</v>
      </c>
      <c r="E473" s="3">
        <v>40148.489583333336</v>
      </c>
      <c r="F473" s="1">
        <v>3.95</v>
      </c>
      <c r="G473" s="1">
        <v>15998.0</v>
      </c>
      <c r="H473" s="1" t="s">
        <v>14</v>
      </c>
      <c r="I473" s="4">
        <v>40148.0</v>
      </c>
      <c r="J473" s="5">
        <v>0.4895833333333333</v>
      </c>
      <c r="K473" s="1">
        <v>11.0</v>
      </c>
      <c r="L473" s="1">
        <v>3.95</v>
      </c>
    </row>
    <row r="474">
      <c r="A474" s="1">
        <v>489522.0</v>
      </c>
      <c r="B474" s="2" t="s">
        <v>704</v>
      </c>
      <c r="C474" s="1" t="s">
        <v>705</v>
      </c>
      <c r="D474" s="1">
        <v>1.0</v>
      </c>
      <c r="E474" s="3">
        <v>40148.489583333336</v>
      </c>
      <c r="F474" s="1">
        <v>3.95</v>
      </c>
      <c r="G474" s="1">
        <v>15998.0</v>
      </c>
      <c r="H474" s="1" t="s">
        <v>14</v>
      </c>
      <c r="I474" s="4">
        <v>40148.0</v>
      </c>
      <c r="J474" s="5">
        <v>0.4895833333333333</v>
      </c>
      <c r="K474" s="1">
        <v>11.0</v>
      </c>
      <c r="L474" s="1">
        <v>3.95</v>
      </c>
    </row>
    <row r="475">
      <c r="A475" s="1">
        <v>489522.0</v>
      </c>
      <c r="B475" s="2" t="s">
        <v>706</v>
      </c>
      <c r="C475" s="1" t="s">
        <v>707</v>
      </c>
      <c r="D475" s="1">
        <v>6.0</v>
      </c>
      <c r="E475" s="3">
        <v>40148.489583333336</v>
      </c>
      <c r="F475" s="1">
        <v>1.95</v>
      </c>
      <c r="G475" s="1">
        <v>15998.0</v>
      </c>
      <c r="H475" s="1" t="s">
        <v>14</v>
      </c>
      <c r="I475" s="4">
        <v>40148.0</v>
      </c>
      <c r="J475" s="5">
        <v>0.4895833333333333</v>
      </c>
      <c r="K475" s="1">
        <v>11.0</v>
      </c>
      <c r="L475" s="1">
        <v>11.7</v>
      </c>
    </row>
    <row r="476">
      <c r="A476" s="1">
        <v>489522.0</v>
      </c>
      <c r="B476" s="2" t="s">
        <v>708</v>
      </c>
      <c r="C476" s="1" t="s">
        <v>709</v>
      </c>
      <c r="D476" s="1">
        <v>2.0</v>
      </c>
      <c r="E476" s="3">
        <v>40148.489583333336</v>
      </c>
      <c r="F476" s="1">
        <v>1.95</v>
      </c>
      <c r="G476" s="1">
        <v>15998.0</v>
      </c>
      <c r="H476" s="1" t="s">
        <v>14</v>
      </c>
      <c r="I476" s="4">
        <v>40148.0</v>
      </c>
      <c r="J476" s="5">
        <v>0.4895833333333333</v>
      </c>
      <c r="K476" s="1">
        <v>11.0</v>
      </c>
      <c r="L476" s="1">
        <v>3.9</v>
      </c>
    </row>
    <row r="477">
      <c r="A477" s="1">
        <v>489522.0</v>
      </c>
      <c r="B477" s="2" t="s">
        <v>710</v>
      </c>
      <c r="C477" s="1" t="s">
        <v>711</v>
      </c>
      <c r="D477" s="1">
        <v>1.0</v>
      </c>
      <c r="E477" s="3">
        <v>40148.489583333336</v>
      </c>
      <c r="F477" s="1">
        <v>1.25</v>
      </c>
      <c r="G477" s="1">
        <v>15998.0</v>
      </c>
      <c r="H477" s="1" t="s">
        <v>14</v>
      </c>
      <c r="I477" s="4">
        <v>40148.0</v>
      </c>
      <c r="J477" s="5">
        <v>0.4895833333333333</v>
      </c>
      <c r="K477" s="1">
        <v>11.0</v>
      </c>
      <c r="L477" s="1">
        <v>1.25</v>
      </c>
    </row>
    <row r="478">
      <c r="A478" s="1">
        <v>489522.0</v>
      </c>
      <c r="B478" s="2" t="s">
        <v>712</v>
      </c>
      <c r="C478" s="1" t="s">
        <v>713</v>
      </c>
      <c r="D478" s="1">
        <v>1.0</v>
      </c>
      <c r="E478" s="3">
        <v>40148.489583333336</v>
      </c>
      <c r="F478" s="1">
        <v>1.25</v>
      </c>
      <c r="G478" s="1">
        <v>15998.0</v>
      </c>
      <c r="H478" s="1" t="s">
        <v>14</v>
      </c>
      <c r="I478" s="4">
        <v>40148.0</v>
      </c>
      <c r="J478" s="5">
        <v>0.4895833333333333</v>
      </c>
      <c r="K478" s="1">
        <v>11.0</v>
      </c>
      <c r="L478" s="1">
        <v>1.25</v>
      </c>
    </row>
    <row r="479">
      <c r="A479" s="1">
        <v>489522.0</v>
      </c>
      <c r="B479" s="2" t="s">
        <v>540</v>
      </c>
      <c r="C479" s="1" t="s">
        <v>541</v>
      </c>
      <c r="D479" s="1">
        <v>1.0</v>
      </c>
      <c r="E479" s="3">
        <v>40148.489583333336</v>
      </c>
      <c r="F479" s="1">
        <v>1.25</v>
      </c>
      <c r="G479" s="1">
        <v>15998.0</v>
      </c>
      <c r="H479" s="1" t="s">
        <v>14</v>
      </c>
      <c r="I479" s="4">
        <v>40148.0</v>
      </c>
      <c r="J479" s="5">
        <v>0.4895833333333333</v>
      </c>
      <c r="K479" s="1">
        <v>11.0</v>
      </c>
      <c r="L479" s="1">
        <v>1.25</v>
      </c>
    </row>
    <row r="480">
      <c r="A480" s="1">
        <v>489522.0</v>
      </c>
      <c r="B480" s="2" t="s">
        <v>714</v>
      </c>
      <c r="C480" s="1" t="s">
        <v>715</v>
      </c>
      <c r="D480" s="1">
        <v>3.0</v>
      </c>
      <c r="E480" s="3">
        <v>40148.489583333336</v>
      </c>
      <c r="F480" s="1">
        <v>1.25</v>
      </c>
      <c r="G480" s="1">
        <v>15998.0</v>
      </c>
      <c r="H480" s="1" t="s">
        <v>14</v>
      </c>
      <c r="I480" s="4">
        <v>40148.0</v>
      </c>
      <c r="J480" s="5">
        <v>0.4895833333333333</v>
      </c>
      <c r="K480" s="1">
        <v>11.0</v>
      </c>
      <c r="L480" s="1">
        <v>3.75</v>
      </c>
    </row>
    <row r="481">
      <c r="A481" s="1">
        <v>489522.0</v>
      </c>
      <c r="B481" s="2" t="s">
        <v>716</v>
      </c>
      <c r="C481" s="1" t="s">
        <v>717</v>
      </c>
      <c r="D481" s="1">
        <v>3.0</v>
      </c>
      <c r="E481" s="3">
        <v>40148.489583333336</v>
      </c>
      <c r="F481" s="1">
        <v>1.25</v>
      </c>
      <c r="G481" s="1">
        <v>15998.0</v>
      </c>
      <c r="H481" s="1" t="s">
        <v>14</v>
      </c>
      <c r="I481" s="4">
        <v>40148.0</v>
      </c>
      <c r="J481" s="5">
        <v>0.4895833333333333</v>
      </c>
      <c r="K481" s="1">
        <v>11.0</v>
      </c>
      <c r="L481" s="1">
        <v>3.75</v>
      </c>
    </row>
    <row r="482">
      <c r="A482" s="1">
        <v>489522.0</v>
      </c>
      <c r="B482" s="2" t="s">
        <v>718</v>
      </c>
      <c r="C482" s="1" t="s">
        <v>719</v>
      </c>
      <c r="D482" s="1">
        <v>3.0</v>
      </c>
      <c r="E482" s="3">
        <v>40148.489583333336</v>
      </c>
      <c r="F482" s="1">
        <v>1.25</v>
      </c>
      <c r="G482" s="1">
        <v>15998.0</v>
      </c>
      <c r="H482" s="1" t="s">
        <v>14</v>
      </c>
      <c r="I482" s="4">
        <v>40148.0</v>
      </c>
      <c r="J482" s="5">
        <v>0.4895833333333333</v>
      </c>
      <c r="K482" s="1">
        <v>11.0</v>
      </c>
      <c r="L482" s="1">
        <v>3.75</v>
      </c>
    </row>
    <row r="483">
      <c r="A483" s="1">
        <v>489522.0</v>
      </c>
      <c r="B483" s="2" t="s">
        <v>720</v>
      </c>
      <c r="C483" s="1" t="s">
        <v>721</v>
      </c>
      <c r="D483" s="1">
        <v>4.0</v>
      </c>
      <c r="E483" s="3">
        <v>40148.489583333336</v>
      </c>
      <c r="F483" s="1">
        <v>1.25</v>
      </c>
      <c r="G483" s="1">
        <v>15998.0</v>
      </c>
      <c r="H483" s="1" t="s">
        <v>14</v>
      </c>
      <c r="I483" s="4">
        <v>40148.0</v>
      </c>
      <c r="J483" s="5">
        <v>0.4895833333333333</v>
      </c>
      <c r="K483" s="1">
        <v>11.0</v>
      </c>
      <c r="L483" s="1">
        <v>5.0</v>
      </c>
    </row>
    <row r="484">
      <c r="A484" s="1">
        <v>489522.0</v>
      </c>
      <c r="B484" s="2" t="s">
        <v>722</v>
      </c>
      <c r="C484" s="1" t="s">
        <v>723</v>
      </c>
      <c r="D484" s="1">
        <v>36.0</v>
      </c>
      <c r="E484" s="3">
        <v>40148.489583333336</v>
      </c>
      <c r="F484" s="1">
        <v>0.21</v>
      </c>
      <c r="G484" s="1">
        <v>15998.0</v>
      </c>
      <c r="H484" s="1" t="s">
        <v>14</v>
      </c>
      <c r="I484" s="4">
        <v>40148.0</v>
      </c>
      <c r="J484" s="5">
        <v>0.4895833333333333</v>
      </c>
      <c r="K484" s="1">
        <v>11.0</v>
      </c>
      <c r="L484" s="1">
        <v>7.56</v>
      </c>
    </row>
    <row r="485">
      <c r="A485" s="1">
        <v>489522.0</v>
      </c>
      <c r="B485" s="2" t="s">
        <v>198</v>
      </c>
      <c r="C485" s="1" t="s">
        <v>199</v>
      </c>
      <c r="D485" s="1">
        <v>2.0</v>
      </c>
      <c r="E485" s="3">
        <v>40148.489583333336</v>
      </c>
      <c r="F485" s="1">
        <v>1.65</v>
      </c>
      <c r="G485" s="1">
        <v>15998.0</v>
      </c>
      <c r="H485" s="1" t="s">
        <v>14</v>
      </c>
      <c r="I485" s="4">
        <v>40148.0</v>
      </c>
      <c r="J485" s="5">
        <v>0.4895833333333333</v>
      </c>
      <c r="K485" s="1">
        <v>11.0</v>
      </c>
      <c r="L485" s="1">
        <v>3.3</v>
      </c>
    </row>
    <row r="486">
      <c r="A486" s="1">
        <v>489522.0</v>
      </c>
      <c r="B486" s="2" t="s">
        <v>572</v>
      </c>
      <c r="C486" s="1" t="s">
        <v>573</v>
      </c>
      <c r="D486" s="1">
        <v>2.0</v>
      </c>
      <c r="E486" s="3">
        <v>40148.489583333336</v>
      </c>
      <c r="F486" s="1">
        <v>1.65</v>
      </c>
      <c r="G486" s="1">
        <v>15998.0</v>
      </c>
      <c r="H486" s="1" t="s">
        <v>14</v>
      </c>
      <c r="I486" s="4">
        <v>40148.0</v>
      </c>
      <c r="J486" s="5">
        <v>0.4895833333333333</v>
      </c>
      <c r="K486" s="1">
        <v>11.0</v>
      </c>
      <c r="L486" s="1">
        <v>3.3</v>
      </c>
    </row>
    <row r="487">
      <c r="A487" s="1">
        <v>489522.0</v>
      </c>
      <c r="B487" s="2" t="s">
        <v>724</v>
      </c>
      <c r="C487" s="1" t="s">
        <v>725</v>
      </c>
      <c r="D487" s="1">
        <v>6.0</v>
      </c>
      <c r="E487" s="3">
        <v>40148.489583333336</v>
      </c>
      <c r="F487" s="1">
        <v>2.1</v>
      </c>
      <c r="G487" s="1">
        <v>15998.0</v>
      </c>
      <c r="H487" s="1" t="s">
        <v>14</v>
      </c>
      <c r="I487" s="4">
        <v>40148.0</v>
      </c>
      <c r="J487" s="5">
        <v>0.4895833333333333</v>
      </c>
      <c r="K487" s="1">
        <v>11.0</v>
      </c>
      <c r="L487" s="1">
        <v>12.6</v>
      </c>
    </row>
    <row r="488">
      <c r="A488" s="1">
        <v>489522.0</v>
      </c>
      <c r="B488" s="2" t="s">
        <v>89</v>
      </c>
      <c r="C488" s="1" t="s">
        <v>90</v>
      </c>
      <c r="D488" s="1">
        <v>2.0</v>
      </c>
      <c r="E488" s="3">
        <v>40148.489583333336</v>
      </c>
      <c r="F488" s="1">
        <v>8.95</v>
      </c>
      <c r="G488" s="1">
        <v>15998.0</v>
      </c>
      <c r="H488" s="1" t="s">
        <v>14</v>
      </c>
      <c r="I488" s="4">
        <v>40148.0</v>
      </c>
      <c r="J488" s="5">
        <v>0.4895833333333333</v>
      </c>
      <c r="K488" s="1">
        <v>11.0</v>
      </c>
      <c r="L488" s="1">
        <v>17.9</v>
      </c>
    </row>
    <row r="489">
      <c r="A489" s="1">
        <v>489522.0</v>
      </c>
      <c r="B489" s="2" t="s">
        <v>726</v>
      </c>
      <c r="C489" s="1" t="s">
        <v>727</v>
      </c>
      <c r="D489" s="1">
        <v>1.0</v>
      </c>
      <c r="E489" s="3">
        <v>40148.489583333336</v>
      </c>
      <c r="F489" s="1">
        <v>4.25</v>
      </c>
      <c r="G489" s="1">
        <v>15998.0</v>
      </c>
      <c r="H489" s="1" t="s">
        <v>14</v>
      </c>
      <c r="I489" s="4">
        <v>40148.0</v>
      </c>
      <c r="J489" s="5">
        <v>0.4895833333333333</v>
      </c>
      <c r="K489" s="1">
        <v>11.0</v>
      </c>
      <c r="L489" s="1">
        <v>4.25</v>
      </c>
    </row>
    <row r="490">
      <c r="A490" s="1">
        <v>489522.0</v>
      </c>
      <c r="B490" s="2" t="s">
        <v>728</v>
      </c>
      <c r="C490" s="1" t="s">
        <v>729</v>
      </c>
      <c r="D490" s="1">
        <v>1.0</v>
      </c>
      <c r="E490" s="3">
        <v>40148.489583333336</v>
      </c>
      <c r="F490" s="1">
        <v>4.95</v>
      </c>
      <c r="G490" s="1">
        <v>15998.0</v>
      </c>
      <c r="H490" s="1" t="s">
        <v>14</v>
      </c>
      <c r="I490" s="4">
        <v>40148.0</v>
      </c>
      <c r="J490" s="5">
        <v>0.4895833333333333</v>
      </c>
      <c r="K490" s="1">
        <v>11.0</v>
      </c>
      <c r="L490" s="1">
        <v>4.95</v>
      </c>
    </row>
    <row r="491">
      <c r="A491" s="1">
        <v>489522.0</v>
      </c>
      <c r="B491" s="2" t="s">
        <v>478</v>
      </c>
      <c r="C491" s="1" t="s">
        <v>479</v>
      </c>
      <c r="D491" s="1">
        <v>3.0</v>
      </c>
      <c r="E491" s="3">
        <v>40148.489583333336</v>
      </c>
      <c r="F491" s="1">
        <v>2.55</v>
      </c>
      <c r="G491" s="1">
        <v>15998.0</v>
      </c>
      <c r="H491" s="1" t="s">
        <v>14</v>
      </c>
      <c r="I491" s="4">
        <v>40148.0</v>
      </c>
      <c r="J491" s="5">
        <v>0.4895833333333333</v>
      </c>
      <c r="K491" s="1">
        <v>11.0</v>
      </c>
      <c r="L491" s="1">
        <v>7.64999999999999</v>
      </c>
    </row>
    <row r="492">
      <c r="A492" s="1">
        <v>489522.0</v>
      </c>
      <c r="B492" s="2" t="s">
        <v>476</v>
      </c>
      <c r="C492" s="1" t="s">
        <v>477</v>
      </c>
      <c r="D492" s="1">
        <v>3.0</v>
      </c>
      <c r="E492" s="3">
        <v>40148.489583333336</v>
      </c>
      <c r="F492" s="1">
        <v>2.55</v>
      </c>
      <c r="G492" s="1">
        <v>15998.0</v>
      </c>
      <c r="H492" s="1" t="s">
        <v>14</v>
      </c>
      <c r="I492" s="4">
        <v>40148.0</v>
      </c>
      <c r="J492" s="5">
        <v>0.4895833333333333</v>
      </c>
      <c r="K492" s="1">
        <v>11.0</v>
      </c>
      <c r="L492" s="1">
        <v>7.64999999999999</v>
      </c>
    </row>
    <row r="493">
      <c r="A493" s="1">
        <v>489522.0</v>
      </c>
      <c r="B493" s="2" t="s">
        <v>730</v>
      </c>
      <c r="C493" s="1" t="s">
        <v>731</v>
      </c>
      <c r="D493" s="1">
        <v>3.0</v>
      </c>
      <c r="E493" s="3">
        <v>40148.489583333336</v>
      </c>
      <c r="F493" s="1">
        <v>2.55</v>
      </c>
      <c r="G493" s="1">
        <v>15998.0</v>
      </c>
      <c r="H493" s="1" t="s">
        <v>14</v>
      </c>
      <c r="I493" s="4">
        <v>40148.0</v>
      </c>
      <c r="J493" s="5">
        <v>0.4895833333333333</v>
      </c>
      <c r="K493" s="1">
        <v>11.0</v>
      </c>
      <c r="L493" s="1">
        <v>7.64999999999999</v>
      </c>
    </row>
    <row r="494">
      <c r="A494" s="1">
        <v>489522.0</v>
      </c>
      <c r="B494" s="2" t="s">
        <v>732</v>
      </c>
      <c r="C494" s="1" t="s">
        <v>733</v>
      </c>
      <c r="D494" s="1">
        <v>3.0</v>
      </c>
      <c r="E494" s="3">
        <v>40148.489583333336</v>
      </c>
      <c r="F494" s="1">
        <v>2.55</v>
      </c>
      <c r="G494" s="1">
        <v>15998.0</v>
      </c>
      <c r="H494" s="1" t="s">
        <v>14</v>
      </c>
      <c r="I494" s="4">
        <v>40148.0</v>
      </c>
      <c r="J494" s="5">
        <v>0.4895833333333333</v>
      </c>
      <c r="K494" s="1">
        <v>11.0</v>
      </c>
      <c r="L494" s="1">
        <v>7.64999999999999</v>
      </c>
    </row>
    <row r="495">
      <c r="A495" s="1">
        <v>489522.0</v>
      </c>
      <c r="B495" s="2" t="s">
        <v>734</v>
      </c>
      <c r="C495" s="1" t="s">
        <v>735</v>
      </c>
      <c r="D495" s="1">
        <v>3.0</v>
      </c>
      <c r="E495" s="3">
        <v>40148.489583333336</v>
      </c>
      <c r="F495" s="1">
        <v>2.55</v>
      </c>
      <c r="G495" s="1">
        <v>15998.0</v>
      </c>
      <c r="H495" s="1" t="s">
        <v>14</v>
      </c>
      <c r="I495" s="4">
        <v>40148.0</v>
      </c>
      <c r="J495" s="5">
        <v>0.4895833333333333</v>
      </c>
      <c r="K495" s="1">
        <v>11.0</v>
      </c>
      <c r="L495" s="1">
        <v>7.64999999999999</v>
      </c>
    </row>
    <row r="496">
      <c r="A496" s="1">
        <v>489522.0</v>
      </c>
      <c r="B496" s="2" t="s">
        <v>736</v>
      </c>
      <c r="C496" s="1" t="s">
        <v>737</v>
      </c>
      <c r="D496" s="1">
        <v>3.0</v>
      </c>
      <c r="E496" s="3">
        <v>40148.489583333336</v>
      </c>
      <c r="F496" s="1">
        <v>2.55</v>
      </c>
      <c r="G496" s="1">
        <v>15998.0</v>
      </c>
      <c r="H496" s="1" t="s">
        <v>14</v>
      </c>
      <c r="I496" s="4">
        <v>40148.0</v>
      </c>
      <c r="J496" s="5">
        <v>0.4895833333333333</v>
      </c>
      <c r="K496" s="1">
        <v>11.0</v>
      </c>
      <c r="L496" s="1">
        <v>7.64999999999999</v>
      </c>
    </row>
    <row r="497">
      <c r="A497" s="1">
        <v>489522.0</v>
      </c>
      <c r="B497" s="2" t="s">
        <v>738</v>
      </c>
      <c r="C497" s="1" t="s">
        <v>739</v>
      </c>
      <c r="D497" s="1">
        <v>6.0</v>
      </c>
      <c r="E497" s="3">
        <v>40148.489583333336</v>
      </c>
      <c r="F497" s="1">
        <v>1.25</v>
      </c>
      <c r="G497" s="1">
        <v>15998.0</v>
      </c>
      <c r="H497" s="1" t="s">
        <v>14</v>
      </c>
      <c r="I497" s="4">
        <v>40148.0</v>
      </c>
      <c r="J497" s="5">
        <v>0.4895833333333333</v>
      </c>
      <c r="K497" s="1">
        <v>11.0</v>
      </c>
      <c r="L497" s="1">
        <v>7.5</v>
      </c>
    </row>
    <row r="498">
      <c r="A498" s="1">
        <v>489522.0</v>
      </c>
      <c r="B498" s="2" t="s">
        <v>79</v>
      </c>
      <c r="C498" s="1" t="s">
        <v>80</v>
      </c>
      <c r="D498" s="1">
        <v>24.0</v>
      </c>
      <c r="E498" s="3">
        <v>40148.489583333336</v>
      </c>
      <c r="F498" s="1">
        <v>0.85</v>
      </c>
      <c r="G498" s="1">
        <v>15998.0</v>
      </c>
      <c r="H498" s="1" t="s">
        <v>14</v>
      </c>
      <c r="I498" s="4">
        <v>40148.0</v>
      </c>
      <c r="J498" s="5">
        <v>0.4895833333333333</v>
      </c>
      <c r="K498" s="1">
        <v>11.0</v>
      </c>
      <c r="L498" s="1">
        <v>20.4</v>
      </c>
    </row>
    <row r="499">
      <c r="A499" s="1">
        <v>489522.0</v>
      </c>
      <c r="B499" s="2" t="s">
        <v>740</v>
      </c>
      <c r="C499" s="1" t="s">
        <v>741</v>
      </c>
      <c r="D499" s="1">
        <v>7.0</v>
      </c>
      <c r="E499" s="3">
        <v>40148.489583333336</v>
      </c>
      <c r="F499" s="1">
        <v>1.95</v>
      </c>
      <c r="G499" s="1">
        <v>15998.0</v>
      </c>
      <c r="H499" s="1" t="s">
        <v>14</v>
      </c>
      <c r="I499" s="4">
        <v>40148.0</v>
      </c>
      <c r="J499" s="5">
        <v>0.4895833333333333</v>
      </c>
      <c r="K499" s="1">
        <v>11.0</v>
      </c>
      <c r="L499" s="1">
        <v>13.65</v>
      </c>
    </row>
    <row r="500">
      <c r="A500" s="1">
        <v>489522.0</v>
      </c>
      <c r="B500" s="2" t="s">
        <v>742</v>
      </c>
      <c r="C500" s="1" t="s">
        <v>743</v>
      </c>
      <c r="D500" s="1">
        <v>10.0</v>
      </c>
      <c r="E500" s="3">
        <v>40148.489583333336</v>
      </c>
      <c r="F500" s="1">
        <v>0.85</v>
      </c>
      <c r="G500" s="1">
        <v>15998.0</v>
      </c>
      <c r="H500" s="1" t="s">
        <v>14</v>
      </c>
      <c r="I500" s="4">
        <v>40148.0</v>
      </c>
      <c r="J500" s="5">
        <v>0.4895833333333333</v>
      </c>
      <c r="K500" s="1">
        <v>11.0</v>
      </c>
      <c r="L500" s="1">
        <v>8.5</v>
      </c>
    </row>
    <row r="501">
      <c r="A501" s="1">
        <v>489522.0</v>
      </c>
      <c r="B501" s="2" t="s">
        <v>744</v>
      </c>
      <c r="C501" s="1" t="s">
        <v>745</v>
      </c>
      <c r="D501" s="1">
        <v>6.0</v>
      </c>
      <c r="E501" s="3">
        <v>40148.489583333336</v>
      </c>
      <c r="F501" s="1">
        <v>0.42</v>
      </c>
      <c r="G501" s="1">
        <v>15998.0</v>
      </c>
      <c r="H501" s="1" t="s">
        <v>14</v>
      </c>
      <c r="I501" s="4">
        <v>40148.0</v>
      </c>
      <c r="J501" s="5">
        <v>0.4895833333333333</v>
      </c>
      <c r="K501" s="1">
        <v>11.0</v>
      </c>
      <c r="L501" s="1">
        <v>2.52</v>
      </c>
    </row>
    <row r="502">
      <c r="A502" s="1">
        <v>489522.0</v>
      </c>
      <c r="B502" s="2" t="s">
        <v>746</v>
      </c>
      <c r="C502" s="1" t="s">
        <v>747</v>
      </c>
      <c r="D502" s="1">
        <v>6.0</v>
      </c>
      <c r="E502" s="3">
        <v>40148.489583333336</v>
      </c>
      <c r="F502" s="1">
        <v>0.42</v>
      </c>
      <c r="G502" s="1">
        <v>15998.0</v>
      </c>
      <c r="H502" s="1" t="s">
        <v>14</v>
      </c>
      <c r="I502" s="4">
        <v>40148.0</v>
      </c>
      <c r="J502" s="5">
        <v>0.4895833333333333</v>
      </c>
      <c r="K502" s="1">
        <v>11.0</v>
      </c>
      <c r="L502" s="1">
        <v>2.52</v>
      </c>
    </row>
    <row r="503">
      <c r="A503" s="1">
        <v>489522.0</v>
      </c>
      <c r="B503" s="2" t="s">
        <v>285</v>
      </c>
      <c r="C503" s="1" t="s">
        <v>286</v>
      </c>
      <c r="D503" s="1">
        <v>6.0</v>
      </c>
      <c r="E503" s="3">
        <v>40148.489583333336</v>
      </c>
      <c r="F503" s="1">
        <v>1.25</v>
      </c>
      <c r="G503" s="1">
        <v>15998.0</v>
      </c>
      <c r="H503" s="1" t="s">
        <v>14</v>
      </c>
      <c r="I503" s="4">
        <v>40148.0</v>
      </c>
      <c r="J503" s="5">
        <v>0.4895833333333333</v>
      </c>
      <c r="K503" s="1">
        <v>11.0</v>
      </c>
      <c r="L503" s="1">
        <v>7.5</v>
      </c>
    </row>
    <row r="504">
      <c r="A504" s="1">
        <v>489522.0</v>
      </c>
      <c r="B504" s="2" t="s">
        <v>617</v>
      </c>
      <c r="C504" s="1" t="s">
        <v>618</v>
      </c>
      <c r="D504" s="1">
        <v>6.0</v>
      </c>
      <c r="E504" s="3">
        <v>40148.489583333336</v>
      </c>
      <c r="F504" s="1">
        <v>1.69</v>
      </c>
      <c r="G504" s="1">
        <v>15998.0</v>
      </c>
      <c r="H504" s="1" t="s">
        <v>14</v>
      </c>
      <c r="I504" s="4">
        <v>40148.0</v>
      </c>
      <c r="J504" s="5">
        <v>0.4895833333333333</v>
      </c>
      <c r="K504" s="1">
        <v>11.0</v>
      </c>
      <c r="L504" s="1">
        <v>10.14</v>
      </c>
    </row>
    <row r="505">
      <c r="A505" s="1">
        <v>489522.0</v>
      </c>
      <c r="B505" s="2" t="s">
        <v>748</v>
      </c>
      <c r="C505" s="1" t="s">
        <v>749</v>
      </c>
      <c r="D505" s="1">
        <v>2.0</v>
      </c>
      <c r="E505" s="3">
        <v>40148.489583333336</v>
      </c>
      <c r="F505" s="1">
        <v>1.25</v>
      </c>
      <c r="G505" s="1">
        <v>15998.0</v>
      </c>
      <c r="H505" s="1" t="s">
        <v>14</v>
      </c>
      <c r="I505" s="4">
        <v>40148.0</v>
      </c>
      <c r="J505" s="5">
        <v>0.4895833333333333</v>
      </c>
      <c r="K505" s="1">
        <v>11.0</v>
      </c>
      <c r="L505" s="1">
        <v>2.5</v>
      </c>
    </row>
    <row r="506">
      <c r="A506" s="1">
        <v>489522.0</v>
      </c>
      <c r="B506" s="2" t="s">
        <v>750</v>
      </c>
      <c r="C506" s="1" t="s">
        <v>751</v>
      </c>
      <c r="D506" s="1">
        <v>2.0</v>
      </c>
      <c r="E506" s="3">
        <v>40148.489583333336</v>
      </c>
      <c r="F506" s="1">
        <v>4.95</v>
      </c>
      <c r="G506" s="1">
        <v>15998.0</v>
      </c>
      <c r="H506" s="1" t="s">
        <v>14</v>
      </c>
      <c r="I506" s="4">
        <v>40148.0</v>
      </c>
      <c r="J506" s="5">
        <v>0.4895833333333333</v>
      </c>
      <c r="K506" s="1">
        <v>11.0</v>
      </c>
      <c r="L506" s="1">
        <v>9.9</v>
      </c>
    </row>
    <row r="507">
      <c r="A507" s="1">
        <v>489522.0</v>
      </c>
      <c r="B507" s="2" t="s">
        <v>752</v>
      </c>
      <c r="C507" s="1" t="s">
        <v>753</v>
      </c>
      <c r="D507" s="1">
        <v>2.0</v>
      </c>
      <c r="E507" s="3">
        <v>40148.489583333336</v>
      </c>
      <c r="F507" s="1">
        <v>4.95</v>
      </c>
      <c r="G507" s="1">
        <v>15998.0</v>
      </c>
      <c r="H507" s="1" t="s">
        <v>14</v>
      </c>
      <c r="I507" s="4">
        <v>40148.0</v>
      </c>
      <c r="J507" s="5">
        <v>0.4895833333333333</v>
      </c>
      <c r="K507" s="1">
        <v>11.0</v>
      </c>
      <c r="L507" s="1">
        <v>9.9</v>
      </c>
    </row>
    <row r="508">
      <c r="A508" s="1">
        <v>489522.0</v>
      </c>
      <c r="B508" s="2" t="s">
        <v>226</v>
      </c>
      <c r="C508" s="1" t="s">
        <v>227</v>
      </c>
      <c r="D508" s="1">
        <v>3.0</v>
      </c>
      <c r="E508" s="3">
        <v>40148.489583333336</v>
      </c>
      <c r="F508" s="1">
        <v>3.75</v>
      </c>
      <c r="G508" s="1">
        <v>15998.0</v>
      </c>
      <c r="H508" s="1" t="s">
        <v>14</v>
      </c>
      <c r="I508" s="4">
        <v>40148.0</v>
      </c>
      <c r="J508" s="5">
        <v>0.4895833333333333</v>
      </c>
      <c r="K508" s="1">
        <v>11.0</v>
      </c>
      <c r="L508" s="1">
        <v>11.25</v>
      </c>
    </row>
    <row r="509">
      <c r="A509" s="1">
        <v>489522.0</v>
      </c>
      <c r="B509" s="2" t="s">
        <v>754</v>
      </c>
      <c r="C509" s="1" t="s">
        <v>755</v>
      </c>
      <c r="D509" s="1">
        <v>6.0</v>
      </c>
      <c r="E509" s="3">
        <v>40148.489583333336</v>
      </c>
      <c r="F509" s="1">
        <v>2.55</v>
      </c>
      <c r="G509" s="1">
        <v>15998.0</v>
      </c>
      <c r="H509" s="1" t="s">
        <v>14</v>
      </c>
      <c r="I509" s="4">
        <v>40148.0</v>
      </c>
      <c r="J509" s="5">
        <v>0.4895833333333333</v>
      </c>
      <c r="K509" s="1">
        <v>11.0</v>
      </c>
      <c r="L509" s="1">
        <v>15.2999999999999</v>
      </c>
    </row>
    <row r="510">
      <c r="A510" s="1">
        <v>489522.0</v>
      </c>
      <c r="B510" s="2" t="s">
        <v>756</v>
      </c>
      <c r="C510" s="1" t="s">
        <v>757</v>
      </c>
      <c r="D510" s="1">
        <v>2.0</v>
      </c>
      <c r="E510" s="3">
        <v>40148.489583333336</v>
      </c>
      <c r="F510" s="1">
        <v>2.55</v>
      </c>
      <c r="G510" s="1">
        <v>15998.0</v>
      </c>
      <c r="H510" s="1" t="s">
        <v>14</v>
      </c>
      <c r="I510" s="4">
        <v>40148.0</v>
      </c>
      <c r="J510" s="5">
        <v>0.4895833333333333</v>
      </c>
      <c r="K510" s="1">
        <v>11.0</v>
      </c>
      <c r="L510" s="1">
        <v>5.1</v>
      </c>
    </row>
    <row r="511">
      <c r="A511" s="1">
        <v>489522.0</v>
      </c>
      <c r="B511" s="2" t="s">
        <v>200</v>
      </c>
      <c r="C511" s="1" t="s">
        <v>201</v>
      </c>
      <c r="D511" s="1">
        <v>4.0</v>
      </c>
      <c r="E511" s="3">
        <v>40148.489583333336</v>
      </c>
      <c r="F511" s="1">
        <v>2.55</v>
      </c>
      <c r="G511" s="1">
        <v>15998.0</v>
      </c>
      <c r="H511" s="1" t="s">
        <v>14</v>
      </c>
      <c r="I511" s="4">
        <v>40148.0</v>
      </c>
      <c r="J511" s="5">
        <v>0.4895833333333333</v>
      </c>
      <c r="K511" s="1">
        <v>11.0</v>
      </c>
      <c r="L511" s="1">
        <v>10.2</v>
      </c>
    </row>
    <row r="512">
      <c r="A512" s="1">
        <v>489522.0</v>
      </c>
      <c r="B512" s="2" t="s">
        <v>758</v>
      </c>
      <c r="C512" s="1" t="s">
        <v>759</v>
      </c>
      <c r="D512" s="1">
        <v>6.0</v>
      </c>
      <c r="E512" s="3">
        <v>40148.489583333336</v>
      </c>
      <c r="F512" s="1">
        <v>0.85</v>
      </c>
      <c r="G512" s="1">
        <v>15998.0</v>
      </c>
      <c r="H512" s="1" t="s">
        <v>14</v>
      </c>
      <c r="I512" s="4">
        <v>40148.0</v>
      </c>
      <c r="J512" s="5">
        <v>0.4895833333333333</v>
      </c>
      <c r="K512" s="1">
        <v>11.0</v>
      </c>
      <c r="L512" s="1">
        <v>5.1</v>
      </c>
    </row>
    <row r="513">
      <c r="A513" s="1">
        <v>489522.0</v>
      </c>
      <c r="B513" s="2" t="s">
        <v>760</v>
      </c>
      <c r="C513" s="1" t="s">
        <v>761</v>
      </c>
      <c r="D513" s="1">
        <v>6.0</v>
      </c>
      <c r="E513" s="3">
        <v>40148.489583333336</v>
      </c>
      <c r="F513" s="1">
        <v>0.85</v>
      </c>
      <c r="G513" s="1">
        <v>15998.0</v>
      </c>
      <c r="H513" s="1" t="s">
        <v>14</v>
      </c>
      <c r="I513" s="4">
        <v>40148.0</v>
      </c>
      <c r="J513" s="5">
        <v>0.4895833333333333</v>
      </c>
      <c r="K513" s="1">
        <v>11.0</v>
      </c>
      <c r="L513" s="1">
        <v>5.1</v>
      </c>
    </row>
    <row r="514">
      <c r="A514" s="1">
        <v>489522.0</v>
      </c>
      <c r="B514" s="2" t="s">
        <v>762</v>
      </c>
      <c r="C514" s="1" t="s">
        <v>763</v>
      </c>
      <c r="D514" s="1">
        <v>6.0</v>
      </c>
      <c r="E514" s="3">
        <v>40148.489583333336</v>
      </c>
      <c r="F514" s="1">
        <v>0.85</v>
      </c>
      <c r="G514" s="1">
        <v>15998.0</v>
      </c>
      <c r="H514" s="1" t="s">
        <v>14</v>
      </c>
      <c r="I514" s="4">
        <v>40148.0</v>
      </c>
      <c r="J514" s="5">
        <v>0.4895833333333333</v>
      </c>
      <c r="K514" s="1">
        <v>11.0</v>
      </c>
      <c r="L514" s="1">
        <v>5.1</v>
      </c>
    </row>
    <row r="515">
      <c r="A515" s="1">
        <v>489522.0</v>
      </c>
      <c r="B515" s="2" t="s">
        <v>764</v>
      </c>
      <c r="C515" s="1" t="s">
        <v>765</v>
      </c>
      <c r="D515" s="1">
        <v>1.0</v>
      </c>
      <c r="E515" s="3">
        <v>40148.489583333336</v>
      </c>
      <c r="F515" s="1">
        <v>6.75</v>
      </c>
      <c r="G515" s="1">
        <v>15998.0</v>
      </c>
      <c r="H515" s="1" t="s">
        <v>14</v>
      </c>
      <c r="I515" s="4">
        <v>40148.0</v>
      </c>
      <c r="J515" s="5">
        <v>0.4895833333333333</v>
      </c>
      <c r="K515" s="1">
        <v>11.0</v>
      </c>
      <c r="L515" s="1">
        <v>6.75</v>
      </c>
    </row>
    <row r="516">
      <c r="A516" s="1">
        <v>489522.0</v>
      </c>
      <c r="B516" s="2" t="s">
        <v>766</v>
      </c>
      <c r="C516" s="1" t="s">
        <v>767</v>
      </c>
      <c r="D516" s="1">
        <v>1.0</v>
      </c>
      <c r="E516" s="3">
        <v>40148.489583333336</v>
      </c>
      <c r="F516" s="1">
        <v>6.75</v>
      </c>
      <c r="G516" s="1">
        <v>15998.0</v>
      </c>
      <c r="H516" s="1" t="s">
        <v>14</v>
      </c>
      <c r="I516" s="4">
        <v>40148.0</v>
      </c>
      <c r="J516" s="5">
        <v>0.4895833333333333</v>
      </c>
      <c r="K516" s="1">
        <v>11.0</v>
      </c>
      <c r="L516" s="1">
        <v>6.75</v>
      </c>
    </row>
    <row r="517">
      <c r="A517" s="1">
        <v>489522.0</v>
      </c>
      <c r="B517" s="2" t="s">
        <v>768</v>
      </c>
      <c r="C517" s="1" t="s">
        <v>769</v>
      </c>
      <c r="D517" s="1">
        <v>1.0</v>
      </c>
      <c r="E517" s="3">
        <v>40148.489583333336</v>
      </c>
      <c r="F517" s="1">
        <v>6.75</v>
      </c>
      <c r="G517" s="1">
        <v>15998.0</v>
      </c>
      <c r="H517" s="1" t="s">
        <v>14</v>
      </c>
      <c r="I517" s="4">
        <v>40148.0</v>
      </c>
      <c r="J517" s="5">
        <v>0.4895833333333333</v>
      </c>
      <c r="K517" s="1">
        <v>11.0</v>
      </c>
      <c r="L517" s="1">
        <v>6.75</v>
      </c>
    </row>
    <row r="518">
      <c r="A518" s="1">
        <v>489522.0</v>
      </c>
      <c r="B518" s="2" t="s">
        <v>770</v>
      </c>
      <c r="C518" s="1" t="s">
        <v>771</v>
      </c>
      <c r="D518" s="1">
        <v>25.0</v>
      </c>
      <c r="E518" s="3">
        <v>40148.489583333336</v>
      </c>
      <c r="F518" s="1">
        <v>0.42</v>
      </c>
      <c r="G518" s="1">
        <v>15998.0</v>
      </c>
      <c r="H518" s="1" t="s">
        <v>14</v>
      </c>
      <c r="I518" s="4">
        <v>40148.0</v>
      </c>
      <c r="J518" s="5">
        <v>0.4895833333333333</v>
      </c>
      <c r="K518" s="1">
        <v>11.0</v>
      </c>
      <c r="L518" s="1">
        <v>10.5</v>
      </c>
    </row>
    <row r="519">
      <c r="A519" s="1">
        <v>489522.0</v>
      </c>
      <c r="B519" s="2" t="s">
        <v>772</v>
      </c>
      <c r="C519" s="1" t="s">
        <v>773</v>
      </c>
      <c r="D519" s="1">
        <v>2.0</v>
      </c>
      <c r="E519" s="3">
        <v>40148.489583333336</v>
      </c>
      <c r="F519" s="1">
        <v>4.95</v>
      </c>
      <c r="G519" s="1">
        <v>15998.0</v>
      </c>
      <c r="H519" s="1" t="s">
        <v>14</v>
      </c>
      <c r="I519" s="4">
        <v>40148.0</v>
      </c>
      <c r="J519" s="5">
        <v>0.4895833333333333</v>
      </c>
      <c r="K519" s="1">
        <v>11.0</v>
      </c>
      <c r="L519" s="1">
        <v>9.9</v>
      </c>
    </row>
    <row r="520">
      <c r="A520" s="1">
        <v>489522.0</v>
      </c>
      <c r="B520" s="2" t="s">
        <v>774</v>
      </c>
      <c r="C520" s="1" t="s">
        <v>695</v>
      </c>
      <c r="D520" s="1">
        <v>6.0</v>
      </c>
      <c r="E520" s="3">
        <v>40148.489583333336</v>
      </c>
      <c r="F520" s="1">
        <v>1.25</v>
      </c>
      <c r="G520" s="1">
        <v>15998.0</v>
      </c>
      <c r="H520" s="1" t="s">
        <v>14</v>
      </c>
      <c r="I520" s="4">
        <v>40148.0</v>
      </c>
      <c r="J520" s="5">
        <v>0.4895833333333333</v>
      </c>
      <c r="K520" s="1">
        <v>11.0</v>
      </c>
      <c r="L520" s="1">
        <v>7.5</v>
      </c>
    </row>
    <row r="521">
      <c r="A521" s="1">
        <v>489522.0</v>
      </c>
      <c r="B521" s="2" t="s">
        <v>279</v>
      </c>
      <c r="C521" s="1" t="s">
        <v>280</v>
      </c>
      <c r="D521" s="1">
        <v>4.0</v>
      </c>
      <c r="E521" s="3">
        <v>40148.489583333336</v>
      </c>
      <c r="F521" s="1">
        <v>5.95</v>
      </c>
      <c r="G521" s="1">
        <v>15998.0</v>
      </c>
      <c r="H521" s="1" t="s">
        <v>14</v>
      </c>
      <c r="I521" s="4">
        <v>40148.0</v>
      </c>
      <c r="J521" s="5">
        <v>0.4895833333333333</v>
      </c>
      <c r="K521" s="1">
        <v>11.0</v>
      </c>
      <c r="L521" s="1">
        <v>23.8</v>
      </c>
    </row>
    <row r="522">
      <c r="A522" s="1">
        <v>489522.0</v>
      </c>
      <c r="B522" s="2" t="s">
        <v>775</v>
      </c>
      <c r="C522" s="1" t="s">
        <v>776</v>
      </c>
      <c r="D522" s="1">
        <v>1.0</v>
      </c>
      <c r="E522" s="3">
        <v>40148.489583333336</v>
      </c>
      <c r="F522" s="1">
        <v>4.65</v>
      </c>
      <c r="G522" s="1">
        <v>15998.0</v>
      </c>
      <c r="H522" s="1" t="s">
        <v>14</v>
      </c>
      <c r="I522" s="4">
        <v>40148.0</v>
      </c>
      <c r="J522" s="5">
        <v>0.4895833333333333</v>
      </c>
      <c r="K522" s="1">
        <v>11.0</v>
      </c>
      <c r="L522" s="1">
        <v>4.65</v>
      </c>
    </row>
    <row r="523">
      <c r="A523" s="1">
        <v>489522.0</v>
      </c>
      <c r="B523" s="2" t="s">
        <v>777</v>
      </c>
      <c r="C523" s="1" t="s">
        <v>778</v>
      </c>
      <c r="D523" s="1">
        <v>1.0</v>
      </c>
      <c r="E523" s="3">
        <v>40148.489583333336</v>
      </c>
      <c r="F523" s="1">
        <v>1.25</v>
      </c>
      <c r="G523" s="1">
        <v>15998.0</v>
      </c>
      <c r="H523" s="1" t="s">
        <v>14</v>
      </c>
      <c r="I523" s="4">
        <v>40148.0</v>
      </c>
      <c r="J523" s="5">
        <v>0.4895833333333333</v>
      </c>
      <c r="K523" s="1">
        <v>11.0</v>
      </c>
      <c r="L523" s="1">
        <v>1.25</v>
      </c>
    </row>
    <row r="524">
      <c r="A524" s="1">
        <v>489522.0</v>
      </c>
      <c r="B524" s="2" t="s">
        <v>779</v>
      </c>
      <c r="C524" s="1" t="s">
        <v>780</v>
      </c>
      <c r="D524" s="1">
        <v>1.0</v>
      </c>
      <c r="E524" s="3">
        <v>40148.489583333336</v>
      </c>
      <c r="F524" s="1">
        <v>1.25</v>
      </c>
      <c r="G524" s="1">
        <v>15998.0</v>
      </c>
      <c r="H524" s="1" t="s">
        <v>14</v>
      </c>
      <c r="I524" s="4">
        <v>40148.0</v>
      </c>
      <c r="J524" s="5">
        <v>0.4895833333333333</v>
      </c>
      <c r="K524" s="1">
        <v>11.0</v>
      </c>
      <c r="L524" s="1">
        <v>1.25</v>
      </c>
    </row>
    <row r="525">
      <c r="A525" s="1">
        <v>489522.0</v>
      </c>
      <c r="B525" s="2" t="s">
        <v>594</v>
      </c>
      <c r="C525" s="1" t="s">
        <v>595</v>
      </c>
      <c r="D525" s="1">
        <v>1.0</v>
      </c>
      <c r="E525" s="3">
        <v>40148.489583333336</v>
      </c>
      <c r="F525" s="1">
        <v>1.25</v>
      </c>
      <c r="G525" s="1">
        <v>15998.0</v>
      </c>
      <c r="H525" s="1" t="s">
        <v>14</v>
      </c>
      <c r="I525" s="4">
        <v>40148.0</v>
      </c>
      <c r="J525" s="5">
        <v>0.4895833333333333</v>
      </c>
      <c r="K525" s="1">
        <v>11.0</v>
      </c>
      <c r="L525" s="1">
        <v>1.25</v>
      </c>
    </row>
    <row r="526">
      <c r="A526" s="1">
        <v>489522.0</v>
      </c>
      <c r="B526" s="2" t="s">
        <v>781</v>
      </c>
      <c r="C526" s="1" t="s">
        <v>782</v>
      </c>
      <c r="D526" s="1">
        <v>8.0</v>
      </c>
      <c r="E526" s="3">
        <v>40148.489583333336</v>
      </c>
      <c r="F526" s="1">
        <v>0.65</v>
      </c>
      <c r="G526" s="1">
        <v>15998.0</v>
      </c>
      <c r="H526" s="1" t="s">
        <v>14</v>
      </c>
      <c r="I526" s="4">
        <v>40148.0</v>
      </c>
      <c r="J526" s="5">
        <v>0.4895833333333333</v>
      </c>
      <c r="K526" s="1">
        <v>11.0</v>
      </c>
      <c r="L526" s="1">
        <v>5.2</v>
      </c>
    </row>
    <row r="527">
      <c r="A527" s="1">
        <v>489522.0</v>
      </c>
      <c r="B527" s="2" t="s">
        <v>783</v>
      </c>
      <c r="C527" s="1" t="s">
        <v>784</v>
      </c>
      <c r="D527" s="1">
        <v>6.0</v>
      </c>
      <c r="E527" s="3">
        <v>40148.489583333336</v>
      </c>
      <c r="F527" s="1">
        <v>1.25</v>
      </c>
      <c r="G527" s="1">
        <v>15998.0</v>
      </c>
      <c r="H527" s="1" t="s">
        <v>14</v>
      </c>
      <c r="I527" s="4">
        <v>40148.0</v>
      </c>
      <c r="J527" s="5">
        <v>0.4895833333333333</v>
      </c>
      <c r="K527" s="1">
        <v>11.0</v>
      </c>
      <c r="L527" s="1">
        <v>7.5</v>
      </c>
    </row>
    <row r="528">
      <c r="A528" s="1">
        <v>489522.0</v>
      </c>
      <c r="B528" s="2" t="s">
        <v>785</v>
      </c>
      <c r="C528" s="1" t="s">
        <v>786</v>
      </c>
      <c r="D528" s="1">
        <v>12.0</v>
      </c>
      <c r="E528" s="3">
        <v>40148.489583333336</v>
      </c>
      <c r="F528" s="1">
        <v>1.69</v>
      </c>
      <c r="G528" s="1">
        <v>15998.0</v>
      </c>
      <c r="H528" s="1" t="s">
        <v>14</v>
      </c>
      <c r="I528" s="4">
        <v>40148.0</v>
      </c>
      <c r="J528" s="5">
        <v>0.4895833333333333</v>
      </c>
      <c r="K528" s="1">
        <v>11.0</v>
      </c>
      <c r="L528" s="1">
        <v>20.28</v>
      </c>
    </row>
    <row r="529">
      <c r="A529" s="1">
        <v>489522.0</v>
      </c>
      <c r="B529" s="2" t="s">
        <v>787</v>
      </c>
      <c r="C529" s="1" t="s">
        <v>788</v>
      </c>
      <c r="D529" s="1">
        <v>5.0</v>
      </c>
      <c r="E529" s="3">
        <v>40148.489583333336</v>
      </c>
      <c r="F529" s="1">
        <v>1.65</v>
      </c>
      <c r="G529" s="1">
        <v>15998.0</v>
      </c>
      <c r="H529" s="1" t="s">
        <v>14</v>
      </c>
      <c r="I529" s="4">
        <v>40148.0</v>
      </c>
      <c r="J529" s="5">
        <v>0.4895833333333333</v>
      </c>
      <c r="K529" s="1">
        <v>11.0</v>
      </c>
      <c r="L529" s="1">
        <v>8.25</v>
      </c>
    </row>
    <row r="530">
      <c r="A530" s="1">
        <v>489522.0</v>
      </c>
      <c r="B530" s="2" t="s">
        <v>789</v>
      </c>
      <c r="C530" s="1" t="s">
        <v>790</v>
      </c>
      <c r="D530" s="1">
        <v>1.0</v>
      </c>
      <c r="E530" s="3">
        <v>40148.489583333336</v>
      </c>
      <c r="F530" s="1">
        <v>1.25</v>
      </c>
      <c r="G530" s="1">
        <v>15998.0</v>
      </c>
      <c r="H530" s="1" t="s">
        <v>14</v>
      </c>
      <c r="I530" s="4">
        <v>40148.0</v>
      </c>
      <c r="J530" s="5">
        <v>0.4895833333333333</v>
      </c>
      <c r="K530" s="1">
        <v>11.0</v>
      </c>
      <c r="L530" s="1">
        <v>1.25</v>
      </c>
    </row>
    <row r="531">
      <c r="A531" s="1">
        <v>489522.0</v>
      </c>
      <c r="B531" s="2" t="s">
        <v>791</v>
      </c>
      <c r="C531" s="1" t="s">
        <v>792</v>
      </c>
      <c r="D531" s="1">
        <v>1.0</v>
      </c>
      <c r="E531" s="3">
        <v>40148.489583333336</v>
      </c>
      <c r="F531" s="1">
        <v>1.25</v>
      </c>
      <c r="G531" s="1">
        <v>15998.0</v>
      </c>
      <c r="H531" s="1" t="s">
        <v>14</v>
      </c>
      <c r="I531" s="4">
        <v>40148.0</v>
      </c>
      <c r="J531" s="5">
        <v>0.4895833333333333</v>
      </c>
      <c r="K531" s="1">
        <v>11.0</v>
      </c>
      <c r="L531" s="1">
        <v>1.25</v>
      </c>
    </row>
    <row r="532">
      <c r="A532" s="1">
        <v>489522.0</v>
      </c>
      <c r="B532" s="2" t="s">
        <v>676</v>
      </c>
      <c r="C532" s="1" t="s">
        <v>677</v>
      </c>
      <c r="D532" s="1">
        <v>1.0</v>
      </c>
      <c r="E532" s="3">
        <v>40148.489583333336</v>
      </c>
      <c r="F532" s="1">
        <v>2.1</v>
      </c>
      <c r="G532" s="1">
        <v>15998.0</v>
      </c>
      <c r="H532" s="1" t="s">
        <v>14</v>
      </c>
      <c r="I532" s="4">
        <v>40148.0</v>
      </c>
      <c r="J532" s="5">
        <v>0.4895833333333333</v>
      </c>
      <c r="K532" s="1">
        <v>11.0</v>
      </c>
      <c r="L532" s="1">
        <v>2.1</v>
      </c>
    </row>
    <row r="533">
      <c r="A533" s="1">
        <v>489522.0</v>
      </c>
      <c r="B533" s="2" t="s">
        <v>63</v>
      </c>
      <c r="C533" s="1" t="s">
        <v>64</v>
      </c>
      <c r="D533" s="1">
        <v>2.0</v>
      </c>
      <c r="E533" s="3">
        <v>40148.489583333336</v>
      </c>
      <c r="F533" s="1">
        <v>2.1</v>
      </c>
      <c r="G533" s="1">
        <v>15998.0</v>
      </c>
      <c r="H533" s="1" t="s">
        <v>14</v>
      </c>
      <c r="I533" s="4">
        <v>40148.0</v>
      </c>
      <c r="J533" s="5">
        <v>0.4895833333333333</v>
      </c>
      <c r="K533" s="1">
        <v>11.0</v>
      </c>
      <c r="L533" s="1">
        <v>4.2</v>
      </c>
    </row>
    <row r="534">
      <c r="A534" s="1">
        <v>489522.0</v>
      </c>
      <c r="B534" s="2" t="s">
        <v>793</v>
      </c>
      <c r="C534" s="1" t="s">
        <v>794</v>
      </c>
      <c r="D534" s="1">
        <v>1.0</v>
      </c>
      <c r="E534" s="3">
        <v>40148.489583333336</v>
      </c>
      <c r="F534" s="1">
        <v>2.95</v>
      </c>
      <c r="G534" s="1">
        <v>15998.0</v>
      </c>
      <c r="H534" s="1" t="s">
        <v>14</v>
      </c>
      <c r="I534" s="4">
        <v>40148.0</v>
      </c>
      <c r="J534" s="5">
        <v>0.4895833333333333</v>
      </c>
      <c r="K534" s="1">
        <v>11.0</v>
      </c>
      <c r="L534" s="1">
        <v>2.95</v>
      </c>
    </row>
    <row r="535">
      <c r="A535" s="1">
        <v>489522.0</v>
      </c>
      <c r="B535" s="2" t="s">
        <v>795</v>
      </c>
      <c r="C535" s="1" t="s">
        <v>796</v>
      </c>
      <c r="D535" s="1">
        <v>2.0</v>
      </c>
      <c r="E535" s="3">
        <v>40148.489583333336</v>
      </c>
      <c r="F535" s="1">
        <v>1.95</v>
      </c>
      <c r="G535" s="1">
        <v>15998.0</v>
      </c>
      <c r="H535" s="1" t="s">
        <v>14</v>
      </c>
      <c r="I535" s="4">
        <v>40148.0</v>
      </c>
      <c r="J535" s="5">
        <v>0.4895833333333333</v>
      </c>
      <c r="K535" s="1">
        <v>11.0</v>
      </c>
      <c r="L535" s="1">
        <v>3.9</v>
      </c>
    </row>
    <row r="536">
      <c r="A536" s="1">
        <v>489522.0</v>
      </c>
      <c r="B536" s="2" t="s">
        <v>797</v>
      </c>
      <c r="C536" s="1" t="s">
        <v>798</v>
      </c>
      <c r="D536" s="1">
        <v>2.0</v>
      </c>
      <c r="E536" s="3">
        <v>40148.489583333336</v>
      </c>
      <c r="F536" s="1">
        <v>2.1</v>
      </c>
      <c r="G536" s="1">
        <v>15998.0</v>
      </c>
      <c r="H536" s="1" t="s">
        <v>14</v>
      </c>
      <c r="I536" s="4">
        <v>40148.0</v>
      </c>
      <c r="J536" s="5">
        <v>0.4895833333333333</v>
      </c>
      <c r="K536" s="1">
        <v>11.0</v>
      </c>
      <c r="L536" s="1">
        <v>4.2</v>
      </c>
    </row>
    <row r="537">
      <c r="A537" s="1">
        <v>489522.0</v>
      </c>
      <c r="B537" s="2" t="s">
        <v>799</v>
      </c>
      <c r="C537" s="1" t="s">
        <v>800</v>
      </c>
      <c r="D537" s="1">
        <v>1.0</v>
      </c>
      <c r="E537" s="3">
        <v>40148.489583333336</v>
      </c>
      <c r="F537" s="1">
        <v>1.95</v>
      </c>
      <c r="G537" s="1">
        <v>15998.0</v>
      </c>
      <c r="H537" s="1" t="s">
        <v>14</v>
      </c>
      <c r="I537" s="4">
        <v>40148.0</v>
      </c>
      <c r="J537" s="5">
        <v>0.4895833333333333</v>
      </c>
      <c r="K537" s="1">
        <v>11.0</v>
      </c>
      <c r="L537" s="1">
        <v>1.95</v>
      </c>
    </row>
    <row r="538">
      <c r="A538" s="1">
        <v>489522.0</v>
      </c>
      <c r="B538" s="2" t="s">
        <v>611</v>
      </c>
      <c r="C538" s="1" t="s">
        <v>612</v>
      </c>
      <c r="D538" s="1">
        <v>3.0</v>
      </c>
      <c r="E538" s="3">
        <v>40148.489583333336</v>
      </c>
      <c r="F538" s="1">
        <v>2.1</v>
      </c>
      <c r="G538" s="1">
        <v>15998.0</v>
      </c>
      <c r="H538" s="1" t="s">
        <v>14</v>
      </c>
      <c r="I538" s="4">
        <v>40148.0</v>
      </c>
      <c r="J538" s="5">
        <v>0.4895833333333333</v>
      </c>
      <c r="K538" s="1">
        <v>11.0</v>
      </c>
      <c r="L538" s="1">
        <v>6.3</v>
      </c>
    </row>
    <row r="539">
      <c r="A539" s="1">
        <v>489522.0</v>
      </c>
      <c r="B539" s="2" t="s">
        <v>61</v>
      </c>
      <c r="C539" s="1" t="s">
        <v>62</v>
      </c>
      <c r="D539" s="1">
        <v>1.0</v>
      </c>
      <c r="E539" s="3">
        <v>40148.489583333336</v>
      </c>
      <c r="F539" s="1">
        <v>2.1</v>
      </c>
      <c r="G539" s="1">
        <v>15998.0</v>
      </c>
      <c r="H539" s="1" t="s">
        <v>14</v>
      </c>
      <c r="I539" s="4">
        <v>40148.0</v>
      </c>
      <c r="J539" s="5">
        <v>0.4895833333333333</v>
      </c>
      <c r="K539" s="1">
        <v>11.0</v>
      </c>
      <c r="L539" s="1">
        <v>2.1</v>
      </c>
    </row>
    <row r="540">
      <c r="A540" s="1">
        <v>489522.0</v>
      </c>
      <c r="B540" s="2" t="s">
        <v>615</v>
      </c>
      <c r="C540" s="1" t="s">
        <v>616</v>
      </c>
      <c r="D540" s="1">
        <v>2.0</v>
      </c>
      <c r="E540" s="3">
        <v>40148.489583333336</v>
      </c>
      <c r="F540" s="1">
        <v>2.1</v>
      </c>
      <c r="G540" s="1">
        <v>15998.0</v>
      </c>
      <c r="H540" s="1" t="s">
        <v>14</v>
      </c>
      <c r="I540" s="4">
        <v>40148.0</v>
      </c>
      <c r="J540" s="5">
        <v>0.4895833333333333</v>
      </c>
      <c r="K540" s="1">
        <v>11.0</v>
      </c>
      <c r="L540" s="1">
        <v>4.2</v>
      </c>
    </row>
    <row r="541">
      <c r="A541" s="1">
        <v>489522.0</v>
      </c>
      <c r="B541" s="2" t="s">
        <v>238</v>
      </c>
      <c r="C541" s="1" t="s">
        <v>239</v>
      </c>
      <c r="D541" s="1">
        <v>1.0</v>
      </c>
      <c r="E541" s="3">
        <v>40148.489583333336</v>
      </c>
      <c r="F541" s="1">
        <v>2.55</v>
      </c>
      <c r="G541" s="1">
        <v>15998.0</v>
      </c>
      <c r="H541" s="1" t="s">
        <v>14</v>
      </c>
      <c r="I541" s="4">
        <v>40148.0</v>
      </c>
      <c r="J541" s="5">
        <v>0.4895833333333333</v>
      </c>
      <c r="K541" s="1">
        <v>11.0</v>
      </c>
      <c r="L541" s="1">
        <v>2.55</v>
      </c>
    </row>
    <row r="542">
      <c r="A542" s="1">
        <v>489522.0</v>
      </c>
      <c r="B542" s="2" t="s">
        <v>801</v>
      </c>
      <c r="C542" s="1" t="s">
        <v>802</v>
      </c>
      <c r="D542" s="1">
        <v>10.0</v>
      </c>
      <c r="E542" s="3">
        <v>40148.489583333336</v>
      </c>
      <c r="F542" s="1">
        <v>0.85</v>
      </c>
      <c r="G542" s="1">
        <v>15998.0</v>
      </c>
      <c r="H542" s="1" t="s">
        <v>14</v>
      </c>
      <c r="I542" s="4">
        <v>40148.0</v>
      </c>
      <c r="J542" s="5">
        <v>0.4895833333333333</v>
      </c>
      <c r="K542" s="1">
        <v>11.0</v>
      </c>
      <c r="L542" s="1">
        <v>8.5</v>
      </c>
    </row>
    <row r="543">
      <c r="A543" s="1">
        <v>489522.0</v>
      </c>
      <c r="B543" s="2" t="s">
        <v>803</v>
      </c>
      <c r="C543" s="1" t="s">
        <v>804</v>
      </c>
      <c r="D543" s="1">
        <v>4.0</v>
      </c>
      <c r="E543" s="3">
        <v>40148.489583333336</v>
      </c>
      <c r="F543" s="1">
        <v>0.85</v>
      </c>
      <c r="G543" s="1">
        <v>15998.0</v>
      </c>
      <c r="H543" s="1" t="s">
        <v>14</v>
      </c>
      <c r="I543" s="4">
        <v>40148.0</v>
      </c>
      <c r="J543" s="5">
        <v>0.4895833333333333</v>
      </c>
      <c r="K543" s="1">
        <v>11.0</v>
      </c>
      <c r="L543" s="1">
        <v>3.4</v>
      </c>
    </row>
    <row r="544">
      <c r="A544" s="1">
        <v>489522.0</v>
      </c>
      <c r="B544" s="2" t="s">
        <v>805</v>
      </c>
      <c r="C544" s="1" t="s">
        <v>806</v>
      </c>
      <c r="D544" s="1">
        <v>7.0</v>
      </c>
      <c r="E544" s="3">
        <v>40148.489583333336</v>
      </c>
      <c r="F544" s="1">
        <v>1.25</v>
      </c>
      <c r="G544" s="1">
        <v>15998.0</v>
      </c>
      <c r="H544" s="1" t="s">
        <v>14</v>
      </c>
      <c r="I544" s="4">
        <v>40148.0</v>
      </c>
      <c r="J544" s="5">
        <v>0.4895833333333333</v>
      </c>
      <c r="K544" s="1">
        <v>11.0</v>
      </c>
      <c r="L544" s="1">
        <v>8.75</v>
      </c>
    </row>
    <row r="545">
      <c r="A545" s="1">
        <v>489522.0</v>
      </c>
      <c r="B545" s="2" t="s">
        <v>807</v>
      </c>
      <c r="C545" s="1" t="s">
        <v>808</v>
      </c>
      <c r="D545" s="1">
        <v>6.0</v>
      </c>
      <c r="E545" s="3">
        <v>40148.489583333336</v>
      </c>
      <c r="F545" s="1">
        <v>1.65</v>
      </c>
      <c r="G545" s="1">
        <v>15998.0</v>
      </c>
      <c r="H545" s="1" t="s">
        <v>14</v>
      </c>
      <c r="I545" s="4">
        <v>40148.0</v>
      </c>
      <c r="J545" s="5">
        <v>0.4895833333333333</v>
      </c>
      <c r="K545" s="1">
        <v>11.0</v>
      </c>
      <c r="L545" s="1">
        <v>9.89999999999999</v>
      </c>
    </row>
    <row r="546">
      <c r="A546" s="1">
        <v>489522.0</v>
      </c>
      <c r="B546" s="2" t="s">
        <v>809</v>
      </c>
      <c r="C546" s="1" t="s">
        <v>810</v>
      </c>
      <c r="D546" s="1">
        <v>6.0</v>
      </c>
      <c r="E546" s="3">
        <v>40148.489583333336</v>
      </c>
      <c r="F546" s="1">
        <v>0.85</v>
      </c>
      <c r="G546" s="1">
        <v>15998.0</v>
      </c>
      <c r="H546" s="1" t="s">
        <v>14</v>
      </c>
      <c r="I546" s="4">
        <v>40148.0</v>
      </c>
      <c r="J546" s="5">
        <v>0.4895833333333333</v>
      </c>
      <c r="K546" s="1">
        <v>11.0</v>
      </c>
      <c r="L546" s="1">
        <v>5.1</v>
      </c>
    </row>
    <row r="547">
      <c r="A547" s="1">
        <v>489522.0</v>
      </c>
      <c r="B547" s="2" t="s">
        <v>811</v>
      </c>
      <c r="C547" s="1" t="s">
        <v>812</v>
      </c>
      <c r="D547" s="1">
        <v>8.0</v>
      </c>
      <c r="E547" s="3">
        <v>40148.489583333336</v>
      </c>
      <c r="F547" s="1">
        <v>1.69</v>
      </c>
      <c r="G547" s="1">
        <v>15998.0</v>
      </c>
      <c r="H547" s="1" t="s">
        <v>14</v>
      </c>
      <c r="I547" s="4">
        <v>40148.0</v>
      </c>
      <c r="J547" s="5">
        <v>0.4895833333333333</v>
      </c>
      <c r="K547" s="1">
        <v>11.0</v>
      </c>
      <c r="L547" s="1">
        <v>13.52</v>
      </c>
    </row>
    <row r="548">
      <c r="A548" s="1">
        <v>489522.0</v>
      </c>
      <c r="B548" s="2" t="s">
        <v>39</v>
      </c>
      <c r="C548" s="1" t="s">
        <v>40</v>
      </c>
      <c r="D548" s="1">
        <v>1.0</v>
      </c>
      <c r="E548" s="3">
        <v>40148.489583333336</v>
      </c>
      <c r="F548" s="1">
        <v>5.95</v>
      </c>
      <c r="G548" s="1">
        <v>15998.0</v>
      </c>
      <c r="H548" s="1" t="s">
        <v>14</v>
      </c>
      <c r="I548" s="4">
        <v>40148.0</v>
      </c>
      <c r="J548" s="5">
        <v>0.4895833333333333</v>
      </c>
      <c r="K548" s="1">
        <v>11.0</v>
      </c>
      <c r="L548" s="1">
        <v>5.95</v>
      </c>
    </row>
    <row r="549">
      <c r="A549" s="1">
        <v>489522.0</v>
      </c>
      <c r="B549" s="2" t="s">
        <v>43</v>
      </c>
      <c r="C549" s="1" t="s">
        <v>44</v>
      </c>
      <c r="D549" s="1">
        <v>8.0</v>
      </c>
      <c r="E549" s="3">
        <v>40148.489583333336</v>
      </c>
      <c r="F549" s="1">
        <v>1.69</v>
      </c>
      <c r="G549" s="1">
        <v>15998.0</v>
      </c>
      <c r="H549" s="1" t="s">
        <v>14</v>
      </c>
      <c r="I549" s="4">
        <v>40148.0</v>
      </c>
      <c r="J549" s="5">
        <v>0.4895833333333333</v>
      </c>
      <c r="K549" s="1">
        <v>11.0</v>
      </c>
      <c r="L549" s="1">
        <v>13.52</v>
      </c>
    </row>
    <row r="550">
      <c r="A550" s="1">
        <v>489522.0</v>
      </c>
      <c r="B550" s="2" t="s">
        <v>578</v>
      </c>
      <c r="C550" s="1" t="s">
        <v>579</v>
      </c>
      <c r="D550" s="1">
        <v>1.0</v>
      </c>
      <c r="E550" s="3">
        <v>40148.489583333336</v>
      </c>
      <c r="F550" s="1">
        <v>3.75</v>
      </c>
      <c r="G550" s="1">
        <v>15998.0</v>
      </c>
      <c r="H550" s="1" t="s">
        <v>14</v>
      </c>
      <c r="I550" s="4">
        <v>40148.0</v>
      </c>
      <c r="J550" s="5">
        <v>0.4895833333333333</v>
      </c>
      <c r="K550" s="1">
        <v>11.0</v>
      </c>
      <c r="L550" s="1">
        <v>3.75</v>
      </c>
    </row>
    <row r="551">
      <c r="A551" s="1">
        <v>489522.0</v>
      </c>
      <c r="B551" s="2" t="s">
        <v>472</v>
      </c>
      <c r="C551" s="1" t="s">
        <v>473</v>
      </c>
      <c r="D551" s="1">
        <v>1.0</v>
      </c>
      <c r="E551" s="3">
        <v>40148.489583333336</v>
      </c>
      <c r="F551" s="1">
        <v>3.75</v>
      </c>
      <c r="G551" s="1">
        <v>15998.0</v>
      </c>
      <c r="H551" s="1" t="s">
        <v>14</v>
      </c>
      <c r="I551" s="4">
        <v>40148.0</v>
      </c>
      <c r="J551" s="5">
        <v>0.4895833333333333</v>
      </c>
      <c r="K551" s="1">
        <v>11.0</v>
      </c>
      <c r="L551" s="1">
        <v>3.75</v>
      </c>
    </row>
    <row r="552">
      <c r="A552" s="1">
        <v>489522.0</v>
      </c>
      <c r="B552" s="2" t="s">
        <v>474</v>
      </c>
      <c r="C552" s="1" t="s">
        <v>475</v>
      </c>
      <c r="D552" s="1">
        <v>1.0</v>
      </c>
      <c r="E552" s="3">
        <v>40148.489583333336</v>
      </c>
      <c r="F552" s="1">
        <v>3.75</v>
      </c>
      <c r="G552" s="1">
        <v>15998.0</v>
      </c>
      <c r="H552" s="1" t="s">
        <v>14</v>
      </c>
      <c r="I552" s="4">
        <v>40148.0</v>
      </c>
      <c r="J552" s="5">
        <v>0.4895833333333333</v>
      </c>
      <c r="K552" s="1">
        <v>11.0</v>
      </c>
      <c r="L552" s="1">
        <v>3.75</v>
      </c>
    </row>
    <row r="553">
      <c r="A553" s="1">
        <v>489522.0</v>
      </c>
      <c r="B553" s="2" t="s">
        <v>813</v>
      </c>
      <c r="C553" s="1" t="s">
        <v>814</v>
      </c>
      <c r="D553" s="1">
        <v>4.0</v>
      </c>
      <c r="E553" s="3">
        <v>40148.489583333336</v>
      </c>
      <c r="F553" s="1">
        <v>0.85</v>
      </c>
      <c r="G553" s="1">
        <v>15998.0</v>
      </c>
      <c r="H553" s="1" t="s">
        <v>14</v>
      </c>
      <c r="I553" s="4">
        <v>40148.0</v>
      </c>
      <c r="J553" s="5">
        <v>0.4895833333333333</v>
      </c>
      <c r="K553" s="1">
        <v>11.0</v>
      </c>
      <c r="L553" s="1">
        <v>3.4</v>
      </c>
    </row>
    <row r="554">
      <c r="A554" s="1">
        <v>489522.0</v>
      </c>
      <c r="B554" s="2" t="s">
        <v>815</v>
      </c>
      <c r="C554" s="1" t="s">
        <v>816</v>
      </c>
      <c r="D554" s="1">
        <v>4.0</v>
      </c>
      <c r="E554" s="3">
        <v>40148.489583333336</v>
      </c>
      <c r="F554" s="1">
        <v>0.85</v>
      </c>
      <c r="G554" s="1">
        <v>15998.0</v>
      </c>
      <c r="H554" s="1" t="s">
        <v>14</v>
      </c>
      <c r="I554" s="4">
        <v>40148.0</v>
      </c>
      <c r="J554" s="5">
        <v>0.4895833333333333</v>
      </c>
      <c r="K554" s="1">
        <v>11.0</v>
      </c>
      <c r="L554" s="1">
        <v>3.4</v>
      </c>
    </row>
    <row r="555">
      <c r="A555" s="1">
        <v>489522.0</v>
      </c>
      <c r="B555" s="2" t="s">
        <v>817</v>
      </c>
      <c r="C555" s="1" t="s">
        <v>818</v>
      </c>
      <c r="D555" s="1">
        <v>4.0</v>
      </c>
      <c r="E555" s="3">
        <v>40148.489583333336</v>
      </c>
      <c r="F555" s="1">
        <v>0.85</v>
      </c>
      <c r="G555" s="1">
        <v>15998.0</v>
      </c>
      <c r="H555" s="1" t="s">
        <v>14</v>
      </c>
      <c r="I555" s="4">
        <v>40148.0</v>
      </c>
      <c r="J555" s="5">
        <v>0.4895833333333333</v>
      </c>
      <c r="K555" s="1">
        <v>11.0</v>
      </c>
      <c r="L555" s="1">
        <v>3.4</v>
      </c>
    </row>
    <row r="556">
      <c r="A556" s="1">
        <v>489522.0</v>
      </c>
      <c r="B556" s="2" t="s">
        <v>819</v>
      </c>
      <c r="C556" s="1" t="s">
        <v>820</v>
      </c>
      <c r="D556" s="1">
        <v>4.0</v>
      </c>
      <c r="E556" s="3">
        <v>40148.489583333336</v>
      </c>
      <c r="F556" s="1">
        <v>2.55</v>
      </c>
      <c r="G556" s="1">
        <v>15998.0</v>
      </c>
      <c r="H556" s="1" t="s">
        <v>14</v>
      </c>
      <c r="I556" s="4">
        <v>40148.0</v>
      </c>
      <c r="J556" s="5">
        <v>0.4895833333333333</v>
      </c>
      <c r="K556" s="1">
        <v>11.0</v>
      </c>
      <c r="L556" s="1">
        <v>10.2</v>
      </c>
    </row>
    <row r="557">
      <c r="A557" s="1">
        <v>489522.0</v>
      </c>
      <c r="B557" s="2" t="s">
        <v>821</v>
      </c>
      <c r="C557" s="1" t="s">
        <v>822</v>
      </c>
      <c r="D557" s="1">
        <v>4.0</v>
      </c>
      <c r="E557" s="3">
        <v>40148.489583333336</v>
      </c>
      <c r="F557" s="1">
        <v>2.55</v>
      </c>
      <c r="G557" s="1">
        <v>15998.0</v>
      </c>
      <c r="H557" s="1" t="s">
        <v>14</v>
      </c>
      <c r="I557" s="4">
        <v>40148.0</v>
      </c>
      <c r="J557" s="5">
        <v>0.4895833333333333</v>
      </c>
      <c r="K557" s="1">
        <v>11.0</v>
      </c>
      <c r="L557" s="1">
        <v>10.2</v>
      </c>
    </row>
    <row r="558">
      <c r="A558" s="1">
        <v>489522.0</v>
      </c>
      <c r="B558" s="2" t="s">
        <v>823</v>
      </c>
      <c r="C558" s="1" t="s">
        <v>824</v>
      </c>
      <c r="D558" s="1">
        <v>1.0</v>
      </c>
      <c r="E558" s="3">
        <v>40148.489583333336</v>
      </c>
      <c r="F558" s="1">
        <v>1.65</v>
      </c>
      <c r="G558" s="1">
        <v>15998.0</v>
      </c>
      <c r="H558" s="1" t="s">
        <v>14</v>
      </c>
      <c r="I558" s="4">
        <v>40148.0</v>
      </c>
      <c r="J558" s="5">
        <v>0.4895833333333333</v>
      </c>
      <c r="K558" s="1">
        <v>11.0</v>
      </c>
      <c r="L558" s="1">
        <v>1.65</v>
      </c>
    </row>
    <row r="559">
      <c r="A559" s="1">
        <v>489522.0</v>
      </c>
      <c r="B559" s="2" t="s">
        <v>825</v>
      </c>
      <c r="C559" s="1" t="s">
        <v>826</v>
      </c>
      <c r="D559" s="1">
        <v>2.0</v>
      </c>
      <c r="E559" s="3">
        <v>40148.489583333336</v>
      </c>
      <c r="F559" s="1">
        <v>1.25</v>
      </c>
      <c r="G559" s="1">
        <v>15998.0</v>
      </c>
      <c r="H559" s="1" t="s">
        <v>14</v>
      </c>
      <c r="I559" s="4">
        <v>40148.0</v>
      </c>
      <c r="J559" s="5">
        <v>0.4895833333333333</v>
      </c>
      <c r="K559" s="1">
        <v>11.0</v>
      </c>
      <c r="L559" s="1">
        <v>2.5</v>
      </c>
    </row>
    <row r="560">
      <c r="A560" s="1">
        <v>489522.0</v>
      </c>
      <c r="B560" s="2" t="s">
        <v>827</v>
      </c>
      <c r="C560" s="1" t="s">
        <v>828</v>
      </c>
      <c r="D560" s="1">
        <v>2.0</v>
      </c>
      <c r="E560" s="3">
        <v>40148.489583333336</v>
      </c>
      <c r="F560" s="1">
        <v>1.25</v>
      </c>
      <c r="G560" s="1">
        <v>15998.0</v>
      </c>
      <c r="H560" s="1" t="s">
        <v>14</v>
      </c>
      <c r="I560" s="4">
        <v>40148.0</v>
      </c>
      <c r="J560" s="5">
        <v>0.4895833333333333</v>
      </c>
      <c r="K560" s="1">
        <v>11.0</v>
      </c>
      <c r="L560" s="1">
        <v>2.5</v>
      </c>
    </row>
    <row r="561">
      <c r="A561" s="1">
        <v>489522.0</v>
      </c>
      <c r="B561" s="2" t="s">
        <v>829</v>
      </c>
      <c r="C561" s="1" t="s">
        <v>830</v>
      </c>
      <c r="D561" s="1">
        <v>2.0</v>
      </c>
      <c r="E561" s="3">
        <v>40148.489583333336</v>
      </c>
      <c r="F561" s="1">
        <v>1.65</v>
      </c>
      <c r="G561" s="1">
        <v>15998.0</v>
      </c>
      <c r="H561" s="1" t="s">
        <v>14</v>
      </c>
      <c r="I561" s="4">
        <v>40148.0</v>
      </c>
      <c r="J561" s="5">
        <v>0.4895833333333333</v>
      </c>
      <c r="K561" s="1">
        <v>11.0</v>
      </c>
      <c r="L561" s="1">
        <v>3.3</v>
      </c>
    </row>
    <row r="562">
      <c r="A562" s="1">
        <v>489522.0</v>
      </c>
      <c r="B562" s="2" t="s">
        <v>831</v>
      </c>
      <c r="C562" s="1" t="s">
        <v>832</v>
      </c>
      <c r="D562" s="1">
        <v>1.0</v>
      </c>
      <c r="E562" s="3">
        <v>40148.489583333336</v>
      </c>
      <c r="F562" s="1">
        <v>1.65</v>
      </c>
      <c r="G562" s="1">
        <v>15998.0</v>
      </c>
      <c r="H562" s="1" t="s">
        <v>14</v>
      </c>
      <c r="I562" s="4">
        <v>40148.0</v>
      </c>
      <c r="J562" s="5">
        <v>0.4895833333333333</v>
      </c>
      <c r="K562" s="1">
        <v>11.0</v>
      </c>
      <c r="L562" s="1">
        <v>1.65</v>
      </c>
    </row>
    <row r="563">
      <c r="A563" s="1">
        <v>489522.0</v>
      </c>
      <c r="B563" s="2" t="s">
        <v>17</v>
      </c>
      <c r="C563" s="1" t="s">
        <v>18</v>
      </c>
      <c r="D563" s="1">
        <v>1.0</v>
      </c>
      <c r="E563" s="3">
        <v>40148.489583333336</v>
      </c>
      <c r="F563" s="1">
        <v>6.75</v>
      </c>
      <c r="G563" s="1">
        <v>15998.0</v>
      </c>
      <c r="H563" s="1" t="s">
        <v>14</v>
      </c>
      <c r="I563" s="4">
        <v>40148.0</v>
      </c>
      <c r="J563" s="5">
        <v>0.4895833333333333</v>
      </c>
      <c r="K563" s="1">
        <v>11.0</v>
      </c>
      <c r="L563" s="1">
        <v>6.75</v>
      </c>
    </row>
    <row r="564">
      <c r="A564" s="1">
        <v>489522.0</v>
      </c>
      <c r="B564" s="2" t="s">
        <v>833</v>
      </c>
      <c r="C564" s="1" t="s">
        <v>834</v>
      </c>
      <c r="D564" s="1">
        <v>1.0</v>
      </c>
      <c r="E564" s="3">
        <v>40148.489583333336</v>
      </c>
      <c r="F564" s="1">
        <v>6.75</v>
      </c>
      <c r="G564" s="1">
        <v>15998.0</v>
      </c>
      <c r="H564" s="1" t="s">
        <v>14</v>
      </c>
      <c r="I564" s="4">
        <v>40148.0</v>
      </c>
      <c r="J564" s="5">
        <v>0.4895833333333333</v>
      </c>
      <c r="K564" s="1">
        <v>11.0</v>
      </c>
      <c r="L564" s="1">
        <v>6.75</v>
      </c>
    </row>
    <row r="565">
      <c r="A565" s="1">
        <v>489522.0</v>
      </c>
      <c r="B565" s="2" t="s">
        <v>835</v>
      </c>
      <c r="C565" s="1" t="s">
        <v>836</v>
      </c>
      <c r="D565" s="1">
        <v>1.0</v>
      </c>
      <c r="E565" s="3">
        <v>40148.489583333336</v>
      </c>
      <c r="F565" s="1">
        <v>6.75</v>
      </c>
      <c r="G565" s="1">
        <v>15998.0</v>
      </c>
      <c r="H565" s="1" t="s">
        <v>14</v>
      </c>
      <c r="I565" s="4">
        <v>40148.0</v>
      </c>
      <c r="J565" s="5">
        <v>0.4895833333333333</v>
      </c>
      <c r="K565" s="1">
        <v>11.0</v>
      </c>
      <c r="L565" s="1">
        <v>6.75</v>
      </c>
    </row>
    <row r="566">
      <c r="A566" s="1">
        <v>489522.0</v>
      </c>
      <c r="B566" s="2" t="s">
        <v>837</v>
      </c>
      <c r="C566" s="1" t="s">
        <v>838</v>
      </c>
      <c r="D566" s="1">
        <v>6.0</v>
      </c>
      <c r="E566" s="3">
        <v>40148.489583333336</v>
      </c>
      <c r="F566" s="1">
        <v>6.75</v>
      </c>
      <c r="G566" s="1">
        <v>15998.0</v>
      </c>
      <c r="H566" s="1" t="s">
        <v>14</v>
      </c>
      <c r="I566" s="4">
        <v>40148.0</v>
      </c>
      <c r="J566" s="5">
        <v>0.4895833333333333</v>
      </c>
      <c r="K566" s="1">
        <v>11.0</v>
      </c>
      <c r="L566" s="1">
        <v>40.5</v>
      </c>
    </row>
    <row r="567">
      <c r="A567" s="1">
        <v>489523.0</v>
      </c>
      <c r="B567" s="2" t="s">
        <v>43</v>
      </c>
      <c r="C567" s="1" t="s">
        <v>44</v>
      </c>
      <c r="D567" s="1">
        <v>800.0</v>
      </c>
      <c r="E567" s="3">
        <v>40148.490277777775</v>
      </c>
      <c r="F567" s="1">
        <v>1.45</v>
      </c>
      <c r="G567" s="1">
        <v>12931.0</v>
      </c>
      <c r="H567" s="1" t="s">
        <v>14</v>
      </c>
      <c r="I567" s="4">
        <v>40148.0</v>
      </c>
      <c r="J567" s="5">
        <v>0.49027777777777776</v>
      </c>
      <c r="K567" s="1">
        <v>11.0</v>
      </c>
      <c r="L567" s="1">
        <v>1160.0</v>
      </c>
    </row>
    <row r="568">
      <c r="A568" s="1" t="s">
        <v>839</v>
      </c>
      <c r="B568" s="2" t="s">
        <v>518</v>
      </c>
      <c r="C568" s="1" t="s">
        <v>519</v>
      </c>
      <c r="D568" s="1">
        <v>-1.0</v>
      </c>
      <c r="E568" s="3">
        <v>40148.49166666667</v>
      </c>
      <c r="F568" s="1">
        <v>12.75</v>
      </c>
      <c r="G568" s="1">
        <v>15614.0</v>
      </c>
      <c r="H568" s="1" t="s">
        <v>14</v>
      </c>
      <c r="I568" s="4">
        <v>40148.0</v>
      </c>
      <c r="J568" s="5">
        <v>0.49166666666666664</v>
      </c>
      <c r="K568" s="1">
        <v>11.0</v>
      </c>
      <c r="L568" s="1">
        <v>-12.75</v>
      </c>
    </row>
    <row r="569">
      <c r="A569" s="1">
        <v>489525.0</v>
      </c>
      <c r="B569" s="2" t="s">
        <v>840</v>
      </c>
      <c r="C569" s="1" t="s">
        <v>841</v>
      </c>
      <c r="D569" s="1">
        <v>1.0</v>
      </c>
      <c r="E569" s="3">
        <v>40148.49236111111</v>
      </c>
      <c r="F569" s="1">
        <v>0.55</v>
      </c>
      <c r="G569" s="1" t="s">
        <v>421</v>
      </c>
      <c r="H569" s="1" t="s">
        <v>14</v>
      </c>
      <c r="I569" s="4">
        <v>40148.0</v>
      </c>
      <c r="J569" s="5">
        <v>0.49236111111111114</v>
      </c>
      <c r="K569" s="1">
        <v>11.0</v>
      </c>
      <c r="L569" s="1">
        <v>0.55</v>
      </c>
    </row>
    <row r="570">
      <c r="A570" s="1">
        <v>489525.0</v>
      </c>
      <c r="B570" s="2" t="s">
        <v>842</v>
      </c>
      <c r="C570" s="1" t="s">
        <v>843</v>
      </c>
      <c r="D570" s="1">
        <v>1.0</v>
      </c>
      <c r="E570" s="3">
        <v>40148.49236111111</v>
      </c>
      <c r="F570" s="1">
        <v>0.85</v>
      </c>
      <c r="G570" s="1" t="s">
        <v>421</v>
      </c>
      <c r="H570" s="1" t="s">
        <v>14</v>
      </c>
      <c r="I570" s="4">
        <v>40148.0</v>
      </c>
      <c r="J570" s="5">
        <v>0.49236111111111114</v>
      </c>
      <c r="K570" s="1">
        <v>11.0</v>
      </c>
      <c r="L570" s="1">
        <v>0.85</v>
      </c>
    </row>
    <row r="571">
      <c r="A571" s="1">
        <v>489526.0</v>
      </c>
      <c r="B571" s="2" t="s">
        <v>827</v>
      </c>
      <c r="C571" s="1" t="s">
        <v>828</v>
      </c>
      <c r="D571" s="1">
        <v>12.0</v>
      </c>
      <c r="E571" s="3">
        <v>40148.493055555555</v>
      </c>
      <c r="F571" s="1">
        <v>1.25</v>
      </c>
      <c r="G571" s="1">
        <v>12533.0</v>
      </c>
      <c r="H571" s="1" t="s">
        <v>844</v>
      </c>
      <c r="I571" s="4">
        <v>40148.0</v>
      </c>
      <c r="J571" s="5">
        <v>0.4930555555555556</v>
      </c>
      <c r="K571" s="1">
        <v>11.0</v>
      </c>
      <c r="L571" s="1">
        <v>15.0</v>
      </c>
    </row>
    <row r="572">
      <c r="A572" s="1">
        <v>489526.0</v>
      </c>
      <c r="B572" s="2" t="s">
        <v>845</v>
      </c>
      <c r="C572" s="1" t="s">
        <v>846</v>
      </c>
      <c r="D572" s="1">
        <v>24.0</v>
      </c>
      <c r="E572" s="3">
        <v>40148.493055555555</v>
      </c>
      <c r="F572" s="1">
        <v>0.55</v>
      </c>
      <c r="G572" s="1">
        <v>12533.0</v>
      </c>
      <c r="H572" s="1" t="s">
        <v>844</v>
      </c>
      <c r="I572" s="4">
        <v>40148.0</v>
      </c>
      <c r="J572" s="5">
        <v>0.4930555555555556</v>
      </c>
      <c r="K572" s="1">
        <v>11.0</v>
      </c>
      <c r="L572" s="1">
        <v>13.2</v>
      </c>
    </row>
    <row r="573">
      <c r="A573" s="1">
        <v>489526.0</v>
      </c>
      <c r="B573" s="2" t="s">
        <v>847</v>
      </c>
      <c r="C573" s="1" t="s">
        <v>848</v>
      </c>
      <c r="D573" s="1">
        <v>25.0</v>
      </c>
      <c r="E573" s="3">
        <v>40148.493055555555</v>
      </c>
      <c r="F573" s="1">
        <v>0.42</v>
      </c>
      <c r="G573" s="1">
        <v>12533.0</v>
      </c>
      <c r="H573" s="1" t="s">
        <v>844</v>
      </c>
      <c r="I573" s="4">
        <v>40148.0</v>
      </c>
      <c r="J573" s="5">
        <v>0.4930555555555556</v>
      </c>
      <c r="K573" s="1">
        <v>11.0</v>
      </c>
      <c r="L573" s="1">
        <v>10.5</v>
      </c>
    </row>
    <row r="574">
      <c r="A574" s="1">
        <v>489526.0</v>
      </c>
      <c r="B574" s="2" t="s">
        <v>823</v>
      </c>
      <c r="C574" s="1" t="s">
        <v>824</v>
      </c>
      <c r="D574" s="1">
        <v>12.0</v>
      </c>
      <c r="E574" s="3">
        <v>40148.493055555555</v>
      </c>
      <c r="F574" s="1">
        <v>1.65</v>
      </c>
      <c r="G574" s="1">
        <v>12533.0</v>
      </c>
      <c r="H574" s="1" t="s">
        <v>844</v>
      </c>
      <c r="I574" s="4">
        <v>40148.0</v>
      </c>
      <c r="J574" s="5">
        <v>0.4930555555555556</v>
      </c>
      <c r="K574" s="1">
        <v>11.0</v>
      </c>
      <c r="L574" s="1">
        <v>19.7999999999999</v>
      </c>
    </row>
    <row r="575">
      <c r="A575" s="1">
        <v>489526.0</v>
      </c>
      <c r="B575" s="2" t="s">
        <v>335</v>
      </c>
      <c r="C575" s="1" t="s">
        <v>336</v>
      </c>
      <c r="D575" s="1">
        <v>12.0</v>
      </c>
      <c r="E575" s="3">
        <v>40148.493055555555</v>
      </c>
      <c r="F575" s="1">
        <v>1.25</v>
      </c>
      <c r="G575" s="1">
        <v>12533.0</v>
      </c>
      <c r="H575" s="1" t="s">
        <v>844</v>
      </c>
      <c r="I575" s="4">
        <v>40148.0</v>
      </c>
      <c r="J575" s="5">
        <v>0.4930555555555556</v>
      </c>
      <c r="K575" s="1">
        <v>11.0</v>
      </c>
      <c r="L575" s="1">
        <v>15.0</v>
      </c>
    </row>
    <row r="576">
      <c r="A576" s="1">
        <v>489526.0</v>
      </c>
      <c r="B576" s="2" t="s">
        <v>849</v>
      </c>
      <c r="C576" s="1" t="s">
        <v>850</v>
      </c>
      <c r="D576" s="1">
        <v>24.0</v>
      </c>
      <c r="E576" s="3">
        <v>40148.493055555555</v>
      </c>
      <c r="F576" s="1">
        <v>1.65</v>
      </c>
      <c r="G576" s="1">
        <v>12533.0</v>
      </c>
      <c r="H576" s="1" t="s">
        <v>844</v>
      </c>
      <c r="I576" s="4">
        <v>40148.0</v>
      </c>
      <c r="J576" s="5">
        <v>0.4930555555555556</v>
      </c>
      <c r="K576" s="1">
        <v>11.0</v>
      </c>
      <c r="L576" s="1">
        <v>39.5999999999999</v>
      </c>
    </row>
    <row r="577">
      <c r="A577" s="1">
        <v>489526.0</v>
      </c>
      <c r="B577" s="2" t="s">
        <v>851</v>
      </c>
      <c r="C577" s="1" t="s">
        <v>852</v>
      </c>
      <c r="D577" s="1">
        <v>4.0</v>
      </c>
      <c r="E577" s="3">
        <v>40148.493055555555</v>
      </c>
      <c r="F577" s="1">
        <v>4.25</v>
      </c>
      <c r="G577" s="1">
        <v>12533.0</v>
      </c>
      <c r="H577" s="1" t="s">
        <v>844</v>
      </c>
      <c r="I577" s="4">
        <v>40148.0</v>
      </c>
      <c r="J577" s="5">
        <v>0.4930555555555556</v>
      </c>
      <c r="K577" s="1">
        <v>11.0</v>
      </c>
      <c r="L577" s="1">
        <v>17.0</v>
      </c>
    </row>
    <row r="578">
      <c r="A578" s="1">
        <v>489526.0</v>
      </c>
      <c r="B578" s="2" t="s">
        <v>275</v>
      </c>
      <c r="C578" s="1" t="s">
        <v>276</v>
      </c>
      <c r="D578" s="1">
        <v>6.0</v>
      </c>
      <c r="E578" s="3">
        <v>40148.493055555555</v>
      </c>
      <c r="F578" s="1">
        <v>2.95</v>
      </c>
      <c r="G578" s="1">
        <v>12533.0</v>
      </c>
      <c r="H578" s="1" t="s">
        <v>844</v>
      </c>
      <c r="I578" s="4">
        <v>40148.0</v>
      </c>
      <c r="J578" s="5">
        <v>0.4930555555555556</v>
      </c>
      <c r="K578" s="1">
        <v>11.0</v>
      </c>
      <c r="L578" s="1">
        <v>17.7</v>
      </c>
    </row>
    <row r="579">
      <c r="A579" s="1">
        <v>489526.0</v>
      </c>
      <c r="B579" s="2" t="s">
        <v>196</v>
      </c>
      <c r="C579" s="1" t="s">
        <v>197</v>
      </c>
      <c r="D579" s="1">
        <v>6.0</v>
      </c>
      <c r="E579" s="3">
        <v>40148.493055555555</v>
      </c>
      <c r="F579" s="1">
        <v>2.95</v>
      </c>
      <c r="G579" s="1">
        <v>12533.0</v>
      </c>
      <c r="H579" s="1" t="s">
        <v>844</v>
      </c>
      <c r="I579" s="4">
        <v>40148.0</v>
      </c>
      <c r="J579" s="5">
        <v>0.4930555555555556</v>
      </c>
      <c r="K579" s="1">
        <v>11.0</v>
      </c>
      <c r="L579" s="1">
        <v>17.7</v>
      </c>
    </row>
    <row r="580">
      <c r="A580" s="1">
        <v>489526.0</v>
      </c>
      <c r="B580" s="2" t="s">
        <v>853</v>
      </c>
      <c r="C580" s="1" t="s">
        <v>854</v>
      </c>
      <c r="D580" s="1">
        <v>10.0</v>
      </c>
      <c r="E580" s="3">
        <v>40148.493055555555</v>
      </c>
      <c r="F580" s="1">
        <v>1.25</v>
      </c>
      <c r="G580" s="1">
        <v>12533.0</v>
      </c>
      <c r="H580" s="1" t="s">
        <v>844</v>
      </c>
      <c r="I580" s="4">
        <v>40148.0</v>
      </c>
      <c r="J580" s="5">
        <v>0.4930555555555556</v>
      </c>
      <c r="K580" s="1">
        <v>11.0</v>
      </c>
      <c r="L580" s="1">
        <v>12.5</v>
      </c>
    </row>
    <row r="581">
      <c r="A581" s="1" t="s">
        <v>855</v>
      </c>
      <c r="B581" s="2" t="s">
        <v>240</v>
      </c>
      <c r="C581" s="1" t="s">
        <v>241</v>
      </c>
      <c r="D581" s="1">
        <v>-3.0</v>
      </c>
      <c r="E581" s="3">
        <v>40148.493055555555</v>
      </c>
      <c r="F581" s="1">
        <v>2.95</v>
      </c>
      <c r="G581" s="1">
        <v>16128.0</v>
      </c>
      <c r="H581" s="1" t="s">
        <v>14</v>
      </c>
      <c r="I581" s="4">
        <v>40148.0</v>
      </c>
      <c r="J581" s="5">
        <v>0.4930555555555556</v>
      </c>
      <c r="K581" s="1">
        <v>11.0</v>
      </c>
      <c r="L581" s="1">
        <v>-8.85</v>
      </c>
    </row>
    <row r="582">
      <c r="A582" s="1" t="s">
        <v>855</v>
      </c>
      <c r="B582" s="2" t="s">
        <v>856</v>
      </c>
      <c r="C582" s="1" t="s">
        <v>857</v>
      </c>
      <c r="D582" s="1">
        <v>-12.0</v>
      </c>
      <c r="E582" s="3">
        <v>40148.493055555555</v>
      </c>
      <c r="F582" s="1">
        <v>1.65</v>
      </c>
      <c r="G582" s="1">
        <v>16128.0</v>
      </c>
      <c r="H582" s="1" t="s">
        <v>14</v>
      </c>
      <c r="I582" s="4">
        <v>40148.0</v>
      </c>
      <c r="J582" s="5">
        <v>0.4930555555555556</v>
      </c>
      <c r="K582" s="1">
        <v>11.0</v>
      </c>
      <c r="L582" s="1">
        <v>-19.7999999999999</v>
      </c>
    </row>
    <row r="583">
      <c r="A583" s="1" t="s">
        <v>855</v>
      </c>
      <c r="B583" s="2" t="s">
        <v>858</v>
      </c>
      <c r="C583" s="1" t="s">
        <v>859</v>
      </c>
      <c r="D583" s="1">
        <v>-6.0</v>
      </c>
      <c r="E583" s="3">
        <v>40148.493055555555</v>
      </c>
      <c r="F583" s="1">
        <v>2.55</v>
      </c>
      <c r="G583" s="1">
        <v>16128.0</v>
      </c>
      <c r="H583" s="1" t="s">
        <v>14</v>
      </c>
      <c r="I583" s="4">
        <v>40148.0</v>
      </c>
      <c r="J583" s="5">
        <v>0.4930555555555556</v>
      </c>
      <c r="K583" s="1">
        <v>11.0</v>
      </c>
      <c r="L583" s="1">
        <v>-15.2999999999999</v>
      </c>
    </row>
    <row r="584">
      <c r="A584" s="1">
        <v>489526.0</v>
      </c>
      <c r="B584" s="2" t="s">
        <v>860</v>
      </c>
      <c r="C584" s="1" t="s">
        <v>861</v>
      </c>
      <c r="D584" s="1">
        <v>3.0</v>
      </c>
      <c r="E584" s="3">
        <v>40148.493055555555</v>
      </c>
      <c r="F584" s="1">
        <v>4.95</v>
      </c>
      <c r="G584" s="1">
        <v>12533.0</v>
      </c>
      <c r="H584" s="1" t="s">
        <v>844</v>
      </c>
      <c r="I584" s="4">
        <v>40148.0</v>
      </c>
      <c r="J584" s="5">
        <v>0.4930555555555556</v>
      </c>
      <c r="K584" s="1">
        <v>11.0</v>
      </c>
      <c r="L584" s="1">
        <v>14.85</v>
      </c>
    </row>
    <row r="585">
      <c r="A585" s="1">
        <v>489526.0</v>
      </c>
      <c r="B585" s="2" t="s">
        <v>862</v>
      </c>
      <c r="C585" s="1" t="s">
        <v>863</v>
      </c>
      <c r="D585" s="1">
        <v>25.0</v>
      </c>
      <c r="E585" s="3">
        <v>40148.493055555555</v>
      </c>
      <c r="F585" s="1">
        <v>0.42</v>
      </c>
      <c r="G585" s="1">
        <v>12533.0</v>
      </c>
      <c r="H585" s="1" t="s">
        <v>844</v>
      </c>
      <c r="I585" s="4">
        <v>40148.0</v>
      </c>
      <c r="J585" s="5">
        <v>0.4930555555555556</v>
      </c>
      <c r="K585" s="1">
        <v>11.0</v>
      </c>
      <c r="L585" s="1">
        <v>10.5</v>
      </c>
    </row>
    <row r="586">
      <c r="A586" s="1">
        <v>489526.0</v>
      </c>
      <c r="B586" s="2" t="s">
        <v>690</v>
      </c>
      <c r="C586" s="1" t="s">
        <v>691</v>
      </c>
      <c r="D586" s="1">
        <v>24.0</v>
      </c>
      <c r="E586" s="3">
        <v>40148.493055555555</v>
      </c>
      <c r="F586" s="1">
        <v>1.25</v>
      </c>
      <c r="G586" s="1">
        <v>12533.0</v>
      </c>
      <c r="H586" s="1" t="s">
        <v>844</v>
      </c>
      <c r="I586" s="4">
        <v>40148.0</v>
      </c>
      <c r="J586" s="5">
        <v>0.4930555555555556</v>
      </c>
      <c r="K586" s="1">
        <v>11.0</v>
      </c>
      <c r="L586" s="1">
        <v>30.0</v>
      </c>
    </row>
    <row r="587">
      <c r="A587" s="1">
        <v>489526.0</v>
      </c>
      <c r="B587" s="2" t="s">
        <v>864</v>
      </c>
      <c r="C587" s="1" t="s">
        <v>865</v>
      </c>
      <c r="D587" s="1">
        <v>2.0</v>
      </c>
      <c r="E587" s="3">
        <v>40148.493055555555</v>
      </c>
      <c r="F587" s="1">
        <v>7.95</v>
      </c>
      <c r="G587" s="1">
        <v>12533.0</v>
      </c>
      <c r="H587" s="1" t="s">
        <v>844</v>
      </c>
      <c r="I587" s="4">
        <v>40148.0</v>
      </c>
      <c r="J587" s="5">
        <v>0.4930555555555556</v>
      </c>
      <c r="K587" s="1">
        <v>11.0</v>
      </c>
      <c r="L587" s="1">
        <v>15.9</v>
      </c>
    </row>
    <row r="588">
      <c r="A588" s="1">
        <v>489526.0</v>
      </c>
      <c r="B588" s="2" t="s">
        <v>497</v>
      </c>
      <c r="C588" s="1" t="s">
        <v>498</v>
      </c>
      <c r="D588" s="1">
        <v>6.0</v>
      </c>
      <c r="E588" s="3">
        <v>40148.493055555555</v>
      </c>
      <c r="F588" s="1">
        <v>4.95</v>
      </c>
      <c r="G588" s="1">
        <v>12533.0</v>
      </c>
      <c r="H588" s="1" t="s">
        <v>844</v>
      </c>
      <c r="I588" s="4">
        <v>40148.0</v>
      </c>
      <c r="J588" s="5">
        <v>0.4930555555555556</v>
      </c>
      <c r="K588" s="1">
        <v>11.0</v>
      </c>
      <c r="L588" s="1">
        <v>29.7</v>
      </c>
    </row>
    <row r="589">
      <c r="A589" s="1">
        <v>489526.0</v>
      </c>
      <c r="B589" s="2" t="s">
        <v>866</v>
      </c>
      <c r="C589" s="1" t="s">
        <v>867</v>
      </c>
      <c r="D589" s="1">
        <v>6.0</v>
      </c>
      <c r="E589" s="3">
        <v>40148.493055555555</v>
      </c>
      <c r="F589" s="1">
        <v>2.55</v>
      </c>
      <c r="G589" s="1">
        <v>12533.0</v>
      </c>
      <c r="H589" s="1" t="s">
        <v>844</v>
      </c>
      <c r="I589" s="4">
        <v>40148.0</v>
      </c>
      <c r="J589" s="5">
        <v>0.4930555555555556</v>
      </c>
      <c r="K589" s="1">
        <v>11.0</v>
      </c>
      <c r="L589" s="1">
        <v>15.2999999999999</v>
      </c>
    </row>
    <row r="590">
      <c r="A590" s="1">
        <v>489526.0</v>
      </c>
      <c r="B590" s="2" t="s">
        <v>247</v>
      </c>
      <c r="C590" s="1" t="s">
        <v>248</v>
      </c>
      <c r="D590" s="1">
        <v>3.0</v>
      </c>
      <c r="E590" s="3">
        <v>40148.493055555555</v>
      </c>
      <c r="F590" s="1">
        <v>9.95</v>
      </c>
      <c r="G590" s="1">
        <v>12533.0</v>
      </c>
      <c r="H590" s="1" t="s">
        <v>844</v>
      </c>
      <c r="I590" s="4">
        <v>40148.0</v>
      </c>
      <c r="J590" s="5">
        <v>0.4930555555555556</v>
      </c>
      <c r="K590" s="1">
        <v>11.0</v>
      </c>
      <c r="L590" s="1">
        <v>29.8499999999999</v>
      </c>
    </row>
    <row r="591">
      <c r="A591" s="1">
        <v>489526.0</v>
      </c>
      <c r="B591" s="2" t="s">
        <v>172</v>
      </c>
      <c r="C591" s="1" t="s">
        <v>173</v>
      </c>
      <c r="D591" s="1">
        <v>8.0</v>
      </c>
      <c r="E591" s="3">
        <v>40148.493055555555</v>
      </c>
      <c r="F591" s="1">
        <v>1.65</v>
      </c>
      <c r="G591" s="1">
        <v>12533.0</v>
      </c>
      <c r="H591" s="1" t="s">
        <v>844</v>
      </c>
      <c r="I591" s="4">
        <v>40148.0</v>
      </c>
      <c r="J591" s="5">
        <v>0.4930555555555556</v>
      </c>
      <c r="K591" s="1">
        <v>11.0</v>
      </c>
      <c r="L591" s="1">
        <v>13.2</v>
      </c>
    </row>
    <row r="592">
      <c r="A592" s="1">
        <v>489526.0</v>
      </c>
      <c r="B592" s="2" t="s">
        <v>570</v>
      </c>
      <c r="C592" s="1" t="s">
        <v>571</v>
      </c>
      <c r="D592" s="1">
        <v>24.0</v>
      </c>
      <c r="E592" s="3">
        <v>40148.493055555555</v>
      </c>
      <c r="F592" s="1">
        <v>0.65</v>
      </c>
      <c r="G592" s="1">
        <v>12533.0</v>
      </c>
      <c r="H592" s="1" t="s">
        <v>844</v>
      </c>
      <c r="I592" s="4">
        <v>40148.0</v>
      </c>
      <c r="J592" s="5">
        <v>0.4930555555555556</v>
      </c>
      <c r="K592" s="1">
        <v>11.0</v>
      </c>
      <c r="L592" s="1">
        <v>15.6</v>
      </c>
    </row>
    <row r="593">
      <c r="A593" s="1">
        <v>489526.0</v>
      </c>
      <c r="B593" s="2" t="s">
        <v>180</v>
      </c>
      <c r="C593" s="1" t="s">
        <v>181</v>
      </c>
      <c r="D593" s="1">
        <v>9.0</v>
      </c>
      <c r="E593" s="3">
        <v>40148.493055555555</v>
      </c>
      <c r="F593" s="1">
        <v>4.95</v>
      </c>
      <c r="G593" s="1">
        <v>12533.0</v>
      </c>
      <c r="H593" s="1" t="s">
        <v>844</v>
      </c>
      <c r="I593" s="4">
        <v>40148.0</v>
      </c>
      <c r="J593" s="5">
        <v>0.4930555555555556</v>
      </c>
      <c r="K593" s="1">
        <v>11.0</v>
      </c>
      <c r="L593" s="1">
        <v>44.55</v>
      </c>
    </row>
    <row r="594">
      <c r="A594" s="1">
        <v>489526.0</v>
      </c>
      <c r="B594" s="2" t="s">
        <v>779</v>
      </c>
      <c r="C594" s="1" t="s">
        <v>780</v>
      </c>
      <c r="D594" s="1">
        <v>8.0</v>
      </c>
      <c r="E594" s="3">
        <v>40148.493055555555</v>
      </c>
      <c r="F594" s="1">
        <v>1.25</v>
      </c>
      <c r="G594" s="1">
        <v>12533.0</v>
      </c>
      <c r="H594" s="1" t="s">
        <v>844</v>
      </c>
      <c r="I594" s="4">
        <v>40148.0</v>
      </c>
      <c r="J594" s="5">
        <v>0.4930555555555556</v>
      </c>
      <c r="K594" s="1">
        <v>11.0</v>
      </c>
      <c r="L594" s="1">
        <v>10.0</v>
      </c>
    </row>
    <row r="595">
      <c r="A595" s="1">
        <v>489526.0</v>
      </c>
      <c r="B595" s="2" t="s">
        <v>868</v>
      </c>
      <c r="C595" s="1" t="s">
        <v>869</v>
      </c>
      <c r="D595" s="1">
        <v>12.0</v>
      </c>
      <c r="E595" s="3">
        <v>40148.493055555555</v>
      </c>
      <c r="F595" s="1">
        <v>2.95</v>
      </c>
      <c r="G595" s="1">
        <v>12533.0</v>
      </c>
      <c r="H595" s="1" t="s">
        <v>844</v>
      </c>
      <c r="I595" s="4">
        <v>40148.0</v>
      </c>
      <c r="J595" s="5">
        <v>0.4930555555555556</v>
      </c>
      <c r="K595" s="1">
        <v>11.0</v>
      </c>
      <c r="L595" s="1">
        <v>35.4</v>
      </c>
    </row>
    <row r="596">
      <c r="A596" s="1">
        <v>489526.0</v>
      </c>
      <c r="B596" s="2" t="s">
        <v>311</v>
      </c>
      <c r="C596" s="1" t="s">
        <v>312</v>
      </c>
      <c r="D596" s="1">
        <v>3.0</v>
      </c>
      <c r="E596" s="3">
        <v>40148.493055555555</v>
      </c>
      <c r="F596" s="1">
        <v>9.95</v>
      </c>
      <c r="G596" s="1">
        <v>12533.0</v>
      </c>
      <c r="H596" s="1" t="s">
        <v>844</v>
      </c>
      <c r="I596" s="4">
        <v>40148.0</v>
      </c>
      <c r="J596" s="5">
        <v>0.4930555555555556</v>
      </c>
      <c r="K596" s="1">
        <v>11.0</v>
      </c>
      <c r="L596" s="1">
        <v>29.8499999999999</v>
      </c>
    </row>
    <row r="597">
      <c r="A597" s="1">
        <v>489526.0</v>
      </c>
      <c r="B597" s="2" t="s">
        <v>813</v>
      </c>
      <c r="C597" s="1" t="s">
        <v>814</v>
      </c>
      <c r="D597" s="1">
        <v>16.0</v>
      </c>
      <c r="E597" s="3">
        <v>40148.493055555555</v>
      </c>
      <c r="F597" s="1">
        <v>0.85</v>
      </c>
      <c r="G597" s="1">
        <v>12533.0</v>
      </c>
      <c r="H597" s="1" t="s">
        <v>844</v>
      </c>
      <c r="I597" s="4">
        <v>40148.0</v>
      </c>
      <c r="J597" s="5">
        <v>0.4930555555555556</v>
      </c>
      <c r="K597" s="1">
        <v>11.0</v>
      </c>
      <c r="L597" s="1">
        <v>13.6</v>
      </c>
    </row>
    <row r="598">
      <c r="A598" s="1">
        <v>489526.0</v>
      </c>
      <c r="B598" s="2" t="s">
        <v>870</v>
      </c>
      <c r="C598" s="1" t="s">
        <v>871</v>
      </c>
      <c r="D598" s="1">
        <v>8.0</v>
      </c>
      <c r="E598" s="3">
        <v>40148.493055555555</v>
      </c>
      <c r="F598" s="1">
        <v>1.69</v>
      </c>
      <c r="G598" s="1">
        <v>12533.0</v>
      </c>
      <c r="H598" s="1" t="s">
        <v>844</v>
      </c>
      <c r="I598" s="4">
        <v>40148.0</v>
      </c>
      <c r="J598" s="5">
        <v>0.4930555555555556</v>
      </c>
      <c r="K598" s="1">
        <v>11.0</v>
      </c>
      <c r="L598" s="1">
        <v>13.52</v>
      </c>
    </row>
    <row r="599">
      <c r="A599" s="1">
        <v>489526.0</v>
      </c>
      <c r="B599" s="2" t="s">
        <v>376</v>
      </c>
      <c r="C599" s="1" t="s">
        <v>872</v>
      </c>
      <c r="D599" s="1">
        <v>8.0</v>
      </c>
      <c r="E599" s="3">
        <v>40148.493055555555</v>
      </c>
      <c r="F599" s="1">
        <v>1.65</v>
      </c>
      <c r="G599" s="1">
        <v>12533.0</v>
      </c>
      <c r="H599" s="1" t="s">
        <v>844</v>
      </c>
      <c r="I599" s="4">
        <v>40148.0</v>
      </c>
      <c r="J599" s="5">
        <v>0.4930555555555556</v>
      </c>
      <c r="K599" s="1">
        <v>11.0</v>
      </c>
      <c r="L599" s="1">
        <v>13.2</v>
      </c>
    </row>
    <row r="600">
      <c r="A600" s="1">
        <v>489526.0</v>
      </c>
      <c r="B600" s="2" t="s">
        <v>873</v>
      </c>
      <c r="C600" s="1" t="s">
        <v>874</v>
      </c>
      <c r="D600" s="1">
        <v>6.0</v>
      </c>
      <c r="E600" s="3">
        <v>40148.493055555555</v>
      </c>
      <c r="F600" s="1">
        <v>2.55</v>
      </c>
      <c r="G600" s="1">
        <v>12533.0</v>
      </c>
      <c r="H600" s="1" t="s">
        <v>844</v>
      </c>
      <c r="I600" s="4">
        <v>40148.0</v>
      </c>
      <c r="J600" s="5">
        <v>0.4930555555555556</v>
      </c>
      <c r="K600" s="1">
        <v>11.0</v>
      </c>
      <c r="L600" s="1">
        <v>15.2999999999999</v>
      </c>
    </row>
    <row r="601">
      <c r="A601" s="1">
        <v>489526.0</v>
      </c>
      <c r="B601" s="2" t="s">
        <v>875</v>
      </c>
      <c r="C601" s="1" t="s">
        <v>876</v>
      </c>
      <c r="D601" s="1">
        <v>6.0</v>
      </c>
      <c r="E601" s="3">
        <v>40148.493055555555</v>
      </c>
      <c r="F601" s="1">
        <v>2.95</v>
      </c>
      <c r="G601" s="1">
        <v>12533.0</v>
      </c>
      <c r="H601" s="1" t="s">
        <v>844</v>
      </c>
      <c r="I601" s="4">
        <v>40148.0</v>
      </c>
      <c r="J601" s="5">
        <v>0.4930555555555556</v>
      </c>
      <c r="K601" s="1">
        <v>11.0</v>
      </c>
      <c r="L601" s="1">
        <v>17.7</v>
      </c>
    </row>
    <row r="602">
      <c r="A602" s="1">
        <v>489526.0</v>
      </c>
      <c r="B602" s="2" t="s">
        <v>877</v>
      </c>
      <c r="C602" s="1" t="s">
        <v>878</v>
      </c>
      <c r="D602" s="1">
        <v>4.0</v>
      </c>
      <c r="E602" s="3">
        <v>40148.493055555555</v>
      </c>
      <c r="F602" s="1">
        <v>3.75</v>
      </c>
      <c r="G602" s="1">
        <v>12533.0</v>
      </c>
      <c r="H602" s="1" t="s">
        <v>844</v>
      </c>
      <c r="I602" s="4">
        <v>40148.0</v>
      </c>
      <c r="J602" s="5">
        <v>0.4930555555555556</v>
      </c>
      <c r="K602" s="1">
        <v>11.0</v>
      </c>
      <c r="L602" s="1">
        <v>15.0</v>
      </c>
    </row>
    <row r="603">
      <c r="A603" s="1">
        <v>489526.0</v>
      </c>
      <c r="B603" s="2" t="s">
        <v>879</v>
      </c>
      <c r="C603" s="1" t="s">
        <v>880</v>
      </c>
      <c r="D603" s="1">
        <v>4.0</v>
      </c>
      <c r="E603" s="3">
        <v>40148.493055555555</v>
      </c>
      <c r="F603" s="1">
        <v>3.75</v>
      </c>
      <c r="G603" s="1">
        <v>12533.0</v>
      </c>
      <c r="H603" s="1" t="s">
        <v>844</v>
      </c>
      <c r="I603" s="4">
        <v>40148.0</v>
      </c>
      <c r="J603" s="5">
        <v>0.4930555555555556</v>
      </c>
      <c r="K603" s="1">
        <v>11.0</v>
      </c>
      <c r="L603" s="1">
        <v>15.0</v>
      </c>
    </row>
    <row r="604">
      <c r="A604" s="1">
        <v>489526.0</v>
      </c>
      <c r="B604" s="2" t="s">
        <v>188</v>
      </c>
      <c r="C604" s="1" t="s">
        <v>189</v>
      </c>
      <c r="D604" s="1">
        <v>24.0</v>
      </c>
      <c r="E604" s="3">
        <v>40148.493055555555</v>
      </c>
      <c r="F604" s="1">
        <v>0.85</v>
      </c>
      <c r="G604" s="1">
        <v>12533.0</v>
      </c>
      <c r="H604" s="1" t="s">
        <v>844</v>
      </c>
      <c r="I604" s="4">
        <v>40148.0</v>
      </c>
      <c r="J604" s="5">
        <v>0.4930555555555556</v>
      </c>
      <c r="K604" s="1">
        <v>11.0</v>
      </c>
      <c r="L604" s="1">
        <v>20.4</v>
      </c>
    </row>
    <row r="605">
      <c r="A605" s="1">
        <v>489526.0</v>
      </c>
      <c r="B605" s="2" t="s">
        <v>881</v>
      </c>
      <c r="C605" s="1" t="s">
        <v>882</v>
      </c>
      <c r="D605" s="1">
        <v>6.0</v>
      </c>
      <c r="E605" s="3">
        <v>40148.493055555555</v>
      </c>
      <c r="F605" s="1">
        <v>5.95</v>
      </c>
      <c r="G605" s="1">
        <v>12533.0</v>
      </c>
      <c r="H605" s="1" t="s">
        <v>844</v>
      </c>
      <c r="I605" s="4">
        <v>40148.0</v>
      </c>
      <c r="J605" s="5">
        <v>0.4930555555555556</v>
      </c>
      <c r="K605" s="1">
        <v>11.0</v>
      </c>
      <c r="L605" s="1">
        <v>35.7</v>
      </c>
    </row>
    <row r="606">
      <c r="A606" s="1">
        <v>489526.0</v>
      </c>
      <c r="B606" s="2" t="s">
        <v>883</v>
      </c>
      <c r="C606" s="1" t="s">
        <v>884</v>
      </c>
      <c r="D606" s="1">
        <v>6.0</v>
      </c>
      <c r="E606" s="3">
        <v>40148.493055555555</v>
      </c>
      <c r="F606" s="1">
        <v>5.95</v>
      </c>
      <c r="G606" s="1">
        <v>12533.0</v>
      </c>
      <c r="H606" s="1" t="s">
        <v>844</v>
      </c>
      <c r="I606" s="4">
        <v>40148.0</v>
      </c>
      <c r="J606" s="5">
        <v>0.4930555555555556</v>
      </c>
      <c r="K606" s="1">
        <v>11.0</v>
      </c>
      <c r="L606" s="1">
        <v>35.7</v>
      </c>
    </row>
    <row r="607">
      <c r="A607" s="1">
        <v>489526.0</v>
      </c>
      <c r="B607" s="2" t="s">
        <v>178</v>
      </c>
      <c r="C607" s="1" t="s">
        <v>179</v>
      </c>
      <c r="D607" s="1">
        <v>12.0</v>
      </c>
      <c r="E607" s="3">
        <v>40148.493055555555</v>
      </c>
      <c r="F607" s="1">
        <v>1.65</v>
      </c>
      <c r="G607" s="1">
        <v>12533.0</v>
      </c>
      <c r="H607" s="1" t="s">
        <v>844</v>
      </c>
      <c r="I607" s="4">
        <v>40148.0</v>
      </c>
      <c r="J607" s="5">
        <v>0.4930555555555556</v>
      </c>
      <c r="K607" s="1">
        <v>11.0</v>
      </c>
      <c r="L607" s="1">
        <v>19.7999999999999</v>
      </c>
    </row>
    <row r="608">
      <c r="A608" s="1">
        <v>489526.0</v>
      </c>
      <c r="B608" s="2" t="s">
        <v>885</v>
      </c>
      <c r="C608" s="1" t="s">
        <v>886</v>
      </c>
      <c r="D608" s="1">
        <v>12.0</v>
      </c>
      <c r="E608" s="3">
        <v>40148.493055555555</v>
      </c>
      <c r="F608" s="1">
        <v>1.25</v>
      </c>
      <c r="G608" s="1">
        <v>12533.0</v>
      </c>
      <c r="H608" s="1" t="s">
        <v>844</v>
      </c>
      <c r="I608" s="4">
        <v>40148.0</v>
      </c>
      <c r="J608" s="5">
        <v>0.4930555555555556</v>
      </c>
      <c r="K608" s="1">
        <v>11.0</v>
      </c>
      <c r="L608" s="1">
        <v>15.0</v>
      </c>
    </row>
    <row r="609">
      <c r="A609" s="1">
        <v>489526.0</v>
      </c>
      <c r="B609" s="2" t="s">
        <v>887</v>
      </c>
      <c r="C609" s="1" t="s">
        <v>888</v>
      </c>
      <c r="D609" s="1">
        <v>12.0</v>
      </c>
      <c r="E609" s="3">
        <v>40148.493055555555</v>
      </c>
      <c r="F609" s="1">
        <v>0.85</v>
      </c>
      <c r="G609" s="1">
        <v>12533.0</v>
      </c>
      <c r="H609" s="1" t="s">
        <v>844</v>
      </c>
      <c r="I609" s="4">
        <v>40148.0</v>
      </c>
      <c r="J609" s="5">
        <v>0.4930555555555556</v>
      </c>
      <c r="K609" s="1">
        <v>11.0</v>
      </c>
      <c r="L609" s="1">
        <v>10.2</v>
      </c>
    </row>
    <row r="610">
      <c r="A610" s="1">
        <v>489526.0</v>
      </c>
      <c r="B610" s="2" t="s">
        <v>889</v>
      </c>
      <c r="C610" s="1" t="s">
        <v>890</v>
      </c>
      <c r="D610" s="1">
        <v>2.0</v>
      </c>
      <c r="E610" s="3">
        <v>40148.493055555555</v>
      </c>
      <c r="F610" s="1">
        <v>1.45</v>
      </c>
      <c r="G610" s="1">
        <v>12533.0</v>
      </c>
      <c r="H610" s="1" t="s">
        <v>844</v>
      </c>
      <c r="I610" s="4">
        <v>40148.0</v>
      </c>
      <c r="J610" s="5">
        <v>0.4930555555555556</v>
      </c>
      <c r="K610" s="1">
        <v>11.0</v>
      </c>
      <c r="L610" s="1">
        <v>2.9</v>
      </c>
    </row>
    <row r="611">
      <c r="A611" s="1">
        <v>489526.0</v>
      </c>
      <c r="B611" s="2" t="s">
        <v>891</v>
      </c>
      <c r="C611" s="1" t="s">
        <v>892</v>
      </c>
      <c r="D611" s="1">
        <v>3.0</v>
      </c>
      <c r="E611" s="3">
        <v>40148.493055555555</v>
      </c>
      <c r="F611" s="1">
        <v>2.55</v>
      </c>
      <c r="G611" s="1">
        <v>12533.0</v>
      </c>
      <c r="H611" s="1" t="s">
        <v>844</v>
      </c>
      <c r="I611" s="4">
        <v>40148.0</v>
      </c>
      <c r="J611" s="5">
        <v>0.4930555555555556</v>
      </c>
      <c r="K611" s="1">
        <v>11.0</v>
      </c>
      <c r="L611" s="1">
        <v>7.64999999999999</v>
      </c>
    </row>
    <row r="612">
      <c r="A612" s="1">
        <v>489526.0</v>
      </c>
      <c r="B612" s="2" t="s">
        <v>893</v>
      </c>
      <c r="C612" s="1" t="s">
        <v>894</v>
      </c>
      <c r="D612" s="1">
        <v>24.0</v>
      </c>
      <c r="E612" s="3">
        <v>40148.493055555555</v>
      </c>
      <c r="F612" s="1">
        <v>0.85</v>
      </c>
      <c r="G612" s="1">
        <v>12533.0</v>
      </c>
      <c r="H612" s="1" t="s">
        <v>844</v>
      </c>
      <c r="I612" s="4">
        <v>40148.0</v>
      </c>
      <c r="J612" s="5">
        <v>0.4930555555555556</v>
      </c>
      <c r="K612" s="1">
        <v>11.0</v>
      </c>
      <c r="L612" s="1">
        <v>20.4</v>
      </c>
    </row>
    <row r="613">
      <c r="A613" s="1">
        <v>489526.0</v>
      </c>
      <c r="B613" s="2" t="s">
        <v>895</v>
      </c>
      <c r="C613" s="1" t="s">
        <v>896</v>
      </c>
      <c r="D613" s="1">
        <v>24.0</v>
      </c>
      <c r="E613" s="3">
        <v>40148.493055555555</v>
      </c>
      <c r="F613" s="1">
        <v>0.85</v>
      </c>
      <c r="G613" s="1">
        <v>12533.0</v>
      </c>
      <c r="H613" s="1" t="s">
        <v>844</v>
      </c>
      <c r="I613" s="4">
        <v>40148.0</v>
      </c>
      <c r="J613" s="5">
        <v>0.4930555555555556</v>
      </c>
      <c r="K613" s="1">
        <v>11.0</v>
      </c>
      <c r="L613" s="1">
        <v>20.4</v>
      </c>
    </row>
    <row r="614">
      <c r="A614" s="1">
        <v>489526.0</v>
      </c>
      <c r="B614" s="2" t="s">
        <v>897</v>
      </c>
      <c r="C614" s="1" t="s">
        <v>898</v>
      </c>
      <c r="D614" s="1">
        <v>6.0</v>
      </c>
      <c r="E614" s="3">
        <v>40148.493055555555</v>
      </c>
      <c r="F614" s="1">
        <v>3.25</v>
      </c>
      <c r="G614" s="1">
        <v>12533.0</v>
      </c>
      <c r="H614" s="1" t="s">
        <v>844</v>
      </c>
      <c r="I614" s="4">
        <v>40148.0</v>
      </c>
      <c r="J614" s="5">
        <v>0.4930555555555556</v>
      </c>
      <c r="K614" s="1">
        <v>11.0</v>
      </c>
      <c r="L614" s="1">
        <v>19.5</v>
      </c>
    </row>
    <row r="615">
      <c r="A615" s="1">
        <v>489526.0</v>
      </c>
      <c r="B615" s="2" t="s">
        <v>603</v>
      </c>
      <c r="C615" s="1" t="s">
        <v>604</v>
      </c>
      <c r="D615" s="1">
        <v>3.0</v>
      </c>
      <c r="E615" s="3">
        <v>40148.493055555555</v>
      </c>
      <c r="F615" s="1">
        <v>5.95</v>
      </c>
      <c r="G615" s="1">
        <v>12533.0</v>
      </c>
      <c r="H615" s="1" t="s">
        <v>844</v>
      </c>
      <c r="I615" s="4">
        <v>40148.0</v>
      </c>
      <c r="J615" s="5">
        <v>0.4930555555555556</v>
      </c>
      <c r="K615" s="1">
        <v>11.0</v>
      </c>
      <c r="L615" s="1">
        <v>17.85</v>
      </c>
    </row>
    <row r="616">
      <c r="A616" s="1">
        <v>489526.0</v>
      </c>
      <c r="B616" s="2" t="s">
        <v>899</v>
      </c>
      <c r="C616" s="1" t="s">
        <v>900</v>
      </c>
      <c r="D616" s="1">
        <v>24.0</v>
      </c>
      <c r="E616" s="3">
        <v>40148.493055555555</v>
      </c>
      <c r="F616" s="1">
        <v>0.85</v>
      </c>
      <c r="G616" s="1">
        <v>12533.0</v>
      </c>
      <c r="H616" s="1" t="s">
        <v>844</v>
      </c>
      <c r="I616" s="4">
        <v>40148.0</v>
      </c>
      <c r="J616" s="5">
        <v>0.4930555555555556</v>
      </c>
      <c r="K616" s="1">
        <v>11.0</v>
      </c>
      <c r="L616" s="1">
        <v>20.4</v>
      </c>
    </row>
    <row r="617">
      <c r="A617" s="1">
        <v>489526.0</v>
      </c>
      <c r="B617" s="2" t="s">
        <v>186</v>
      </c>
      <c r="C617" s="1" t="s">
        <v>187</v>
      </c>
      <c r="D617" s="1">
        <v>6.0</v>
      </c>
      <c r="E617" s="3">
        <v>40148.493055555555</v>
      </c>
      <c r="F617" s="1">
        <v>18.0</v>
      </c>
      <c r="G617" s="1">
        <v>12533.0</v>
      </c>
      <c r="H617" s="1" t="s">
        <v>844</v>
      </c>
      <c r="I617" s="4">
        <v>40148.0</v>
      </c>
      <c r="J617" s="5">
        <v>0.4930555555555556</v>
      </c>
      <c r="K617" s="1">
        <v>11.0</v>
      </c>
      <c r="L617" s="1">
        <v>108.0</v>
      </c>
    </row>
    <row r="618">
      <c r="A618" s="1" t="s">
        <v>901</v>
      </c>
      <c r="B618" s="2" t="s">
        <v>12</v>
      </c>
      <c r="C618" s="1" t="s">
        <v>13</v>
      </c>
      <c r="D618" s="1">
        <v>-1.0</v>
      </c>
      <c r="E618" s="3">
        <v>40148.493055555555</v>
      </c>
      <c r="F618" s="1">
        <v>7.95</v>
      </c>
      <c r="G618" s="1">
        <v>16714.0</v>
      </c>
      <c r="H618" s="1" t="s">
        <v>14</v>
      </c>
      <c r="I618" s="4">
        <v>40148.0</v>
      </c>
      <c r="J618" s="5">
        <v>0.4930555555555556</v>
      </c>
      <c r="K618" s="1">
        <v>11.0</v>
      </c>
      <c r="L618" s="1">
        <v>-7.95</v>
      </c>
    </row>
    <row r="619">
      <c r="A619" s="1">
        <v>489529.0</v>
      </c>
      <c r="B619" s="2" t="s">
        <v>902</v>
      </c>
      <c r="C619" s="1" t="s">
        <v>903</v>
      </c>
      <c r="D619" s="1">
        <v>1.0</v>
      </c>
      <c r="E619" s="3">
        <v>40148.49375</v>
      </c>
      <c r="F619" s="1">
        <v>16.95</v>
      </c>
      <c r="G619" s="1">
        <v>17984.0</v>
      </c>
      <c r="H619" s="1" t="s">
        <v>14</v>
      </c>
      <c r="I619" s="4">
        <v>40148.0</v>
      </c>
      <c r="J619" s="5">
        <v>0.49375</v>
      </c>
      <c r="K619" s="1">
        <v>11.0</v>
      </c>
      <c r="L619" s="1">
        <v>16.95</v>
      </c>
    </row>
    <row r="620">
      <c r="A620" s="1">
        <v>489529.0</v>
      </c>
      <c r="B620" s="2" t="s">
        <v>904</v>
      </c>
      <c r="C620" s="1" t="s">
        <v>905</v>
      </c>
      <c r="D620" s="1">
        <v>1.0</v>
      </c>
      <c r="E620" s="3">
        <v>40148.49375</v>
      </c>
      <c r="F620" s="1">
        <v>6.75</v>
      </c>
      <c r="G620" s="1">
        <v>17984.0</v>
      </c>
      <c r="H620" s="1" t="s">
        <v>14</v>
      </c>
      <c r="I620" s="4">
        <v>40148.0</v>
      </c>
      <c r="J620" s="5">
        <v>0.49375</v>
      </c>
      <c r="K620" s="1">
        <v>11.0</v>
      </c>
      <c r="L620" s="1">
        <v>6.75</v>
      </c>
    </row>
    <row r="621">
      <c r="A621" s="1">
        <v>489529.0</v>
      </c>
      <c r="B621" s="2" t="s">
        <v>170</v>
      </c>
      <c r="C621" s="1" t="s">
        <v>171</v>
      </c>
      <c r="D621" s="1">
        <v>1.0</v>
      </c>
      <c r="E621" s="3">
        <v>40148.49375</v>
      </c>
      <c r="F621" s="1">
        <v>1.95</v>
      </c>
      <c r="G621" s="1">
        <v>17984.0</v>
      </c>
      <c r="H621" s="1" t="s">
        <v>14</v>
      </c>
      <c r="I621" s="4">
        <v>40148.0</v>
      </c>
      <c r="J621" s="5">
        <v>0.49375</v>
      </c>
      <c r="K621" s="1">
        <v>11.0</v>
      </c>
      <c r="L621" s="1">
        <v>1.95</v>
      </c>
    </row>
    <row r="622">
      <c r="A622" s="1">
        <v>489529.0</v>
      </c>
      <c r="B622" s="2" t="s">
        <v>906</v>
      </c>
      <c r="C622" s="1" t="s">
        <v>907</v>
      </c>
      <c r="D622" s="1">
        <v>1.0</v>
      </c>
      <c r="E622" s="3">
        <v>40148.49375</v>
      </c>
      <c r="F622" s="1">
        <v>0.42</v>
      </c>
      <c r="G622" s="1">
        <v>17984.0</v>
      </c>
      <c r="H622" s="1" t="s">
        <v>14</v>
      </c>
      <c r="I622" s="4">
        <v>40148.0</v>
      </c>
      <c r="J622" s="5">
        <v>0.49375</v>
      </c>
      <c r="K622" s="1">
        <v>11.0</v>
      </c>
      <c r="L622" s="1">
        <v>0.42</v>
      </c>
    </row>
    <row r="623">
      <c r="A623" s="1">
        <v>489529.0</v>
      </c>
      <c r="B623" s="2" t="s">
        <v>908</v>
      </c>
      <c r="C623" s="1" t="s">
        <v>909</v>
      </c>
      <c r="D623" s="1">
        <v>1.0</v>
      </c>
      <c r="E623" s="3">
        <v>40148.49375</v>
      </c>
      <c r="F623" s="1">
        <v>0.85</v>
      </c>
      <c r="G623" s="1">
        <v>17984.0</v>
      </c>
      <c r="H623" s="1" t="s">
        <v>14</v>
      </c>
      <c r="I623" s="4">
        <v>40148.0</v>
      </c>
      <c r="J623" s="5">
        <v>0.49375</v>
      </c>
      <c r="K623" s="1">
        <v>11.0</v>
      </c>
      <c r="L623" s="1">
        <v>0.85</v>
      </c>
    </row>
    <row r="624">
      <c r="A624" s="1">
        <v>489529.0</v>
      </c>
      <c r="B624" s="2" t="s">
        <v>910</v>
      </c>
      <c r="C624" s="1" t="s">
        <v>911</v>
      </c>
      <c r="D624" s="1">
        <v>1.0</v>
      </c>
      <c r="E624" s="3">
        <v>40148.49375</v>
      </c>
      <c r="F624" s="1">
        <v>1.65</v>
      </c>
      <c r="G624" s="1">
        <v>17984.0</v>
      </c>
      <c r="H624" s="1" t="s">
        <v>14</v>
      </c>
      <c r="I624" s="4">
        <v>40148.0</v>
      </c>
      <c r="J624" s="5">
        <v>0.49375</v>
      </c>
      <c r="K624" s="1">
        <v>11.0</v>
      </c>
      <c r="L624" s="1">
        <v>1.65</v>
      </c>
    </row>
    <row r="625">
      <c r="A625" s="1">
        <v>489529.0</v>
      </c>
      <c r="B625" s="2" t="s">
        <v>912</v>
      </c>
      <c r="C625" s="1" t="s">
        <v>913</v>
      </c>
      <c r="D625" s="1">
        <v>1.0</v>
      </c>
      <c r="E625" s="3">
        <v>40148.49375</v>
      </c>
      <c r="F625" s="1">
        <v>2.55</v>
      </c>
      <c r="G625" s="1">
        <v>17984.0</v>
      </c>
      <c r="H625" s="1" t="s">
        <v>14</v>
      </c>
      <c r="I625" s="4">
        <v>40148.0</v>
      </c>
      <c r="J625" s="5">
        <v>0.49375</v>
      </c>
      <c r="K625" s="1">
        <v>11.0</v>
      </c>
      <c r="L625" s="1">
        <v>2.55</v>
      </c>
    </row>
    <row r="626">
      <c r="A626" s="1">
        <v>489529.0</v>
      </c>
      <c r="B626" s="2" t="s">
        <v>914</v>
      </c>
      <c r="C626" s="1" t="s">
        <v>915</v>
      </c>
      <c r="D626" s="1">
        <v>12.0</v>
      </c>
      <c r="E626" s="3">
        <v>40148.49375</v>
      </c>
      <c r="F626" s="1">
        <v>0.42</v>
      </c>
      <c r="G626" s="1">
        <v>17984.0</v>
      </c>
      <c r="H626" s="1" t="s">
        <v>14</v>
      </c>
      <c r="I626" s="4">
        <v>40148.0</v>
      </c>
      <c r="J626" s="5">
        <v>0.49375</v>
      </c>
      <c r="K626" s="1">
        <v>11.0</v>
      </c>
      <c r="L626" s="1">
        <v>5.04</v>
      </c>
    </row>
    <row r="627">
      <c r="A627" s="1">
        <v>489529.0</v>
      </c>
      <c r="B627" s="2" t="s">
        <v>916</v>
      </c>
      <c r="C627" s="1" t="s">
        <v>917</v>
      </c>
      <c r="D627" s="1">
        <v>1.0</v>
      </c>
      <c r="E627" s="3">
        <v>40148.49375</v>
      </c>
      <c r="F627" s="1">
        <v>2.1</v>
      </c>
      <c r="G627" s="1">
        <v>17984.0</v>
      </c>
      <c r="H627" s="1" t="s">
        <v>14</v>
      </c>
      <c r="I627" s="4">
        <v>40148.0</v>
      </c>
      <c r="J627" s="5">
        <v>0.49375</v>
      </c>
      <c r="K627" s="1">
        <v>11.0</v>
      </c>
      <c r="L627" s="1">
        <v>2.1</v>
      </c>
    </row>
    <row r="628">
      <c r="A628" s="1">
        <v>489529.0</v>
      </c>
      <c r="B628" s="2" t="s">
        <v>918</v>
      </c>
      <c r="C628" s="1" t="s">
        <v>919</v>
      </c>
      <c r="D628" s="1">
        <v>1.0</v>
      </c>
      <c r="E628" s="3">
        <v>40148.49375</v>
      </c>
      <c r="F628" s="1">
        <v>1.25</v>
      </c>
      <c r="G628" s="1">
        <v>17984.0</v>
      </c>
      <c r="H628" s="1" t="s">
        <v>14</v>
      </c>
      <c r="I628" s="4">
        <v>40148.0</v>
      </c>
      <c r="J628" s="5">
        <v>0.49375</v>
      </c>
      <c r="K628" s="1">
        <v>11.0</v>
      </c>
      <c r="L628" s="1">
        <v>1.25</v>
      </c>
    </row>
    <row r="629">
      <c r="A629" s="1">
        <v>489529.0</v>
      </c>
      <c r="B629" s="2" t="s">
        <v>920</v>
      </c>
      <c r="C629" s="1" t="s">
        <v>921</v>
      </c>
      <c r="D629" s="1">
        <v>1.0</v>
      </c>
      <c r="E629" s="3">
        <v>40148.49375</v>
      </c>
      <c r="F629" s="1">
        <v>1.25</v>
      </c>
      <c r="G629" s="1">
        <v>17984.0</v>
      </c>
      <c r="H629" s="1" t="s">
        <v>14</v>
      </c>
      <c r="I629" s="4">
        <v>40148.0</v>
      </c>
      <c r="J629" s="5">
        <v>0.49375</v>
      </c>
      <c r="K629" s="1">
        <v>11.0</v>
      </c>
      <c r="L629" s="1">
        <v>1.25</v>
      </c>
    </row>
    <row r="630">
      <c r="A630" s="1">
        <v>489529.0</v>
      </c>
      <c r="B630" s="2" t="s">
        <v>922</v>
      </c>
      <c r="C630" s="1" t="s">
        <v>923</v>
      </c>
      <c r="D630" s="1">
        <v>1.0</v>
      </c>
      <c r="E630" s="3">
        <v>40148.49375</v>
      </c>
      <c r="F630" s="1">
        <v>1.25</v>
      </c>
      <c r="G630" s="1">
        <v>17984.0</v>
      </c>
      <c r="H630" s="1" t="s">
        <v>14</v>
      </c>
      <c r="I630" s="4">
        <v>40148.0</v>
      </c>
      <c r="J630" s="5">
        <v>0.49375</v>
      </c>
      <c r="K630" s="1">
        <v>11.0</v>
      </c>
      <c r="L630" s="1">
        <v>1.25</v>
      </c>
    </row>
    <row r="631">
      <c r="A631" s="1">
        <v>489529.0</v>
      </c>
      <c r="B631" s="2" t="s">
        <v>924</v>
      </c>
      <c r="C631" s="1" t="s">
        <v>925</v>
      </c>
      <c r="D631" s="1">
        <v>25.0</v>
      </c>
      <c r="E631" s="3">
        <v>40148.49375</v>
      </c>
      <c r="F631" s="1">
        <v>0.42</v>
      </c>
      <c r="G631" s="1">
        <v>17984.0</v>
      </c>
      <c r="H631" s="1" t="s">
        <v>14</v>
      </c>
      <c r="I631" s="4">
        <v>40148.0</v>
      </c>
      <c r="J631" s="5">
        <v>0.49375</v>
      </c>
      <c r="K631" s="1">
        <v>11.0</v>
      </c>
      <c r="L631" s="1">
        <v>10.5</v>
      </c>
    </row>
    <row r="632">
      <c r="A632" s="1">
        <v>489529.0</v>
      </c>
      <c r="B632" s="2" t="s">
        <v>926</v>
      </c>
      <c r="C632" s="1" t="s">
        <v>927</v>
      </c>
      <c r="D632" s="1">
        <v>4.0</v>
      </c>
      <c r="E632" s="3">
        <v>40148.49375</v>
      </c>
      <c r="F632" s="1">
        <v>1.25</v>
      </c>
      <c r="G632" s="1">
        <v>17984.0</v>
      </c>
      <c r="H632" s="1" t="s">
        <v>14</v>
      </c>
      <c r="I632" s="4">
        <v>40148.0</v>
      </c>
      <c r="J632" s="5">
        <v>0.49375</v>
      </c>
      <c r="K632" s="1">
        <v>11.0</v>
      </c>
      <c r="L632" s="1">
        <v>5.0</v>
      </c>
    </row>
    <row r="633">
      <c r="A633" s="1">
        <v>489529.0</v>
      </c>
      <c r="B633" s="2" t="s">
        <v>478</v>
      </c>
      <c r="C633" s="1" t="s">
        <v>479</v>
      </c>
      <c r="D633" s="1">
        <v>6.0</v>
      </c>
      <c r="E633" s="3">
        <v>40148.49375</v>
      </c>
      <c r="F633" s="1">
        <v>2.55</v>
      </c>
      <c r="G633" s="1">
        <v>17984.0</v>
      </c>
      <c r="H633" s="1" t="s">
        <v>14</v>
      </c>
      <c r="I633" s="4">
        <v>40148.0</v>
      </c>
      <c r="J633" s="5">
        <v>0.49375</v>
      </c>
      <c r="K633" s="1">
        <v>11.0</v>
      </c>
      <c r="L633" s="1">
        <v>15.2999999999999</v>
      </c>
    </row>
    <row r="634">
      <c r="A634" s="1">
        <v>489529.0</v>
      </c>
      <c r="B634" s="2" t="s">
        <v>928</v>
      </c>
      <c r="C634" s="1" t="s">
        <v>929</v>
      </c>
      <c r="D634" s="1">
        <v>1.0</v>
      </c>
      <c r="E634" s="3">
        <v>40148.49375</v>
      </c>
      <c r="F634" s="1">
        <v>0.85</v>
      </c>
      <c r="G634" s="1">
        <v>17984.0</v>
      </c>
      <c r="H634" s="1" t="s">
        <v>14</v>
      </c>
      <c r="I634" s="4">
        <v>40148.0</v>
      </c>
      <c r="J634" s="5">
        <v>0.49375</v>
      </c>
      <c r="K634" s="1">
        <v>11.0</v>
      </c>
      <c r="L634" s="1">
        <v>0.85</v>
      </c>
    </row>
    <row r="635">
      <c r="A635" s="1">
        <v>489529.0</v>
      </c>
      <c r="B635" s="2" t="s">
        <v>283</v>
      </c>
      <c r="C635" s="1" t="s">
        <v>284</v>
      </c>
      <c r="D635" s="1">
        <v>1.0</v>
      </c>
      <c r="E635" s="3">
        <v>40148.49375</v>
      </c>
      <c r="F635" s="1">
        <v>2.95</v>
      </c>
      <c r="G635" s="1">
        <v>17984.0</v>
      </c>
      <c r="H635" s="1" t="s">
        <v>14</v>
      </c>
      <c r="I635" s="4">
        <v>40148.0</v>
      </c>
      <c r="J635" s="5">
        <v>0.49375</v>
      </c>
      <c r="K635" s="1">
        <v>11.0</v>
      </c>
      <c r="L635" s="1">
        <v>2.95</v>
      </c>
    </row>
    <row r="636">
      <c r="A636" s="1">
        <v>489529.0</v>
      </c>
      <c r="B636" s="2" t="s">
        <v>930</v>
      </c>
      <c r="C636" s="1" t="s">
        <v>931</v>
      </c>
      <c r="D636" s="1">
        <v>1.0</v>
      </c>
      <c r="E636" s="3">
        <v>40148.49375</v>
      </c>
      <c r="F636" s="1">
        <v>2.1</v>
      </c>
      <c r="G636" s="1">
        <v>17984.0</v>
      </c>
      <c r="H636" s="1" t="s">
        <v>14</v>
      </c>
      <c r="I636" s="4">
        <v>40148.0</v>
      </c>
      <c r="J636" s="5">
        <v>0.49375</v>
      </c>
      <c r="K636" s="1">
        <v>11.0</v>
      </c>
      <c r="L636" s="1">
        <v>2.1</v>
      </c>
    </row>
    <row r="637">
      <c r="A637" s="1">
        <v>489529.0</v>
      </c>
      <c r="B637" s="2" t="s">
        <v>546</v>
      </c>
      <c r="C637" s="1" t="s">
        <v>547</v>
      </c>
      <c r="D637" s="1">
        <v>1.0</v>
      </c>
      <c r="E637" s="3">
        <v>40148.49375</v>
      </c>
      <c r="F637" s="1">
        <v>2.1</v>
      </c>
      <c r="G637" s="1">
        <v>17984.0</v>
      </c>
      <c r="H637" s="1" t="s">
        <v>14</v>
      </c>
      <c r="I637" s="4">
        <v>40148.0</v>
      </c>
      <c r="J637" s="5">
        <v>0.49375</v>
      </c>
      <c r="K637" s="1">
        <v>11.0</v>
      </c>
      <c r="L637" s="1">
        <v>2.1</v>
      </c>
    </row>
    <row r="638">
      <c r="A638" s="1">
        <v>489529.0</v>
      </c>
      <c r="B638" s="2" t="s">
        <v>932</v>
      </c>
      <c r="C638" s="1" t="s">
        <v>933</v>
      </c>
      <c r="D638" s="1">
        <v>1.0</v>
      </c>
      <c r="E638" s="3">
        <v>40148.49375</v>
      </c>
      <c r="F638" s="1">
        <v>1.25</v>
      </c>
      <c r="G638" s="1">
        <v>17984.0</v>
      </c>
      <c r="H638" s="1" t="s">
        <v>14</v>
      </c>
      <c r="I638" s="4">
        <v>40148.0</v>
      </c>
      <c r="J638" s="5">
        <v>0.49375</v>
      </c>
      <c r="K638" s="1">
        <v>11.0</v>
      </c>
      <c r="L638" s="1">
        <v>1.25</v>
      </c>
    </row>
    <row r="639">
      <c r="A639" s="1">
        <v>489529.0</v>
      </c>
      <c r="B639" s="2" t="s">
        <v>934</v>
      </c>
      <c r="C639" s="1" t="s">
        <v>935</v>
      </c>
      <c r="D639" s="1">
        <v>1.0</v>
      </c>
      <c r="E639" s="3">
        <v>40148.49375</v>
      </c>
      <c r="F639" s="1">
        <v>1.25</v>
      </c>
      <c r="G639" s="1">
        <v>17984.0</v>
      </c>
      <c r="H639" s="1" t="s">
        <v>14</v>
      </c>
      <c r="I639" s="4">
        <v>40148.0</v>
      </c>
      <c r="J639" s="5">
        <v>0.49375</v>
      </c>
      <c r="K639" s="1">
        <v>11.0</v>
      </c>
      <c r="L639" s="1">
        <v>1.25</v>
      </c>
    </row>
    <row r="640">
      <c r="A640" s="1">
        <v>489529.0</v>
      </c>
      <c r="B640" s="2" t="s">
        <v>704</v>
      </c>
      <c r="C640" s="1" t="s">
        <v>705</v>
      </c>
      <c r="D640" s="1">
        <v>1.0</v>
      </c>
      <c r="E640" s="3">
        <v>40148.49375</v>
      </c>
      <c r="F640" s="1">
        <v>3.95</v>
      </c>
      <c r="G640" s="1">
        <v>17984.0</v>
      </c>
      <c r="H640" s="1" t="s">
        <v>14</v>
      </c>
      <c r="I640" s="4">
        <v>40148.0</v>
      </c>
      <c r="J640" s="5">
        <v>0.49375</v>
      </c>
      <c r="K640" s="1">
        <v>11.0</v>
      </c>
      <c r="L640" s="1">
        <v>3.95</v>
      </c>
    </row>
    <row r="641">
      <c r="A641" s="1">
        <v>489529.0</v>
      </c>
      <c r="B641" s="2" t="s">
        <v>566</v>
      </c>
      <c r="C641" s="1" t="s">
        <v>567</v>
      </c>
      <c r="D641" s="1">
        <v>1.0</v>
      </c>
      <c r="E641" s="3">
        <v>40148.49375</v>
      </c>
      <c r="F641" s="1">
        <v>2.95</v>
      </c>
      <c r="G641" s="1">
        <v>17984.0</v>
      </c>
      <c r="H641" s="1" t="s">
        <v>14</v>
      </c>
      <c r="I641" s="4">
        <v>40148.0</v>
      </c>
      <c r="J641" s="5">
        <v>0.49375</v>
      </c>
      <c r="K641" s="1">
        <v>11.0</v>
      </c>
      <c r="L641" s="1">
        <v>2.95</v>
      </c>
    </row>
    <row r="642">
      <c r="A642" s="1">
        <v>489529.0</v>
      </c>
      <c r="B642" s="2" t="s">
        <v>936</v>
      </c>
      <c r="C642" s="1" t="s">
        <v>937</v>
      </c>
      <c r="D642" s="1">
        <v>1.0</v>
      </c>
      <c r="E642" s="3">
        <v>40148.49375</v>
      </c>
      <c r="F642" s="1">
        <v>1.65</v>
      </c>
      <c r="G642" s="1">
        <v>17984.0</v>
      </c>
      <c r="H642" s="1" t="s">
        <v>14</v>
      </c>
      <c r="I642" s="4">
        <v>40148.0</v>
      </c>
      <c r="J642" s="5">
        <v>0.49375</v>
      </c>
      <c r="K642" s="1">
        <v>11.0</v>
      </c>
      <c r="L642" s="1">
        <v>1.65</v>
      </c>
    </row>
    <row r="643">
      <c r="A643" s="1">
        <v>489529.0</v>
      </c>
      <c r="B643" s="2" t="s">
        <v>938</v>
      </c>
      <c r="C643" s="1" t="s">
        <v>939</v>
      </c>
      <c r="D643" s="1">
        <v>2.0</v>
      </c>
      <c r="E643" s="3">
        <v>40148.49375</v>
      </c>
      <c r="F643" s="1">
        <v>1.65</v>
      </c>
      <c r="G643" s="1">
        <v>17984.0</v>
      </c>
      <c r="H643" s="1" t="s">
        <v>14</v>
      </c>
      <c r="I643" s="4">
        <v>40148.0</v>
      </c>
      <c r="J643" s="5">
        <v>0.49375</v>
      </c>
      <c r="K643" s="1">
        <v>11.0</v>
      </c>
      <c r="L643" s="1">
        <v>3.3</v>
      </c>
    </row>
    <row r="644">
      <c r="A644" s="1">
        <v>489529.0</v>
      </c>
      <c r="B644" s="2" t="s">
        <v>212</v>
      </c>
      <c r="C644" s="1" t="s">
        <v>213</v>
      </c>
      <c r="D644" s="1">
        <v>12.0</v>
      </c>
      <c r="E644" s="3">
        <v>40148.49375</v>
      </c>
      <c r="F644" s="1">
        <v>0.42</v>
      </c>
      <c r="G644" s="1">
        <v>17984.0</v>
      </c>
      <c r="H644" s="1" t="s">
        <v>14</v>
      </c>
      <c r="I644" s="4">
        <v>40148.0</v>
      </c>
      <c r="J644" s="5">
        <v>0.49375</v>
      </c>
      <c r="K644" s="1">
        <v>11.0</v>
      </c>
      <c r="L644" s="1">
        <v>5.04</v>
      </c>
    </row>
    <row r="645">
      <c r="A645" s="1">
        <v>489529.0</v>
      </c>
      <c r="B645" s="2" t="s">
        <v>906</v>
      </c>
      <c r="C645" s="1" t="s">
        <v>907</v>
      </c>
      <c r="D645" s="1">
        <v>12.0</v>
      </c>
      <c r="E645" s="3">
        <v>40148.49375</v>
      </c>
      <c r="F645" s="1">
        <v>0.42</v>
      </c>
      <c r="G645" s="1">
        <v>17984.0</v>
      </c>
      <c r="H645" s="1" t="s">
        <v>14</v>
      </c>
      <c r="I645" s="4">
        <v>40148.0</v>
      </c>
      <c r="J645" s="5">
        <v>0.49375</v>
      </c>
      <c r="K645" s="1">
        <v>11.0</v>
      </c>
      <c r="L645" s="1">
        <v>5.04</v>
      </c>
    </row>
    <row r="646">
      <c r="A646" s="1">
        <v>489529.0</v>
      </c>
      <c r="B646" s="2" t="s">
        <v>208</v>
      </c>
      <c r="C646" s="1" t="s">
        <v>209</v>
      </c>
      <c r="D646" s="1">
        <v>12.0</v>
      </c>
      <c r="E646" s="3">
        <v>40148.49375</v>
      </c>
      <c r="F646" s="1">
        <v>0.42</v>
      </c>
      <c r="G646" s="1">
        <v>17984.0</v>
      </c>
      <c r="H646" s="1" t="s">
        <v>14</v>
      </c>
      <c r="I646" s="4">
        <v>40148.0</v>
      </c>
      <c r="J646" s="5">
        <v>0.49375</v>
      </c>
      <c r="K646" s="1">
        <v>11.0</v>
      </c>
      <c r="L646" s="1">
        <v>5.04</v>
      </c>
    </row>
    <row r="647">
      <c r="A647" s="1">
        <v>489529.0</v>
      </c>
      <c r="B647" s="2" t="s">
        <v>940</v>
      </c>
      <c r="C647" s="1" t="s">
        <v>941</v>
      </c>
      <c r="D647" s="1">
        <v>12.0</v>
      </c>
      <c r="E647" s="3">
        <v>40148.49375</v>
      </c>
      <c r="F647" s="1">
        <v>0.42</v>
      </c>
      <c r="G647" s="1">
        <v>17984.0</v>
      </c>
      <c r="H647" s="1" t="s">
        <v>14</v>
      </c>
      <c r="I647" s="4">
        <v>40148.0</v>
      </c>
      <c r="J647" s="5">
        <v>0.49375</v>
      </c>
      <c r="K647" s="1">
        <v>11.0</v>
      </c>
      <c r="L647" s="1">
        <v>5.04</v>
      </c>
    </row>
    <row r="648">
      <c r="A648" s="1">
        <v>489529.0</v>
      </c>
      <c r="B648" s="2" t="s">
        <v>942</v>
      </c>
      <c r="C648" s="1" t="s">
        <v>943</v>
      </c>
      <c r="D648" s="1">
        <v>12.0</v>
      </c>
      <c r="E648" s="3">
        <v>40148.49375</v>
      </c>
      <c r="F648" s="1">
        <v>0.42</v>
      </c>
      <c r="G648" s="1">
        <v>17984.0</v>
      </c>
      <c r="H648" s="1" t="s">
        <v>14</v>
      </c>
      <c r="I648" s="4">
        <v>40148.0</v>
      </c>
      <c r="J648" s="5">
        <v>0.49375</v>
      </c>
      <c r="K648" s="1">
        <v>11.0</v>
      </c>
      <c r="L648" s="1">
        <v>5.04</v>
      </c>
    </row>
    <row r="649">
      <c r="A649" s="1">
        <v>489529.0</v>
      </c>
      <c r="B649" s="2" t="s">
        <v>785</v>
      </c>
      <c r="C649" s="1" t="s">
        <v>786</v>
      </c>
      <c r="D649" s="1">
        <v>2.0</v>
      </c>
      <c r="E649" s="3">
        <v>40148.49375</v>
      </c>
      <c r="F649" s="1">
        <v>1.69</v>
      </c>
      <c r="G649" s="1">
        <v>17984.0</v>
      </c>
      <c r="H649" s="1" t="s">
        <v>14</v>
      </c>
      <c r="I649" s="4">
        <v>40148.0</v>
      </c>
      <c r="J649" s="5">
        <v>0.49375</v>
      </c>
      <c r="K649" s="1">
        <v>11.0</v>
      </c>
      <c r="L649" s="1">
        <v>3.38</v>
      </c>
    </row>
    <row r="650">
      <c r="A650" s="1">
        <v>489529.0</v>
      </c>
      <c r="B650" s="2" t="s">
        <v>944</v>
      </c>
      <c r="C650" s="1" t="s">
        <v>945</v>
      </c>
      <c r="D650" s="1">
        <v>3.0</v>
      </c>
      <c r="E650" s="3">
        <v>40148.49375</v>
      </c>
      <c r="F650" s="1">
        <v>0.85</v>
      </c>
      <c r="G650" s="1">
        <v>17984.0</v>
      </c>
      <c r="H650" s="1" t="s">
        <v>14</v>
      </c>
      <c r="I650" s="4">
        <v>40148.0</v>
      </c>
      <c r="J650" s="5">
        <v>0.49375</v>
      </c>
      <c r="K650" s="1">
        <v>11.0</v>
      </c>
      <c r="L650" s="1">
        <v>2.55</v>
      </c>
    </row>
    <row r="651">
      <c r="A651" s="1">
        <v>489529.0</v>
      </c>
      <c r="B651" s="2" t="s">
        <v>946</v>
      </c>
      <c r="C651" s="1" t="s">
        <v>947</v>
      </c>
      <c r="D651" s="1">
        <v>2.0</v>
      </c>
      <c r="E651" s="3">
        <v>40148.49375</v>
      </c>
      <c r="F651" s="1">
        <v>0.85</v>
      </c>
      <c r="G651" s="1">
        <v>17984.0</v>
      </c>
      <c r="H651" s="1" t="s">
        <v>14</v>
      </c>
      <c r="I651" s="4">
        <v>40148.0</v>
      </c>
      <c r="J651" s="5">
        <v>0.49375</v>
      </c>
      <c r="K651" s="1">
        <v>11.0</v>
      </c>
      <c r="L651" s="1">
        <v>1.7</v>
      </c>
    </row>
    <row r="652">
      <c r="A652" s="1">
        <v>489529.0</v>
      </c>
      <c r="B652" s="2" t="s">
        <v>948</v>
      </c>
      <c r="C652" s="1" t="s">
        <v>949</v>
      </c>
      <c r="D652" s="1">
        <v>1.0</v>
      </c>
      <c r="E652" s="3">
        <v>40148.49375</v>
      </c>
      <c r="F652" s="1">
        <v>4.25</v>
      </c>
      <c r="G652" s="1">
        <v>17984.0</v>
      </c>
      <c r="H652" s="1" t="s">
        <v>14</v>
      </c>
      <c r="I652" s="4">
        <v>40148.0</v>
      </c>
      <c r="J652" s="5">
        <v>0.49375</v>
      </c>
      <c r="K652" s="1">
        <v>11.0</v>
      </c>
      <c r="L652" s="1">
        <v>4.25</v>
      </c>
    </row>
    <row r="653">
      <c r="A653" s="1">
        <v>489529.0</v>
      </c>
      <c r="B653" s="2" t="s">
        <v>619</v>
      </c>
      <c r="C653" s="1" t="s">
        <v>620</v>
      </c>
      <c r="D653" s="1">
        <v>1.0</v>
      </c>
      <c r="E653" s="3">
        <v>40148.49375</v>
      </c>
      <c r="F653" s="1">
        <v>0.85</v>
      </c>
      <c r="G653" s="1">
        <v>17984.0</v>
      </c>
      <c r="H653" s="1" t="s">
        <v>14</v>
      </c>
      <c r="I653" s="4">
        <v>40148.0</v>
      </c>
      <c r="J653" s="5">
        <v>0.49375</v>
      </c>
      <c r="K653" s="1">
        <v>11.0</v>
      </c>
      <c r="L653" s="1">
        <v>0.85</v>
      </c>
    </row>
    <row r="654">
      <c r="A654" s="1">
        <v>489529.0</v>
      </c>
      <c r="B654" s="2" t="s">
        <v>621</v>
      </c>
      <c r="C654" s="1" t="s">
        <v>622</v>
      </c>
      <c r="D654" s="1">
        <v>2.0</v>
      </c>
      <c r="E654" s="3">
        <v>40148.49375</v>
      </c>
      <c r="F654" s="1">
        <v>0.85</v>
      </c>
      <c r="G654" s="1">
        <v>17984.0</v>
      </c>
      <c r="H654" s="1" t="s">
        <v>14</v>
      </c>
      <c r="I654" s="4">
        <v>40148.0</v>
      </c>
      <c r="J654" s="5">
        <v>0.49375</v>
      </c>
      <c r="K654" s="1">
        <v>11.0</v>
      </c>
      <c r="L654" s="1">
        <v>1.7</v>
      </c>
    </row>
    <row r="655">
      <c r="A655" s="1">
        <v>489529.0</v>
      </c>
      <c r="B655" s="2" t="s">
        <v>950</v>
      </c>
      <c r="C655" s="1" t="s">
        <v>951</v>
      </c>
      <c r="D655" s="1">
        <v>1.0</v>
      </c>
      <c r="E655" s="3">
        <v>40148.49375</v>
      </c>
      <c r="F655" s="1">
        <v>2.95</v>
      </c>
      <c r="G655" s="1">
        <v>17984.0</v>
      </c>
      <c r="H655" s="1" t="s">
        <v>14</v>
      </c>
      <c r="I655" s="4">
        <v>40148.0</v>
      </c>
      <c r="J655" s="5">
        <v>0.49375</v>
      </c>
      <c r="K655" s="1">
        <v>11.0</v>
      </c>
      <c r="L655" s="1">
        <v>2.95</v>
      </c>
    </row>
    <row r="656">
      <c r="A656" s="1">
        <v>489529.0</v>
      </c>
      <c r="B656" s="2" t="s">
        <v>952</v>
      </c>
      <c r="C656" s="1" t="s">
        <v>953</v>
      </c>
      <c r="D656" s="1">
        <v>1.0</v>
      </c>
      <c r="E656" s="3">
        <v>40148.49375</v>
      </c>
      <c r="F656" s="1">
        <v>3.75</v>
      </c>
      <c r="G656" s="1">
        <v>17984.0</v>
      </c>
      <c r="H656" s="1" t="s">
        <v>14</v>
      </c>
      <c r="I656" s="4">
        <v>40148.0</v>
      </c>
      <c r="J656" s="5">
        <v>0.49375</v>
      </c>
      <c r="K656" s="1">
        <v>11.0</v>
      </c>
      <c r="L656" s="1">
        <v>3.75</v>
      </c>
    </row>
    <row r="657">
      <c r="A657" s="1">
        <v>489529.0</v>
      </c>
      <c r="B657" s="2" t="s">
        <v>954</v>
      </c>
      <c r="C657" s="1" t="s">
        <v>955</v>
      </c>
      <c r="D657" s="1">
        <v>4.0</v>
      </c>
      <c r="E657" s="3">
        <v>40148.49375</v>
      </c>
      <c r="F657" s="1">
        <v>1.65</v>
      </c>
      <c r="G657" s="1">
        <v>17984.0</v>
      </c>
      <c r="H657" s="1" t="s">
        <v>14</v>
      </c>
      <c r="I657" s="4">
        <v>40148.0</v>
      </c>
      <c r="J657" s="5">
        <v>0.49375</v>
      </c>
      <c r="K657" s="1">
        <v>11.0</v>
      </c>
      <c r="L657" s="1">
        <v>6.6</v>
      </c>
    </row>
    <row r="658">
      <c r="A658" s="1">
        <v>489529.0</v>
      </c>
      <c r="B658" s="2" t="s">
        <v>956</v>
      </c>
      <c r="C658" s="1" t="s">
        <v>957</v>
      </c>
      <c r="D658" s="1">
        <v>1.0</v>
      </c>
      <c r="E658" s="3">
        <v>40148.49375</v>
      </c>
      <c r="F658" s="1">
        <v>1.69</v>
      </c>
      <c r="G658" s="1">
        <v>17984.0</v>
      </c>
      <c r="H658" s="1" t="s">
        <v>14</v>
      </c>
      <c r="I658" s="4">
        <v>40148.0</v>
      </c>
      <c r="J658" s="5">
        <v>0.49375</v>
      </c>
      <c r="K658" s="1">
        <v>11.0</v>
      </c>
      <c r="L658" s="1">
        <v>1.69</v>
      </c>
    </row>
    <row r="659">
      <c r="A659" s="1">
        <v>489529.0</v>
      </c>
      <c r="B659" s="2" t="s">
        <v>958</v>
      </c>
      <c r="C659" s="1" t="s">
        <v>959</v>
      </c>
      <c r="D659" s="1">
        <v>25.0</v>
      </c>
      <c r="E659" s="3">
        <v>40148.49375</v>
      </c>
      <c r="F659" s="1">
        <v>0.42</v>
      </c>
      <c r="G659" s="1">
        <v>17984.0</v>
      </c>
      <c r="H659" s="1" t="s">
        <v>14</v>
      </c>
      <c r="I659" s="4">
        <v>40148.0</v>
      </c>
      <c r="J659" s="5">
        <v>0.49375</v>
      </c>
      <c r="K659" s="1">
        <v>11.0</v>
      </c>
      <c r="L659" s="1">
        <v>10.5</v>
      </c>
    </row>
    <row r="660">
      <c r="A660" s="1">
        <v>489529.0</v>
      </c>
      <c r="B660" s="2" t="s">
        <v>960</v>
      </c>
      <c r="C660" s="1" t="s">
        <v>961</v>
      </c>
      <c r="D660" s="1">
        <v>4.0</v>
      </c>
      <c r="E660" s="3">
        <v>40148.49375</v>
      </c>
      <c r="F660" s="1">
        <v>1.65</v>
      </c>
      <c r="G660" s="1">
        <v>17984.0</v>
      </c>
      <c r="H660" s="1" t="s">
        <v>14</v>
      </c>
      <c r="I660" s="4">
        <v>40148.0</v>
      </c>
      <c r="J660" s="5">
        <v>0.49375</v>
      </c>
      <c r="K660" s="1">
        <v>11.0</v>
      </c>
      <c r="L660" s="1">
        <v>6.6</v>
      </c>
    </row>
    <row r="661">
      <c r="A661" s="1">
        <v>489529.0</v>
      </c>
      <c r="B661" s="2" t="s">
        <v>115</v>
      </c>
      <c r="C661" s="1" t="s">
        <v>116</v>
      </c>
      <c r="D661" s="1">
        <v>2.0</v>
      </c>
      <c r="E661" s="3">
        <v>40148.49375</v>
      </c>
      <c r="F661" s="1">
        <v>3.75</v>
      </c>
      <c r="G661" s="1">
        <v>17984.0</v>
      </c>
      <c r="H661" s="1" t="s">
        <v>14</v>
      </c>
      <c r="I661" s="4">
        <v>40148.0</v>
      </c>
      <c r="J661" s="5">
        <v>0.49375</v>
      </c>
      <c r="K661" s="1">
        <v>11.0</v>
      </c>
      <c r="L661" s="1">
        <v>7.5</v>
      </c>
    </row>
    <row r="662">
      <c r="A662" s="1">
        <v>489529.0</v>
      </c>
      <c r="B662" s="2" t="s">
        <v>283</v>
      </c>
      <c r="C662" s="1" t="s">
        <v>284</v>
      </c>
      <c r="D662" s="1">
        <v>3.0</v>
      </c>
      <c r="E662" s="3">
        <v>40148.49375</v>
      </c>
      <c r="F662" s="1">
        <v>2.95</v>
      </c>
      <c r="G662" s="1">
        <v>17984.0</v>
      </c>
      <c r="H662" s="1" t="s">
        <v>14</v>
      </c>
      <c r="I662" s="4">
        <v>40148.0</v>
      </c>
      <c r="J662" s="5">
        <v>0.49375</v>
      </c>
      <c r="K662" s="1">
        <v>11.0</v>
      </c>
      <c r="L662" s="1">
        <v>8.85</v>
      </c>
    </row>
    <row r="663">
      <c r="A663" s="1">
        <v>489529.0</v>
      </c>
      <c r="B663" s="2" t="s">
        <v>962</v>
      </c>
      <c r="C663" s="1" t="s">
        <v>963</v>
      </c>
      <c r="D663" s="1">
        <v>1.0</v>
      </c>
      <c r="E663" s="3">
        <v>40148.49375</v>
      </c>
      <c r="F663" s="1">
        <v>12.75</v>
      </c>
      <c r="G663" s="1">
        <v>17984.0</v>
      </c>
      <c r="H663" s="1" t="s">
        <v>14</v>
      </c>
      <c r="I663" s="4">
        <v>40148.0</v>
      </c>
      <c r="J663" s="5">
        <v>0.49375</v>
      </c>
      <c r="K663" s="1">
        <v>11.0</v>
      </c>
      <c r="L663" s="1">
        <v>12.75</v>
      </c>
    </row>
    <row r="664">
      <c r="A664" s="1">
        <v>489529.0</v>
      </c>
      <c r="B664" s="2" t="s">
        <v>466</v>
      </c>
      <c r="C664" s="1" t="s">
        <v>467</v>
      </c>
      <c r="D664" s="1">
        <v>2.0</v>
      </c>
      <c r="E664" s="3">
        <v>40148.49375</v>
      </c>
      <c r="F664" s="1">
        <v>1.95</v>
      </c>
      <c r="G664" s="1">
        <v>17984.0</v>
      </c>
      <c r="H664" s="1" t="s">
        <v>14</v>
      </c>
      <c r="I664" s="4">
        <v>40148.0</v>
      </c>
      <c r="J664" s="5">
        <v>0.49375</v>
      </c>
      <c r="K664" s="1">
        <v>11.0</v>
      </c>
      <c r="L664" s="1">
        <v>3.9</v>
      </c>
    </row>
    <row r="665">
      <c r="A665" s="1">
        <v>489529.0</v>
      </c>
      <c r="B665" s="2" t="s">
        <v>964</v>
      </c>
      <c r="C665" s="1" t="s">
        <v>965</v>
      </c>
      <c r="D665" s="1">
        <v>3.0</v>
      </c>
      <c r="E665" s="3">
        <v>40148.49375</v>
      </c>
      <c r="F665" s="1">
        <v>4.25</v>
      </c>
      <c r="G665" s="1">
        <v>17984.0</v>
      </c>
      <c r="H665" s="1" t="s">
        <v>14</v>
      </c>
      <c r="I665" s="4">
        <v>40148.0</v>
      </c>
      <c r="J665" s="5">
        <v>0.49375</v>
      </c>
      <c r="K665" s="1">
        <v>11.0</v>
      </c>
      <c r="L665" s="1">
        <v>12.75</v>
      </c>
    </row>
    <row r="666">
      <c r="A666" s="1" t="s">
        <v>966</v>
      </c>
      <c r="B666" s="2" t="s">
        <v>967</v>
      </c>
      <c r="C666" s="1" t="s">
        <v>968</v>
      </c>
      <c r="D666" s="1">
        <v>-1.0</v>
      </c>
      <c r="E666" s="3">
        <v>40148.49722222222</v>
      </c>
      <c r="F666" s="1">
        <v>4.25</v>
      </c>
      <c r="G666" s="1">
        <v>14748.0</v>
      </c>
      <c r="H666" s="1" t="s">
        <v>14</v>
      </c>
      <c r="I666" s="4">
        <v>40148.0</v>
      </c>
      <c r="J666" s="5">
        <v>0.49722222222222223</v>
      </c>
      <c r="K666" s="1">
        <v>11.0</v>
      </c>
      <c r="L666" s="1">
        <v>-4.25</v>
      </c>
    </row>
    <row r="667">
      <c r="A667" s="1">
        <v>489531.0</v>
      </c>
      <c r="B667" s="2" t="s">
        <v>969</v>
      </c>
      <c r="C667" s="1" t="s">
        <v>970</v>
      </c>
      <c r="D667" s="1">
        <v>1.0</v>
      </c>
      <c r="E667" s="3">
        <v>40148.49791666667</v>
      </c>
      <c r="F667" s="1">
        <v>1.95</v>
      </c>
      <c r="G667" s="1">
        <v>14871.0</v>
      </c>
      <c r="H667" s="1" t="s">
        <v>14</v>
      </c>
      <c r="I667" s="4">
        <v>40148.0</v>
      </c>
      <c r="J667" s="5">
        <v>0.4979166666666667</v>
      </c>
      <c r="K667" s="1">
        <v>11.0</v>
      </c>
      <c r="L667" s="1">
        <v>1.95</v>
      </c>
    </row>
    <row r="668">
      <c r="A668" s="1">
        <v>489531.0</v>
      </c>
      <c r="B668" s="2" t="s">
        <v>512</v>
      </c>
      <c r="C668" s="1" t="s">
        <v>513</v>
      </c>
      <c r="D668" s="1">
        <v>12.0</v>
      </c>
      <c r="E668" s="3">
        <v>40148.49791666667</v>
      </c>
      <c r="F668" s="1">
        <v>3.25</v>
      </c>
      <c r="G668" s="1">
        <v>14871.0</v>
      </c>
      <c r="H668" s="1" t="s">
        <v>14</v>
      </c>
      <c r="I668" s="4">
        <v>40148.0</v>
      </c>
      <c r="J668" s="5">
        <v>0.4979166666666667</v>
      </c>
      <c r="K668" s="1">
        <v>11.0</v>
      </c>
      <c r="L668" s="1">
        <v>39.0</v>
      </c>
    </row>
    <row r="669">
      <c r="A669" s="1">
        <v>489531.0</v>
      </c>
      <c r="B669" s="2" t="s">
        <v>444</v>
      </c>
      <c r="C669" s="1" t="s">
        <v>445</v>
      </c>
      <c r="D669" s="1">
        <v>4.0</v>
      </c>
      <c r="E669" s="3">
        <v>40148.49791666667</v>
      </c>
      <c r="F669" s="1">
        <v>4.95</v>
      </c>
      <c r="G669" s="1">
        <v>14871.0</v>
      </c>
      <c r="H669" s="1" t="s">
        <v>14</v>
      </c>
      <c r="I669" s="4">
        <v>40148.0</v>
      </c>
      <c r="J669" s="5">
        <v>0.4979166666666667</v>
      </c>
      <c r="K669" s="1">
        <v>11.0</v>
      </c>
      <c r="L669" s="1">
        <v>19.8</v>
      </c>
    </row>
    <row r="670">
      <c r="A670" s="1">
        <v>489531.0</v>
      </c>
      <c r="B670" s="2" t="s">
        <v>196</v>
      </c>
      <c r="C670" s="1" t="s">
        <v>197</v>
      </c>
      <c r="D670" s="1">
        <v>5.0</v>
      </c>
      <c r="E670" s="3">
        <v>40148.49791666667</v>
      </c>
      <c r="F670" s="1">
        <v>2.95</v>
      </c>
      <c r="G670" s="1">
        <v>14871.0</v>
      </c>
      <c r="H670" s="1" t="s">
        <v>14</v>
      </c>
      <c r="I670" s="4">
        <v>40148.0</v>
      </c>
      <c r="J670" s="5">
        <v>0.4979166666666667</v>
      </c>
      <c r="K670" s="1">
        <v>11.0</v>
      </c>
      <c r="L670" s="1">
        <v>14.75</v>
      </c>
    </row>
    <row r="671">
      <c r="A671" s="1">
        <v>489531.0</v>
      </c>
      <c r="B671" s="2" t="s">
        <v>202</v>
      </c>
      <c r="C671" s="1" t="s">
        <v>203</v>
      </c>
      <c r="D671" s="1">
        <v>4.0</v>
      </c>
      <c r="E671" s="3">
        <v>40148.49791666667</v>
      </c>
      <c r="F671" s="1">
        <v>1.25</v>
      </c>
      <c r="G671" s="1">
        <v>14871.0</v>
      </c>
      <c r="H671" s="1" t="s">
        <v>14</v>
      </c>
      <c r="I671" s="4">
        <v>40148.0</v>
      </c>
      <c r="J671" s="5">
        <v>0.4979166666666667</v>
      </c>
      <c r="K671" s="1">
        <v>11.0</v>
      </c>
      <c r="L671" s="1">
        <v>5.0</v>
      </c>
    </row>
    <row r="672">
      <c r="A672" s="1">
        <v>489531.0</v>
      </c>
      <c r="B672" s="2" t="s">
        <v>971</v>
      </c>
      <c r="C672" s="1" t="s">
        <v>972</v>
      </c>
      <c r="D672" s="1">
        <v>7.0</v>
      </c>
      <c r="E672" s="3">
        <v>40148.49791666667</v>
      </c>
      <c r="F672" s="1">
        <v>1.25</v>
      </c>
      <c r="G672" s="1">
        <v>14871.0</v>
      </c>
      <c r="H672" s="1" t="s">
        <v>14</v>
      </c>
      <c r="I672" s="4">
        <v>40148.0</v>
      </c>
      <c r="J672" s="5">
        <v>0.4979166666666667</v>
      </c>
      <c r="K672" s="1">
        <v>11.0</v>
      </c>
      <c r="L672" s="1">
        <v>8.75</v>
      </c>
    </row>
    <row r="673">
      <c r="A673" s="1">
        <v>489531.0</v>
      </c>
      <c r="B673" s="2" t="s">
        <v>198</v>
      </c>
      <c r="C673" s="1" t="s">
        <v>199</v>
      </c>
      <c r="D673" s="1">
        <v>8.0</v>
      </c>
      <c r="E673" s="3">
        <v>40148.49791666667</v>
      </c>
      <c r="F673" s="1">
        <v>1.65</v>
      </c>
      <c r="G673" s="1">
        <v>14871.0</v>
      </c>
      <c r="H673" s="1" t="s">
        <v>14</v>
      </c>
      <c r="I673" s="4">
        <v>40148.0</v>
      </c>
      <c r="J673" s="5">
        <v>0.4979166666666667</v>
      </c>
      <c r="K673" s="1">
        <v>11.0</v>
      </c>
      <c r="L673" s="1">
        <v>13.2</v>
      </c>
    </row>
    <row r="674">
      <c r="A674" s="1">
        <v>489531.0</v>
      </c>
      <c r="B674" s="2" t="s">
        <v>754</v>
      </c>
      <c r="C674" s="1" t="s">
        <v>755</v>
      </c>
      <c r="D674" s="1">
        <v>6.0</v>
      </c>
      <c r="E674" s="3">
        <v>40148.49791666667</v>
      </c>
      <c r="F674" s="1">
        <v>2.55</v>
      </c>
      <c r="G674" s="1">
        <v>14871.0</v>
      </c>
      <c r="H674" s="1" t="s">
        <v>14</v>
      </c>
      <c r="I674" s="4">
        <v>40148.0</v>
      </c>
      <c r="J674" s="5">
        <v>0.4979166666666667</v>
      </c>
      <c r="K674" s="1">
        <v>11.0</v>
      </c>
      <c r="L674" s="1">
        <v>15.2999999999999</v>
      </c>
    </row>
    <row r="675">
      <c r="A675" s="1">
        <v>489531.0</v>
      </c>
      <c r="B675" s="2" t="s">
        <v>408</v>
      </c>
      <c r="C675" s="1" t="s">
        <v>409</v>
      </c>
      <c r="D675" s="1">
        <v>1.0</v>
      </c>
      <c r="E675" s="3">
        <v>40148.49791666667</v>
      </c>
      <c r="F675" s="1">
        <v>7.95</v>
      </c>
      <c r="G675" s="1">
        <v>14871.0</v>
      </c>
      <c r="H675" s="1" t="s">
        <v>14</v>
      </c>
      <c r="I675" s="4">
        <v>40148.0</v>
      </c>
      <c r="J675" s="5">
        <v>0.4979166666666667</v>
      </c>
      <c r="K675" s="1">
        <v>11.0</v>
      </c>
      <c r="L675" s="1">
        <v>7.95</v>
      </c>
    </row>
    <row r="676">
      <c r="A676" s="1">
        <v>489531.0</v>
      </c>
      <c r="B676" s="2" t="s">
        <v>410</v>
      </c>
      <c r="C676" s="1" t="s">
        <v>411</v>
      </c>
      <c r="D676" s="1">
        <v>1.0</v>
      </c>
      <c r="E676" s="3">
        <v>40148.49791666667</v>
      </c>
      <c r="F676" s="1">
        <v>5.95</v>
      </c>
      <c r="G676" s="1">
        <v>14871.0</v>
      </c>
      <c r="H676" s="1" t="s">
        <v>14</v>
      </c>
      <c r="I676" s="4">
        <v>40148.0</v>
      </c>
      <c r="J676" s="5">
        <v>0.4979166666666667</v>
      </c>
      <c r="K676" s="1">
        <v>11.0</v>
      </c>
      <c r="L676" s="1">
        <v>5.95</v>
      </c>
    </row>
    <row r="677">
      <c r="A677" s="1">
        <v>489531.0</v>
      </c>
      <c r="B677" s="2" t="s">
        <v>117</v>
      </c>
      <c r="C677" s="1" t="s">
        <v>118</v>
      </c>
      <c r="D677" s="1">
        <v>1.0</v>
      </c>
      <c r="E677" s="3">
        <v>40148.49791666667</v>
      </c>
      <c r="F677" s="1">
        <v>4.95</v>
      </c>
      <c r="G677" s="1">
        <v>14871.0</v>
      </c>
      <c r="H677" s="1" t="s">
        <v>14</v>
      </c>
      <c r="I677" s="4">
        <v>40148.0</v>
      </c>
      <c r="J677" s="5">
        <v>0.4979166666666667</v>
      </c>
      <c r="K677" s="1">
        <v>11.0</v>
      </c>
      <c r="L677" s="1">
        <v>4.95</v>
      </c>
    </row>
    <row r="678">
      <c r="A678" s="1">
        <v>489531.0</v>
      </c>
      <c r="B678" s="2" t="s">
        <v>73</v>
      </c>
      <c r="C678" s="1" t="s">
        <v>74</v>
      </c>
      <c r="D678" s="1">
        <v>1.0</v>
      </c>
      <c r="E678" s="3">
        <v>40148.49791666667</v>
      </c>
      <c r="F678" s="1">
        <v>4.95</v>
      </c>
      <c r="G678" s="1">
        <v>14871.0</v>
      </c>
      <c r="H678" s="1" t="s">
        <v>14</v>
      </c>
      <c r="I678" s="4">
        <v>40148.0</v>
      </c>
      <c r="J678" s="5">
        <v>0.4979166666666667</v>
      </c>
      <c r="K678" s="1">
        <v>11.0</v>
      </c>
      <c r="L678" s="1">
        <v>4.95</v>
      </c>
    </row>
    <row r="679">
      <c r="A679" s="1">
        <v>489531.0</v>
      </c>
      <c r="B679" s="2" t="s">
        <v>973</v>
      </c>
      <c r="C679" s="1" t="s">
        <v>974</v>
      </c>
      <c r="D679" s="1">
        <v>2.0</v>
      </c>
      <c r="E679" s="3">
        <v>40148.49791666667</v>
      </c>
      <c r="F679" s="1">
        <v>1.25</v>
      </c>
      <c r="G679" s="1">
        <v>14871.0</v>
      </c>
      <c r="H679" s="1" t="s">
        <v>14</v>
      </c>
      <c r="I679" s="4">
        <v>40148.0</v>
      </c>
      <c r="J679" s="5">
        <v>0.4979166666666667</v>
      </c>
      <c r="K679" s="1">
        <v>11.0</v>
      </c>
      <c r="L679" s="1">
        <v>2.5</v>
      </c>
    </row>
    <row r="680">
      <c r="A680" s="1">
        <v>489531.0</v>
      </c>
      <c r="B680" s="2" t="s">
        <v>975</v>
      </c>
      <c r="C680" s="1" t="s">
        <v>976</v>
      </c>
      <c r="D680" s="1">
        <v>1.0</v>
      </c>
      <c r="E680" s="3">
        <v>40148.49791666667</v>
      </c>
      <c r="F680" s="1">
        <v>0.95</v>
      </c>
      <c r="G680" s="1">
        <v>14871.0</v>
      </c>
      <c r="H680" s="1" t="s">
        <v>14</v>
      </c>
      <c r="I680" s="4">
        <v>40148.0</v>
      </c>
      <c r="J680" s="5">
        <v>0.4979166666666667</v>
      </c>
      <c r="K680" s="1">
        <v>11.0</v>
      </c>
      <c r="L680" s="1">
        <v>0.95</v>
      </c>
    </row>
    <row r="681">
      <c r="A681" s="1">
        <v>489532.0</v>
      </c>
      <c r="B681" s="2" t="s">
        <v>977</v>
      </c>
      <c r="C681" s="1" t="s">
        <v>978</v>
      </c>
      <c r="D681" s="1">
        <v>12.0</v>
      </c>
      <c r="E681" s="3">
        <v>40148.498611111114</v>
      </c>
      <c r="F681" s="1">
        <v>1.25</v>
      </c>
      <c r="G681" s="1">
        <v>13394.0</v>
      </c>
      <c r="H681" s="1" t="s">
        <v>14</v>
      </c>
      <c r="I681" s="4">
        <v>40148.0</v>
      </c>
      <c r="J681" s="5">
        <v>0.4986111111111111</v>
      </c>
      <c r="K681" s="1">
        <v>11.0</v>
      </c>
      <c r="L681" s="1">
        <v>15.0</v>
      </c>
    </row>
    <row r="682">
      <c r="A682" s="1">
        <v>489532.0</v>
      </c>
      <c r="B682" s="2" t="s">
        <v>979</v>
      </c>
      <c r="C682" s="1" t="s">
        <v>980</v>
      </c>
      <c r="D682" s="1">
        <v>48.0</v>
      </c>
      <c r="E682" s="3">
        <v>40148.498611111114</v>
      </c>
      <c r="F682" s="1">
        <v>0.29</v>
      </c>
      <c r="G682" s="1">
        <v>13394.0</v>
      </c>
      <c r="H682" s="1" t="s">
        <v>14</v>
      </c>
      <c r="I682" s="4">
        <v>40148.0</v>
      </c>
      <c r="J682" s="5">
        <v>0.4986111111111111</v>
      </c>
      <c r="K682" s="1">
        <v>11.0</v>
      </c>
      <c r="L682" s="1">
        <v>13.9199999999999</v>
      </c>
    </row>
    <row r="683">
      <c r="A683" s="1">
        <v>489532.0</v>
      </c>
      <c r="B683" s="2" t="s">
        <v>981</v>
      </c>
      <c r="C683" s="1" t="s">
        <v>982</v>
      </c>
      <c r="D683" s="1">
        <v>48.0</v>
      </c>
      <c r="E683" s="3">
        <v>40148.498611111114</v>
      </c>
      <c r="F683" s="1">
        <v>0.29</v>
      </c>
      <c r="G683" s="1">
        <v>13394.0</v>
      </c>
      <c r="H683" s="1" t="s">
        <v>14</v>
      </c>
      <c r="I683" s="4">
        <v>40148.0</v>
      </c>
      <c r="J683" s="5">
        <v>0.4986111111111111</v>
      </c>
      <c r="K683" s="1">
        <v>11.0</v>
      </c>
      <c r="L683" s="1">
        <v>13.9199999999999</v>
      </c>
    </row>
    <row r="684">
      <c r="A684" s="1">
        <v>489532.0</v>
      </c>
      <c r="B684" s="2" t="s">
        <v>983</v>
      </c>
      <c r="C684" s="1" t="s">
        <v>984</v>
      </c>
      <c r="D684" s="1">
        <v>60.0</v>
      </c>
      <c r="E684" s="3">
        <v>40148.498611111114</v>
      </c>
      <c r="F684" s="1">
        <v>0.21</v>
      </c>
      <c r="G684" s="1">
        <v>13394.0</v>
      </c>
      <c r="H684" s="1" t="s">
        <v>14</v>
      </c>
      <c r="I684" s="4">
        <v>40148.0</v>
      </c>
      <c r="J684" s="5">
        <v>0.4986111111111111</v>
      </c>
      <c r="K684" s="1">
        <v>11.0</v>
      </c>
      <c r="L684" s="1">
        <v>12.6</v>
      </c>
    </row>
    <row r="685">
      <c r="A685" s="1">
        <v>489532.0</v>
      </c>
      <c r="B685" s="2" t="s">
        <v>289</v>
      </c>
      <c r="C685" s="1" t="s">
        <v>290</v>
      </c>
      <c r="D685" s="1">
        <v>6.0</v>
      </c>
      <c r="E685" s="3">
        <v>40148.498611111114</v>
      </c>
      <c r="F685" s="1">
        <v>2.95</v>
      </c>
      <c r="G685" s="1">
        <v>13394.0</v>
      </c>
      <c r="H685" s="1" t="s">
        <v>14</v>
      </c>
      <c r="I685" s="4">
        <v>40148.0</v>
      </c>
      <c r="J685" s="5">
        <v>0.4986111111111111</v>
      </c>
      <c r="K685" s="1">
        <v>11.0</v>
      </c>
      <c r="L685" s="1">
        <v>17.7</v>
      </c>
    </row>
    <row r="686">
      <c r="A686" s="1">
        <v>489532.0</v>
      </c>
      <c r="B686" s="2" t="s">
        <v>283</v>
      </c>
      <c r="C686" s="1" t="s">
        <v>284</v>
      </c>
      <c r="D686" s="1">
        <v>6.0</v>
      </c>
      <c r="E686" s="3">
        <v>40148.498611111114</v>
      </c>
      <c r="F686" s="1">
        <v>2.95</v>
      </c>
      <c r="G686" s="1">
        <v>13394.0</v>
      </c>
      <c r="H686" s="1" t="s">
        <v>14</v>
      </c>
      <c r="I686" s="4">
        <v>40148.0</v>
      </c>
      <c r="J686" s="5">
        <v>0.4986111111111111</v>
      </c>
      <c r="K686" s="1">
        <v>11.0</v>
      </c>
      <c r="L686" s="1">
        <v>17.7</v>
      </c>
    </row>
    <row r="687">
      <c r="A687" s="1">
        <v>489532.0</v>
      </c>
      <c r="B687" s="2" t="s">
        <v>73</v>
      </c>
      <c r="C687" s="1" t="s">
        <v>74</v>
      </c>
      <c r="D687" s="1">
        <v>3.0</v>
      </c>
      <c r="E687" s="3">
        <v>40148.498611111114</v>
      </c>
      <c r="F687" s="1">
        <v>4.95</v>
      </c>
      <c r="G687" s="1">
        <v>13394.0</v>
      </c>
      <c r="H687" s="1" t="s">
        <v>14</v>
      </c>
      <c r="I687" s="4">
        <v>40148.0</v>
      </c>
      <c r="J687" s="5">
        <v>0.4986111111111111</v>
      </c>
      <c r="K687" s="1">
        <v>11.0</v>
      </c>
      <c r="L687" s="1">
        <v>14.85</v>
      </c>
    </row>
    <row r="688">
      <c r="A688" s="1">
        <v>489532.0</v>
      </c>
      <c r="B688" s="2" t="s">
        <v>985</v>
      </c>
      <c r="C688" s="1" t="s">
        <v>986</v>
      </c>
      <c r="D688" s="1">
        <v>6.0</v>
      </c>
      <c r="E688" s="3">
        <v>40148.498611111114</v>
      </c>
      <c r="F688" s="1">
        <v>2.55</v>
      </c>
      <c r="G688" s="1">
        <v>13394.0</v>
      </c>
      <c r="H688" s="1" t="s">
        <v>14</v>
      </c>
      <c r="I688" s="4">
        <v>40148.0</v>
      </c>
      <c r="J688" s="5">
        <v>0.4986111111111111</v>
      </c>
      <c r="K688" s="1">
        <v>11.0</v>
      </c>
      <c r="L688" s="1">
        <v>15.2999999999999</v>
      </c>
    </row>
    <row r="689">
      <c r="A689" s="1">
        <v>489532.0</v>
      </c>
      <c r="B689" s="2" t="s">
        <v>293</v>
      </c>
      <c r="C689" s="1" t="s">
        <v>294</v>
      </c>
      <c r="D689" s="1">
        <v>3.0</v>
      </c>
      <c r="E689" s="3">
        <v>40148.498611111114</v>
      </c>
      <c r="F689" s="1">
        <v>4.95</v>
      </c>
      <c r="G689" s="1">
        <v>13394.0</v>
      </c>
      <c r="H689" s="1" t="s">
        <v>14</v>
      </c>
      <c r="I689" s="4">
        <v>40148.0</v>
      </c>
      <c r="J689" s="5">
        <v>0.4986111111111111</v>
      </c>
      <c r="K689" s="1">
        <v>11.0</v>
      </c>
      <c r="L689" s="1">
        <v>14.85</v>
      </c>
    </row>
    <row r="690">
      <c r="A690" s="1">
        <v>489532.0</v>
      </c>
      <c r="B690" s="2" t="s">
        <v>412</v>
      </c>
      <c r="C690" s="1" t="s">
        <v>413</v>
      </c>
      <c r="D690" s="1">
        <v>24.0</v>
      </c>
      <c r="E690" s="3">
        <v>40148.498611111114</v>
      </c>
      <c r="F690" s="1">
        <v>0.55</v>
      </c>
      <c r="G690" s="1">
        <v>13394.0</v>
      </c>
      <c r="H690" s="1" t="s">
        <v>14</v>
      </c>
      <c r="I690" s="4">
        <v>40148.0</v>
      </c>
      <c r="J690" s="5">
        <v>0.4986111111111111</v>
      </c>
      <c r="K690" s="1">
        <v>11.0</v>
      </c>
      <c r="L690" s="1">
        <v>13.2</v>
      </c>
    </row>
    <row r="691">
      <c r="A691" s="1">
        <v>489532.0</v>
      </c>
      <c r="B691" s="2" t="s">
        <v>987</v>
      </c>
      <c r="C691" s="1" t="s">
        <v>988</v>
      </c>
      <c r="D691" s="1">
        <v>24.0</v>
      </c>
      <c r="E691" s="3">
        <v>40148.498611111114</v>
      </c>
      <c r="F691" s="1">
        <v>0.55</v>
      </c>
      <c r="G691" s="1">
        <v>13394.0</v>
      </c>
      <c r="H691" s="1" t="s">
        <v>14</v>
      </c>
      <c r="I691" s="4">
        <v>40148.0</v>
      </c>
      <c r="J691" s="5">
        <v>0.4986111111111111</v>
      </c>
      <c r="K691" s="1">
        <v>11.0</v>
      </c>
      <c r="L691" s="1">
        <v>13.2</v>
      </c>
    </row>
    <row r="692">
      <c r="A692" s="1">
        <v>489532.0</v>
      </c>
      <c r="B692" s="2" t="s">
        <v>989</v>
      </c>
      <c r="C692" s="1" t="s">
        <v>990</v>
      </c>
      <c r="D692" s="1">
        <v>12.0</v>
      </c>
      <c r="E692" s="3">
        <v>40148.498611111114</v>
      </c>
      <c r="F692" s="1">
        <v>0.85</v>
      </c>
      <c r="G692" s="1">
        <v>13394.0</v>
      </c>
      <c r="H692" s="1" t="s">
        <v>14</v>
      </c>
      <c r="I692" s="4">
        <v>40148.0</v>
      </c>
      <c r="J692" s="5">
        <v>0.4986111111111111</v>
      </c>
      <c r="K692" s="1">
        <v>11.0</v>
      </c>
      <c r="L692" s="1">
        <v>10.2</v>
      </c>
    </row>
    <row r="693">
      <c r="A693" s="1">
        <v>489532.0</v>
      </c>
      <c r="B693" s="2" t="s">
        <v>991</v>
      </c>
      <c r="C693" s="1" t="s">
        <v>992</v>
      </c>
      <c r="D693" s="1">
        <v>24.0</v>
      </c>
      <c r="E693" s="3">
        <v>40148.498611111114</v>
      </c>
      <c r="F693" s="1">
        <v>0.85</v>
      </c>
      <c r="G693" s="1">
        <v>13394.0</v>
      </c>
      <c r="H693" s="1" t="s">
        <v>14</v>
      </c>
      <c r="I693" s="4">
        <v>40148.0</v>
      </c>
      <c r="J693" s="5">
        <v>0.4986111111111111</v>
      </c>
      <c r="K693" s="1">
        <v>11.0</v>
      </c>
      <c r="L693" s="1">
        <v>20.4</v>
      </c>
    </row>
    <row r="694">
      <c r="A694" s="1">
        <v>489532.0</v>
      </c>
      <c r="B694" s="2" t="s">
        <v>993</v>
      </c>
      <c r="C694" s="1" t="s">
        <v>994</v>
      </c>
      <c r="D694" s="1">
        <v>12.0</v>
      </c>
      <c r="E694" s="3">
        <v>40148.498611111114</v>
      </c>
      <c r="F694" s="1">
        <v>0.42</v>
      </c>
      <c r="G694" s="1">
        <v>13394.0</v>
      </c>
      <c r="H694" s="1" t="s">
        <v>14</v>
      </c>
      <c r="I694" s="4">
        <v>40148.0</v>
      </c>
      <c r="J694" s="5">
        <v>0.4986111111111111</v>
      </c>
      <c r="K694" s="1">
        <v>11.0</v>
      </c>
      <c r="L694" s="1">
        <v>5.04</v>
      </c>
    </row>
    <row r="695">
      <c r="A695" s="1">
        <v>489532.0</v>
      </c>
      <c r="B695" s="2" t="s">
        <v>995</v>
      </c>
      <c r="C695" s="1" t="s">
        <v>996</v>
      </c>
      <c r="D695" s="1">
        <v>6.0</v>
      </c>
      <c r="E695" s="3">
        <v>40148.498611111114</v>
      </c>
      <c r="F695" s="1">
        <v>3.75</v>
      </c>
      <c r="G695" s="1">
        <v>13394.0</v>
      </c>
      <c r="H695" s="1" t="s">
        <v>14</v>
      </c>
      <c r="I695" s="4">
        <v>40148.0</v>
      </c>
      <c r="J695" s="5">
        <v>0.4986111111111111</v>
      </c>
      <c r="K695" s="1">
        <v>11.0</v>
      </c>
      <c r="L695" s="1">
        <v>22.5</v>
      </c>
    </row>
    <row r="696">
      <c r="A696" s="1">
        <v>489532.0</v>
      </c>
      <c r="B696" s="2" t="s">
        <v>997</v>
      </c>
      <c r="C696" s="1" t="s">
        <v>998</v>
      </c>
      <c r="D696" s="1">
        <v>6.0</v>
      </c>
      <c r="E696" s="3">
        <v>40148.498611111114</v>
      </c>
      <c r="F696" s="1">
        <v>3.75</v>
      </c>
      <c r="G696" s="1">
        <v>13394.0</v>
      </c>
      <c r="H696" s="1" t="s">
        <v>14</v>
      </c>
      <c r="I696" s="4">
        <v>40148.0</v>
      </c>
      <c r="J696" s="5">
        <v>0.4986111111111111</v>
      </c>
      <c r="K696" s="1">
        <v>11.0</v>
      </c>
      <c r="L696" s="1">
        <v>22.5</v>
      </c>
    </row>
    <row r="697">
      <c r="A697" s="1">
        <v>489532.0</v>
      </c>
      <c r="B697" s="2" t="s">
        <v>823</v>
      </c>
      <c r="C697" s="1" t="s">
        <v>824</v>
      </c>
      <c r="D697" s="1">
        <v>9.0</v>
      </c>
      <c r="E697" s="3">
        <v>40148.498611111114</v>
      </c>
      <c r="F697" s="1">
        <v>1.65</v>
      </c>
      <c r="G697" s="1">
        <v>13394.0</v>
      </c>
      <c r="H697" s="1" t="s">
        <v>14</v>
      </c>
      <c r="I697" s="4">
        <v>40148.0</v>
      </c>
      <c r="J697" s="5">
        <v>0.4986111111111111</v>
      </c>
      <c r="K697" s="1">
        <v>11.0</v>
      </c>
      <c r="L697" s="1">
        <v>14.85</v>
      </c>
    </row>
    <row r="698">
      <c r="A698" s="1">
        <v>489532.0</v>
      </c>
      <c r="B698" s="2" t="s">
        <v>520</v>
      </c>
      <c r="C698" s="1" t="s">
        <v>521</v>
      </c>
      <c r="D698" s="1">
        <v>2.0</v>
      </c>
      <c r="E698" s="3">
        <v>40148.498611111114</v>
      </c>
      <c r="F698" s="1">
        <v>12.75</v>
      </c>
      <c r="G698" s="1">
        <v>13394.0</v>
      </c>
      <c r="H698" s="1" t="s">
        <v>14</v>
      </c>
      <c r="I698" s="4">
        <v>40148.0</v>
      </c>
      <c r="J698" s="5">
        <v>0.4986111111111111</v>
      </c>
      <c r="K698" s="1">
        <v>11.0</v>
      </c>
      <c r="L698" s="1">
        <v>25.5</v>
      </c>
    </row>
    <row r="699">
      <c r="A699" s="1">
        <v>489532.0</v>
      </c>
      <c r="B699" s="2" t="s">
        <v>999</v>
      </c>
      <c r="C699" s="1" t="s">
        <v>1000</v>
      </c>
      <c r="D699" s="1">
        <v>30.0</v>
      </c>
      <c r="E699" s="3">
        <v>40148.498611111114</v>
      </c>
      <c r="F699" s="1">
        <v>0.21</v>
      </c>
      <c r="G699" s="1">
        <v>13394.0</v>
      </c>
      <c r="H699" s="1" t="s">
        <v>14</v>
      </c>
      <c r="I699" s="4">
        <v>40148.0</v>
      </c>
      <c r="J699" s="5">
        <v>0.4986111111111111</v>
      </c>
      <c r="K699" s="1">
        <v>11.0</v>
      </c>
      <c r="L699" s="1">
        <v>6.3</v>
      </c>
    </row>
    <row r="700">
      <c r="A700" s="1">
        <v>489532.0</v>
      </c>
      <c r="B700" s="2" t="s">
        <v>1001</v>
      </c>
      <c r="C700" s="1" t="s">
        <v>1002</v>
      </c>
      <c r="D700" s="1">
        <v>12.0</v>
      </c>
      <c r="E700" s="3">
        <v>40148.498611111114</v>
      </c>
      <c r="F700" s="1">
        <v>1.25</v>
      </c>
      <c r="G700" s="1">
        <v>13394.0</v>
      </c>
      <c r="H700" s="1" t="s">
        <v>14</v>
      </c>
      <c r="I700" s="4">
        <v>40148.0</v>
      </c>
      <c r="J700" s="5">
        <v>0.4986111111111111</v>
      </c>
      <c r="K700" s="1">
        <v>11.0</v>
      </c>
      <c r="L700" s="1">
        <v>15.0</v>
      </c>
    </row>
    <row r="701">
      <c r="A701" s="1">
        <v>489533.0</v>
      </c>
      <c r="B701" s="2" t="s">
        <v>1003</v>
      </c>
      <c r="C701" s="1" t="s">
        <v>1004</v>
      </c>
      <c r="D701" s="1">
        <v>1.0</v>
      </c>
      <c r="E701" s="3">
        <v>40148.501388888886</v>
      </c>
      <c r="F701" s="1">
        <v>16.95</v>
      </c>
      <c r="G701" s="1">
        <v>16011.0</v>
      </c>
      <c r="H701" s="1" t="s">
        <v>14</v>
      </c>
      <c r="I701" s="4">
        <v>40148.0</v>
      </c>
      <c r="J701" s="5">
        <v>0.5013888888888889</v>
      </c>
      <c r="K701" s="1">
        <v>12.0</v>
      </c>
      <c r="L701" s="1">
        <v>16.95</v>
      </c>
    </row>
    <row r="702">
      <c r="A702" s="1">
        <v>489533.0</v>
      </c>
      <c r="B702" s="2" t="s">
        <v>1005</v>
      </c>
      <c r="C702" s="1" t="s">
        <v>1006</v>
      </c>
      <c r="D702" s="1">
        <v>1.0</v>
      </c>
      <c r="E702" s="3">
        <v>40148.501388888886</v>
      </c>
      <c r="F702" s="1">
        <v>3.75</v>
      </c>
      <c r="G702" s="1">
        <v>16011.0</v>
      </c>
      <c r="H702" s="1" t="s">
        <v>14</v>
      </c>
      <c r="I702" s="4">
        <v>40148.0</v>
      </c>
      <c r="J702" s="5">
        <v>0.5013888888888889</v>
      </c>
      <c r="K702" s="1">
        <v>12.0</v>
      </c>
      <c r="L702" s="1">
        <v>3.75</v>
      </c>
    </row>
    <row r="703">
      <c r="A703" s="1">
        <v>489533.0</v>
      </c>
      <c r="B703" s="2" t="s">
        <v>1007</v>
      </c>
      <c r="C703" s="1" t="s">
        <v>1008</v>
      </c>
      <c r="D703" s="1">
        <v>1.0</v>
      </c>
      <c r="E703" s="3">
        <v>40148.501388888886</v>
      </c>
      <c r="F703" s="1">
        <v>3.75</v>
      </c>
      <c r="G703" s="1">
        <v>16011.0</v>
      </c>
      <c r="H703" s="1" t="s">
        <v>14</v>
      </c>
      <c r="I703" s="4">
        <v>40148.0</v>
      </c>
      <c r="J703" s="5">
        <v>0.5013888888888889</v>
      </c>
      <c r="K703" s="1">
        <v>12.0</v>
      </c>
      <c r="L703" s="1">
        <v>3.75</v>
      </c>
    </row>
    <row r="704">
      <c r="A704" s="1">
        <v>489533.0</v>
      </c>
      <c r="B704" s="2" t="s">
        <v>1009</v>
      </c>
      <c r="C704" s="1" t="s">
        <v>1010</v>
      </c>
      <c r="D704" s="1">
        <v>4.0</v>
      </c>
      <c r="E704" s="3">
        <v>40148.501388888886</v>
      </c>
      <c r="F704" s="1">
        <v>7.95</v>
      </c>
      <c r="G704" s="1">
        <v>16011.0</v>
      </c>
      <c r="H704" s="1" t="s">
        <v>14</v>
      </c>
      <c r="I704" s="4">
        <v>40148.0</v>
      </c>
      <c r="J704" s="5">
        <v>0.5013888888888889</v>
      </c>
      <c r="K704" s="1">
        <v>12.0</v>
      </c>
      <c r="L704" s="1">
        <v>31.8</v>
      </c>
    </row>
    <row r="705">
      <c r="A705" s="1">
        <v>489533.0</v>
      </c>
      <c r="B705" s="2" t="s">
        <v>335</v>
      </c>
      <c r="C705" s="1" t="s">
        <v>336</v>
      </c>
      <c r="D705" s="1">
        <v>6.0</v>
      </c>
      <c r="E705" s="3">
        <v>40148.501388888886</v>
      </c>
      <c r="F705" s="1">
        <v>1.25</v>
      </c>
      <c r="G705" s="1">
        <v>16011.0</v>
      </c>
      <c r="H705" s="1" t="s">
        <v>14</v>
      </c>
      <c r="I705" s="4">
        <v>40148.0</v>
      </c>
      <c r="J705" s="5">
        <v>0.5013888888888889</v>
      </c>
      <c r="K705" s="1">
        <v>12.0</v>
      </c>
      <c r="L705" s="1">
        <v>7.5</v>
      </c>
    </row>
    <row r="706">
      <c r="A706" s="1">
        <v>489533.0</v>
      </c>
      <c r="B706" s="2" t="s">
        <v>478</v>
      </c>
      <c r="C706" s="1" t="s">
        <v>479</v>
      </c>
      <c r="D706" s="1">
        <v>6.0</v>
      </c>
      <c r="E706" s="3">
        <v>40148.501388888886</v>
      </c>
      <c r="F706" s="1">
        <v>2.55</v>
      </c>
      <c r="G706" s="1">
        <v>16011.0</v>
      </c>
      <c r="H706" s="1" t="s">
        <v>14</v>
      </c>
      <c r="I706" s="4">
        <v>40148.0</v>
      </c>
      <c r="J706" s="5">
        <v>0.5013888888888889</v>
      </c>
      <c r="K706" s="1">
        <v>12.0</v>
      </c>
      <c r="L706" s="1">
        <v>15.2999999999999</v>
      </c>
    </row>
    <row r="707">
      <c r="A707" s="1">
        <v>489533.0</v>
      </c>
      <c r="B707" s="2" t="s">
        <v>873</v>
      </c>
      <c r="C707" s="1" t="s">
        <v>874</v>
      </c>
      <c r="D707" s="1">
        <v>1.0</v>
      </c>
      <c r="E707" s="3">
        <v>40148.501388888886</v>
      </c>
      <c r="F707" s="1">
        <v>2.55</v>
      </c>
      <c r="G707" s="1">
        <v>16011.0</v>
      </c>
      <c r="H707" s="1" t="s">
        <v>14</v>
      </c>
      <c r="I707" s="4">
        <v>40148.0</v>
      </c>
      <c r="J707" s="5">
        <v>0.5013888888888889</v>
      </c>
      <c r="K707" s="1">
        <v>12.0</v>
      </c>
      <c r="L707" s="1">
        <v>2.55</v>
      </c>
    </row>
    <row r="708">
      <c r="A708" s="1">
        <v>489533.0</v>
      </c>
      <c r="B708" s="2" t="s">
        <v>495</v>
      </c>
      <c r="C708" s="1" t="s">
        <v>496</v>
      </c>
      <c r="D708" s="1">
        <v>2.0</v>
      </c>
      <c r="E708" s="3">
        <v>40148.501388888886</v>
      </c>
      <c r="F708" s="1">
        <v>4.25</v>
      </c>
      <c r="G708" s="1">
        <v>16011.0</v>
      </c>
      <c r="H708" s="1" t="s">
        <v>14</v>
      </c>
      <c r="I708" s="4">
        <v>40148.0</v>
      </c>
      <c r="J708" s="5">
        <v>0.5013888888888889</v>
      </c>
      <c r="K708" s="1">
        <v>12.0</v>
      </c>
      <c r="L708" s="1">
        <v>8.5</v>
      </c>
    </row>
    <row r="709">
      <c r="A709" s="1">
        <v>489533.0</v>
      </c>
      <c r="B709" s="2" t="s">
        <v>1011</v>
      </c>
      <c r="C709" s="1" t="s">
        <v>1012</v>
      </c>
      <c r="D709" s="1">
        <v>1.0</v>
      </c>
      <c r="E709" s="3">
        <v>40148.501388888886</v>
      </c>
      <c r="F709" s="1">
        <v>3.75</v>
      </c>
      <c r="G709" s="1">
        <v>16011.0</v>
      </c>
      <c r="H709" s="1" t="s">
        <v>14</v>
      </c>
      <c r="I709" s="4">
        <v>40148.0</v>
      </c>
      <c r="J709" s="5">
        <v>0.5013888888888889</v>
      </c>
      <c r="K709" s="1">
        <v>12.0</v>
      </c>
      <c r="L709" s="1">
        <v>3.75</v>
      </c>
    </row>
    <row r="710">
      <c r="A710" s="1">
        <v>489533.0</v>
      </c>
      <c r="B710" s="2" t="s">
        <v>877</v>
      </c>
      <c r="C710" s="1" t="s">
        <v>878</v>
      </c>
      <c r="D710" s="1">
        <v>1.0</v>
      </c>
      <c r="E710" s="3">
        <v>40148.501388888886</v>
      </c>
      <c r="F710" s="1">
        <v>3.75</v>
      </c>
      <c r="G710" s="1">
        <v>16011.0</v>
      </c>
      <c r="H710" s="1" t="s">
        <v>14</v>
      </c>
      <c r="I710" s="4">
        <v>40148.0</v>
      </c>
      <c r="J710" s="5">
        <v>0.5013888888888889</v>
      </c>
      <c r="K710" s="1">
        <v>12.0</v>
      </c>
      <c r="L710" s="1">
        <v>3.75</v>
      </c>
    </row>
    <row r="711">
      <c r="A711" s="1">
        <v>489533.0</v>
      </c>
      <c r="B711" s="2" t="s">
        <v>1013</v>
      </c>
      <c r="C711" s="1" t="s">
        <v>1014</v>
      </c>
      <c r="D711" s="1">
        <v>1.0</v>
      </c>
      <c r="E711" s="3">
        <v>40148.501388888886</v>
      </c>
      <c r="F711" s="1">
        <v>4.95</v>
      </c>
      <c r="G711" s="1">
        <v>16011.0</v>
      </c>
      <c r="H711" s="1" t="s">
        <v>14</v>
      </c>
      <c r="I711" s="4">
        <v>40148.0</v>
      </c>
      <c r="J711" s="5">
        <v>0.5013888888888889</v>
      </c>
      <c r="K711" s="1">
        <v>12.0</v>
      </c>
      <c r="L711" s="1">
        <v>4.95</v>
      </c>
    </row>
    <row r="712">
      <c r="A712" s="1">
        <v>489533.0</v>
      </c>
      <c r="B712" s="2" t="s">
        <v>497</v>
      </c>
      <c r="C712" s="1" t="s">
        <v>498</v>
      </c>
      <c r="D712" s="1">
        <v>1.0</v>
      </c>
      <c r="E712" s="3">
        <v>40148.501388888886</v>
      </c>
      <c r="F712" s="1">
        <v>4.95</v>
      </c>
      <c r="G712" s="1">
        <v>16011.0</v>
      </c>
      <c r="H712" s="1" t="s">
        <v>14</v>
      </c>
      <c r="I712" s="4">
        <v>40148.0</v>
      </c>
      <c r="J712" s="5">
        <v>0.5013888888888889</v>
      </c>
      <c r="K712" s="1">
        <v>12.0</v>
      </c>
      <c r="L712" s="1">
        <v>4.95</v>
      </c>
    </row>
    <row r="713">
      <c r="A713" s="1">
        <v>489533.0</v>
      </c>
      <c r="B713" s="2" t="s">
        <v>690</v>
      </c>
      <c r="C713" s="1" t="s">
        <v>691</v>
      </c>
      <c r="D713" s="1">
        <v>12.0</v>
      </c>
      <c r="E713" s="3">
        <v>40148.501388888886</v>
      </c>
      <c r="F713" s="1">
        <v>1.25</v>
      </c>
      <c r="G713" s="1">
        <v>16011.0</v>
      </c>
      <c r="H713" s="1" t="s">
        <v>14</v>
      </c>
      <c r="I713" s="4">
        <v>40148.0</v>
      </c>
      <c r="J713" s="5">
        <v>0.5013888888888889</v>
      </c>
      <c r="K713" s="1">
        <v>12.0</v>
      </c>
      <c r="L713" s="1">
        <v>15.0</v>
      </c>
    </row>
    <row r="714">
      <c r="A714" s="1">
        <v>489533.0</v>
      </c>
      <c r="B714" s="2" t="s">
        <v>1015</v>
      </c>
      <c r="C714" s="1" t="s">
        <v>1016</v>
      </c>
      <c r="D714" s="1">
        <v>2.0</v>
      </c>
      <c r="E714" s="3">
        <v>40148.501388888886</v>
      </c>
      <c r="F714" s="1">
        <v>2.1</v>
      </c>
      <c r="G714" s="1">
        <v>16011.0</v>
      </c>
      <c r="H714" s="1" t="s">
        <v>14</v>
      </c>
      <c r="I714" s="4">
        <v>40148.0</v>
      </c>
      <c r="J714" s="5">
        <v>0.5013888888888889</v>
      </c>
      <c r="K714" s="1">
        <v>12.0</v>
      </c>
      <c r="L714" s="1">
        <v>4.2</v>
      </c>
    </row>
    <row r="715">
      <c r="A715" s="1">
        <v>489533.0</v>
      </c>
      <c r="B715" s="2" t="s">
        <v>65</v>
      </c>
      <c r="C715" s="1" t="s">
        <v>66</v>
      </c>
      <c r="D715" s="1">
        <v>1.0</v>
      </c>
      <c r="E715" s="3">
        <v>40148.501388888886</v>
      </c>
      <c r="F715" s="1">
        <v>5.95</v>
      </c>
      <c r="G715" s="1">
        <v>16011.0</v>
      </c>
      <c r="H715" s="1" t="s">
        <v>14</v>
      </c>
      <c r="I715" s="4">
        <v>40148.0</v>
      </c>
      <c r="J715" s="5">
        <v>0.5013888888888889</v>
      </c>
      <c r="K715" s="1">
        <v>12.0</v>
      </c>
      <c r="L715" s="1">
        <v>5.95</v>
      </c>
    </row>
    <row r="716">
      <c r="A716" s="1">
        <v>489533.0</v>
      </c>
      <c r="B716" s="2" t="s">
        <v>1017</v>
      </c>
      <c r="C716" s="1" t="s">
        <v>1018</v>
      </c>
      <c r="D716" s="1">
        <v>1.0</v>
      </c>
      <c r="E716" s="3">
        <v>40148.501388888886</v>
      </c>
      <c r="F716" s="1">
        <v>4.95</v>
      </c>
      <c r="G716" s="1">
        <v>16011.0</v>
      </c>
      <c r="H716" s="1" t="s">
        <v>14</v>
      </c>
      <c r="I716" s="4">
        <v>40148.0</v>
      </c>
      <c r="J716" s="5">
        <v>0.5013888888888889</v>
      </c>
      <c r="K716" s="1">
        <v>12.0</v>
      </c>
      <c r="L716" s="1">
        <v>4.95</v>
      </c>
    </row>
    <row r="717">
      <c r="A717" s="1">
        <v>489533.0</v>
      </c>
      <c r="B717" s="2" t="s">
        <v>41</v>
      </c>
      <c r="C717" s="1" t="s">
        <v>42</v>
      </c>
      <c r="D717" s="1">
        <v>2.0</v>
      </c>
      <c r="E717" s="3">
        <v>40148.501388888886</v>
      </c>
      <c r="F717" s="1">
        <v>5.95</v>
      </c>
      <c r="G717" s="1">
        <v>16011.0</v>
      </c>
      <c r="H717" s="1" t="s">
        <v>14</v>
      </c>
      <c r="I717" s="4">
        <v>40148.0</v>
      </c>
      <c r="J717" s="5">
        <v>0.5013888888888889</v>
      </c>
      <c r="K717" s="1">
        <v>12.0</v>
      </c>
      <c r="L717" s="1">
        <v>11.9</v>
      </c>
    </row>
    <row r="718">
      <c r="A718" s="1">
        <v>489533.0</v>
      </c>
      <c r="B718" s="2" t="s">
        <v>105</v>
      </c>
      <c r="C718" s="1" t="s">
        <v>106</v>
      </c>
      <c r="D718" s="1">
        <v>12.0</v>
      </c>
      <c r="E718" s="3">
        <v>40148.501388888886</v>
      </c>
      <c r="F718" s="1">
        <v>0.85</v>
      </c>
      <c r="G718" s="1">
        <v>16011.0</v>
      </c>
      <c r="H718" s="1" t="s">
        <v>14</v>
      </c>
      <c r="I718" s="4">
        <v>40148.0</v>
      </c>
      <c r="J718" s="5">
        <v>0.5013888888888889</v>
      </c>
      <c r="K718" s="1">
        <v>12.0</v>
      </c>
      <c r="L718" s="1">
        <v>10.2</v>
      </c>
    </row>
    <row r="719">
      <c r="A719" s="1">
        <v>489533.0</v>
      </c>
      <c r="B719" s="2" t="s">
        <v>1017</v>
      </c>
      <c r="C719" s="1" t="s">
        <v>1018</v>
      </c>
      <c r="D719" s="1">
        <v>2.0</v>
      </c>
      <c r="E719" s="3">
        <v>40148.501388888886</v>
      </c>
      <c r="F719" s="1">
        <v>4.95</v>
      </c>
      <c r="G719" s="1">
        <v>16011.0</v>
      </c>
      <c r="H719" s="1" t="s">
        <v>14</v>
      </c>
      <c r="I719" s="4">
        <v>40148.0</v>
      </c>
      <c r="J719" s="5">
        <v>0.5013888888888889</v>
      </c>
      <c r="K719" s="1">
        <v>12.0</v>
      </c>
      <c r="L719" s="1">
        <v>9.9</v>
      </c>
    </row>
    <row r="720">
      <c r="A720" s="1">
        <v>489533.0</v>
      </c>
      <c r="B720" s="2" t="s">
        <v>39</v>
      </c>
      <c r="C720" s="1" t="s">
        <v>40</v>
      </c>
      <c r="D720" s="1">
        <v>2.0</v>
      </c>
      <c r="E720" s="3">
        <v>40148.501388888886</v>
      </c>
      <c r="F720" s="1">
        <v>5.95</v>
      </c>
      <c r="G720" s="1">
        <v>16011.0</v>
      </c>
      <c r="H720" s="1" t="s">
        <v>14</v>
      </c>
      <c r="I720" s="4">
        <v>40148.0</v>
      </c>
      <c r="J720" s="5">
        <v>0.5013888888888889</v>
      </c>
      <c r="K720" s="1">
        <v>12.0</v>
      </c>
      <c r="L720" s="1">
        <v>11.9</v>
      </c>
    </row>
    <row r="721">
      <c r="A721" s="1" t="s">
        <v>1019</v>
      </c>
      <c r="B721" s="2" t="s">
        <v>1020</v>
      </c>
      <c r="C721" s="1" t="s">
        <v>1021</v>
      </c>
      <c r="D721" s="1">
        <v>-1.0</v>
      </c>
      <c r="E721" s="3">
        <v>40148.50625</v>
      </c>
      <c r="F721" s="1">
        <v>5.95</v>
      </c>
      <c r="G721" s="1">
        <v>12615.0</v>
      </c>
      <c r="H721" s="1" t="s">
        <v>155</v>
      </c>
      <c r="I721" s="4">
        <v>40148.0</v>
      </c>
      <c r="J721" s="5">
        <v>0.50625</v>
      </c>
      <c r="K721" s="1">
        <v>12.0</v>
      </c>
      <c r="L721" s="1">
        <v>-5.95</v>
      </c>
    </row>
    <row r="722">
      <c r="A722" s="1" t="s">
        <v>1022</v>
      </c>
      <c r="B722" s="2" t="s">
        <v>1023</v>
      </c>
      <c r="C722" s="1" t="s">
        <v>1024</v>
      </c>
      <c r="D722" s="1">
        <v>-1.0</v>
      </c>
      <c r="E722" s="3">
        <v>40148.50763888889</v>
      </c>
      <c r="F722" s="1">
        <v>9.0</v>
      </c>
      <c r="G722" s="1">
        <v>15299.0</v>
      </c>
      <c r="H722" s="1" t="s">
        <v>14</v>
      </c>
      <c r="I722" s="4">
        <v>40148.0</v>
      </c>
      <c r="J722" s="5">
        <v>0.5076388888888889</v>
      </c>
      <c r="K722" s="1">
        <v>12.0</v>
      </c>
      <c r="L722" s="1">
        <v>-9.0</v>
      </c>
    </row>
    <row r="723">
      <c r="A723" s="1" t="s">
        <v>1022</v>
      </c>
      <c r="B723" s="2" t="s">
        <v>1023</v>
      </c>
      <c r="C723" s="1" t="s">
        <v>1024</v>
      </c>
      <c r="D723" s="1">
        <v>-1.0</v>
      </c>
      <c r="E723" s="3">
        <v>40148.50763888889</v>
      </c>
      <c r="F723" s="1">
        <v>19.0</v>
      </c>
      <c r="G723" s="1">
        <v>15299.0</v>
      </c>
      <c r="H723" s="1" t="s">
        <v>14</v>
      </c>
      <c r="I723" s="4">
        <v>40148.0</v>
      </c>
      <c r="J723" s="5">
        <v>0.5076388888888889</v>
      </c>
      <c r="K723" s="1">
        <v>12.0</v>
      </c>
      <c r="L723" s="1">
        <v>-19.0</v>
      </c>
    </row>
    <row r="724">
      <c r="A724" s="1">
        <v>489536.0</v>
      </c>
      <c r="B724" s="2" t="s">
        <v>1025</v>
      </c>
      <c r="C724" s="1" t="s">
        <v>1026</v>
      </c>
      <c r="D724" s="1">
        <v>2.0</v>
      </c>
      <c r="E724" s="3">
        <v>40148.50902777778</v>
      </c>
      <c r="F724" s="1">
        <v>5.45</v>
      </c>
      <c r="G724" s="1">
        <v>16393.0</v>
      </c>
      <c r="H724" s="1" t="s">
        <v>14</v>
      </c>
      <c r="I724" s="4">
        <v>40148.0</v>
      </c>
      <c r="J724" s="5">
        <v>0.5090277777777777</v>
      </c>
      <c r="K724" s="1">
        <v>12.0</v>
      </c>
      <c r="L724" s="1">
        <v>10.9</v>
      </c>
    </row>
    <row r="725">
      <c r="A725" s="1">
        <v>489536.0</v>
      </c>
      <c r="B725" s="2" t="s">
        <v>53</v>
      </c>
      <c r="C725" s="1" t="s">
        <v>54</v>
      </c>
      <c r="D725" s="1">
        <v>1.0</v>
      </c>
      <c r="E725" s="3">
        <v>40148.50902777778</v>
      </c>
      <c r="F725" s="1">
        <v>3.75</v>
      </c>
      <c r="G725" s="1">
        <v>16393.0</v>
      </c>
      <c r="H725" s="1" t="s">
        <v>14</v>
      </c>
      <c r="I725" s="4">
        <v>40148.0</v>
      </c>
      <c r="J725" s="5">
        <v>0.5090277777777777</v>
      </c>
      <c r="K725" s="1">
        <v>12.0</v>
      </c>
      <c r="L725" s="1">
        <v>3.75</v>
      </c>
    </row>
    <row r="726">
      <c r="A726" s="1">
        <v>489536.0</v>
      </c>
      <c r="B726" s="2" t="s">
        <v>546</v>
      </c>
      <c r="C726" s="1" t="s">
        <v>547</v>
      </c>
      <c r="D726" s="1">
        <v>1.0</v>
      </c>
      <c r="E726" s="3">
        <v>40148.50902777778</v>
      </c>
      <c r="F726" s="1">
        <v>2.1</v>
      </c>
      <c r="G726" s="1">
        <v>16393.0</v>
      </c>
      <c r="H726" s="1" t="s">
        <v>14</v>
      </c>
      <c r="I726" s="4">
        <v>40148.0</v>
      </c>
      <c r="J726" s="5">
        <v>0.5090277777777777</v>
      </c>
      <c r="K726" s="1">
        <v>12.0</v>
      </c>
      <c r="L726" s="1">
        <v>2.1</v>
      </c>
    </row>
    <row r="727">
      <c r="A727" s="1">
        <v>489536.0</v>
      </c>
      <c r="B727" s="2" t="s">
        <v>904</v>
      </c>
      <c r="C727" s="1" t="s">
        <v>905</v>
      </c>
      <c r="D727" s="1">
        <v>1.0</v>
      </c>
      <c r="E727" s="3">
        <v>40148.50902777778</v>
      </c>
      <c r="F727" s="1">
        <v>6.75</v>
      </c>
      <c r="G727" s="1">
        <v>16393.0</v>
      </c>
      <c r="H727" s="1" t="s">
        <v>14</v>
      </c>
      <c r="I727" s="4">
        <v>40148.0</v>
      </c>
      <c r="J727" s="5">
        <v>0.5090277777777777</v>
      </c>
      <c r="K727" s="1">
        <v>12.0</v>
      </c>
      <c r="L727" s="1">
        <v>6.75</v>
      </c>
    </row>
    <row r="728">
      <c r="A728" s="1">
        <v>489536.0</v>
      </c>
      <c r="B728" s="2" t="s">
        <v>1027</v>
      </c>
      <c r="C728" s="1" t="s">
        <v>1028</v>
      </c>
      <c r="D728" s="1">
        <v>1.0</v>
      </c>
      <c r="E728" s="3">
        <v>40148.50902777778</v>
      </c>
      <c r="F728" s="1">
        <v>2.95</v>
      </c>
      <c r="G728" s="1">
        <v>16393.0</v>
      </c>
      <c r="H728" s="1" t="s">
        <v>14</v>
      </c>
      <c r="I728" s="4">
        <v>40148.0</v>
      </c>
      <c r="J728" s="5">
        <v>0.5090277777777777</v>
      </c>
      <c r="K728" s="1">
        <v>12.0</v>
      </c>
      <c r="L728" s="1">
        <v>2.95</v>
      </c>
    </row>
    <row r="729">
      <c r="A729" s="1">
        <v>489536.0</v>
      </c>
      <c r="B729" s="2" t="s">
        <v>1029</v>
      </c>
      <c r="C729" s="1" t="s">
        <v>1030</v>
      </c>
      <c r="D729" s="1">
        <v>2.0</v>
      </c>
      <c r="E729" s="3">
        <v>40148.50902777778</v>
      </c>
      <c r="F729" s="1">
        <v>1.95</v>
      </c>
      <c r="G729" s="1">
        <v>16393.0</v>
      </c>
      <c r="H729" s="1" t="s">
        <v>14</v>
      </c>
      <c r="I729" s="4">
        <v>40148.0</v>
      </c>
      <c r="J729" s="5">
        <v>0.5090277777777777</v>
      </c>
      <c r="K729" s="1">
        <v>12.0</v>
      </c>
      <c r="L729" s="1">
        <v>3.9</v>
      </c>
    </row>
    <row r="730">
      <c r="A730" s="1">
        <v>489536.0</v>
      </c>
      <c r="B730" s="2" t="s">
        <v>1031</v>
      </c>
      <c r="C730" s="1" t="s">
        <v>1032</v>
      </c>
      <c r="D730" s="1">
        <v>2.0</v>
      </c>
      <c r="E730" s="3">
        <v>40148.50902777778</v>
      </c>
      <c r="F730" s="1">
        <v>1.65</v>
      </c>
      <c r="G730" s="1">
        <v>16393.0</v>
      </c>
      <c r="H730" s="1" t="s">
        <v>14</v>
      </c>
      <c r="I730" s="4">
        <v>40148.0</v>
      </c>
      <c r="J730" s="5">
        <v>0.5090277777777777</v>
      </c>
      <c r="K730" s="1">
        <v>12.0</v>
      </c>
      <c r="L730" s="1">
        <v>3.3</v>
      </c>
    </row>
    <row r="731">
      <c r="A731" s="1">
        <v>489536.0</v>
      </c>
      <c r="B731" s="2" t="s">
        <v>1033</v>
      </c>
      <c r="C731" s="1" t="s">
        <v>1034</v>
      </c>
      <c r="D731" s="1">
        <v>1.0</v>
      </c>
      <c r="E731" s="3">
        <v>40148.50902777778</v>
      </c>
      <c r="F731" s="1">
        <v>1.25</v>
      </c>
      <c r="G731" s="1">
        <v>16393.0</v>
      </c>
      <c r="H731" s="1" t="s">
        <v>14</v>
      </c>
      <c r="I731" s="4">
        <v>40148.0</v>
      </c>
      <c r="J731" s="5">
        <v>0.5090277777777777</v>
      </c>
      <c r="K731" s="1">
        <v>12.0</v>
      </c>
      <c r="L731" s="1">
        <v>1.25</v>
      </c>
    </row>
    <row r="732">
      <c r="A732" s="1">
        <v>489536.0</v>
      </c>
      <c r="B732" s="2" t="s">
        <v>829</v>
      </c>
      <c r="C732" s="1" t="s">
        <v>830</v>
      </c>
      <c r="D732" s="1">
        <v>1.0</v>
      </c>
      <c r="E732" s="3">
        <v>40148.50902777778</v>
      </c>
      <c r="F732" s="1">
        <v>1.65</v>
      </c>
      <c r="G732" s="1">
        <v>16393.0</v>
      </c>
      <c r="H732" s="1" t="s">
        <v>14</v>
      </c>
      <c r="I732" s="4">
        <v>40148.0</v>
      </c>
      <c r="J732" s="5">
        <v>0.5090277777777777</v>
      </c>
      <c r="K732" s="1">
        <v>12.0</v>
      </c>
      <c r="L732" s="1">
        <v>1.65</v>
      </c>
    </row>
    <row r="733">
      <c r="A733" s="1">
        <v>489536.0</v>
      </c>
      <c r="B733" s="2" t="s">
        <v>1035</v>
      </c>
      <c r="C733" s="1" t="s">
        <v>1036</v>
      </c>
      <c r="D733" s="1">
        <v>2.0</v>
      </c>
      <c r="E733" s="3">
        <v>40148.50902777778</v>
      </c>
      <c r="F733" s="1">
        <v>1.65</v>
      </c>
      <c r="G733" s="1">
        <v>16393.0</v>
      </c>
      <c r="H733" s="1" t="s">
        <v>14</v>
      </c>
      <c r="I733" s="4">
        <v>40148.0</v>
      </c>
      <c r="J733" s="5">
        <v>0.5090277777777777</v>
      </c>
      <c r="K733" s="1">
        <v>12.0</v>
      </c>
      <c r="L733" s="1">
        <v>3.3</v>
      </c>
    </row>
    <row r="734">
      <c r="A734" s="1">
        <v>489536.0</v>
      </c>
      <c r="B734" s="2" t="s">
        <v>283</v>
      </c>
      <c r="C734" s="1" t="s">
        <v>284</v>
      </c>
      <c r="D734" s="1">
        <v>1.0</v>
      </c>
      <c r="E734" s="3">
        <v>40148.50902777778</v>
      </c>
      <c r="F734" s="1">
        <v>2.95</v>
      </c>
      <c r="G734" s="1">
        <v>16393.0</v>
      </c>
      <c r="H734" s="1" t="s">
        <v>14</v>
      </c>
      <c r="I734" s="4">
        <v>40148.0</v>
      </c>
      <c r="J734" s="5">
        <v>0.5090277777777777</v>
      </c>
      <c r="K734" s="1">
        <v>12.0</v>
      </c>
      <c r="L734" s="1">
        <v>2.95</v>
      </c>
    </row>
    <row r="735">
      <c r="A735" s="1">
        <v>489536.0</v>
      </c>
      <c r="B735" s="2" t="s">
        <v>1037</v>
      </c>
      <c r="C735" s="1" t="s">
        <v>1038</v>
      </c>
      <c r="D735" s="1">
        <v>2.0</v>
      </c>
      <c r="E735" s="3">
        <v>40148.50902777778</v>
      </c>
      <c r="F735" s="1">
        <v>2.95</v>
      </c>
      <c r="G735" s="1">
        <v>16393.0</v>
      </c>
      <c r="H735" s="1" t="s">
        <v>14</v>
      </c>
      <c r="I735" s="4">
        <v>40148.0</v>
      </c>
      <c r="J735" s="5">
        <v>0.5090277777777777</v>
      </c>
      <c r="K735" s="1">
        <v>12.0</v>
      </c>
      <c r="L735" s="1">
        <v>5.9</v>
      </c>
    </row>
    <row r="736">
      <c r="A736" s="1">
        <v>489536.0</v>
      </c>
      <c r="B736" s="2" t="s">
        <v>696</v>
      </c>
      <c r="C736" s="1" t="s">
        <v>697</v>
      </c>
      <c r="D736" s="1">
        <v>2.0</v>
      </c>
      <c r="E736" s="3">
        <v>40148.50902777778</v>
      </c>
      <c r="F736" s="1">
        <v>3.45</v>
      </c>
      <c r="G736" s="1">
        <v>16393.0</v>
      </c>
      <c r="H736" s="1" t="s">
        <v>14</v>
      </c>
      <c r="I736" s="4">
        <v>40148.0</v>
      </c>
      <c r="J736" s="5">
        <v>0.5090277777777777</v>
      </c>
      <c r="K736" s="1">
        <v>12.0</v>
      </c>
      <c r="L736" s="1">
        <v>6.9</v>
      </c>
    </row>
    <row r="737">
      <c r="A737" s="1">
        <v>489536.0</v>
      </c>
      <c r="B737" s="2" t="s">
        <v>1039</v>
      </c>
      <c r="C737" s="1" t="s">
        <v>1040</v>
      </c>
      <c r="D737" s="1">
        <v>1.0</v>
      </c>
      <c r="E737" s="3">
        <v>40148.50902777778</v>
      </c>
      <c r="F737" s="1">
        <v>2.95</v>
      </c>
      <c r="G737" s="1">
        <v>16393.0</v>
      </c>
      <c r="H737" s="1" t="s">
        <v>14</v>
      </c>
      <c r="I737" s="4">
        <v>40148.0</v>
      </c>
      <c r="J737" s="5">
        <v>0.5090277777777777</v>
      </c>
      <c r="K737" s="1">
        <v>12.0</v>
      </c>
      <c r="L737" s="1">
        <v>2.95</v>
      </c>
    </row>
    <row r="738">
      <c r="A738" s="1">
        <v>489536.0</v>
      </c>
      <c r="B738" s="2" t="s">
        <v>51</v>
      </c>
      <c r="C738" s="1" t="s">
        <v>52</v>
      </c>
      <c r="D738" s="1">
        <v>2.0</v>
      </c>
      <c r="E738" s="3">
        <v>40148.50902777778</v>
      </c>
      <c r="F738" s="1">
        <v>1.65</v>
      </c>
      <c r="G738" s="1">
        <v>16393.0</v>
      </c>
      <c r="H738" s="1" t="s">
        <v>14</v>
      </c>
      <c r="I738" s="4">
        <v>40148.0</v>
      </c>
      <c r="J738" s="5">
        <v>0.5090277777777777</v>
      </c>
      <c r="K738" s="1">
        <v>12.0</v>
      </c>
      <c r="L738" s="1">
        <v>3.3</v>
      </c>
    </row>
    <row r="739">
      <c r="A739" s="1">
        <v>489536.0</v>
      </c>
      <c r="B739" s="2" t="s">
        <v>1041</v>
      </c>
      <c r="C739" s="1" t="s">
        <v>1042</v>
      </c>
      <c r="D739" s="1">
        <v>1.0</v>
      </c>
      <c r="E739" s="3">
        <v>40148.50902777778</v>
      </c>
      <c r="F739" s="1">
        <v>2.1</v>
      </c>
      <c r="G739" s="1">
        <v>16393.0</v>
      </c>
      <c r="H739" s="1" t="s">
        <v>14</v>
      </c>
      <c r="I739" s="4">
        <v>40148.0</v>
      </c>
      <c r="J739" s="5">
        <v>0.5090277777777777</v>
      </c>
      <c r="K739" s="1">
        <v>12.0</v>
      </c>
      <c r="L739" s="1">
        <v>2.1</v>
      </c>
    </row>
    <row r="740">
      <c r="A740" s="1">
        <v>489536.0</v>
      </c>
      <c r="B740" s="2" t="s">
        <v>1043</v>
      </c>
      <c r="C740" s="1" t="s">
        <v>1044</v>
      </c>
      <c r="D740" s="1">
        <v>1.0</v>
      </c>
      <c r="E740" s="3">
        <v>40148.50902777778</v>
      </c>
      <c r="F740" s="1">
        <v>1.95</v>
      </c>
      <c r="G740" s="1">
        <v>16393.0</v>
      </c>
      <c r="H740" s="1" t="s">
        <v>14</v>
      </c>
      <c r="I740" s="4">
        <v>40148.0</v>
      </c>
      <c r="J740" s="5">
        <v>0.5090277777777777</v>
      </c>
      <c r="K740" s="1">
        <v>12.0</v>
      </c>
      <c r="L740" s="1">
        <v>1.95</v>
      </c>
    </row>
    <row r="741">
      <c r="A741" s="1">
        <v>489536.0</v>
      </c>
      <c r="B741" s="2" t="s">
        <v>1045</v>
      </c>
      <c r="C741" s="1" t="s">
        <v>1046</v>
      </c>
      <c r="D741" s="1">
        <v>1.0</v>
      </c>
      <c r="E741" s="3">
        <v>40148.50902777778</v>
      </c>
      <c r="F741" s="1">
        <v>1.69</v>
      </c>
      <c r="G741" s="1">
        <v>16393.0</v>
      </c>
      <c r="H741" s="1" t="s">
        <v>14</v>
      </c>
      <c r="I741" s="4">
        <v>40148.0</v>
      </c>
      <c r="J741" s="5">
        <v>0.5090277777777777</v>
      </c>
      <c r="K741" s="1">
        <v>12.0</v>
      </c>
      <c r="L741" s="1">
        <v>1.69</v>
      </c>
    </row>
    <row r="742">
      <c r="A742" s="1">
        <v>489536.0</v>
      </c>
      <c r="B742" s="2" t="s">
        <v>1047</v>
      </c>
      <c r="C742" s="1" t="s">
        <v>1048</v>
      </c>
      <c r="D742" s="1">
        <v>2.0</v>
      </c>
      <c r="E742" s="3">
        <v>40148.50902777778</v>
      </c>
      <c r="F742" s="1">
        <v>1.65</v>
      </c>
      <c r="G742" s="1">
        <v>16393.0</v>
      </c>
      <c r="H742" s="1" t="s">
        <v>14</v>
      </c>
      <c r="I742" s="4">
        <v>40148.0</v>
      </c>
      <c r="J742" s="5">
        <v>0.5090277777777777</v>
      </c>
      <c r="K742" s="1">
        <v>12.0</v>
      </c>
      <c r="L742" s="1">
        <v>3.3</v>
      </c>
    </row>
    <row r="743">
      <c r="A743" s="1">
        <v>489536.0</v>
      </c>
      <c r="B743" s="2" t="s">
        <v>1049</v>
      </c>
      <c r="C743" s="1" t="s">
        <v>1050</v>
      </c>
      <c r="D743" s="1">
        <v>1.0</v>
      </c>
      <c r="E743" s="3">
        <v>40148.50902777778</v>
      </c>
      <c r="F743" s="1">
        <v>0.42</v>
      </c>
      <c r="G743" s="1">
        <v>16393.0</v>
      </c>
      <c r="H743" s="1" t="s">
        <v>14</v>
      </c>
      <c r="I743" s="4">
        <v>40148.0</v>
      </c>
      <c r="J743" s="5">
        <v>0.5090277777777777</v>
      </c>
      <c r="K743" s="1">
        <v>12.0</v>
      </c>
      <c r="L743" s="1">
        <v>0.42</v>
      </c>
    </row>
    <row r="744">
      <c r="A744" s="1">
        <v>489536.0</v>
      </c>
      <c r="B744" s="2" t="s">
        <v>434</v>
      </c>
      <c r="C744" s="1" t="s">
        <v>435</v>
      </c>
      <c r="D744" s="1">
        <v>1.0</v>
      </c>
      <c r="E744" s="3">
        <v>40148.50902777778</v>
      </c>
      <c r="F744" s="1">
        <v>2.1</v>
      </c>
      <c r="G744" s="1">
        <v>16393.0</v>
      </c>
      <c r="H744" s="1" t="s">
        <v>14</v>
      </c>
      <c r="I744" s="4">
        <v>40148.0</v>
      </c>
      <c r="J744" s="5">
        <v>0.5090277777777777</v>
      </c>
      <c r="K744" s="1">
        <v>12.0</v>
      </c>
      <c r="L744" s="1">
        <v>2.1</v>
      </c>
    </row>
    <row r="745">
      <c r="A745" s="1">
        <v>489536.0</v>
      </c>
      <c r="B745" s="2" t="s">
        <v>230</v>
      </c>
      <c r="C745" s="1" t="s">
        <v>231</v>
      </c>
      <c r="D745" s="1">
        <v>1.0</v>
      </c>
      <c r="E745" s="3">
        <v>40148.50902777778</v>
      </c>
      <c r="F745" s="1">
        <v>2.1</v>
      </c>
      <c r="G745" s="1">
        <v>16393.0</v>
      </c>
      <c r="H745" s="1" t="s">
        <v>14</v>
      </c>
      <c r="I745" s="4">
        <v>40148.0</v>
      </c>
      <c r="J745" s="5">
        <v>0.5090277777777777</v>
      </c>
      <c r="K745" s="1">
        <v>12.0</v>
      </c>
      <c r="L745" s="1">
        <v>2.1</v>
      </c>
    </row>
    <row r="746">
      <c r="A746" s="1">
        <v>489536.0</v>
      </c>
      <c r="B746" s="2" t="s">
        <v>1051</v>
      </c>
      <c r="C746" s="1" t="s">
        <v>1052</v>
      </c>
      <c r="D746" s="1">
        <v>1.0</v>
      </c>
      <c r="E746" s="3">
        <v>40148.50902777778</v>
      </c>
      <c r="F746" s="1">
        <v>1.65</v>
      </c>
      <c r="G746" s="1">
        <v>16393.0</v>
      </c>
      <c r="H746" s="1" t="s">
        <v>14</v>
      </c>
      <c r="I746" s="4">
        <v>40148.0</v>
      </c>
      <c r="J746" s="5">
        <v>0.5090277777777777</v>
      </c>
      <c r="K746" s="1">
        <v>12.0</v>
      </c>
      <c r="L746" s="1">
        <v>1.65</v>
      </c>
    </row>
    <row r="747">
      <c r="A747" s="1">
        <v>489536.0</v>
      </c>
      <c r="B747" s="2" t="s">
        <v>534</v>
      </c>
      <c r="C747" s="1" t="s">
        <v>535</v>
      </c>
      <c r="D747" s="1">
        <v>1.0</v>
      </c>
      <c r="E747" s="3">
        <v>40148.50902777778</v>
      </c>
      <c r="F747" s="1">
        <v>2.1</v>
      </c>
      <c r="G747" s="1">
        <v>16393.0</v>
      </c>
      <c r="H747" s="1" t="s">
        <v>14</v>
      </c>
      <c r="I747" s="4">
        <v>40148.0</v>
      </c>
      <c r="J747" s="5">
        <v>0.5090277777777777</v>
      </c>
      <c r="K747" s="1">
        <v>12.0</v>
      </c>
      <c r="L747" s="1">
        <v>2.1</v>
      </c>
    </row>
    <row r="748">
      <c r="A748" s="1">
        <v>489536.0</v>
      </c>
      <c r="B748" s="2" t="s">
        <v>787</v>
      </c>
      <c r="C748" s="1" t="s">
        <v>788</v>
      </c>
      <c r="D748" s="1">
        <v>1.0</v>
      </c>
      <c r="E748" s="3">
        <v>40148.50902777778</v>
      </c>
      <c r="F748" s="1">
        <v>1.65</v>
      </c>
      <c r="G748" s="1">
        <v>16393.0</v>
      </c>
      <c r="H748" s="1" t="s">
        <v>14</v>
      </c>
      <c r="I748" s="4">
        <v>40148.0</v>
      </c>
      <c r="J748" s="5">
        <v>0.5090277777777777</v>
      </c>
      <c r="K748" s="1">
        <v>12.0</v>
      </c>
      <c r="L748" s="1">
        <v>1.65</v>
      </c>
    </row>
    <row r="749">
      <c r="A749" s="1">
        <v>489536.0</v>
      </c>
      <c r="B749" s="2" t="s">
        <v>394</v>
      </c>
      <c r="C749" s="1" t="s">
        <v>395</v>
      </c>
      <c r="D749" s="1">
        <v>1.0</v>
      </c>
      <c r="E749" s="3">
        <v>40148.50902777778</v>
      </c>
      <c r="F749" s="1">
        <v>2.95</v>
      </c>
      <c r="G749" s="1">
        <v>16393.0</v>
      </c>
      <c r="H749" s="1" t="s">
        <v>14</v>
      </c>
      <c r="I749" s="4">
        <v>40148.0</v>
      </c>
      <c r="J749" s="5">
        <v>0.5090277777777777</v>
      </c>
      <c r="K749" s="1">
        <v>12.0</v>
      </c>
      <c r="L749" s="1">
        <v>2.95</v>
      </c>
    </row>
    <row r="750">
      <c r="A750" s="1">
        <v>489536.0</v>
      </c>
      <c r="B750" s="2" t="s">
        <v>396</v>
      </c>
      <c r="C750" s="1" t="s">
        <v>397</v>
      </c>
      <c r="D750" s="1">
        <v>1.0</v>
      </c>
      <c r="E750" s="3">
        <v>40148.50902777778</v>
      </c>
      <c r="F750" s="1">
        <v>2.95</v>
      </c>
      <c r="G750" s="1">
        <v>16393.0</v>
      </c>
      <c r="H750" s="1" t="s">
        <v>14</v>
      </c>
      <c r="I750" s="4">
        <v>40148.0</v>
      </c>
      <c r="J750" s="5">
        <v>0.5090277777777777</v>
      </c>
      <c r="K750" s="1">
        <v>12.0</v>
      </c>
      <c r="L750" s="1">
        <v>2.95</v>
      </c>
    </row>
    <row r="751">
      <c r="A751" s="1">
        <v>489536.0</v>
      </c>
      <c r="B751" s="2" t="s">
        <v>783</v>
      </c>
      <c r="C751" s="1" t="s">
        <v>784</v>
      </c>
      <c r="D751" s="1">
        <v>1.0</v>
      </c>
      <c r="E751" s="3">
        <v>40148.50902777778</v>
      </c>
      <c r="F751" s="1">
        <v>1.25</v>
      </c>
      <c r="G751" s="1">
        <v>16393.0</v>
      </c>
      <c r="H751" s="1" t="s">
        <v>14</v>
      </c>
      <c r="I751" s="4">
        <v>40148.0</v>
      </c>
      <c r="J751" s="5">
        <v>0.5090277777777777</v>
      </c>
      <c r="K751" s="1">
        <v>12.0</v>
      </c>
      <c r="L751" s="1">
        <v>1.25</v>
      </c>
    </row>
    <row r="752">
      <c r="A752" s="1">
        <v>489536.0</v>
      </c>
      <c r="B752" s="2" t="s">
        <v>510</v>
      </c>
      <c r="C752" s="1" t="s">
        <v>511</v>
      </c>
      <c r="D752" s="1">
        <v>2.0</v>
      </c>
      <c r="E752" s="3">
        <v>40148.50902777778</v>
      </c>
      <c r="F752" s="1">
        <v>1.25</v>
      </c>
      <c r="G752" s="1">
        <v>16393.0</v>
      </c>
      <c r="H752" s="1" t="s">
        <v>14</v>
      </c>
      <c r="I752" s="4">
        <v>40148.0</v>
      </c>
      <c r="J752" s="5">
        <v>0.5090277777777777</v>
      </c>
      <c r="K752" s="1">
        <v>12.0</v>
      </c>
      <c r="L752" s="1">
        <v>2.5</v>
      </c>
    </row>
    <row r="753">
      <c r="A753" s="1">
        <v>489536.0</v>
      </c>
      <c r="B753" s="2" t="s">
        <v>1053</v>
      </c>
      <c r="C753" s="1" t="s">
        <v>1054</v>
      </c>
      <c r="D753" s="1">
        <v>2.0</v>
      </c>
      <c r="E753" s="3">
        <v>40148.50902777778</v>
      </c>
      <c r="F753" s="1">
        <v>0.42</v>
      </c>
      <c r="G753" s="1">
        <v>16393.0</v>
      </c>
      <c r="H753" s="1" t="s">
        <v>14</v>
      </c>
      <c r="I753" s="4">
        <v>40148.0</v>
      </c>
      <c r="J753" s="5">
        <v>0.5090277777777777</v>
      </c>
      <c r="K753" s="1">
        <v>12.0</v>
      </c>
      <c r="L753" s="1">
        <v>0.84</v>
      </c>
    </row>
    <row r="754">
      <c r="A754" s="1">
        <v>489536.0</v>
      </c>
      <c r="B754" s="2" t="s">
        <v>283</v>
      </c>
      <c r="C754" s="1" t="s">
        <v>284</v>
      </c>
      <c r="D754" s="1">
        <v>2.0</v>
      </c>
      <c r="E754" s="3">
        <v>40148.50902777778</v>
      </c>
      <c r="F754" s="1">
        <v>2.95</v>
      </c>
      <c r="G754" s="1">
        <v>16393.0</v>
      </c>
      <c r="H754" s="1" t="s">
        <v>14</v>
      </c>
      <c r="I754" s="4">
        <v>40148.0</v>
      </c>
      <c r="J754" s="5">
        <v>0.5090277777777777</v>
      </c>
      <c r="K754" s="1">
        <v>12.0</v>
      </c>
      <c r="L754" s="1">
        <v>5.9</v>
      </c>
    </row>
    <row r="755">
      <c r="A755" s="1">
        <v>489536.0</v>
      </c>
      <c r="B755" s="2" t="s">
        <v>176</v>
      </c>
      <c r="C755" s="1" t="s">
        <v>177</v>
      </c>
      <c r="D755" s="1">
        <v>2.0</v>
      </c>
      <c r="E755" s="3">
        <v>40148.50902777778</v>
      </c>
      <c r="F755" s="1">
        <v>0.85</v>
      </c>
      <c r="G755" s="1">
        <v>16393.0</v>
      </c>
      <c r="H755" s="1" t="s">
        <v>14</v>
      </c>
      <c r="I755" s="4">
        <v>40148.0</v>
      </c>
      <c r="J755" s="5">
        <v>0.5090277777777777</v>
      </c>
      <c r="K755" s="1">
        <v>12.0</v>
      </c>
      <c r="L755" s="1">
        <v>1.7</v>
      </c>
    </row>
    <row r="756">
      <c r="A756" s="1">
        <v>489536.0</v>
      </c>
      <c r="B756" s="2" t="s">
        <v>170</v>
      </c>
      <c r="C756" s="1" t="s">
        <v>171</v>
      </c>
      <c r="D756" s="1">
        <v>2.0</v>
      </c>
      <c r="E756" s="3">
        <v>40148.50902777778</v>
      </c>
      <c r="F756" s="1">
        <v>1.95</v>
      </c>
      <c r="G756" s="1">
        <v>16393.0</v>
      </c>
      <c r="H756" s="1" t="s">
        <v>14</v>
      </c>
      <c r="I756" s="4">
        <v>40148.0</v>
      </c>
      <c r="J756" s="5">
        <v>0.5090277777777777</v>
      </c>
      <c r="K756" s="1">
        <v>12.0</v>
      </c>
      <c r="L756" s="1">
        <v>3.9</v>
      </c>
    </row>
    <row r="757">
      <c r="A757" s="1">
        <v>489536.0</v>
      </c>
      <c r="B757" s="2" t="s">
        <v>1055</v>
      </c>
      <c r="C757" s="1" t="s">
        <v>1056</v>
      </c>
      <c r="D757" s="1">
        <v>1.0</v>
      </c>
      <c r="E757" s="3">
        <v>40148.50902777778</v>
      </c>
      <c r="F757" s="1">
        <v>1.25</v>
      </c>
      <c r="G757" s="1">
        <v>16393.0</v>
      </c>
      <c r="H757" s="1" t="s">
        <v>14</v>
      </c>
      <c r="I757" s="4">
        <v>40148.0</v>
      </c>
      <c r="J757" s="5">
        <v>0.5090277777777777</v>
      </c>
      <c r="K757" s="1">
        <v>12.0</v>
      </c>
      <c r="L757" s="1">
        <v>1.25</v>
      </c>
    </row>
    <row r="758">
      <c r="A758" s="1">
        <v>489536.0</v>
      </c>
      <c r="B758" s="2" t="s">
        <v>975</v>
      </c>
      <c r="C758" s="1" t="s">
        <v>976</v>
      </c>
      <c r="D758" s="1">
        <v>1.0</v>
      </c>
      <c r="E758" s="3">
        <v>40148.50902777778</v>
      </c>
      <c r="F758" s="1">
        <v>0.95</v>
      </c>
      <c r="G758" s="1">
        <v>16393.0</v>
      </c>
      <c r="H758" s="1" t="s">
        <v>14</v>
      </c>
      <c r="I758" s="4">
        <v>40148.0</v>
      </c>
      <c r="J758" s="5">
        <v>0.5090277777777777</v>
      </c>
      <c r="K758" s="1">
        <v>12.0</v>
      </c>
      <c r="L758" s="1">
        <v>0.95</v>
      </c>
    </row>
    <row r="759">
      <c r="A759" s="1">
        <v>489536.0</v>
      </c>
      <c r="B759" s="2" t="s">
        <v>1057</v>
      </c>
      <c r="C759" s="1" t="s">
        <v>1058</v>
      </c>
      <c r="D759" s="1">
        <v>1.0</v>
      </c>
      <c r="E759" s="3">
        <v>40148.50902777778</v>
      </c>
      <c r="F759" s="1">
        <v>2.55</v>
      </c>
      <c r="G759" s="1">
        <v>16393.0</v>
      </c>
      <c r="H759" s="1" t="s">
        <v>14</v>
      </c>
      <c r="I759" s="4">
        <v>40148.0</v>
      </c>
      <c r="J759" s="5">
        <v>0.5090277777777777</v>
      </c>
      <c r="K759" s="1">
        <v>12.0</v>
      </c>
      <c r="L759" s="1">
        <v>2.55</v>
      </c>
    </row>
    <row r="760">
      <c r="A760" s="1">
        <v>489536.0</v>
      </c>
      <c r="B760" s="2" t="s">
        <v>1059</v>
      </c>
      <c r="C760" s="1" t="s">
        <v>1060</v>
      </c>
      <c r="D760" s="1">
        <v>1.0</v>
      </c>
      <c r="E760" s="3">
        <v>40148.50902777778</v>
      </c>
      <c r="F760" s="1">
        <v>1.25</v>
      </c>
      <c r="G760" s="1">
        <v>16393.0</v>
      </c>
      <c r="H760" s="1" t="s">
        <v>14</v>
      </c>
      <c r="I760" s="4">
        <v>40148.0</v>
      </c>
      <c r="J760" s="5">
        <v>0.5090277777777777</v>
      </c>
      <c r="K760" s="1">
        <v>12.0</v>
      </c>
      <c r="L760" s="1">
        <v>1.25</v>
      </c>
    </row>
    <row r="761">
      <c r="A761" s="1">
        <v>489536.0</v>
      </c>
      <c r="B761" s="2" t="s">
        <v>801</v>
      </c>
      <c r="C761" s="1" t="s">
        <v>802</v>
      </c>
      <c r="D761" s="1">
        <v>1.0</v>
      </c>
      <c r="E761" s="3">
        <v>40148.50902777778</v>
      </c>
      <c r="F761" s="1">
        <v>0.85</v>
      </c>
      <c r="G761" s="1">
        <v>16393.0</v>
      </c>
      <c r="H761" s="1" t="s">
        <v>14</v>
      </c>
      <c r="I761" s="4">
        <v>40148.0</v>
      </c>
      <c r="J761" s="5">
        <v>0.5090277777777777</v>
      </c>
      <c r="K761" s="1">
        <v>12.0</v>
      </c>
      <c r="L761" s="1">
        <v>0.85</v>
      </c>
    </row>
    <row r="762">
      <c r="A762" s="1">
        <v>489536.0</v>
      </c>
      <c r="B762" s="2" t="s">
        <v>55</v>
      </c>
      <c r="C762" s="1" t="s">
        <v>56</v>
      </c>
      <c r="D762" s="1">
        <v>1.0</v>
      </c>
      <c r="E762" s="3">
        <v>40148.50902777778</v>
      </c>
      <c r="F762" s="1">
        <v>3.75</v>
      </c>
      <c r="G762" s="1">
        <v>16393.0</v>
      </c>
      <c r="H762" s="1" t="s">
        <v>14</v>
      </c>
      <c r="I762" s="4">
        <v>40148.0</v>
      </c>
      <c r="J762" s="5">
        <v>0.5090277777777777</v>
      </c>
      <c r="K762" s="1">
        <v>12.0</v>
      </c>
      <c r="L762" s="1">
        <v>3.75</v>
      </c>
    </row>
    <row r="763">
      <c r="A763" s="1">
        <v>489536.0</v>
      </c>
      <c r="B763" s="2" t="s">
        <v>1061</v>
      </c>
      <c r="C763" s="1" t="s">
        <v>1062</v>
      </c>
      <c r="D763" s="1">
        <v>1.0</v>
      </c>
      <c r="E763" s="3">
        <v>40148.50902777778</v>
      </c>
      <c r="F763" s="1">
        <v>1.45</v>
      </c>
      <c r="G763" s="1">
        <v>16393.0</v>
      </c>
      <c r="H763" s="1" t="s">
        <v>14</v>
      </c>
      <c r="I763" s="4">
        <v>40148.0</v>
      </c>
      <c r="J763" s="5">
        <v>0.5090277777777777</v>
      </c>
      <c r="K763" s="1">
        <v>12.0</v>
      </c>
      <c r="L763" s="1">
        <v>1.45</v>
      </c>
    </row>
    <row r="764">
      <c r="A764" s="1">
        <v>489536.0</v>
      </c>
      <c r="B764" s="2" t="s">
        <v>158</v>
      </c>
      <c r="C764" s="1" t="s">
        <v>159</v>
      </c>
      <c r="D764" s="1">
        <v>1.0</v>
      </c>
      <c r="E764" s="3">
        <v>40148.50902777778</v>
      </c>
      <c r="F764" s="1">
        <v>4.95</v>
      </c>
      <c r="G764" s="1">
        <v>16393.0</v>
      </c>
      <c r="H764" s="1" t="s">
        <v>14</v>
      </c>
      <c r="I764" s="4">
        <v>40148.0</v>
      </c>
      <c r="J764" s="5">
        <v>0.5090277777777777</v>
      </c>
      <c r="K764" s="1">
        <v>12.0</v>
      </c>
      <c r="L764" s="1">
        <v>4.95</v>
      </c>
    </row>
    <row r="765">
      <c r="A765" s="1">
        <v>489536.0</v>
      </c>
      <c r="B765" s="2" t="s">
        <v>1063</v>
      </c>
      <c r="C765" s="1" t="s">
        <v>1064</v>
      </c>
      <c r="D765" s="1">
        <v>1.0</v>
      </c>
      <c r="E765" s="3">
        <v>40148.50902777778</v>
      </c>
      <c r="F765" s="1">
        <v>1.95</v>
      </c>
      <c r="G765" s="1">
        <v>16393.0</v>
      </c>
      <c r="H765" s="1" t="s">
        <v>14</v>
      </c>
      <c r="I765" s="4">
        <v>40148.0</v>
      </c>
      <c r="J765" s="5">
        <v>0.5090277777777777</v>
      </c>
      <c r="K765" s="1">
        <v>12.0</v>
      </c>
      <c r="L765" s="1">
        <v>1.95</v>
      </c>
    </row>
    <row r="766">
      <c r="A766" s="1">
        <v>489536.0</v>
      </c>
      <c r="B766" s="2" t="s">
        <v>1065</v>
      </c>
      <c r="C766" s="1" t="s">
        <v>1066</v>
      </c>
      <c r="D766" s="1">
        <v>2.0</v>
      </c>
      <c r="E766" s="3">
        <v>40148.50902777778</v>
      </c>
      <c r="F766" s="1">
        <v>3.75</v>
      </c>
      <c r="G766" s="1">
        <v>16393.0</v>
      </c>
      <c r="H766" s="1" t="s">
        <v>14</v>
      </c>
      <c r="I766" s="4">
        <v>40148.0</v>
      </c>
      <c r="J766" s="5">
        <v>0.5090277777777777</v>
      </c>
      <c r="K766" s="1">
        <v>12.0</v>
      </c>
      <c r="L766" s="1">
        <v>7.5</v>
      </c>
    </row>
    <row r="767">
      <c r="A767" s="1">
        <v>489536.0</v>
      </c>
      <c r="B767" s="2" t="s">
        <v>1067</v>
      </c>
      <c r="C767" s="1" t="s">
        <v>1068</v>
      </c>
      <c r="D767" s="1">
        <v>1.0</v>
      </c>
      <c r="E767" s="3">
        <v>40148.50902777778</v>
      </c>
      <c r="F767" s="1">
        <v>1.25</v>
      </c>
      <c r="G767" s="1">
        <v>16393.0</v>
      </c>
      <c r="H767" s="1" t="s">
        <v>14</v>
      </c>
      <c r="I767" s="4">
        <v>40148.0</v>
      </c>
      <c r="J767" s="5">
        <v>0.5090277777777777</v>
      </c>
      <c r="K767" s="1">
        <v>12.0</v>
      </c>
      <c r="L767" s="1">
        <v>1.25</v>
      </c>
    </row>
    <row r="768">
      <c r="A768" s="1">
        <v>489536.0</v>
      </c>
      <c r="B768" s="2" t="s">
        <v>1069</v>
      </c>
      <c r="C768" s="1" t="s">
        <v>1070</v>
      </c>
      <c r="D768" s="1">
        <v>1.0</v>
      </c>
      <c r="E768" s="3">
        <v>40148.50902777778</v>
      </c>
      <c r="F768" s="1">
        <v>1.25</v>
      </c>
      <c r="G768" s="1">
        <v>16393.0</v>
      </c>
      <c r="H768" s="1" t="s">
        <v>14</v>
      </c>
      <c r="I768" s="4">
        <v>40148.0</v>
      </c>
      <c r="J768" s="5">
        <v>0.5090277777777777</v>
      </c>
      <c r="K768" s="1">
        <v>12.0</v>
      </c>
      <c r="L768" s="1">
        <v>1.25</v>
      </c>
    </row>
    <row r="769">
      <c r="A769" s="1">
        <v>489536.0</v>
      </c>
      <c r="B769" s="2" t="s">
        <v>1071</v>
      </c>
      <c r="C769" s="1" t="s">
        <v>1072</v>
      </c>
      <c r="D769" s="1">
        <v>1.0</v>
      </c>
      <c r="E769" s="3">
        <v>40148.50902777778</v>
      </c>
      <c r="F769" s="1">
        <v>1.25</v>
      </c>
      <c r="G769" s="1">
        <v>16393.0</v>
      </c>
      <c r="H769" s="1" t="s">
        <v>14</v>
      </c>
      <c r="I769" s="4">
        <v>40148.0</v>
      </c>
      <c r="J769" s="5">
        <v>0.5090277777777777</v>
      </c>
      <c r="K769" s="1">
        <v>12.0</v>
      </c>
      <c r="L769" s="1">
        <v>1.25</v>
      </c>
    </row>
    <row r="770">
      <c r="A770" s="1">
        <v>489536.0</v>
      </c>
      <c r="B770" s="2" t="s">
        <v>1073</v>
      </c>
      <c r="C770" s="1" t="s">
        <v>1074</v>
      </c>
      <c r="D770" s="1">
        <v>1.0</v>
      </c>
      <c r="E770" s="3">
        <v>40148.50902777778</v>
      </c>
      <c r="F770" s="1">
        <v>0.42</v>
      </c>
      <c r="G770" s="1">
        <v>16393.0</v>
      </c>
      <c r="H770" s="1" t="s">
        <v>14</v>
      </c>
      <c r="I770" s="4">
        <v>40148.0</v>
      </c>
      <c r="J770" s="5">
        <v>0.5090277777777777</v>
      </c>
      <c r="K770" s="1">
        <v>12.0</v>
      </c>
      <c r="L770" s="1">
        <v>0.42</v>
      </c>
    </row>
    <row r="771">
      <c r="A771" s="1">
        <v>489536.0</v>
      </c>
      <c r="B771" s="2" t="s">
        <v>510</v>
      </c>
      <c r="C771" s="1" t="s">
        <v>511</v>
      </c>
      <c r="D771" s="1">
        <v>6.0</v>
      </c>
      <c r="E771" s="3">
        <v>40148.50902777778</v>
      </c>
      <c r="F771" s="1">
        <v>1.25</v>
      </c>
      <c r="G771" s="1">
        <v>16393.0</v>
      </c>
      <c r="H771" s="1" t="s">
        <v>14</v>
      </c>
      <c r="I771" s="4">
        <v>40148.0</v>
      </c>
      <c r="J771" s="5">
        <v>0.5090277777777777</v>
      </c>
      <c r="K771" s="1">
        <v>12.0</v>
      </c>
      <c r="L771" s="1">
        <v>7.5</v>
      </c>
    </row>
    <row r="772">
      <c r="A772" s="1">
        <v>489536.0</v>
      </c>
      <c r="B772" s="2" t="s">
        <v>1075</v>
      </c>
      <c r="C772" s="1" t="s">
        <v>1076</v>
      </c>
      <c r="D772" s="1">
        <v>1.0</v>
      </c>
      <c r="E772" s="3">
        <v>40148.50902777778</v>
      </c>
      <c r="F772" s="1">
        <v>2.95</v>
      </c>
      <c r="G772" s="1">
        <v>16393.0</v>
      </c>
      <c r="H772" s="1" t="s">
        <v>14</v>
      </c>
      <c r="I772" s="4">
        <v>40148.0</v>
      </c>
      <c r="J772" s="5">
        <v>0.5090277777777777</v>
      </c>
      <c r="K772" s="1">
        <v>12.0</v>
      </c>
      <c r="L772" s="1">
        <v>2.95</v>
      </c>
    </row>
    <row r="773">
      <c r="A773" s="1">
        <v>489536.0</v>
      </c>
      <c r="B773" s="2" t="s">
        <v>35</v>
      </c>
      <c r="C773" s="1" t="s">
        <v>36</v>
      </c>
      <c r="D773" s="1">
        <v>1.0</v>
      </c>
      <c r="E773" s="3">
        <v>40148.50902777778</v>
      </c>
      <c r="F773" s="1">
        <v>2.55</v>
      </c>
      <c r="G773" s="1">
        <v>16393.0</v>
      </c>
      <c r="H773" s="1" t="s">
        <v>14</v>
      </c>
      <c r="I773" s="4">
        <v>40148.0</v>
      </c>
      <c r="J773" s="5">
        <v>0.5090277777777777</v>
      </c>
      <c r="K773" s="1">
        <v>12.0</v>
      </c>
      <c r="L773" s="1">
        <v>2.55</v>
      </c>
    </row>
    <row r="774">
      <c r="A774" s="1">
        <v>489536.0</v>
      </c>
      <c r="B774" s="2" t="s">
        <v>1077</v>
      </c>
      <c r="C774" s="1" t="s">
        <v>1078</v>
      </c>
      <c r="D774" s="1">
        <v>1.0</v>
      </c>
      <c r="E774" s="3">
        <v>40148.50902777778</v>
      </c>
      <c r="F774" s="1">
        <v>2.1</v>
      </c>
      <c r="G774" s="1">
        <v>16393.0</v>
      </c>
      <c r="H774" s="1" t="s">
        <v>14</v>
      </c>
      <c r="I774" s="4">
        <v>40148.0</v>
      </c>
      <c r="J774" s="5">
        <v>0.5090277777777777</v>
      </c>
      <c r="K774" s="1">
        <v>12.0</v>
      </c>
      <c r="L774" s="1">
        <v>2.1</v>
      </c>
    </row>
    <row r="775">
      <c r="A775" s="1">
        <v>489536.0</v>
      </c>
      <c r="B775" s="2" t="s">
        <v>1079</v>
      </c>
      <c r="C775" s="1" t="s">
        <v>1080</v>
      </c>
      <c r="D775" s="1">
        <v>1.0</v>
      </c>
      <c r="E775" s="3">
        <v>40148.50902777778</v>
      </c>
      <c r="F775" s="1">
        <v>1.25</v>
      </c>
      <c r="G775" s="1">
        <v>16393.0</v>
      </c>
      <c r="H775" s="1" t="s">
        <v>14</v>
      </c>
      <c r="I775" s="4">
        <v>40148.0</v>
      </c>
      <c r="J775" s="5">
        <v>0.5090277777777777</v>
      </c>
      <c r="K775" s="1">
        <v>12.0</v>
      </c>
      <c r="L775" s="1">
        <v>1.25</v>
      </c>
    </row>
    <row r="776">
      <c r="A776" s="1">
        <v>489536.0</v>
      </c>
      <c r="B776" s="2" t="s">
        <v>1005</v>
      </c>
      <c r="C776" s="1" t="s">
        <v>1006</v>
      </c>
      <c r="D776" s="1">
        <v>1.0</v>
      </c>
      <c r="E776" s="3">
        <v>40148.50902777778</v>
      </c>
      <c r="F776" s="1">
        <v>3.75</v>
      </c>
      <c r="G776" s="1">
        <v>16393.0</v>
      </c>
      <c r="H776" s="1" t="s">
        <v>14</v>
      </c>
      <c r="I776" s="4">
        <v>40148.0</v>
      </c>
      <c r="J776" s="5">
        <v>0.5090277777777777</v>
      </c>
      <c r="K776" s="1">
        <v>12.0</v>
      </c>
      <c r="L776" s="1">
        <v>3.75</v>
      </c>
    </row>
    <row r="777">
      <c r="A777" s="1">
        <v>489536.0</v>
      </c>
      <c r="B777" s="2" t="s">
        <v>1081</v>
      </c>
      <c r="C777" s="1" t="s">
        <v>1082</v>
      </c>
      <c r="D777" s="1">
        <v>7.0</v>
      </c>
      <c r="E777" s="3">
        <v>40148.50902777778</v>
      </c>
      <c r="F777" s="1">
        <v>0.65</v>
      </c>
      <c r="G777" s="1">
        <v>16393.0</v>
      </c>
      <c r="H777" s="1" t="s">
        <v>14</v>
      </c>
      <c r="I777" s="4">
        <v>40148.0</v>
      </c>
      <c r="J777" s="5">
        <v>0.5090277777777777</v>
      </c>
      <c r="K777" s="1">
        <v>12.0</v>
      </c>
      <c r="L777" s="1">
        <v>4.55</v>
      </c>
    </row>
    <row r="778">
      <c r="A778" s="1">
        <v>489536.0</v>
      </c>
      <c r="B778" s="2" t="s">
        <v>777</v>
      </c>
      <c r="C778" s="1" t="s">
        <v>778</v>
      </c>
      <c r="D778" s="1">
        <v>1.0</v>
      </c>
      <c r="E778" s="3">
        <v>40148.50902777778</v>
      </c>
      <c r="F778" s="1">
        <v>1.25</v>
      </c>
      <c r="G778" s="1">
        <v>16393.0</v>
      </c>
      <c r="H778" s="1" t="s">
        <v>14</v>
      </c>
      <c r="I778" s="4">
        <v>40148.0</v>
      </c>
      <c r="J778" s="5">
        <v>0.5090277777777777</v>
      </c>
      <c r="K778" s="1">
        <v>12.0</v>
      </c>
      <c r="L778" s="1">
        <v>1.25</v>
      </c>
    </row>
    <row r="779">
      <c r="A779" s="1">
        <v>489536.0</v>
      </c>
      <c r="B779" s="2" t="s">
        <v>594</v>
      </c>
      <c r="C779" s="1" t="s">
        <v>595</v>
      </c>
      <c r="D779" s="1">
        <v>1.0</v>
      </c>
      <c r="E779" s="3">
        <v>40148.50902777778</v>
      </c>
      <c r="F779" s="1">
        <v>1.25</v>
      </c>
      <c r="G779" s="1">
        <v>16393.0</v>
      </c>
      <c r="H779" s="1" t="s">
        <v>14</v>
      </c>
      <c r="I779" s="4">
        <v>40148.0</v>
      </c>
      <c r="J779" s="5">
        <v>0.5090277777777777</v>
      </c>
      <c r="K779" s="1">
        <v>12.0</v>
      </c>
      <c r="L779" s="1">
        <v>1.25</v>
      </c>
    </row>
    <row r="780">
      <c r="A780" s="1">
        <v>489536.0</v>
      </c>
      <c r="B780" s="2" t="s">
        <v>779</v>
      </c>
      <c r="C780" s="1" t="s">
        <v>780</v>
      </c>
      <c r="D780" s="1">
        <v>2.0</v>
      </c>
      <c r="E780" s="3">
        <v>40148.50902777778</v>
      </c>
      <c r="F780" s="1">
        <v>1.25</v>
      </c>
      <c r="G780" s="1">
        <v>16393.0</v>
      </c>
      <c r="H780" s="1" t="s">
        <v>14</v>
      </c>
      <c r="I780" s="4">
        <v>40148.0</v>
      </c>
      <c r="J780" s="5">
        <v>0.5090277777777777</v>
      </c>
      <c r="K780" s="1">
        <v>12.0</v>
      </c>
      <c r="L780" s="1">
        <v>2.5</v>
      </c>
    </row>
    <row r="781">
      <c r="A781" s="1">
        <v>489536.0</v>
      </c>
      <c r="B781" s="2" t="s">
        <v>1083</v>
      </c>
      <c r="C781" s="1" t="s">
        <v>1084</v>
      </c>
      <c r="D781" s="1">
        <v>1.0</v>
      </c>
      <c r="E781" s="3">
        <v>40148.50902777778</v>
      </c>
      <c r="F781" s="1">
        <v>1.25</v>
      </c>
      <c r="G781" s="1">
        <v>16393.0</v>
      </c>
      <c r="H781" s="1" t="s">
        <v>14</v>
      </c>
      <c r="I781" s="4">
        <v>40148.0</v>
      </c>
      <c r="J781" s="5">
        <v>0.5090277777777777</v>
      </c>
      <c r="K781" s="1">
        <v>12.0</v>
      </c>
      <c r="L781" s="1">
        <v>1.25</v>
      </c>
    </row>
    <row r="782">
      <c r="A782" s="1">
        <v>489536.0</v>
      </c>
      <c r="B782" s="2" t="s">
        <v>1085</v>
      </c>
      <c r="C782" s="1" t="s">
        <v>1086</v>
      </c>
      <c r="D782" s="1">
        <v>2.0</v>
      </c>
      <c r="E782" s="3">
        <v>40148.50902777778</v>
      </c>
      <c r="F782" s="1">
        <v>1.65</v>
      </c>
      <c r="G782" s="1">
        <v>16393.0</v>
      </c>
      <c r="H782" s="1" t="s">
        <v>14</v>
      </c>
      <c r="I782" s="4">
        <v>40148.0</v>
      </c>
      <c r="J782" s="5">
        <v>0.5090277777777777</v>
      </c>
      <c r="K782" s="1">
        <v>12.0</v>
      </c>
      <c r="L782" s="1">
        <v>3.3</v>
      </c>
    </row>
    <row r="783">
      <c r="A783" s="1">
        <v>489536.0</v>
      </c>
      <c r="B783" s="2" t="s">
        <v>47</v>
      </c>
      <c r="C783" s="1" t="s">
        <v>48</v>
      </c>
      <c r="D783" s="1">
        <v>1.0</v>
      </c>
      <c r="E783" s="3">
        <v>40148.50902777778</v>
      </c>
      <c r="F783" s="1">
        <v>1.45</v>
      </c>
      <c r="G783" s="1">
        <v>16393.0</v>
      </c>
      <c r="H783" s="1" t="s">
        <v>14</v>
      </c>
      <c r="I783" s="4">
        <v>40148.0</v>
      </c>
      <c r="J783" s="5">
        <v>0.5090277777777777</v>
      </c>
      <c r="K783" s="1">
        <v>12.0</v>
      </c>
      <c r="L783" s="1">
        <v>1.45</v>
      </c>
    </row>
    <row r="784">
      <c r="A784" s="1">
        <v>489536.0</v>
      </c>
      <c r="B784" s="2" t="s">
        <v>1087</v>
      </c>
      <c r="C784" s="1" t="s">
        <v>1088</v>
      </c>
      <c r="D784" s="1">
        <v>2.0</v>
      </c>
      <c r="E784" s="3">
        <v>40148.50902777778</v>
      </c>
      <c r="F784" s="1">
        <v>1.95</v>
      </c>
      <c r="G784" s="1">
        <v>16393.0</v>
      </c>
      <c r="H784" s="1" t="s">
        <v>14</v>
      </c>
      <c r="I784" s="4">
        <v>40148.0</v>
      </c>
      <c r="J784" s="5">
        <v>0.5090277777777777</v>
      </c>
      <c r="K784" s="1">
        <v>12.0</v>
      </c>
      <c r="L784" s="1">
        <v>3.9</v>
      </c>
    </row>
    <row r="785">
      <c r="A785" s="1">
        <v>489536.0</v>
      </c>
      <c r="B785" s="2" t="s">
        <v>1089</v>
      </c>
      <c r="C785" s="1" t="s">
        <v>1090</v>
      </c>
      <c r="D785" s="1">
        <v>2.0</v>
      </c>
      <c r="E785" s="3">
        <v>40148.50902777778</v>
      </c>
      <c r="F785" s="1">
        <v>1.45</v>
      </c>
      <c r="G785" s="1">
        <v>16393.0</v>
      </c>
      <c r="H785" s="1" t="s">
        <v>14</v>
      </c>
      <c r="I785" s="4">
        <v>40148.0</v>
      </c>
      <c r="J785" s="5">
        <v>0.5090277777777777</v>
      </c>
      <c r="K785" s="1">
        <v>12.0</v>
      </c>
      <c r="L785" s="1">
        <v>2.9</v>
      </c>
    </row>
    <row r="786">
      <c r="A786" s="1">
        <v>489536.0</v>
      </c>
      <c r="B786" s="2" t="s">
        <v>1091</v>
      </c>
      <c r="C786" s="1" t="s">
        <v>1092</v>
      </c>
      <c r="D786" s="1">
        <v>1.0</v>
      </c>
      <c r="E786" s="3">
        <v>40148.50902777778</v>
      </c>
      <c r="F786" s="1">
        <v>1.25</v>
      </c>
      <c r="G786" s="1">
        <v>16393.0</v>
      </c>
      <c r="H786" s="1" t="s">
        <v>14</v>
      </c>
      <c r="I786" s="4">
        <v>40148.0</v>
      </c>
      <c r="J786" s="5">
        <v>0.5090277777777777</v>
      </c>
      <c r="K786" s="1">
        <v>12.0</v>
      </c>
      <c r="L786" s="1">
        <v>1.25</v>
      </c>
    </row>
    <row r="787">
      <c r="A787" s="1">
        <v>489536.0</v>
      </c>
      <c r="B787" s="2" t="s">
        <v>1093</v>
      </c>
      <c r="C787" s="1" t="s">
        <v>1094</v>
      </c>
      <c r="D787" s="1">
        <v>1.0</v>
      </c>
      <c r="E787" s="3">
        <v>40148.50902777778</v>
      </c>
      <c r="F787" s="1">
        <v>1.25</v>
      </c>
      <c r="G787" s="1">
        <v>16393.0</v>
      </c>
      <c r="H787" s="1" t="s">
        <v>14</v>
      </c>
      <c r="I787" s="4">
        <v>40148.0</v>
      </c>
      <c r="J787" s="5">
        <v>0.5090277777777777</v>
      </c>
      <c r="K787" s="1">
        <v>12.0</v>
      </c>
      <c r="L787" s="1">
        <v>1.25</v>
      </c>
    </row>
    <row r="788">
      <c r="A788" s="1">
        <v>489536.0</v>
      </c>
      <c r="B788" s="2" t="s">
        <v>795</v>
      </c>
      <c r="C788" s="1" t="s">
        <v>796</v>
      </c>
      <c r="D788" s="1">
        <v>1.0</v>
      </c>
      <c r="E788" s="3">
        <v>40148.50902777778</v>
      </c>
      <c r="F788" s="1">
        <v>1.95</v>
      </c>
      <c r="G788" s="1">
        <v>16393.0</v>
      </c>
      <c r="H788" s="1" t="s">
        <v>14</v>
      </c>
      <c r="I788" s="4">
        <v>40148.0</v>
      </c>
      <c r="J788" s="5">
        <v>0.5090277777777777</v>
      </c>
      <c r="K788" s="1">
        <v>12.0</v>
      </c>
      <c r="L788" s="1">
        <v>1.95</v>
      </c>
    </row>
    <row r="789">
      <c r="A789" s="1">
        <v>489536.0</v>
      </c>
      <c r="B789" s="2" t="s">
        <v>307</v>
      </c>
      <c r="C789" s="1" t="s">
        <v>308</v>
      </c>
      <c r="D789" s="1">
        <v>4.0</v>
      </c>
      <c r="E789" s="3">
        <v>40148.50902777778</v>
      </c>
      <c r="F789" s="1">
        <v>1.65</v>
      </c>
      <c r="G789" s="1">
        <v>16393.0</v>
      </c>
      <c r="H789" s="1" t="s">
        <v>14</v>
      </c>
      <c r="I789" s="4">
        <v>40148.0</v>
      </c>
      <c r="J789" s="5">
        <v>0.5090277777777777</v>
      </c>
      <c r="K789" s="1">
        <v>12.0</v>
      </c>
      <c r="L789" s="1">
        <v>6.6</v>
      </c>
    </row>
    <row r="790">
      <c r="A790" s="1">
        <v>489536.0</v>
      </c>
      <c r="B790" s="2" t="s">
        <v>1095</v>
      </c>
      <c r="C790" s="1" t="s">
        <v>1096</v>
      </c>
      <c r="D790" s="1">
        <v>6.0</v>
      </c>
      <c r="E790" s="3">
        <v>40148.50902777778</v>
      </c>
      <c r="F790" s="1">
        <v>0.85</v>
      </c>
      <c r="G790" s="1">
        <v>16393.0</v>
      </c>
      <c r="H790" s="1" t="s">
        <v>14</v>
      </c>
      <c r="I790" s="4">
        <v>40148.0</v>
      </c>
      <c r="J790" s="5">
        <v>0.5090277777777777</v>
      </c>
      <c r="K790" s="1">
        <v>12.0</v>
      </c>
      <c r="L790" s="1">
        <v>5.1</v>
      </c>
    </row>
    <row r="791">
      <c r="A791" s="1">
        <v>489536.0</v>
      </c>
      <c r="B791" s="2" t="s">
        <v>1097</v>
      </c>
      <c r="C791" s="1" t="s">
        <v>1098</v>
      </c>
      <c r="D791" s="1">
        <v>6.0</v>
      </c>
      <c r="E791" s="3">
        <v>40148.50902777778</v>
      </c>
      <c r="F791" s="1">
        <v>0.85</v>
      </c>
      <c r="G791" s="1">
        <v>16393.0</v>
      </c>
      <c r="H791" s="1" t="s">
        <v>14</v>
      </c>
      <c r="I791" s="4">
        <v>40148.0</v>
      </c>
      <c r="J791" s="5">
        <v>0.5090277777777777</v>
      </c>
      <c r="K791" s="1">
        <v>12.0</v>
      </c>
      <c r="L791" s="1">
        <v>5.1</v>
      </c>
    </row>
    <row r="792">
      <c r="A792" s="1">
        <v>489536.0</v>
      </c>
      <c r="B792" s="2" t="s">
        <v>1099</v>
      </c>
      <c r="C792" s="1" t="s">
        <v>1100</v>
      </c>
      <c r="D792" s="1">
        <v>1.0</v>
      </c>
      <c r="E792" s="3">
        <v>40148.50902777778</v>
      </c>
      <c r="F792" s="1">
        <v>4.95</v>
      </c>
      <c r="G792" s="1">
        <v>16393.0</v>
      </c>
      <c r="H792" s="1" t="s">
        <v>14</v>
      </c>
      <c r="I792" s="4">
        <v>40148.0</v>
      </c>
      <c r="J792" s="5">
        <v>0.5090277777777777</v>
      </c>
      <c r="K792" s="1">
        <v>12.0</v>
      </c>
      <c r="L792" s="1">
        <v>4.95</v>
      </c>
    </row>
    <row r="793">
      <c r="A793" s="1">
        <v>489536.0</v>
      </c>
      <c r="B793" s="2" t="s">
        <v>893</v>
      </c>
      <c r="C793" s="1" t="s">
        <v>894</v>
      </c>
      <c r="D793" s="1">
        <v>1.0</v>
      </c>
      <c r="E793" s="3">
        <v>40148.50902777778</v>
      </c>
      <c r="F793" s="1">
        <v>0.85</v>
      </c>
      <c r="G793" s="1">
        <v>16393.0</v>
      </c>
      <c r="H793" s="1" t="s">
        <v>14</v>
      </c>
      <c r="I793" s="4">
        <v>40148.0</v>
      </c>
      <c r="J793" s="5">
        <v>0.5090277777777777</v>
      </c>
      <c r="K793" s="1">
        <v>12.0</v>
      </c>
      <c r="L793" s="1">
        <v>0.85</v>
      </c>
    </row>
    <row r="794">
      <c r="A794" s="1">
        <v>489536.0</v>
      </c>
      <c r="B794" s="2" t="s">
        <v>895</v>
      </c>
      <c r="C794" s="1" t="s">
        <v>896</v>
      </c>
      <c r="D794" s="1">
        <v>1.0</v>
      </c>
      <c r="E794" s="3">
        <v>40148.50902777778</v>
      </c>
      <c r="F794" s="1">
        <v>0.85</v>
      </c>
      <c r="G794" s="1">
        <v>16393.0</v>
      </c>
      <c r="H794" s="1" t="s">
        <v>14</v>
      </c>
      <c r="I794" s="4">
        <v>40148.0</v>
      </c>
      <c r="J794" s="5">
        <v>0.5090277777777777</v>
      </c>
      <c r="K794" s="1">
        <v>12.0</v>
      </c>
      <c r="L794" s="1">
        <v>0.85</v>
      </c>
    </row>
    <row r="795">
      <c r="A795" s="1">
        <v>489536.0</v>
      </c>
      <c r="B795" s="2" t="s">
        <v>934</v>
      </c>
      <c r="C795" s="1" t="s">
        <v>935</v>
      </c>
      <c r="D795" s="1">
        <v>1.0</v>
      </c>
      <c r="E795" s="3">
        <v>40148.50902777778</v>
      </c>
      <c r="F795" s="1">
        <v>1.25</v>
      </c>
      <c r="G795" s="1">
        <v>16393.0</v>
      </c>
      <c r="H795" s="1" t="s">
        <v>14</v>
      </c>
      <c r="I795" s="4">
        <v>40148.0</v>
      </c>
      <c r="J795" s="5">
        <v>0.5090277777777777</v>
      </c>
      <c r="K795" s="1">
        <v>12.0</v>
      </c>
      <c r="L795" s="1">
        <v>1.25</v>
      </c>
    </row>
    <row r="796">
      <c r="A796" s="1">
        <v>489536.0</v>
      </c>
      <c r="B796" s="2" t="s">
        <v>1101</v>
      </c>
      <c r="C796" s="1" t="s">
        <v>1102</v>
      </c>
      <c r="D796" s="1">
        <v>1.0</v>
      </c>
      <c r="E796" s="3">
        <v>40148.50902777778</v>
      </c>
      <c r="F796" s="1">
        <v>1.65</v>
      </c>
      <c r="G796" s="1">
        <v>16393.0</v>
      </c>
      <c r="H796" s="1" t="s">
        <v>14</v>
      </c>
      <c r="I796" s="4">
        <v>40148.0</v>
      </c>
      <c r="J796" s="5">
        <v>0.5090277777777777</v>
      </c>
      <c r="K796" s="1">
        <v>12.0</v>
      </c>
      <c r="L796" s="1">
        <v>1.65</v>
      </c>
    </row>
    <row r="797">
      <c r="A797" s="1">
        <v>489536.0</v>
      </c>
      <c r="B797" s="2" t="s">
        <v>1103</v>
      </c>
      <c r="C797" s="1" t="s">
        <v>1104</v>
      </c>
      <c r="D797" s="1">
        <v>1.0</v>
      </c>
      <c r="E797" s="3">
        <v>40148.50902777778</v>
      </c>
      <c r="F797" s="1">
        <v>1.65</v>
      </c>
      <c r="G797" s="1">
        <v>16393.0</v>
      </c>
      <c r="H797" s="1" t="s">
        <v>14</v>
      </c>
      <c r="I797" s="4">
        <v>40148.0</v>
      </c>
      <c r="J797" s="5">
        <v>0.5090277777777777</v>
      </c>
      <c r="K797" s="1">
        <v>12.0</v>
      </c>
      <c r="L797" s="1">
        <v>1.65</v>
      </c>
    </row>
    <row r="798">
      <c r="A798" s="1">
        <v>489536.0</v>
      </c>
      <c r="B798" s="2" t="s">
        <v>1105</v>
      </c>
      <c r="C798" s="1" t="s">
        <v>1106</v>
      </c>
      <c r="D798" s="1">
        <v>1.0</v>
      </c>
      <c r="E798" s="3">
        <v>40148.50902777778</v>
      </c>
      <c r="F798" s="1">
        <v>0.65</v>
      </c>
      <c r="G798" s="1">
        <v>16393.0</v>
      </c>
      <c r="H798" s="1" t="s">
        <v>14</v>
      </c>
      <c r="I798" s="4">
        <v>40148.0</v>
      </c>
      <c r="J798" s="5">
        <v>0.5090277777777777</v>
      </c>
      <c r="K798" s="1">
        <v>12.0</v>
      </c>
      <c r="L798" s="1">
        <v>0.65</v>
      </c>
    </row>
    <row r="799">
      <c r="A799" s="1">
        <v>489536.0</v>
      </c>
      <c r="B799" s="2" t="s">
        <v>1089</v>
      </c>
      <c r="C799" s="1" t="s">
        <v>1090</v>
      </c>
      <c r="D799" s="1">
        <v>1.0</v>
      </c>
      <c r="E799" s="3">
        <v>40148.50902777778</v>
      </c>
      <c r="F799" s="1">
        <v>1.45</v>
      </c>
      <c r="G799" s="1">
        <v>16393.0</v>
      </c>
      <c r="H799" s="1" t="s">
        <v>14</v>
      </c>
      <c r="I799" s="4">
        <v>40148.0</v>
      </c>
      <c r="J799" s="5">
        <v>0.5090277777777777</v>
      </c>
      <c r="K799" s="1">
        <v>12.0</v>
      </c>
      <c r="L799" s="1">
        <v>1.45</v>
      </c>
    </row>
    <row r="800">
      <c r="A800" s="1">
        <v>489536.0</v>
      </c>
      <c r="B800" s="2" t="s">
        <v>1107</v>
      </c>
      <c r="C800" s="1" t="s">
        <v>1108</v>
      </c>
      <c r="D800" s="1">
        <v>1.0</v>
      </c>
      <c r="E800" s="3">
        <v>40148.50902777778</v>
      </c>
      <c r="F800" s="1">
        <v>1.25</v>
      </c>
      <c r="G800" s="1">
        <v>16393.0</v>
      </c>
      <c r="H800" s="1" t="s">
        <v>14</v>
      </c>
      <c r="I800" s="4">
        <v>40148.0</v>
      </c>
      <c r="J800" s="5">
        <v>0.5090277777777777</v>
      </c>
      <c r="K800" s="1">
        <v>12.0</v>
      </c>
      <c r="L800" s="1">
        <v>1.25</v>
      </c>
    </row>
    <row r="801">
      <c r="A801" s="1">
        <v>489536.0</v>
      </c>
      <c r="B801" s="2" t="s">
        <v>842</v>
      </c>
      <c r="C801" s="1" t="s">
        <v>843</v>
      </c>
      <c r="D801" s="1">
        <v>1.0</v>
      </c>
      <c r="E801" s="3">
        <v>40148.50902777778</v>
      </c>
      <c r="F801" s="1">
        <v>0.85</v>
      </c>
      <c r="G801" s="1">
        <v>16393.0</v>
      </c>
      <c r="H801" s="1" t="s">
        <v>14</v>
      </c>
      <c r="I801" s="4">
        <v>40148.0</v>
      </c>
      <c r="J801" s="5">
        <v>0.5090277777777777</v>
      </c>
      <c r="K801" s="1">
        <v>12.0</v>
      </c>
      <c r="L801" s="1">
        <v>0.85</v>
      </c>
    </row>
    <row r="802">
      <c r="A802" s="1">
        <v>489536.0</v>
      </c>
      <c r="B802" s="2" t="s">
        <v>842</v>
      </c>
      <c r="C802" s="1" t="s">
        <v>843</v>
      </c>
      <c r="D802" s="1">
        <v>3.0</v>
      </c>
      <c r="E802" s="3">
        <v>40148.50902777778</v>
      </c>
      <c r="F802" s="1">
        <v>0.85</v>
      </c>
      <c r="G802" s="1">
        <v>16393.0</v>
      </c>
      <c r="H802" s="1" t="s">
        <v>14</v>
      </c>
      <c r="I802" s="4">
        <v>40148.0</v>
      </c>
      <c r="J802" s="5">
        <v>0.5090277777777777</v>
      </c>
      <c r="K802" s="1">
        <v>12.0</v>
      </c>
      <c r="L802" s="1">
        <v>2.55</v>
      </c>
    </row>
    <row r="803">
      <c r="A803" s="1">
        <v>489536.0</v>
      </c>
      <c r="B803" s="2" t="s">
        <v>1109</v>
      </c>
      <c r="C803" s="1" t="s">
        <v>1110</v>
      </c>
      <c r="D803" s="1">
        <v>1.0</v>
      </c>
      <c r="E803" s="3">
        <v>40148.50902777778</v>
      </c>
      <c r="F803" s="1">
        <v>1.25</v>
      </c>
      <c r="G803" s="1">
        <v>16393.0</v>
      </c>
      <c r="H803" s="1" t="s">
        <v>14</v>
      </c>
      <c r="I803" s="4">
        <v>40148.0</v>
      </c>
      <c r="J803" s="5">
        <v>0.5090277777777777</v>
      </c>
      <c r="K803" s="1">
        <v>12.0</v>
      </c>
      <c r="L803" s="1">
        <v>1.25</v>
      </c>
    </row>
    <row r="804">
      <c r="A804" s="1">
        <v>489536.0</v>
      </c>
      <c r="B804" s="2" t="s">
        <v>510</v>
      </c>
      <c r="C804" s="1" t="s">
        <v>511</v>
      </c>
      <c r="D804" s="1">
        <v>1.0</v>
      </c>
      <c r="E804" s="3">
        <v>40148.50902777778</v>
      </c>
      <c r="F804" s="1">
        <v>1.25</v>
      </c>
      <c r="G804" s="1">
        <v>16393.0</v>
      </c>
      <c r="H804" s="1" t="s">
        <v>14</v>
      </c>
      <c r="I804" s="4">
        <v>40148.0</v>
      </c>
      <c r="J804" s="5">
        <v>0.5090277777777777</v>
      </c>
      <c r="K804" s="1">
        <v>12.0</v>
      </c>
      <c r="L804" s="1">
        <v>1.25</v>
      </c>
    </row>
    <row r="805">
      <c r="A805" s="1">
        <v>489536.0</v>
      </c>
      <c r="B805" s="2" t="s">
        <v>1111</v>
      </c>
      <c r="C805" s="1" t="s">
        <v>1112</v>
      </c>
      <c r="D805" s="1">
        <v>1.0</v>
      </c>
      <c r="E805" s="3">
        <v>40148.50902777778</v>
      </c>
      <c r="F805" s="1">
        <v>2.95</v>
      </c>
      <c r="G805" s="1">
        <v>16393.0</v>
      </c>
      <c r="H805" s="1" t="s">
        <v>14</v>
      </c>
      <c r="I805" s="4">
        <v>40148.0</v>
      </c>
      <c r="J805" s="5">
        <v>0.5090277777777777</v>
      </c>
      <c r="K805" s="1">
        <v>12.0</v>
      </c>
      <c r="L805" s="1">
        <v>2.95</v>
      </c>
    </row>
    <row r="806">
      <c r="A806" s="1">
        <v>489536.0</v>
      </c>
      <c r="B806" s="2" t="s">
        <v>480</v>
      </c>
      <c r="C806" s="1" t="s">
        <v>481</v>
      </c>
      <c r="D806" s="1">
        <v>1.0</v>
      </c>
      <c r="E806" s="3">
        <v>40148.50902777778</v>
      </c>
      <c r="F806" s="1">
        <v>1.25</v>
      </c>
      <c r="G806" s="1">
        <v>16393.0</v>
      </c>
      <c r="H806" s="1" t="s">
        <v>14</v>
      </c>
      <c r="I806" s="4">
        <v>40148.0</v>
      </c>
      <c r="J806" s="5">
        <v>0.5090277777777777</v>
      </c>
      <c r="K806" s="1">
        <v>12.0</v>
      </c>
      <c r="L806" s="1">
        <v>1.25</v>
      </c>
    </row>
    <row r="807">
      <c r="A807" s="1">
        <v>489536.0</v>
      </c>
      <c r="B807" s="2" t="s">
        <v>23</v>
      </c>
      <c r="C807" s="1" t="s">
        <v>24</v>
      </c>
      <c r="D807" s="1">
        <v>4.0</v>
      </c>
      <c r="E807" s="3">
        <v>40148.50902777778</v>
      </c>
      <c r="F807" s="1">
        <v>1.65</v>
      </c>
      <c r="G807" s="1">
        <v>16393.0</v>
      </c>
      <c r="H807" s="1" t="s">
        <v>14</v>
      </c>
      <c r="I807" s="4">
        <v>40148.0</v>
      </c>
      <c r="J807" s="5">
        <v>0.5090277777777777</v>
      </c>
      <c r="K807" s="1">
        <v>12.0</v>
      </c>
      <c r="L807" s="1">
        <v>6.6</v>
      </c>
    </row>
    <row r="808">
      <c r="A808" s="1">
        <v>489536.0</v>
      </c>
      <c r="B808" s="2" t="s">
        <v>1113</v>
      </c>
      <c r="C808" s="1" t="s">
        <v>1114</v>
      </c>
      <c r="D808" s="1">
        <v>1.0</v>
      </c>
      <c r="E808" s="3">
        <v>40148.50902777778</v>
      </c>
      <c r="F808" s="1">
        <v>1.65</v>
      </c>
      <c r="G808" s="1">
        <v>16393.0</v>
      </c>
      <c r="H808" s="1" t="s">
        <v>14</v>
      </c>
      <c r="I808" s="4">
        <v>40148.0</v>
      </c>
      <c r="J808" s="5">
        <v>0.5090277777777777</v>
      </c>
      <c r="K808" s="1">
        <v>12.0</v>
      </c>
      <c r="L808" s="1">
        <v>1.65</v>
      </c>
    </row>
    <row r="809">
      <c r="A809" s="1">
        <v>489536.0</v>
      </c>
      <c r="B809" s="2" t="s">
        <v>1115</v>
      </c>
      <c r="C809" s="1" t="s">
        <v>1116</v>
      </c>
      <c r="D809" s="1">
        <v>1.0</v>
      </c>
      <c r="E809" s="3">
        <v>40148.50902777778</v>
      </c>
      <c r="F809" s="1">
        <v>2.25</v>
      </c>
      <c r="G809" s="1">
        <v>16393.0</v>
      </c>
      <c r="H809" s="1" t="s">
        <v>14</v>
      </c>
      <c r="I809" s="4">
        <v>40148.0</v>
      </c>
      <c r="J809" s="5">
        <v>0.5090277777777777</v>
      </c>
      <c r="K809" s="1">
        <v>12.0</v>
      </c>
      <c r="L809" s="1">
        <v>2.25</v>
      </c>
    </row>
    <row r="810">
      <c r="A810" s="1">
        <v>489536.0</v>
      </c>
      <c r="B810" s="2" t="s">
        <v>1117</v>
      </c>
      <c r="C810" s="1" t="s">
        <v>1118</v>
      </c>
      <c r="D810" s="1">
        <v>1.0</v>
      </c>
      <c r="E810" s="3">
        <v>40148.50902777778</v>
      </c>
      <c r="F810" s="1">
        <v>2.25</v>
      </c>
      <c r="G810" s="1">
        <v>16393.0</v>
      </c>
      <c r="H810" s="1" t="s">
        <v>14</v>
      </c>
      <c r="I810" s="4">
        <v>40148.0</v>
      </c>
      <c r="J810" s="5">
        <v>0.5090277777777777</v>
      </c>
      <c r="K810" s="1">
        <v>12.0</v>
      </c>
      <c r="L810" s="1">
        <v>2.25</v>
      </c>
    </row>
    <row r="811">
      <c r="A811" s="1">
        <v>489536.0</v>
      </c>
      <c r="B811" s="2" t="s">
        <v>1119</v>
      </c>
      <c r="C811" s="1" t="s">
        <v>1120</v>
      </c>
      <c r="D811" s="1">
        <v>2.0</v>
      </c>
      <c r="E811" s="3">
        <v>40148.50902777778</v>
      </c>
      <c r="F811" s="1">
        <v>2.25</v>
      </c>
      <c r="G811" s="1">
        <v>16393.0</v>
      </c>
      <c r="H811" s="1" t="s">
        <v>14</v>
      </c>
      <c r="I811" s="4">
        <v>40148.0</v>
      </c>
      <c r="J811" s="5">
        <v>0.5090277777777777</v>
      </c>
      <c r="K811" s="1">
        <v>12.0</v>
      </c>
      <c r="L811" s="1">
        <v>4.5</v>
      </c>
    </row>
    <row r="812">
      <c r="A812" s="1">
        <v>489536.0</v>
      </c>
      <c r="B812" s="2" t="s">
        <v>574</v>
      </c>
      <c r="C812" s="1" t="s">
        <v>575</v>
      </c>
      <c r="D812" s="1">
        <v>5.0</v>
      </c>
      <c r="E812" s="3">
        <v>40148.50902777778</v>
      </c>
      <c r="F812" s="1">
        <v>1.95</v>
      </c>
      <c r="G812" s="1">
        <v>16393.0</v>
      </c>
      <c r="H812" s="1" t="s">
        <v>14</v>
      </c>
      <c r="I812" s="4">
        <v>40148.0</v>
      </c>
      <c r="J812" s="5">
        <v>0.5090277777777777</v>
      </c>
      <c r="K812" s="1">
        <v>12.0</v>
      </c>
      <c r="L812" s="1">
        <v>9.75</v>
      </c>
    </row>
    <row r="813">
      <c r="A813" s="1">
        <v>489536.0</v>
      </c>
      <c r="B813" s="2" t="s">
        <v>297</v>
      </c>
      <c r="C813" s="1" t="s">
        <v>298</v>
      </c>
      <c r="D813" s="1">
        <v>5.0</v>
      </c>
      <c r="E813" s="3">
        <v>40148.50902777778</v>
      </c>
      <c r="F813" s="1">
        <v>1.95</v>
      </c>
      <c r="G813" s="1">
        <v>16393.0</v>
      </c>
      <c r="H813" s="1" t="s">
        <v>14</v>
      </c>
      <c r="I813" s="4">
        <v>40148.0</v>
      </c>
      <c r="J813" s="5">
        <v>0.5090277777777777</v>
      </c>
      <c r="K813" s="1">
        <v>12.0</v>
      </c>
      <c r="L813" s="1">
        <v>9.75</v>
      </c>
    </row>
    <row r="814">
      <c r="A814" s="1">
        <v>489536.0</v>
      </c>
      <c r="B814" s="2" t="s">
        <v>1121</v>
      </c>
      <c r="C814" s="1" t="s">
        <v>1122</v>
      </c>
      <c r="D814" s="1">
        <v>1.0</v>
      </c>
      <c r="E814" s="3">
        <v>40148.50902777778</v>
      </c>
      <c r="F814" s="1">
        <v>1.95</v>
      </c>
      <c r="G814" s="1">
        <v>16393.0</v>
      </c>
      <c r="H814" s="1" t="s">
        <v>14</v>
      </c>
      <c r="I814" s="4">
        <v>40148.0</v>
      </c>
      <c r="J814" s="5">
        <v>0.5090277777777777</v>
      </c>
      <c r="K814" s="1">
        <v>12.0</v>
      </c>
      <c r="L814" s="1">
        <v>1.95</v>
      </c>
    </row>
    <row r="815">
      <c r="A815" s="1">
        <v>489536.0</v>
      </c>
      <c r="B815" s="2" t="s">
        <v>1123</v>
      </c>
      <c r="C815" s="1" t="s">
        <v>1124</v>
      </c>
      <c r="D815" s="1">
        <v>1.0</v>
      </c>
      <c r="E815" s="3">
        <v>40148.50902777778</v>
      </c>
      <c r="F815" s="1">
        <v>1.95</v>
      </c>
      <c r="G815" s="1">
        <v>16393.0</v>
      </c>
      <c r="H815" s="1" t="s">
        <v>14</v>
      </c>
      <c r="I815" s="4">
        <v>40148.0</v>
      </c>
      <c r="J815" s="5">
        <v>0.5090277777777777</v>
      </c>
      <c r="K815" s="1">
        <v>12.0</v>
      </c>
      <c r="L815" s="1">
        <v>1.95</v>
      </c>
    </row>
    <row r="816">
      <c r="A816" s="1">
        <v>489536.0</v>
      </c>
      <c r="B816" s="2" t="s">
        <v>1125</v>
      </c>
      <c r="C816" s="1" t="s">
        <v>1126</v>
      </c>
      <c r="D816" s="1">
        <v>1.0</v>
      </c>
      <c r="E816" s="3">
        <v>40148.50902777778</v>
      </c>
      <c r="F816" s="1">
        <v>0.85</v>
      </c>
      <c r="G816" s="1">
        <v>16393.0</v>
      </c>
      <c r="H816" s="1" t="s">
        <v>14</v>
      </c>
      <c r="I816" s="4">
        <v>40148.0</v>
      </c>
      <c r="J816" s="5">
        <v>0.5090277777777777</v>
      </c>
      <c r="K816" s="1">
        <v>12.0</v>
      </c>
      <c r="L816" s="1">
        <v>0.85</v>
      </c>
    </row>
    <row r="817">
      <c r="A817" s="1">
        <v>489536.0</v>
      </c>
      <c r="B817" s="2" t="s">
        <v>1127</v>
      </c>
      <c r="C817" s="1" t="s">
        <v>1128</v>
      </c>
      <c r="D817" s="1">
        <v>1.0</v>
      </c>
      <c r="E817" s="3">
        <v>40148.50902777778</v>
      </c>
      <c r="F817" s="1">
        <v>2.55</v>
      </c>
      <c r="G817" s="1">
        <v>16393.0</v>
      </c>
      <c r="H817" s="1" t="s">
        <v>14</v>
      </c>
      <c r="I817" s="4">
        <v>40148.0</v>
      </c>
      <c r="J817" s="5">
        <v>0.5090277777777777</v>
      </c>
      <c r="K817" s="1">
        <v>12.0</v>
      </c>
      <c r="L817" s="1">
        <v>2.55</v>
      </c>
    </row>
    <row r="818">
      <c r="A818" s="1">
        <v>489536.0</v>
      </c>
      <c r="B818" s="2" t="s">
        <v>1129</v>
      </c>
      <c r="C818" s="1" t="s">
        <v>1130</v>
      </c>
      <c r="D818" s="1">
        <v>1.0</v>
      </c>
      <c r="E818" s="3">
        <v>40148.50902777778</v>
      </c>
      <c r="F818" s="1">
        <v>1.25</v>
      </c>
      <c r="G818" s="1">
        <v>16393.0</v>
      </c>
      <c r="H818" s="1" t="s">
        <v>14</v>
      </c>
      <c r="I818" s="4">
        <v>40148.0</v>
      </c>
      <c r="J818" s="5">
        <v>0.5090277777777777</v>
      </c>
      <c r="K818" s="1">
        <v>12.0</v>
      </c>
      <c r="L818" s="1">
        <v>1.25</v>
      </c>
    </row>
    <row r="819">
      <c r="A819" s="1">
        <v>489536.0</v>
      </c>
      <c r="B819" s="2" t="s">
        <v>918</v>
      </c>
      <c r="C819" s="1" t="s">
        <v>919</v>
      </c>
      <c r="D819" s="1">
        <v>1.0</v>
      </c>
      <c r="E819" s="3">
        <v>40148.50902777778</v>
      </c>
      <c r="F819" s="1">
        <v>1.25</v>
      </c>
      <c r="G819" s="1">
        <v>16393.0</v>
      </c>
      <c r="H819" s="1" t="s">
        <v>14</v>
      </c>
      <c r="I819" s="4">
        <v>40148.0</v>
      </c>
      <c r="J819" s="5">
        <v>0.5090277777777777</v>
      </c>
      <c r="K819" s="1">
        <v>12.0</v>
      </c>
      <c r="L819" s="1">
        <v>1.25</v>
      </c>
    </row>
    <row r="820">
      <c r="A820" s="1">
        <v>489536.0</v>
      </c>
      <c r="B820" s="2" t="s">
        <v>21</v>
      </c>
      <c r="C820" s="1" t="s">
        <v>22</v>
      </c>
      <c r="D820" s="1">
        <v>3.0</v>
      </c>
      <c r="E820" s="3">
        <v>40148.50902777778</v>
      </c>
      <c r="F820" s="1">
        <v>1.25</v>
      </c>
      <c r="G820" s="1">
        <v>16393.0</v>
      </c>
      <c r="H820" s="1" t="s">
        <v>14</v>
      </c>
      <c r="I820" s="4">
        <v>40148.0</v>
      </c>
      <c r="J820" s="5">
        <v>0.5090277777777777</v>
      </c>
      <c r="K820" s="1">
        <v>12.0</v>
      </c>
      <c r="L820" s="1">
        <v>3.75</v>
      </c>
    </row>
    <row r="821">
      <c r="A821" s="1">
        <v>489536.0</v>
      </c>
      <c r="B821" s="2" t="s">
        <v>335</v>
      </c>
      <c r="C821" s="1" t="s">
        <v>336</v>
      </c>
      <c r="D821" s="1">
        <v>6.0</v>
      </c>
      <c r="E821" s="3">
        <v>40148.50902777778</v>
      </c>
      <c r="F821" s="1">
        <v>1.25</v>
      </c>
      <c r="G821" s="1">
        <v>16393.0</v>
      </c>
      <c r="H821" s="1" t="s">
        <v>14</v>
      </c>
      <c r="I821" s="4">
        <v>40148.0</v>
      </c>
      <c r="J821" s="5">
        <v>0.5090277777777777</v>
      </c>
      <c r="K821" s="1">
        <v>12.0</v>
      </c>
      <c r="L821" s="1">
        <v>7.5</v>
      </c>
    </row>
    <row r="822">
      <c r="A822" s="1">
        <v>489536.0</v>
      </c>
      <c r="B822" s="2" t="s">
        <v>1131</v>
      </c>
      <c r="C822" s="1" t="s">
        <v>1132</v>
      </c>
      <c r="D822" s="1">
        <v>4.0</v>
      </c>
      <c r="E822" s="3">
        <v>40148.50902777778</v>
      </c>
      <c r="F822" s="1">
        <v>1.65</v>
      </c>
      <c r="G822" s="1">
        <v>16393.0</v>
      </c>
      <c r="H822" s="1" t="s">
        <v>14</v>
      </c>
      <c r="I822" s="4">
        <v>40148.0</v>
      </c>
      <c r="J822" s="5">
        <v>0.5090277777777777</v>
      </c>
      <c r="K822" s="1">
        <v>12.0</v>
      </c>
      <c r="L822" s="1">
        <v>6.6</v>
      </c>
    </row>
    <row r="823">
      <c r="A823" s="1">
        <v>489536.0</v>
      </c>
      <c r="B823" s="2" t="s">
        <v>1133</v>
      </c>
      <c r="C823" s="1" t="s">
        <v>1134</v>
      </c>
      <c r="D823" s="1">
        <v>1.0</v>
      </c>
      <c r="E823" s="3">
        <v>40148.50902777778</v>
      </c>
      <c r="F823" s="1">
        <v>1.65</v>
      </c>
      <c r="G823" s="1">
        <v>16393.0</v>
      </c>
      <c r="H823" s="1" t="s">
        <v>14</v>
      </c>
      <c r="I823" s="4">
        <v>40148.0</v>
      </c>
      <c r="J823" s="5">
        <v>0.5090277777777777</v>
      </c>
      <c r="K823" s="1">
        <v>12.0</v>
      </c>
      <c r="L823" s="1">
        <v>1.65</v>
      </c>
    </row>
    <row r="824">
      <c r="A824" s="1">
        <v>489536.0</v>
      </c>
      <c r="B824" s="2" t="s">
        <v>1135</v>
      </c>
      <c r="C824" s="1" t="s">
        <v>1136</v>
      </c>
      <c r="D824" s="1">
        <v>1.0</v>
      </c>
      <c r="E824" s="3">
        <v>40148.50902777778</v>
      </c>
      <c r="F824" s="1">
        <v>1.25</v>
      </c>
      <c r="G824" s="1">
        <v>16393.0</v>
      </c>
      <c r="H824" s="1" t="s">
        <v>14</v>
      </c>
      <c r="I824" s="4">
        <v>40148.0</v>
      </c>
      <c r="J824" s="5">
        <v>0.5090277777777777</v>
      </c>
      <c r="K824" s="1">
        <v>12.0</v>
      </c>
      <c r="L824" s="1">
        <v>1.25</v>
      </c>
    </row>
    <row r="825">
      <c r="A825" s="1">
        <v>489536.0</v>
      </c>
      <c r="B825" s="2" t="s">
        <v>1137</v>
      </c>
      <c r="C825" s="1" t="s">
        <v>1138</v>
      </c>
      <c r="D825" s="1">
        <v>1.0</v>
      </c>
      <c r="E825" s="3">
        <v>40148.50902777778</v>
      </c>
      <c r="F825" s="1">
        <v>1.25</v>
      </c>
      <c r="G825" s="1">
        <v>16393.0</v>
      </c>
      <c r="H825" s="1" t="s">
        <v>14</v>
      </c>
      <c r="I825" s="4">
        <v>40148.0</v>
      </c>
      <c r="J825" s="5">
        <v>0.5090277777777777</v>
      </c>
      <c r="K825" s="1">
        <v>12.0</v>
      </c>
      <c r="L825" s="1">
        <v>1.25</v>
      </c>
    </row>
    <row r="826">
      <c r="A826" s="1">
        <v>489536.0</v>
      </c>
      <c r="B826" s="2" t="s">
        <v>1139</v>
      </c>
      <c r="C826" s="1" t="s">
        <v>1140</v>
      </c>
      <c r="D826" s="1">
        <v>1.0</v>
      </c>
      <c r="E826" s="3">
        <v>40148.50902777778</v>
      </c>
      <c r="F826" s="1">
        <v>0.85</v>
      </c>
      <c r="G826" s="1">
        <v>16393.0</v>
      </c>
      <c r="H826" s="1" t="s">
        <v>14</v>
      </c>
      <c r="I826" s="4">
        <v>40148.0</v>
      </c>
      <c r="J826" s="5">
        <v>0.5090277777777777</v>
      </c>
      <c r="K826" s="1">
        <v>12.0</v>
      </c>
      <c r="L826" s="1">
        <v>0.85</v>
      </c>
    </row>
    <row r="827">
      <c r="A827" s="1">
        <v>489536.0</v>
      </c>
      <c r="B827" s="2" t="s">
        <v>1141</v>
      </c>
      <c r="C827" s="1" t="s">
        <v>1142</v>
      </c>
      <c r="D827" s="1">
        <v>1.0</v>
      </c>
      <c r="E827" s="3">
        <v>40148.50902777778</v>
      </c>
      <c r="F827" s="1">
        <v>2.1</v>
      </c>
      <c r="G827" s="1">
        <v>16393.0</v>
      </c>
      <c r="H827" s="1" t="s">
        <v>14</v>
      </c>
      <c r="I827" s="4">
        <v>40148.0</v>
      </c>
      <c r="J827" s="5">
        <v>0.5090277777777777</v>
      </c>
      <c r="K827" s="1">
        <v>12.0</v>
      </c>
      <c r="L827" s="1">
        <v>2.1</v>
      </c>
    </row>
    <row r="828">
      <c r="A828" s="1">
        <v>489536.0</v>
      </c>
      <c r="B828" s="2" t="s">
        <v>1115</v>
      </c>
      <c r="C828" s="1" t="s">
        <v>1116</v>
      </c>
      <c r="D828" s="1">
        <v>2.0</v>
      </c>
      <c r="E828" s="3">
        <v>40148.50902777778</v>
      </c>
      <c r="F828" s="1">
        <v>2.25</v>
      </c>
      <c r="G828" s="1">
        <v>16393.0</v>
      </c>
      <c r="H828" s="1" t="s">
        <v>14</v>
      </c>
      <c r="I828" s="4">
        <v>40148.0</v>
      </c>
      <c r="J828" s="5">
        <v>0.5090277777777777</v>
      </c>
      <c r="K828" s="1">
        <v>12.0</v>
      </c>
      <c r="L828" s="1">
        <v>4.5</v>
      </c>
    </row>
    <row r="829">
      <c r="A829" s="1">
        <v>489536.0</v>
      </c>
      <c r="B829" s="2" t="s">
        <v>1143</v>
      </c>
      <c r="C829" s="1" t="s">
        <v>1144</v>
      </c>
      <c r="D829" s="1">
        <v>9.0</v>
      </c>
      <c r="E829" s="3">
        <v>40148.50902777778</v>
      </c>
      <c r="F829" s="1">
        <v>0.85</v>
      </c>
      <c r="G829" s="1">
        <v>16393.0</v>
      </c>
      <c r="H829" s="1" t="s">
        <v>14</v>
      </c>
      <c r="I829" s="4">
        <v>40148.0</v>
      </c>
      <c r="J829" s="5">
        <v>0.5090277777777777</v>
      </c>
      <c r="K829" s="1">
        <v>12.0</v>
      </c>
      <c r="L829" s="1">
        <v>7.64999999999999</v>
      </c>
    </row>
    <row r="830">
      <c r="A830" s="1">
        <v>489536.0</v>
      </c>
      <c r="B830" s="2" t="s">
        <v>1113</v>
      </c>
      <c r="C830" s="1" t="s">
        <v>1114</v>
      </c>
      <c r="D830" s="1">
        <v>2.0</v>
      </c>
      <c r="E830" s="3">
        <v>40148.50902777778</v>
      </c>
      <c r="F830" s="1">
        <v>1.65</v>
      </c>
      <c r="G830" s="1">
        <v>16393.0</v>
      </c>
      <c r="H830" s="1" t="s">
        <v>14</v>
      </c>
      <c r="I830" s="4">
        <v>40148.0</v>
      </c>
      <c r="J830" s="5">
        <v>0.5090277777777777</v>
      </c>
      <c r="K830" s="1">
        <v>12.0</v>
      </c>
      <c r="L830" s="1">
        <v>3.3</v>
      </c>
    </row>
    <row r="831">
      <c r="A831" s="1">
        <v>489536.0</v>
      </c>
      <c r="B831" s="2" t="s">
        <v>299</v>
      </c>
      <c r="C831" s="1" t="s">
        <v>300</v>
      </c>
      <c r="D831" s="1">
        <v>3.0</v>
      </c>
      <c r="E831" s="3">
        <v>40148.50902777778</v>
      </c>
      <c r="F831" s="1">
        <v>0.85</v>
      </c>
      <c r="G831" s="1">
        <v>16393.0</v>
      </c>
      <c r="H831" s="1" t="s">
        <v>14</v>
      </c>
      <c r="I831" s="4">
        <v>40148.0</v>
      </c>
      <c r="J831" s="5">
        <v>0.5090277777777777</v>
      </c>
      <c r="K831" s="1">
        <v>12.0</v>
      </c>
      <c r="L831" s="1">
        <v>2.55</v>
      </c>
    </row>
    <row r="832">
      <c r="A832" s="1">
        <v>489536.0</v>
      </c>
      <c r="B832" s="2" t="s">
        <v>1145</v>
      </c>
      <c r="C832" s="1" t="s">
        <v>1146</v>
      </c>
      <c r="D832" s="1">
        <v>4.0</v>
      </c>
      <c r="E832" s="3">
        <v>40148.50902777778</v>
      </c>
      <c r="F832" s="1">
        <v>2.25</v>
      </c>
      <c r="G832" s="1">
        <v>16393.0</v>
      </c>
      <c r="H832" s="1" t="s">
        <v>14</v>
      </c>
      <c r="I832" s="4">
        <v>40148.0</v>
      </c>
      <c r="J832" s="5">
        <v>0.5090277777777777</v>
      </c>
      <c r="K832" s="1">
        <v>12.0</v>
      </c>
      <c r="L832" s="1">
        <v>9.0</v>
      </c>
    </row>
    <row r="833">
      <c r="A833" s="1">
        <v>489536.0</v>
      </c>
      <c r="B833" s="2" t="s">
        <v>1137</v>
      </c>
      <c r="C833" s="1" t="s">
        <v>1138</v>
      </c>
      <c r="D833" s="1">
        <v>2.0</v>
      </c>
      <c r="E833" s="3">
        <v>40148.50902777778</v>
      </c>
      <c r="F833" s="1">
        <v>1.25</v>
      </c>
      <c r="G833" s="1">
        <v>16393.0</v>
      </c>
      <c r="H833" s="1" t="s">
        <v>14</v>
      </c>
      <c r="I833" s="4">
        <v>40148.0</v>
      </c>
      <c r="J833" s="5">
        <v>0.5090277777777777</v>
      </c>
      <c r="K833" s="1">
        <v>12.0</v>
      </c>
      <c r="L833" s="1">
        <v>2.5</v>
      </c>
    </row>
    <row r="834">
      <c r="A834" s="1">
        <v>489536.0</v>
      </c>
      <c r="B834" s="2" t="s">
        <v>1147</v>
      </c>
      <c r="C834" s="1" t="s">
        <v>1148</v>
      </c>
      <c r="D834" s="1">
        <v>3.0</v>
      </c>
      <c r="E834" s="3">
        <v>40148.50902777778</v>
      </c>
      <c r="F834" s="1">
        <v>1.65</v>
      </c>
      <c r="G834" s="1">
        <v>16393.0</v>
      </c>
      <c r="H834" s="1" t="s">
        <v>14</v>
      </c>
      <c r="I834" s="4">
        <v>40148.0</v>
      </c>
      <c r="J834" s="5">
        <v>0.5090277777777777</v>
      </c>
      <c r="K834" s="1">
        <v>12.0</v>
      </c>
      <c r="L834" s="1">
        <v>4.94999999999999</v>
      </c>
    </row>
    <row r="835">
      <c r="A835" s="1">
        <v>489536.0</v>
      </c>
      <c r="B835" s="2" t="s">
        <v>1149</v>
      </c>
      <c r="C835" s="1" t="s">
        <v>1150</v>
      </c>
      <c r="D835" s="1">
        <v>1.0</v>
      </c>
      <c r="E835" s="3">
        <v>40148.50902777778</v>
      </c>
      <c r="F835" s="1">
        <v>1.25</v>
      </c>
      <c r="G835" s="1">
        <v>16393.0</v>
      </c>
      <c r="H835" s="1" t="s">
        <v>14</v>
      </c>
      <c r="I835" s="4">
        <v>40148.0</v>
      </c>
      <c r="J835" s="5">
        <v>0.5090277777777777</v>
      </c>
      <c r="K835" s="1">
        <v>12.0</v>
      </c>
      <c r="L835" s="1">
        <v>1.25</v>
      </c>
    </row>
    <row r="836">
      <c r="A836" s="1">
        <v>489536.0</v>
      </c>
      <c r="B836" s="2" t="s">
        <v>1151</v>
      </c>
      <c r="C836" s="1" t="s">
        <v>1152</v>
      </c>
      <c r="D836" s="1">
        <v>1.0</v>
      </c>
      <c r="E836" s="3">
        <v>40148.50902777778</v>
      </c>
      <c r="F836" s="1">
        <v>1.25</v>
      </c>
      <c r="G836" s="1">
        <v>16393.0</v>
      </c>
      <c r="H836" s="1" t="s">
        <v>14</v>
      </c>
      <c r="I836" s="4">
        <v>40148.0</v>
      </c>
      <c r="J836" s="5">
        <v>0.5090277777777777</v>
      </c>
      <c r="K836" s="1">
        <v>12.0</v>
      </c>
      <c r="L836" s="1">
        <v>1.25</v>
      </c>
    </row>
    <row r="837">
      <c r="A837" s="1">
        <v>489536.0</v>
      </c>
      <c r="B837" s="2" t="s">
        <v>1153</v>
      </c>
      <c r="C837" s="1" t="s">
        <v>1154</v>
      </c>
      <c r="D837" s="1">
        <v>1.0</v>
      </c>
      <c r="E837" s="3">
        <v>40148.50902777778</v>
      </c>
      <c r="F837" s="1">
        <v>3.95</v>
      </c>
      <c r="G837" s="1">
        <v>16393.0</v>
      </c>
      <c r="H837" s="1" t="s">
        <v>14</v>
      </c>
      <c r="I837" s="4">
        <v>40148.0</v>
      </c>
      <c r="J837" s="5">
        <v>0.5090277777777777</v>
      </c>
      <c r="K837" s="1">
        <v>12.0</v>
      </c>
      <c r="L837" s="1">
        <v>3.95</v>
      </c>
    </row>
    <row r="838">
      <c r="A838" s="1">
        <v>489536.0</v>
      </c>
      <c r="B838" s="2" t="s">
        <v>1155</v>
      </c>
      <c r="C838" s="1" t="s">
        <v>1156</v>
      </c>
      <c r="D838" s="1">
        <v>1.0</v>
      </c>
      <c r="E838" s="3">
        <v>40148.50902777778</v>
      </c>
      <c r="F838" s="1">
        <v>6.75</v>
      </c>
      <c r="G838" s="1">
        <v>16393.0</v>
      </c>
      <c r="H838" s="1" t="s">
        <v>14</v>
      </c>
      <c r="I838" s="4">
        <v>40148.0</v>
      </c>
      <c r="J838" s="5">
        <v>0.5090277777777777</v>
      </c>
      <c r="K838" s="1">
        <v>12.0</v>
      </c>
      <c r="L838" s="1">
        <v>6.75</v>
      </c>
    </row>
    <row r="839">
      <c r="A839" s="1">
        <v>489537.0</v>
      </c>
      <c r="B839" s="2" t="s">
        <v>904</v>
      </c>
      <c r="C839" s="1" t="s">
        <v>905</v>
      </c>
      <c r="D839" s="1">
        <v>1.0</v>
      </c>
      <c r="E839" s="3">
        <v>40148.509722222225</v>
      </c>
      <c r="F839" s="1">
        <v>6.75</v>
      </c>
      <c r="G839" s="1">
        <v>14040.0</v>
      </c>
      <c r="H839" s="1" t="s">
        <v>14</v>
      </c>
      <c r="I839" s="4">
        <v>40148.0</v>
      </c>
      <c r="J839" s="5">
        <v>0.5097222222222222</v>
      </c>
      <c r="K839" s="1">
        <v>12.0</v>
      </c>
      <c r="L839" s="1">
        <v>6.75</v>
      </c>
    </row>
    <row r="840">
      <c r="A840" s="1">
        <v>489537.0</v>
      </c>
      <c r="B840" s="2" t="s">
        <v>27</v>
      </c>
      <c r="C840" s="1" t="s">
        <v>28</v>
      </c>
      <c r="D840" s="1">
        <v>1.0</v>
      </c>
      <c r="E840" s="3">
        <v>40148.509722222225</v>
      </c>
      <c r="F840" s="1">
        <v>6.75</v>
      </c>
      <c r="G840" s="1">
        <v>14040.0</v>
      </c>
      <c r="H840" s="1" t="s">
        <v>14</v>
      </c>
      <c r="I840" s="4">
        <v>40148.0</v>
      </c>
      <c r="J840" s="5">
        <v>0.5097222222222222</v>
      </c>
      <c r="K840" s="1">
        <v>12.0</v>
      </c>
      <c r="L840" s="1">
        <v>6.75</v>
      </c>
    </row>
    <row r="841">
      <c r="A841" s="1">
        <v>489537.0</v>
      </c>
      <c r="B841" s="2" t="s">
        <v>1157</v>
      </c>
      <c r="C841" s="1" t="s">
        <v>1158</v>
      </c>
      <c r="D841" s="1">
        <v>2.0</v>
      </c>
      <c r="E841" s="3">
        <v>40148.509722222225</v>
      </c>
      <c r="F841" s="1">
        <v>6.75</v>
      </c>
      <c r="G841" s="1">
        <v>14040.0</v>
      </c>
      <c r="H841" s="1" t="s">
        <v>14</v>
      </c>
      <c r="I841" s="4">
        <v>40148.0</v>
      </c>
      <c r="J841" s="5">
        <v>0.5097222222222222</v>
      </c>
      <c r="K841" s="1">
        <v>12.0</v>
      </c>
      <c r="L841" s="1">
        <v>13.5</v>
      </c>
    </row>
    <row r="842">
      <c r="A842" s="1">
        <v>489537.0</v>
      </c>
      <c r="B842" s="2" t="s">
        <v>764</v>
      </c>
      <c r="C842" s="1" t="s">
        <v>765</v>
      </c>
      <c r="D842" s="1">
        <v>2.0</v>
      </c>
      <c r="E842" s="3">
        <v>40148.509722222225</v>
      </c>
      <c r="F842" s="1">
        <v>6.75</v>
      </c>
      <c r="G842" s="1">
        <v>14040.0</v>
      </c>
      <c r="H842" s="1" t="s">
        <v>14</v>
      </c>
      <c r="I842" s="4">
        <v>40148.0</v>
      </c>
      <c r="J842" s="5">
        <v>0.5097222222222222</v>
      </c>
      <c r="K842" s="1">
        <v>12.0</v>
      </c>
      <c r="L842" s="1">
        <v>13.5</v>
      </c>
    </row>
    <row r="843">
      <c r="A843" s="1">
        <v>489537.0</v>
      </c>
      <c r="B843" s="2" t="s">
        <v>768</v>
      </c>
      <c r="C843" s="1" t="s">
        <v>769</v>
      </c>
      <c r="D843" s="1">
        <v>2.0</v>
      </c>
      <c r="E843" s="3">
        <v>40148.509722222225</v>
      </c>
      <c r="F843" s="1">
        <v>6.75</v>
      </c>
      <c r="G843" s="1">
        <v>14040.0</v>
      </c>
      <c r="H843" s="1" t="s">
        <v>14</v>
      </c>
      <c r="I843" s="4">
        <v>40148.0</v>
      </c>
      <c r="J843" s="5">
        <v>0.5097222222222222</v>
      </c>
      <c r="K843" s="1">
        <v>12.0</v>
      </c>
      <c r="L843" s="1">
        <v>13.5</v>
      </c>
    </row>
    <row r="844">
      <c r="A844" s="1">
        <v>489537.0</v>
      </c>
      <c r="B844" s="2" t="s">
        <v>766</v>
      </c>
      <c r="C844" s="1" t="s">
        <v>767</v>
      </c>
      <c r="D844" s="1">
        <v>2.0</v>
      </c>
      <c r="E844" s="3">
        <v>40148.509722222225</v>
      </c>
      <c r="F844" s="1">
        <v>6.75</v>
      </c>
      <c r="G844" s="1">
        <v>14040.0</v>
      </c>
      <c r="H844" s="1" t="s">
        <v>14</v>
      </c>
      <c r="I844" s="4">
        <v>40148.0</v>
      </c>
      <c r="J844" s="5">
        <v>0.5097222222222222</v>
      </c>
      <c r="K844" s="1">
        <v>12.0</v>
      </c>
      <c r="L844" s="1">
        <v>13.5</v>
      </c>
    </row>
    <row r="845">
      <c r="A845" s="1">
        <v>489537.0</v>
      </c>
      <c r="B845" s="2" t="s">
        <v>660</v>
      </c>
      <c r="C845" s="1" t="s">
        <v>661</v>
      </c>
      <c r="D845" s="1">
        <v>2.0</v>
      </c>
      <c r="E845" s="3">
        <v>40148.509722222225</v>
      </c>
      <c r="F845" s="1">
        <v>6.75</v>
      </c>
      <c r="G845" s="1">
        <v>14040.0</v>
      </c>
      <c r="H845" s="1" t="s">
        <v>14</v>
      </c>
      <c r="I845" s="4">
        <v>40148.0</v>
      </c>
      <c r="J845" s="5">
        <v>0.5097222222222222</v>
      </c>
      <c r="K845" s="1">
        <v>12.0</v>
      </c>
      <c r="L845" s="1">
        <v>13.5</v>
      </c>
    </row>
    <row r="846">
      <c r="A846" s="1">
        <v>489537.0</v>
      </c>
      <c r="B846" s="2" t="s">
        <v>1159</v>
      </c>
      <c r="C846" s="1" t="s">
        <v>1160</v>
      </c>
      <c r="D846" s="1">
        <v>2.0</v>
      </c>
      <c r="E846" s="3">
        <v>40148.509722222225</v>
      </c>
      <c r="F846" s="1">
        <v>6.75</v>
      </c>
      <c r="G846" s="1">
        <v>14040.0</v>
      </c>
      <c r="H846" s="1" t="s">
        <v>14</v>
      </c>
      <c r="I846" s="4">
        <v>40148.0</v>
      </c>
      <c r="J846" s="5">
        <v>0.5097222222222222</v>
      </c>
      <c r="K846" s="1">
        <v>12.0</v>
      </c>
      <c r="L846" s="1">
        <v>13.5</v>
      </c>
    </row>
    <row r="847">
      <c r="A847" s="1">
        <v>489537.0</v>
      </c>
      <c r="B847" s="2" t="s">
        <v>275</v>
      </c>
      <c r="C847" s="1" t="s">
        <v>276</v>
      </c>
      <c r="D847" s="1">
        <v>10.0</v>
      </c>
      <c r="E847" s="3">
        <v>40148.509722222225</v>
      </c>
      <c r="F847" s="1">
        <v>2.95</v>
      </c>
      <c r="G847" s="1">
        <v>14040.0</v>
      </c>
      <c r="H847" s="1" t="s">
        <v>14</v>
      </c>
      <c r="I847" s="4">
        <v>40148.0</v>
      </c>
      <c r="J847" s="5">
        <v>0.5097222222222222</v>
      </c>
      <c r="K847" s="1">
        <v>12.0</v>
      </c>
      <c r="L847" s="1">
        <v>29.5</v>
      </c>
    </row>
    <row r="848">
      <c r="A848" s="1">
        <v>489537.0</v>
      </c>
      <c r="B848" s="2" t="s">
        <v>1161</v>
      </c>
      <c r="C848" s="1" t="s">
        <v>1162</v>
      </c>
      <c r="D848" s="1">
        <v>4.0</v>
      </c>
      <c r="E848" s="3">
        <v>40148.509722222225</v>
      </c>
      <c r="F848" s="1">
        <v>7.95</v>
      </c>
      <c r="G848" s="1">
        <v>14040.0</v>
      </c>
      <c r="H848" s="1" t="s">
        <v>14</v>
      </c>
      <c r="I848" s="4">
        <v>40148.0</v>
      </c>
      <c r="J848" s="5">
        <v>0.5097222222222222</v>
      </c>
      <c r="K848" s="1">
        <v>12.0</v>
      </c>
      <c r="L848" s="1">
        <v>31.8</v>
      </c>
    </row>
    <row r="849">
      <c r="A849" s="1">
        <v>489537.0</v>
      </c>
      <c r="B849" s="2" t="s">
        <v>1163</v>
      </c>
      <c r="C849" s="1" t="s">
        <v>1164</v>
      </c>
      <c r="D849" s="1">
        <v>4.0</v>
      </c>
      <c r="E849" s="3">
        <v>40148.509722222225</v>
      </c>
      <c r="F849" s="1">
        <v>3.75</v>
      </c>
      <c r="G849" s="1">
        <v>14040.0</v>
      </c>
      <c r="H849" s="1" t="s">
        <v>14</v>
      </c>
      <c r="I849" s="4">
        <v>40148.0</v>
      </c>
      <c r="J849" s="5">
        <v>0.5097222222222222</v>
      </c>
      <c r="K849" s="1">
        <v>12.0</v>
      </c>
      <c r="L849" s="1">
        <v>15.0</v>
      </c>
    </row>
    <row r="850">
      <c r="A850" s="1">
        <v>489537.0</v>
      </c>
      <c r="B850" s="2" t="s">
        <v>458</v>
      </c>
      <c r="C850" s="1" t="s">
        <v>459</v>
      </c>
      <c r="D850" s="1">
        <v>4.0</v>
      </c>
      <c r="E850" s="3">
        <v>40148.509722222225</v>
      </c>
      <c r="F850" s="1">
        <v>3.75</v>
      </c>
      <c r="G850" s="1">
        <v>14040.0</v>
      </c>
      <c r="H850" s="1" t="s">
        <v>14</v>
      </c>
      <c r="I850" s="4">
        <v>40148.0</v>
      </c>
      <c r="J850" s="5">
        <v>0.5097222222222222</v>
      </c>
      <c r="K850" s="1">
        <v>12.0</v>
      </c>
      <c r="L850" s="1">
        <v>15.0</v>
      </c>
    </row>
    <row r="851">
      <c r="A851" s="1">
        <v>489537.0</v>
      </c>
      <c r="B851" s="2" t="s">
        <v>1165</v>
      </c>
      <c r="C851" s="1" t="s">
        <v>1166</v>
      </c>
      <c r="D851" s="1">
        <v>4.0</v>
      </c>
      <c r="E851" s="3">
        <v>40148.509722222225</v>
      </c>
      <c r="F851" s="1">
        <v>3.75</v>
      </c>
      <c r="G851" s="1">
        <v>14040.0</v>
      </c>
      <c r="H851" s="1" t="s">
        <v>14</v>
      </c>
      <c r="I851" s="4">
        <v>40148.0</v>
      </c>
      <c r="J851" s="5">
        <v>0.5097222222222222</v>
      </c>
      <c r="K851" s="1">
        <v>12.0</v>
      </c>
      <c r="L851" s="1">
        <v>15.0</v>
      </c>
    </row>
    <row r="852">
      <c r="A852" s="1">
        <v>489537.0</v>
      </c>
      <c r="B852" s="2" t="s">
        <v>456</v>
      </c>
      <c r="C852" s="1" t="s">
        <v>457</v>
      </c>
      <c r="D852" s="1">
        <v>2.0</v>
      </c>
      <c r="E852" s="3">
        <v>40148.509722222225</v>
      </c>
      <c r="F852" s="1">
        <v>3.75</v>
      </c>
      <c r="G852" s="1">
        <v>14040.0</v>
      </c>
      <c r="H852" s="1" t="s">
        <v>14</v>
      </c>
      <c r="I852" s="4">
        <v>40148.0</v>
      </c>
      <c r="J852" s="5">
        <v>0.5097222222222222</v>
      </c>
      <c r="K852" s="1">
        <v>12.0</v>
      </c>
      <c r="L852" s="1">
        <v>7.5</v>
      </c>
    </row>
    <row r="853">
      <c r="A853" s="1">
        <v>489537.0</v>
      </c>
      <c r="B853" s="2" t="s">
        <v>1167</v>
      </c>
      <c r="C853" s="1" t="s">
        <v>1168</v>
      </c>
      <c r="D853" s="1">
        <v>1.0</v>
      </c>
      <c r="E853" s="3">
        <v>40148.509722222225</v>
      </c>
      <c r="F853" s="1">
        <v>19.95</v>
      </c>
      <c r="G853" s="1">
        <v>14040.0</v>
      </c>
      <c r="H853" s="1" t="s">
        <v>14</v>
      </c>
      <c r="I853" s="4">
        <v>40148.0</v>
      </c>
      <c r="J853" s="5">
        <v>0.5097222222222222</v>
      </c>
      <c r="K853" s="1">
        <v>12.0</v>
      </c>
      <c r="L853" s="1">
        <v>19.95</v>
      </c>
    </row>
    <row r="854">
      <c r="A854" s="1">
        <v>489537.0</v>
      </c>
      <c r="B854" s="2" t="s">
        <v>194</v>
      </c>
      <c r="C854" s="1" t="s">
        <v>195</v>
      </c>
      <c r="D854" s="1">
        <v>2.0</v>
      </c>
      <c r="E854" s="3">
        <v>40148.509722222225</v>
      </c>
      <c r="F854" s="1">
        <v>1.25</v>
      </c>
      <c r="G854" s="1">
        <v>14040.0</v>
      </c>
      <c r="H854" s="1" t="s">
        <v>14</v>
      </c>
      <c r="I854" s="4">
        <v>40148.0</v>
      </c>
      <c r="J854" s="5">
        <v>0.5097222222222222</v>
      </c>
      <c r="K854" s="1">
        <v>12.0</v>
      </c>
      <c r="L854" s="1">
        <v>2.5</v>
      </c>
    </row>
    <row r="855">
      <c r="A855" s="1">
        <v>489537.0</v>
      </c>
      <c r="B855" s="2" t="s">
        <v>1169</v>
      </c>
      <c r="C855" s="1" t="s">
        <v>1170</v>
      </c>
      <c r="D855" s="1">
        <v>3.0</v>
      </c>
      <c r="E855" s="3">
        <v>40148.509722222225</v>
      </c>
      <c r="F855" s="1">
        <v>1.25</v>
      </c>
      <c r="G855" s="1">
        <v>14040.0</v>
      </c>
      <c r="H855" s="1" t="s">
        <v>14</v>
      </c>
      <c r="I855" s="4">
        <v>40148.0</v>
      </c>
      <c r="J855" s="5">
        <v>0.5097222222222222</v>
      </c>
      <c r="K855" s="1">
        <v>12.0</v>
      </c>
      <c r="L855" s="1">
        <v>3.75</v>
      </c>
    </row>
    <row r="856">
      <c r="A856" s="1">
        <v>489537.0</v>
      </c>
      <c r="B856" s="2" t="s">
        <v>1171</v>
      </c>
      <c r="C856" s="1" t="s">
        <v>1172</v>
      </c>
      <c r="D856" s="1">
        <v>5.0</v>
      </c>
      <c r="E856" s="3">
        <v>40148.509722222225</v>
      </c>
      <c r="F856" s="1">
        <v>2.1</v>
      </c>
      <c r="G856" s="1">
        <v>14040.0</v>
      </c>
      <c r="H856" s="1" t="s">
        <v>14</v>
      </c>
      <c r="I856" s="4">
        <v>40148.0</v>
      </c>
      <c r="J856" s="5">
        <v>0.5097222222222222</v>
      </c>
      <c r="K856" s="1">
        <v>12.0</v>
      </c>
      <c r="L856" s="1">
        <v>10.5</v>
      </c>
    </row>
    <row r="857">
      <c r="A857" s="1">
        <v>489537.0</v>
      </c>
      <c r="B857" s="2" t="s">
        <v>107</v>
      </c>
      <c r="C857" s="1" t="s">
        <v>108</v>
      </c>
      <c r="D857" s="1">
        <v>5.0</v>
      </c>
      <c r="E857" s="3">
        <v>40148.509722222225</v>
      </c>
      <c r="F857" s="1">
        <v>1.25</v>
      </c>
      <c r="G857" s="1">
        <v>14040.0</v>
      </c>
      <c r="H857" s="1" t="s">
        <v>14</v>
      </c>
      <c r="I857" s="4">
        <v>40148.0</v>
      </c>
      <c r="J857" s="5">
        <v>0.5097222222222222</v>
      </c>
      <c r="K857" s="1">
        <v>12.0</v>
      </c>
      <c r="L857" s="1">
        <v>6.25</v>
      </c>
    </row>
    <row r="858">
      <c r="A858" s="1">
        <v>489537.0</v>
      </c>
      <c r="B858" s="2" t="s">
        <v>462</v>
      </c>
      <c r="C858" s="1" t="s">
        <v>463</v>
      </c>
      <c r="D858" s="1">
        <v>5.0</v>
      </c>
      <c r="E858" s="3">
        <v>40148.509722222225</v>
      </c>
      <c r="F858" s="1">
        <v>1.25</v>
      </c>
      <c r="G858" s="1">
        <v>14040.0</v>
      </c>
      <c r="H858" s="1" t="s">
        <v>14</v>
      </c>
      <c r="I858" s="4">
        <v>40148.0</v>
      </c>
      <c r="J858" s="5">
        <v>0.5097222222222222</v>
      </c>
      <c r="K858" s="1">
        <v>12.0</v>
      </c>
      <c r="L858" s="1">
        <v>6.25</v>
      </c>
    </row>
    <row r="859">
      <c r="A859" s="1">
        <v>489537.0</v>
      </c>
      <c r="B859" s="2" t="s">
        <v>1173</v>
      </c>
      <c r="C859" s="1" t="s">
        <v>1174</v>
      </c>
      <c r="D859" s="1">
        <v>1.0</v>
      </c>
      <c r="E859" s="3">
        <v>40148.509722222225</v>
      </c>
      <c r="F859" s="1">
        <v>4.25</v>
      </c>
      <c r="G859" s="1">
        <v>14040.0</v>
      </c>
      <c r="H859" s="1" t="s">
        <v>14</v>
      </c>
      <c r="I859" s="4">
        <v>40148.0</v>
      </c>
      <c r="J859" s="5">
        <v>0.5097222222222222</v>
      </c>
      <c r="K859" s="1">
        <v>12.0</v>
      </c>
      <c r="L859" s="1">
        <v>4.25</v>
      </c>
    </row>
    <row r="860">
      <c r="A860" s="1">
        <v>489537.0</v>
      </c>
      <c r="B860" s="2" t="s">
        <v>1175</v>
      </c>
      <c r="C860" s="1" t="s">
        <v>1176</v>
      </c>
      <c r="D860" s="1">
        <v>1.0</v>
      </c>
      <c r="E860" s="3">
        <v>40148.509722222225</v>
      </c>
      <c r="F860" s="1">
        <v>0.85</v>
      </c>
      <c r="G860" s="1">
        <v>14040.0</v>
      </c>
      <c r="H860" s="1" t="s">
        <v>14</v>
      </c>
      <c r="I860" s="4">
        <v>40148.0</v>
      </c>
      <c r="J860" s="5">
        <v>0.5097222222222222</v>
      </c>
      <c r="K860" s="1">
        <v>12.0</v>
      </c>
      <c r="L860" s="1">
        <v>0.85</v>
      </c>
    </row>
    <row r="861">
      <c r="A861" s="1">
        <v>489537.0</v>
      </c>
      <c r="B861" s="2" t="s">
        <v>793</v>
      </c>
      <c r="C861" s="1" t="s">
        <v>794</v>
      </c>
      <c r="D861" s="1">
        <v>1.0</v>
      </c>
      <c r="E861" s="3">
        <v>40148.509722222225</v>
      </c>
      <c r="F861" s="1">
        <v>2.95</v>
      </c>
      <c r="G861" s="1">
        <v>14040.0</v>
      </c>
      <c r="H861" s="1" t="s">
        <v>14</v>
      </c>
      <c r="I861" s="4">
        <v>40148.0</v>
      </c>
      <c r="J861" s="5">
        <v>0.5097222222222222</v>
      </c>
      <c r="K861" s="1">
        <v>12.0</v>
      </c>
      <c r="L861" s="1">
        <v>2.95</v>
      </c>
    </row>
    <row r="862">
      <c r="A862" s="1">
        <v>489537.0</v>
      </c>
      <c r="B862" s="2" t="s">
        <v>370</v>
      </c>
      <c r="C862" s="1" t="s">
        <v>371</v>
      </c>
      <c r="D862" s="1">
        <v>2.0</v>
      </c>
      <c r="E862" s="3">
        <v>40148.509722222225</v>
      </c>
      <c r="F862" s="1">
        <v>2.95</v>
      </c>
      <c r="G862" s="1">
        <v>14040.0</v>
      </c>
      <c r="H862" s="1" t="s">
        <v>14</v>
      </c>
      <c r="I862" s="4">
        <v>40148.0</v>
      </c>
      <c r="J862" s="5">
        <v>0.5097222222222222</v>
      </c>
      <c r="K862" s="1">
        <v>12.0</v>
      </c>
      <c r="L862" s="1">
        <v>5.9</v>
      </c>
    </row>
    <row r="863">
      <c r="A863" s="1">
        <v>489537.0</v>
      </c>
      <c r="B863" s="2" t="s">
        <v>666</v>
      </c>
      <c r="C863" s="1" t="s">
        <v>667</v>
      </c>
      <c r="D863" s="1">
        <v>6.0</v>
      </c>
      <c r="E863" s="3">
        <v>40148.509722222225</v>
      </c>
      <c r="F863" s="1">
        <v>2.55</v>
      </c>
      <c r="G863" s="1">
        <v>14040.0</v>
      </c>
      <c r="H863" s="1" t="s">
        <v>14</v>
      </c>
      <c r="I863" s="4">
        <v>40148.0</v>
      </c>
      <c r="J863" s="5">
        <v>0.5097222222222222</v>
      </c>
      <c r="K863" s="1">
        <v>12.0</v>
      </c>
      <c r="L863" s="1">
        <v>15.2999999999999</v>
      </c>
    </row>
    <row r="864">
      <c r="A864" s="1">
        <v>489537.0</v>
      </c>
      <c r="B864" s="2" t="s">
        <v>1177</v>
      </c>
      <c r="C864" s="1" t="s">
        <v>1178</v>
      </c>
      <c r="D864" s="1">
        <v>6.0</v>
      </c>
      <c r="E864" s="3">
        <v>40148.509722222225</v>
      </c>
      <c r="F864" s="1">
        <v>2.1</v>
      </c>
      <c r="G864" s="1">
        <v>14040.0</v>
      </c>
      <c r="H864" s="1" t="s">
        <v>14</v>
      </c>
      <c r="I864" s="4">
        <v>40148.0</v>
      </c>
      <c r="J864" s="5">
        <v>0.5097222222222222</v>
      </c>
      <c r="K864" s="1">
        <v>12.0</v>
      </c>
      <c r="L864" s="1">
        <v>12.6</v>
      </c>
    </row>
    <row r="865">
      <c r="A865" s="1">
        <v>489537.0</v>
      </c>
      <c r="B865" s="2" t="s">
        <v>991</v>
      </c>
      <c r="C865" s="1" t="s">
        <v>992</v>
      </c>
      <c r="D865" s="1">
        <v>5.0</v>
      </c>
      <c r="E865" s="3">
        <v>40148.509722222225</v>
      </c>
      <c r="F865" s="1">
        <v>0.85</v>
      </c>
      <c r="G865" s="1">
        <v>14040.0</v>
      </c>
      <c r="H865" s="1" t="s">
        <v>14</v>
      </c>
      <c r="I865" s="4">
        <v>40148.0</v>
      </c>
      <c r="J865" s="5">
        <v>0.5097222222222222</v>
      </c>
      <c r="K865" s="1">
        <v>12.0</v>
      </c>
      <c r="L865" s="1">
        <v>4.25</v>
      </c>
    </row>
    <row r="866">
      <c r="A866" s="1">
        <v>489537.0</v>
      </c>
      <c r="B866" s="2" t="s">
        <v>1179</v>
      </c>
      <c r="C866" s="1" t="s">
        <v>1180</v>
      </c>
      <c r="D866" s="1">
        <v>5.0</v>
      </c>
      <c r="E866" s="3">
        <v>40148.509722222225</v>
      </c>
      <c r="F866" s="1">
        <v>0.85</v>
      </c>
      <c r="G866" s="1">
        <v>14040.0</v>
      </c>
      <c r="H866" s="1" t="s">
        <v>14</v>
      </c>
      <c r="I866" s="4">
        <v>40148.0</v>
      </c>
      <c r="J866" s="5">
        <v>0.5097222222222222</v>
      </c>
      <c r="K866" s="1">
        <v>12.0</v>
      </c>
      <c r="L866" s="1">
        <v>4.25</v>
      </c>
    </row>
    <row r="867">
      <c r="A867" s="1">
        <v>489537.0</v>
      </c>
      <c r="B867" s="2" t="s">
        <v>1181</v>
      </c>
      <c r="C867" s="1" t="s">
        <v>1182</v>
      </c>
      <c r="D867" s="1">
        <v>1.0</v>
      </c>
      <c r="E867" s="3">
        <v>40148.509722222225</v>
      </c>
      <c r="F867" s="1">
        <v>4.25</v>
      </c>
      <c r="G867" s="1">
        <v>14040.0</v>
      </c>
      <c r="H867" s="1" t="s">
        <v>14</v>
      </c>
      <c r="I867" s="4">
        <v>40148.0</v>
      </c>
      <c r="J867" s="5">
        <v>0.5097222222222222</v>
      </c>
      <c r="K867" s="1">
        <v>12.0</v>
      </c>
      <c r="L867" s="1">
        <v>4.25</v>
      </c>
    </row>
    <row r="868">
      <c r="A868" s="1">
        <v>489537.0</v>
      </c>
      <c r="B868" s="2" t="s">
        <v>129</v>
      </c>
      <c r="C868" s="1" t="s">
        <v>130</v>
      </c>
      <c r="D868" s="1">
        <v>2.0</v>
      </c>
      <c r="E868" s="3">
        <v>40148.509722222225</v>
      </c>
      <c r="F868" s="1">
        <v>4.25</v>
      </c>
      <c r="G868" s="1">
        <v>14040.0</v>
      </c>
      <c r="H868" s="1" t="s">
        <v>14</v>
      </c>
      <c r="I868" s="4">
        <v>40148.0</v>
      </c>
      <c r="J868" s="5">
        <v>0.5097222222222222</v>
      </c>
      <c r="K868" s="1">
        <v>12.0</v>
      </c>
      <c r="L868" s="1">
        <v>8.5</v>
      </c>
    </row>
    <row r="869">
      <c r="A869" s="1">
        <v>489537.0</v>
      </c>
      <c r="B869" s="2" t="s">
        <v>1183</v>
      </c>
      <c r="C869" s="1" t="s">
        <v>1184</v>
      </c>
      <c r="D869" s="1">
        <v>1.0</v>
      </c>
      <c r="E869" s="3">
        <v>40148.509722222225</v>
      </c>
      <c r="F869" s="1">
        <v>2.55</v>
      </c>
      <c r="G869" s="1">
        <v>14040.0</v>
      </c>
      <c r="H869" s="1" t="s">
        <v>14</v>
      </c>
      <c r="I869" s="4">
        <v>40148.0</v>
      </c>
      <c r="J869" s="5">
        <v>0.5097222222222222</v>
      </c>
      <c r="K869" s="1">
        <v>12.0</v>
      </c>
      <c r="L869" s="1">
        <v>2.55</v>
      </c>
    </row>
    <row r="870">
      <c r="A870" s="1">
        <v>489537.0</v>
      </c>
      <c r="B870" s="2" t="s">
        <v>131</v>
      </c>
      <c r="C870" s="1" t="s">
        <v>132</v>
      </c>
      <c r="D870" s="1">
        <v>4.0</v>
      </c>
      <c r="E870" s="3">
        <v>40148.509722222225</v>
      </c>
      <c r="F870" s="1">
        <v>4.25</v>
      </c>
      <c r="G870" s="1">
        <v>14040.0</v>
      </c>
      <c r="H870" s="1" t="s">
        <v>14</v>
      </c>
      <c r="I870" s="4">
        <v>40148.0</v>
      </c>
      <c r="J870" s="5">
        <v>0.5097222222222222</v>
      </c>
      <c r="K870" s="1">
        <v>12.0</v>
      </c>
      <c r="L870" s="1">
        <v>17.0</v>
      </c>
    </row>
    <row r="871">
      <c r="A871" s="1">
        <v>489537.0</v>
      </c>
      <c r="B871" s="2" t="s">
        <v>1185</v>
      </c>
      <c r="C871" s="1" t="s">
        <v>1186</v>
      </c>
      <c r="D871" s="1">
        <v>3.0</v>
      </c>
      <c r="E871" s="3">
        <v>40148.509722222225</v>
      </c>
      <c r="F871" s="1">
        <v>2.95</v>
      </c>
      <c r="G871" s="1">
        <v>14040.0</v>
      </c>
      <c r="H871" s="1" t="s">
        <v>14</v>
      </c>
      <c r="I871" s="4">
        <v>40148.0</v>
      </c>
      <c r="J871" s="5">
        <v>0.5097222222222222</v>
      </c>
      <c r="K871" s="1">
        <v>12.0</v>
      </c>
      <c r="L871" s="1">
        <v>8.85</v>
      </c>
    </row>
    <row r="872">
      <c r="A872" s="1">
        <v>489537.0</v>
      </c>
      <c r="B872" s="2" t="s">
        <v>139</v>
      </c>
      <c r="C872" s="1" t="s">
        <v>140</v>
      </c>
      <c r="D872" s="1">
        <v>4.0</v>
      </c>
      <c r="E872" s="3">
        <v>40148.509722222225</v>
      </c>
      <c r="F872" s="1">
        <v>2.95</v>
      </c>
      <c r="G872" s="1">
        <v>14040.0</v>
      </c>
      <c r="H872" s="1" t="s">
        <v>14</v>
      </c>
      <c r="I872" s="4">
        <v>40148.0</v>
      </c>
      <c r="J872" s="5">
        <v>0.5097222222222222</v>
      </c>
      <c r="K872" s="1">
        <v>12.0</v>
      </c>
      <c r="L872" s="1">
        <v>11.8</v>
      </c>
    </row>
    <row r="873">
      <c r="A873" s="1">
        <v>489537.0</v>
      </c>
      <c r="B873" s="2" t="s">
        <v>279</v>
      </c>
      <c r="C873" s="1" t="s">
        <v>280</v>
      </c>
      <c r="D873" s="1">
        <v>3.0</v>
      </c>
      <c r="E873" s="3">
        <v>40148.509722222225</v>
      </c>
      <c r="F873" s="1">
        <v>5.95</v>
      </c>
      <c r="G873" s="1">
        <v>14040.0</v>
      </c>
      <c r="H873" s="1" t="s">
        <v>14</v>
      </c>
      <c r="I873" s="4">
        <v>40148.0</v>
      </c>
      <c r="J873" s="5">
        <v>0.5097222222222222</v>
      </c>
      <c r="K873" s="1">
        <v>12.0</v>
      </c>
      <c r="L873" s="1">
        <v>17.85</v>
      </c>
    </row>
    <row r="874">
      <c r="A874" s="1">
        <v>489537.0</v>
      </c>
      <c r="B874" s="2" t="s">
        <v>137</v>
      </c>
      <c r="C874" s="1" t="s">
        <v>138</v>
      </c>
      <c r="D874" s="1">
        <v>4.0</v>
      </c>
      <c r="E874" s="3">
        <v>40148.509722222225</v>
      </c>
      <c r="F874" s="1">
        <v>2.95</v>
      </c>
      <c r="G874" s="1">
        <v>14040.0</v>
      </c>
      <c r="H874" s="1" t="s">
        <v>14</v>
      </c>
      <c r="I874" s="4">
        <v>40148.0</v>
      </c>
      <c r="J874" s="5">
        <v>0.5097222222222222</v>
      </c>
      <c r="K874" s="1">
        <v>12.0</v>
      </c>
      <c r="L874" s="1">
        <v>11.8</v>
      </c>
    </row>
    <row r="875">
      <c r="A875" s="1">
        <v>489537.0</v>
      </c>
      <c r="B875" s="2" t="s">
        <v>452</v>
      </c>
      <c r="C875" s="1" t="s">
        <v>453</v>
      </c>
      <c r="D875" s="1">
        <v>3.0</v>
      </c>
      <c r="E875" s="3">
        <v>40148.509722222225</v>
      </c>
      <c r="F875" s="1">
        <v>2.95</v>
      </c>
      <c r="G875" s="1">
        <v>14040.0</v>
      </c>
      <c r="H875" s="1" t="s">
        <v>14</v>
      </c>
      <c r="I875" s="4">
        <v>40148.0</v>
      </c>
      <c r="J875" s="5">
        <v>0.5097222222222222</v>
      </c>
      <c r="K875" s="1">
        <v>12.0</v>
      </c>
      <c r="L875" s="1">
        <v>8.85</v>
      </c>
    </row>
    <row r="876">
      <c r="A876" s="1">
        <v>489537.0</v>
      </c>
      <c r="B876" s="2" t="s">
        <v>508</v>
      </c>
      <c r="C876" s="1" t="s">
        <v>509</v>
      </c>
      <c r="D876" s="1">
        <v>2.0</v>
      </c>
      <c r="E876" s="3">
        <v>40148.509722222225</v>
      </c>
      <c r="F876" s="1">
        <v>3.75</v>
      </c>
      <c r="G876" s="1">
        <v>14040.0</v>
      </c>
      <c r="H876" s="1" t="s">
        <v>14</v>
      </c>
      <c r="I876" s="4">
        <v>40148.0</v>
      </c>
      <c r="J876" s="5">
        <v>0.5097222222222222</v>
      </c>
      <c r="K876" s="1">
        <v>12.0</v>
      </c>
      <c r="L876" s="1">
        <v>7.5</v>
      </c>
    </row>
    <row r="877">
      <c r="A877" s="1">
        <v>489537.0</v>
      </c>
      <c r="B877" s="2" t="s">
        <v>1039</v>
      </c>
      <c r="C877" s="1" t="s">
        <v>1040</v>
      </c>
      <c r="D877" s="1">
        <v>5.0</v>
      </c>
      <c r="E877" s="3">
        <v>40148.509722222225</v>
      </c>
      <c r="F877" s="1">
        <v>2.95</v>
      </c>
      <c r="G877" s="1">
        <v>14040.0</v>
      </c>
      <c r="H877" s="1" t="s">
        <v>14</v>
      </c>
      <c r="I877" s="4">
        <v>40148.0</v>
      </c>
      <c r="J877" s="5">
        <v>0.5097222222222222</v>
      </c>
      <c r="K877" s="1">
        <v>12.0</v>
      </c>
      <c r="L877" s="1">
        <v>14.75</v>
      </c>
    </row>
    <row r="878">
      <c r="A878" s="1">
        <v>489537.0</v>
      </c>
      <c r="B878" s="2" t="s">
        <v>1187</v>
      </c>
      <c r="C878" s="1" t="s">
        <v>1188</v>
      </c>
      <c r="D878" s="1">
        <v>2.0</v>
      </c>
      <c r="E878" s="3">
        <v>40148.509722222225</v>
      </c>
      <c r="F878" s="1">
        <v>3.75</v>
      </c>
      <c r="G878" s="1">
        <v>14040.0</v>
      </c>
      <c r="H878" s="1" t="s">
        <v>14</v>
      </c>
      <c r="I878" s="4">
        <v>40148.0</v>
      </c>
      <c r="J878" s="5">
        <v>0.5097222222222222</v>
      </c>
      <c r="K878" s="1">
        <v>12.0</v>
      </c>
      <c r="L878" s="1">
        <v>7.5</v>
      </c>
    </row>
    <row r="879">
      <c r="A879" s="1">
        <v>489537.0</v>
      </c>
      <c r="B879" s="2" t="s">
        <v>442</v>
      </c>
      <c r="C879" s="1" t="s">
        <v>443</v>
      </c>
      <c r="D879" s="1">
        <v>3.0</v>
      </c>
      <c r="E879" s="3">
        <v>40148.509722222225</v>
      </c>
      <c r="F879" s="1">
        <v>2.95</v>
      </c>
      <c r="G879" s="1">
        <v>14040.0</v>
      </c>
      <c r="H879" s="1" t="s">
        <v>14</v>
      </c>
      <c r="I879" s="4">
        <v>40148.0</v>
      </c>
      <c r="J879" s="5">
        <v>0.5097222222222222</v>
      </c>
      <c r="K879" s="1">
        <v>12.0</v>
      </c>
      <c r="L879" s="1">
        <v>8.85</v>
      </c>
    </row>
    <row r="880">
      <c r="A880" s="1">
        <v>489537.0</v>
      </c>
      <c r="B880" s="2" t="s">
        <v>993</v>
      </c>
      <c r="C880" s="1" t="s">
        <v>994</v>
      </c>
      <c r="D880" s="1">
        <v>24.0</v>
      </c>
      <c r="E880" s="3">
        <v>40148.509722222225</v>
      </c>
      <c r="F880" s="1">
        <v>0.42</v>
      </c>
      <c r="G880" s="1">
        <v>14040.0</v>
      </c>
      <c r="H880" s="1" t="s">
        <v>14</v>
      </c>
      <c r="I880" s="4">
        <v>40148.0</v>
      </c>
      <c r="J880" s="5">
        <v>0.5097222222222222</v>
      </c>
      <c r="K880" s="1">
        <v>12.0</v>
      </c>
      <c r="L880" s="1">
        <v>10.08</v>
      </c>
    </row>
    <row r="881">
      <c r="A881" s="1">
        <v>489537.0</v>
      </c>
      <c r="B881" s="2" t="s">
        <v>480</v>
      </c>
      <c r="C881" s="1" t="s">
        <v>481</v>
      </c>
      <c r="D881" s="1">
        <v>20.0</v>
      </c>
      <c r="E881" s="3">
        <v>40148.509722222225</v>
      </c>
      <c r="F881" s="1">
        <v>1.25</v>
      </c>
      <c r="G881" s="1">
        <v>14040.0</v>
      </c>
      <c r="H881" s="1" t="s">
        <v>14</v>
      </c>
      <c r="I881" s="4">
        <v>40148.0</v>
      </c>
      <c r="J881" s="5">
        <v>0.5097222222222222</v>
      </c>
      <c r="K881" s="1">
        <v>12.0</v>
      </c>
      <c r="L881" s="1">
        <v>25.0</v>
      </c>
    </row>
    <row r="882">
      <c r="A882" s="1">
        <v>489537.0</v>
      </c>
      <c r="B882" s="2" t="s">
        <v>21</v>
      </c>
      <c r="C882" s="1" t="s">
        <v>22</v>
      </c>
      <c r="D882" s="1">
        <v>20.0</v>
      </c>
      <c r="E882" s="3">
        <v>40148.509722222225</v>
      </c>
      <c r="F882" s="1">
        <v>1.25</v>
      </c>
      <c r="G882" s="1">
        <v>14040.0</v>
      </c>
      <c r="H882" s="1" t="s">
        <v>14</v>
      </c>
      <c r="I882" s="4">
        <v>40148.0</v>
      </c>
      <c r="J882" s="5">
        <v>0.5097222222222222</v>
      </c>
      <c r="K882" s="1">
        <v>12.0</v>
      </c>
      <c r="L882" s="1">
        <v>25.0</v>
      </c>
    </row>
    <row r="883">
      <c r="A883" s="1">
        <v>489537.0</v>
      </c>
      <c r="B883" s="2" t="s">
        <v>1189</v>
      </c>
      <c r="C883" s="1" t="s">
        <v>1190</v>
      </c>
      <c r="D883" s="1">
        <v>1.0</v>
      </c>
      <c r="E883" s="3">
        <v>40148.509722222225</v>
      </c>
      <c r="F883" s="1">
        <v>4.95</v>
      </c>
      <c r="G883" s="1">
        <v>14040.0</v>
      </c>
      <c r="H883" s="1" t="s">
        <v>14</v>
      </c>
      <c r="I883" s="4">
        <v>40148.0</v>
      </c>
      <c r="J883" s="5">
        <v>0.5097222222222222</v>
      </c>
      <c r="K883" s="1">
        <v>12.0</v>
      </c>
      <c r="L883" s="1">
        <v>4.95</v>
      </c>
    </row>
    <row r="884">
      <c r="A884" s="1">
        <v>489537.0</v>
      </c>
      <c r="B884" s="2" t="s">
        <v>1191</v>
      </c>
      <c r="C884" s="1" t="s">
        <v>1192</v>
      </c>
      <c r="D884" s="1">
        <v>4.0</v>
      </c>
      <c r="E884" s="3">
        <v>40148.509722222225</v>
      </c>
      <c r="F884" s="1">
        <v>4.95</v>
      </c>
      <c r="G884" s="1">
        <v>14040.0</v>
      </c>
      <c r="H884" s="1" t="s">
        <v>14</v>
      </c>
      <c r="I884" s="4">
        <v>40148.0</v>
      </c>
      <c r="J884" s="5">
        <v>0.5097222222222222</v>
      </c>
      <c r="K884" s="1">
        <v>12.0</v>
      </c>
      <c r="L884" s="1">
        <v>19.8</v>
      </c>
    </row>
    <row r="885">
      <c r="A885" s="1">
        <v>489537.0</v>
      </c>
      <c r="B885" s="2" t="s">
        <v>704</v>
      </c>
      <c r="C885" s="1" t="s">
        <v>705</v>
      </c>
      <c r="D885" s="1">
        <v>3.0</v>
      </c>
      <c r="E885" s="3">
        <v>40148.509722222225</v>
      </c>
      <c r="F885" s="1">
        <v>3.95</v>
      </c>
      <c r="G885" s="1">
        <v>14040.0</v>
      </c>
      <c r="H885" s="1" t="s">
        <v>14</v>
      </c>
      <c r="I885" s="4">
        <v>40148.0</v>
      </c>
      <c r="J885" s="5">
        <v>0.5097222222222222</v>
      </c>
      <c r="K885" s="1">
        <v>12.0</v>
      </c>
      <c r="L885" s="1">
        <v>11.85</v>
      </c>
    </row>
    <row r="886">
      <c r="A886" s="1">
        <v>489537.0</v>
      </c>
      <c r="B886" s="2" t="s">
        <v>1193</v>
      </c>
      <c r="C886" s="1" t="s">
        <v>1194</v>
      </c>
      <c r="D886" s="1">
        <v>3.0</v>
      </c>
      <c r="E886" s="3">
        <v>40148.509722222225</v>
      </c>
      <c r="F886" s="1">
        <v>3.95</v>
      </c>
      <c r="G886" s="1">
        <v>14040.0</v>
      </c>
      <c r="H886" s="1" t="s">
        <v>14</v>
      </c>
      <c r="I886" s="4">
        <v>40148.0</v>
      </c>
      <c r="J886" s="5">
        <v>0.5097222222222222</v>
      </c>
      <c r="K886" s="1">
        <v>12.0</v>
      </c>
      <c r="L886" s="1">
        <v>11.85</v>
      </c>
    </row>
    <row r="887">
      <c r="A887" s="1">
        <v>489537.0</v>
      </c>
      <c r="B887" s="2" t="s">
        <v>190</v>
      </c>
      <c r="C887" s="1" t="s">
        <v>191</v>
      </c>
      <c r="D887" s="1">
        <v>1.0</v>
      </c>
      <c r="E887" s="3">
        <v>40148.509722222225</v>
      </c>
      <c r="F887" s="1">
        <v>3.75</v>
      </c>
      <c r="G887" s="1">
        <v>14040.0</v>
      </c>
      <c r="H887" s="1" t="s">
        <v>14</v>
      </c>
      <c r="I887" s="4">
        <v>40148.0</v>
      </c>
      <c r="J887" s="5">
        <v>0.5097222222222222</v>
      </c>
      <c r="K887" s="1">
        <v>12.0</v>
      </c>
      <c r="L887" s="1">
        <v>3.75</v>
      </c>
    </row>
    <row r="888">
      <c r="A888" s="1">
        <v>489537.0</v>
      </c>
      <c r="B888" s="2" t="s">
        <v>1195</v>
      </c>
      <c r="C888" s="1" t="s">
        <v>1196</v>
      </c>
      <c r="D888" s="1">
        <v>3.0</v>
      </c>
      <c r="E888" s="3">
        <v>40148.509722222225</v>
      </c>
      <c r="F888" s="1">
        <v>1.65</v>
      </c>
      <c r="G888" s="1">
        <v>14040.0</v>
      </c>
      <c r="H888" s="1" t="s">
        <v>14</v>
      </c>
      <c r="I888" s="4">
        <v>40148.0</v>
      </c>
      <c r="J888" s="5">
        <v>0.5097222222222222</v>
      </c>
      <c r="K888" s="1">
        <v>12.0</v>
      </c>
      <c r="L888" s="1">
        <v>4.94999999999999</v>
      </c>
    </row>
    <row r="889">
      <c r="A889" s="1">
        <v>489537.0</v>
      </c>
      <c r="B889" s="2" t="s">
        <v>1197</v>
      </c>
      <c r="C889" s="1" t="s">
        <v>1198</v>
      </c>
      <c r="D889" s="1">
        <v>4.0</v>
      </c>
      <c r="E889" s="3">
        <v>40148.509722222225</v>
      </c>
      <c r="F889" s="1">
        <v>2.55</v>
      </c>
      <c r="G889" s="1">
        <v>14040.0</v>
      </c>
      <c r="H889" s="1" t="s">
        <v>14</v>
      </c>
      <c r="I889" s="4">
        <v>40148.0</v>
      </c>
      <c r="J889" s="5">
        <v>0.5097222222222222</v>
      </c>
      <c r="K889" s="1">
        <v>12.0</v>
      </c>
      <c r="L889" s="1">
        <v>10.2</v>
      </c>
    </row>
    <row r="890">
      <c r="A890" s="1">
        <v>489537.0</v>
      </c>
      <c r="B890" s="2" t="s">
        <v>1183</v>
      </c>
      <c r="C890" s="1" t="s">
        <v>1184</v>
      </c>
      <c r="D890" s="1">
        <v>3.0</v>
      </c>
      <c r="E890" s="3">
        <v>40148.509722222225</v>
      </c>
      <c r="F890" s="1">
        <v>2.55</v>
      </c>
      <c r="G890" s="1">
        <v>14040.0</v>
      </c>
      <c r="H890" s="1" t="s">
        <v>14</v>
      </c>
      <c r="I890" s="4">
        <v>40148.0</v>
      </c>
      <c r="J890" s="5">
        <v>0.5097222222222222</v>
      </c>
      <c r="K890" s="1">
        <v>12.0</v>
      </c>
      <c r="L890" s="1">
        <v>7.64999999999999</v>
      </c>
    </row>
    <row r="891">
      <c r="A891" s="1">
        <v>489537.0</v>
      </c>
      <c r="B891" s="2" t="s">
        <v>1199</v>
      </c>
      <c r="C891" s="1" t="s">
        <v>1200</v>
      </c>
      <c r="D891" s="1">
        <v>3.0</v>
      </c>
      <c r="E891" s="3">
        <v>40148.509722222225</v>
      </c>
      <c r="F891" s="1">
        <v>1.25</v>
      </c>
      <c r="G891" s="1">
        <v>14040.0</v>
      </c>
      <c r="H891" s="1" t="s">
        <v>14</v>
      </c>
      <c r="I891" s="4">
        <v>40148.0</v>
      </c>
      <c r="J891" s="5">
        <v>0.5097222222222222</v>
      </c>
      <c r="K891" s="1">
        <v>12.0</v>
      </c>
      <c r="L891" s="1">
        <v>3.75</v>
      </c>
    </row>
    <row r="892">
      <c r="A892" s="1">
        <v>489537.0</v>
      </c>
      <c r="B892" s="2" t="s">
        <v>1201</v>
      </c>
      <c r="C892" s="1" t="s">
        <v>1202</v>
      </c>
      <c r="D892" s="1">
        <v>6.0</v>
      </c>
      <c r="E892" s="3">
        <v>40148.509722222225</v>
      </c>
      <c r="F892" s="1">
        <v>1.25</v>
      </c>
      <c r="G892" s="1">
        <v>14040.0</v>
      </c>
      <c r="H892" s="1" t="s">
        <v>14</v>
      </c>
      <c r="I892" s="4">
        <v>40148.0</v>
      </c>
      <c r="J892" s="5">
        <v>0.5097222222222222</v>
      </c>
      <c r="K892" s="1">
        <v>12.0</v>
      </c>
      <c r="L892" s="1">
        <v>7.5</v>
      </c>
    </row>
    <row r="893">
      <c r="A893" s="1">
        <v>489537.0</v>
      </c>
      <c r="B893" s="2" t="s">
        <v>973</v>
      </c>
      <c r="C893" s="1" t="s">
        <v>974</v>
      </c>
      <c r="D893" s="1">
        <v>6.0</v>
      </c>
      <c r="E893" s="3">
        <v>40148.509722222225</v>
      </c>
      <c r="F893" s="1">
        <v>1.25</v>
      </c>
      <c r="G893" s="1">
        <v>14040.0</v>
      </c>
      <c r="H893" s="1" t="s">
        <v>14</v>
      </c>
      <c r="I893" s="4">
        <v>40148.0</v>
      </c>
      <c r="J893" s="5">
        <v>0.5097222222222222</v>
      </c>
      <c r="K893" s="1">
        <v>12.0</v>
      </c>
      <c r="L893" s="1">
        <v>7.5</v>
      </c>
    </row>
    <row r="894">
      <c r="A894" s="1">
        <v>489537.0</v>
      </c>
      <c r="B894" s="2" t="s">
        <v>224</v>
      </c>
      <c r="C894" s="1" t="s">
        <v>225</v>
      </c>
      <c r="D894" s="1">
        <v>11.0</v>
      </c>
      <c r="E894" s="3">
        <v>40148.509722222225</v>
      </c>
      <c r="F894" s="1">
        <v>0.85</v>
      </c>
      <c r="G894" s="1">
        <v>14040.0</v>
      </c>
      <c r="H894" s="1" t="s">
        <v>14</v>
      </c>
      <c r="I894" s="4">
        <v>40148.0</v>
      </c>
      <c r="J894" s="5">
        <v>0.5097222222222222</v>
      </c>
      <c r="K894" s="1">
        <v>12.0</v>
      </c>
      <c r="L894" s="1">
        <v>9.35</v>
      </c>
    </row>
    <row r="895">
      <c r="A895" s="1">
        <v>489537.0</v>
      </c>
      <c r="B895" s="2" t="s">
        <v>510</v>
      </c>
      <c r="C895" s="1" t="s">
        <v>511</v>
      </c>
      <c r="D895" s="1">
        <v>6.0</v>
      </c>
      <c r="E895" s="3">
        <v>40148.509722222225</v>
      </c>
      <c r="F895" s="1">
        <v>1.25</v>
      </c>
      <c r="G895" s="1">
        <v>14040.0</v>
      </c>
      <c r="H895" s="1" t="s">
        <v>14</v>
      </c>
      <c r="I895" s="4">
        <v>40148.0</v>
      </c>
      <c r="J895" s="5">
        <v>0.5097222222222222</v>
      </c>
      <c r="K895" s="1">
        <v>12.0</v>
      </c>
      <c r="L895" s="1">
        <v>7.5</v>
      </c>
    </row>
    <row r="896">
      <c r="A896" s="1">
        <v>489537.0</v>
      </c>
      <c r="B896" s="2" t="s">
        <v>226</v>
      </c>
      <c r="C896" s="1" t="s">
        <v>227</v>
      </c>
      <c r="D896" s="1">
        <v>3.0</v>
      </c>
      <c r="E896" s="3">
        <v>40148.509722222225</v>
      </c>
      <c r="F896" s="1">
        <v>3.75</v>
      </c>
      <c r="G896" s="1">
        <v>14040.0</v>
      </c>
      <c r="H896" s="1" t="s">
        <v>14</v>
      </c>
      <c r="I896" s="4">
        <v>40148.0</v>
      </c>
      <c r="J896" s="5">
        <v>0.5097222222222222</v>
      </c>
      <c r="K896" s="1">
        <v>12.0</v>
      </c>
      <c r="L896" s="1">
        <v>11.25</v>
      </c>
    </row>
    <row r="897">
      <c r="A897" s="1">
        <v>489537.0</v>
      </c>
      <c r="B897" s="2" t="s">
        <v>85</v>
      </c>
      <c r="C897" s="1" t="s">
        <v>86</v>
      </c>
      <c r="D897" s="1">
        <v>2.0</v>
      </c>
      <c r="E897" s="3">
        <v>40148.509722222225</v>
      </c>
      <c r="F897" s="1">
        <v>6.75</v>
      </c>
      <c r="G897" s="1">
        <v>14040.0</v>
      </c>
      <c r="H897" s="1" t="s">
        <v>14</v>
      </c>
      <c r="I897" s="4">
        <v>40148.0</v>
      </c>
      <c r="J897" s="5">
        <v>0.5097222222222222</v>
      </c>
      <c r="K897" s="1">
        <v>12.0</v>
      </c>
      <c r="L897" s="1">
        <v>13.5</v>
      </c>
    </row>
    <row r="898">
      <c r="A898" s="1" t="s">
        <v>1203</v>
      </c>
      <c r="B898" s="2" t="s">
        <v>1204</v>
      </c>
      <c r="C898" s="1" t="s">
        <v>1205</v>
      </c>
      <c r="D898" s="1">
        <v>-4.0</v>
      </c>
      <c r="E898" s="3">
        <v>40148.5125</v>
      </c>
      <c r="F898" s="1">
        <v>6.75</v>
      </c>
      <c r="G898" s="1">
        <v>15796.0</v>
      </c>
      <c r="H898" s="1" t="s">
        <v>14</v>
      </c>
      <c r="I898" s="4">
        <v>40148.0</v>
      </c>
      <c r="J898" s="5">
        <v>0.5125</v>
      </c>
      <c r="K898" s="1">
        <v>12.0</v>
      </c>
      <c r="L898" s="1">
        <v>-27.0</v>
      </c>
    </row>
    <row r="899">
      <c r="A899" s="1" t="s">
        <v>1203</v>
      </c>
      <c r="B899" s="2" t="s">
        <v>186</v>
      </c>
      <c r="C899" s="1" t="s">
        <v>187</v>
      </c>
      <c r="D899" s="1">
        <v>-1.0</v>
      </c>
      <c r="E899" s="3">
        <v>40148.5125</v>
      </c>
      <c r="F899" s="1">
        <v>9.58</v>
      </c>
      <c r="G899" s="1">
        <v>15796.0</v>
      </c>
      <c r="H899" s="1" t="s">
        <v>14</v>
      </c>
      <c r="I899" s="4">
        <v>40148.0</v>
      </c>
      <c r="J899" s="5">
        <v>0.5125</v>
      </c>
      <c r="K899" s="1">
        <v>12.0</v>
      </c>
      <c r="L899" s="1">
        <v>-9.58</v>
      </c>
    </row>
    <row r="900">
      <c r="A900" s="1">
        <v>489540.0</v>
      </c>
      <c r="B900" s="2" t="s">
        <v>1206</v>
      </c>
      <c r="C900" s="1" t="s">
        <v>1207</v>
      </c>
      <c r="D900" s="1">
        <v>24.0</v>
      </c>
      <c r="E900" s="3">
        <v>40148.5125</v>
      </c>
      <c r="F900" s="1">
        <v>3.39</v>
      </c>
      <c r="G900" s="1">
        <v>12913.0</v>
      </c>
      <c r="H900" s="1" t="s">
        <v>14</v>
      </c>
      <c r="I900" s="4">
        <v>40148.0</v>
      </c>
      <c r="J900" s="5">
        <v>0.5125</v>
      </c>
      <c r="K900" s="1">
        <v>12.0</v>
      </c>
      <c r="L900" s="1">
        <v>81.36</v>
      </c>
    </row>
    <row r="901">
      <c r="A901" s="1">
        <v>489540.0</v>
      </c>
      <c r="B901" s="2" t="s">
        <v>41</v>
      </c>
      <c r="C901" s="1" t="s">
        <v>42</v>
      </c>
      <c r="D901" s="1">
        <v>24.0</v>
      </c>
      <c r="E901" s="3">
        <v>40148.5125</v>
      </c>
      <c r="F901" s="1">
        <v>5.45</v>
      </c>
      <c r="G901" s="1">
        <v>12913.0</v>
      </c>
      <c r="H901" s="1" t="s">
        <v>14</v>
      </c>
      <c r="I901" s="4">
        <v>40148.0</v>
      </c>
      <c r="J901" s="5">
        <v>0.5125</v>
      </c>
      <c r="K901" s="1">
        <v>12.0</v>
      </c>
      <c r="L901" s="1">
        <v>130.8</v>
      </c>
    </row>
    <row r="902">
      <c r="A902" s="1">
        <v>489540.0</v>
      </c>
      <c r="B902" s="2" t="s">
        <v>289</v>
      </c>
      <c r="C902" s="1" t="s">
        <v>290</v>
      </c>
      <c r="D902" s="1">
        <v>58.0</v>
      </c>
      <c r="E902" s="3">
        <v>40148.5125</v>
      </c>
      <c r="F902" s="1">
        <v>2.55</v>
      </c>
      <c r="G902" s="1">
        <v>12913.0</v>
      </c>
      <c r="H902" s="1" t="s">
        <v>14</v>
      </c>
      <c r="I902" s="4">
        <v>40148.0</v>
      </c>
      <c r="J902" s="5">
        <v>0.5125</v>
      </c>
      <c r="K902" s="1">
        <v>12.0</v>
      </c>
      <c r="L902" s="1">
        <v>147.899999999999</v>
      </c>
    </row>
    <row r="903">
      <c r="A903" s="1">
        <v>489540.0</v>
      </c>
      <c r="B903" s="2" t="s">
        <v>283</v>
      </c>
      <c r="C903" s="1" t="s">
        <v>284</v>
      </c>
      <c r="D903" s="1">
        <v>58.0</v>
      </c>
      <c r="E903" s="3">
        <v>40148.5125</v>
      </c>
      <c r="F903" s="1">
        <v>2.55</v>
      </c>
      <c r="G903" s="1">
        <v>12913.0</v>
      </c>
      <c r="H903" s="1" t="s">
        <v>14</v>
      </c>
      <c r="I903" s="4">
        <v>40148.0</v>
      </c>
      <c r="J903" s="5">
        <v>0.5125</v>
      </c>
      <c r="K903" s="1">
        <v>12.0</v>
      </c>
      <c r="L903" s="1">
        <v>147.899999999999</v>
      </c>
    </row>
    <row r="904">
      <c r="A904" s="1">
        <v>489540.0</v>
      </c>
      <c r="B904" s="2" t="s">
        <v>335</v>
      </c>
      <c r="C904" s="1" t="s">
        <v>336</v>
      </c>
      <c r="D904" s="1">
        <v>24.0</v>
      </c>
      <c r="E904" s="3">
        <v>40148.5125</v>
      </c>
      <c r="F904" s="1">
        <v>1.25</v>
      </c>
      <c r="G904" s="1">
        <v>12913.0</v>
      </c>
      <c r="H904" s="1" t="s">
        <v>14</v>
      </c>
      <c r="I904" s="4">
        <v>40148.0</v>
      </c>
      <c r="J904" s="5">
        <v>0.5125</v>
      </c>
      <c r="K904" s="1">
        <v>12.0</v>
      </c>
      <c r="L904" s="1">
        <v>30.0</v>
      </c>
    </row>
    <row r="905">
      <c r="A905" s="1" t="s">
        <v>1208</v>
      </c>
      <c r="B905" s="2" t="s">
        <v>1209</v>
      </c>
      <c r="C905" s="1" t="s">
        <v>1210</v>
      </c>
      <c r="D905" s="1">
        <v>-4.0</v>
      </c>
      <c r="E905" s="3">
        <v>40148.5125</v>
      </c>
      <c r="F905" s="1">
        <v>2.95</v>
      </c>
      <c r="G905" s="1">
        <v>15091.0</v>
      </c>
      <c r="H905" s="1" t="s">
        <v>14</v>
      </c>
      <c r="I905" s="4">
        <v>40148.0</v>
      </c>
      <c r="J905" s="5">
        <v>0.5125</v>
      </c>
      <c r="K905" s="1">
        <v>12.0</v>
      </c>
      <c r="L905" s="1">
        <v>-11.8</v>
      </c>
    </row>
    <row r="906">
      <c r="A906" s="1">
        <v>489539.0</v>
      </c>
      <c r="B906" s="2" t="s">
        <v>283</v>
      </c>
      <c r="C906" s="1" t="s">
        <v>284</v>
      </c>
      <c r="D906" s="1">
        <v>160.0</v>
      </c>
      <c r="E906" s="3">
        <v>40148.5125</v>
      </c>
      <c r="F906" s="1">
        <v>2.55</v>
      </c>
      <c r="G906" s="1">
        <v>15061.0</v>
      </c>
      <c r="H906" s="1" t="s">
        <v>14</v>
      </c>
      <c r="I906" s="4">
        <v>40148.0</v>
      </c>
      <c r="J906" s="5">
        <v>0.5125</v>
      </c>
      <c r="K906" s="1">
        <v>12.0</v>
      </c>
      <c r="L906" s="1">
        <v>408.0</v>
      </c>
    </row>
    <row r="907">
      <c r="A907" s="1">
        <v>489539.0</v>
      </c>
      <c r="B907" s="2" t="s">
        <v>289</v>
      </c>
      <c r="C907" s="1" t="s">
        <v>290</v>
      </c>
      <c r="D907" s="1">
        <v>160.0</v>
      </c>
      <c r="E907" s="3">
        <v>40148.5125</v>
      </c>
      <c r="F907" s="1">
        <v>2.55</v>
      </c>
      <c r="G907" s="1">
        <v>15061.0</v>
      </c>
      <c r="H907" s="1" t="s">
        <v>14</v>
      </c>
      <c r="I907" s="4">
        <v>40148.0</v>
      </c>
      <c r="J907" s="5">
        <v>0.5125</v>
      </c>
      <c r="K907" s="1">
        <v>12.0</v>
      </c>
      <c r="L907" s="1">
        <v>408.0</v>
      </c>
    </row>
    <row r="908">
      <c r="A908" s="1">
        <v>489539.0</v>
      </c>
      <c r="B908" s="2" t="s">
        <v>1211</v>
      </c>
      <c r="C908" s="1" t="s">
        <v>1212</v>
      </c>
      <c r="D908" s="1">
        <v>48.0</v>
      </c>
      <c r="E908" s="3">
        <v>40148.5125</v>
      </c>
      <c r="F908" s="1">
        <v>1.45</v>
      </c>
      <c r="G908" s="1">
        <v>15061.0</v>
      </c>
      <c r="H908" s="1" t="s">
        <v>14</v>
      </c>
      <c r="I908" s="4">
        <v>40148.0</v>
      </c>
      <c r="J908" s="5">
        <v>0.5125</v>
      </c>
      <c r="K908" s="1">
        <v>12.0</v>
      </c>
      <c r="L908" s="1">
        <v>69.6</v>
      </c>
    </row>
    <row r="909">
      <c r="A909" s="1">
        <v>489539.0</v>
      </c>
      <c r="B909" s="2" t="s">
        <v>1213</v>
      </c>
      <c r="C909" s="1" t="s">
        <v>1214</v>
      </c>
      <c r="D909" s="1">
        <v>192.0</v>
      </c>
      <c r="E909" s="3">
        <v>40148.5125</v>
      </c>
      <c r="F909" s="1">
        <v>1.45</v>
      </c>
      <c r="G909" s="1">
        <v>15061.0</v>
      </c>
      <c r="H909" s="1" t="s">
        <v>14</v>
      </c>
      <c r="I909" s="4">
        <v>40148.0</v>
      </c>
      <c r="J909" s="5">
        <v>0.5125</v>
      </c>
      <c r="K909" s="1">
        <v>12.0</v>
      </c>
      <c r="L909" s="1">
        <v>278.4</v>
      </c>
    </row>
    <row r="910">
      <c r="A910" s="1">
        <v>489539.0</v>
      </c>
      <c r="B910" s="2" t="s">
        <v>43</v>
      </c>
      <c r="C910" s="1" t="s">
        <v>44</v>
      </c>
      <c r="D910" s="1">
        <v>96.0</v>
      </c>
      <c r="E910" s="3">
        <v>40148.5125</v>
      </c>
      <c r="F910" s="1">
        <v>1.69</v>
      </c>
      <c r="G910" s="1">
        <v>15061.0</v>
      </c>
      <c r="H910" s="1" t="s">
        <v>14</v>
      </c>
      <c r="I910" s="4">
        <v>40148.0</v>
      </c>
      <c r="J910" s="5">
        <v>0.5125</v>
      </c>
      <c r="K910" s="1">
        <v>12.0</v>
      </c>
      <c r="L910" s="1">
        <v>162.24</v>
      </c>
    </row>
    <row r="911">
      <c r="A911" s="1">
        <v>489539.0</v>
      </c>
      <c r="B911" s="2" t="s">
        <v>15</v>
      </c>
      <c r="C911" s="1" t="s">
        <v>16</v>
      </c>
      <c r="D911" s="1">
        <v>24.0</v>
      </c>
      <c r="E911" s="3">
        <v>40148.5125</v>
      </c>
      <c r="F911" s="1">
        <v>5.45</v>
      </c>
      <c r="G911" s="1">
        <v>15061.0</v>
      </c>
      <c r="H911" s="1" t="s">
        <v>14</v>
      </c>
      <c r="I911" s="4">
        <v>40148.0</v>
      </c>
      <c r="J911" s="5">
        <v>0.5125</v>
      </c>
      <c r="K911" s="1">
        <v>12.0</v>
      </c>
      <c r="L911" s="1">
        <v>130.8</v>
      </c>
    </row>
    <row r="912">
      <c r="A912" s="1">
        <v>489539.0</v>
      </c>
      <c r="B912" s="2" t="s">
        <v>1159</v>
      </c>
      <c r="C912" s="1" t="s">
        <v>1160</v>
      </c>
      <c r="D912" s="1">
        <v>20.0</v>
      </c>
      <c r="E912" s="3">
        <v>40148.5125</v>
      </c>
      <c r="F912" s="1">
        <v>5.95</v>
      </c>
      <c r="G912" s="1">
        <v>15061.0</v>
      </c>
      <c r="H912" s="1" t="s">
        <v>14</v>
      </c>
      <c r="I912" s="4">
        <v>40148.0</v>
      </c>
      <c r="J912" s="5">
        <v>0.5125</v>
      </c>
      <c r="K912" s="1">
        <v>12.0</v>
      </c>
      <c r="L912" s="1">
        <v>119.0</v>
      </c>
    </row>
    <row r="913">
      <c r="A913" s="1">
        <v>489539.0</v>
      </c>
      <c r="B913" s="2" t="s">
        <v>1215</v>
      </c>
      <c r="C913" s="1" t="s">
        <v>1216</v>
      </c>
      <c r="D913" s="1">
        <v>96.0</v>
      </c>
      <c r="E913" s="3">
        <v>40148.5125</v>
      </c>
      <c r="F913" s="1">
        <v>0.85</v>
      </c>
      <c r="G913" s="1">
        <v>15061.0</v>
      </c>
      <c r="H913" s="1" t="s">
        <v>14</v>
      </c>
      <c r="I913" s="4">
        <v>40148.0</v>
      </c>
      <c r="J913" s="5">
        <v>0.5125</v>
      </c>
      <c r="K913" s="1">
        <v>12.0</v>
      </c>
      <c r="L913" s="1">
        <v>81.6</v>
      </c>
    </row>
    <row r="914">
      <c r="A914" s="1">
        <v>489539.0</v>
      </c>
      <c r="B914" s="2" t="s">
        <v>158</v>
      </c>
      <c r="C914" s="1" t="s">
        <v>159</v>
      </c>
      <c r="D914" s="1">
        <v>72.0</v>
      </c>
      <c r="E914" s="3">
        <v>40148.5125</v>
      </c>
      <c r="F914" s="1">
        <v>4.25</v>
      </c>
      <c r="G914" s="1">
        <v>15061.0</v>
      </c>
      <c r="H914" s="1" t="s">
        <v>14</v>
      </c>
      <c r="I914" s="4">
        <v>40148.0</v>
      </c>
      <c r="J914" s="5">
        <v>0.5125</v>
      </c>
      <c r="K914" s="1">
        <v>12.0</v>
      </c>
      <c r="L914" s="1">
        <v>306.0</v>
      </c>
    </row>
    <row r="915">
      <c r="A915" s="1">
        <v>489539.0</v>
      </c>
      <c r="B915" s="2" t="s">
        <v>1217</v>
      </c>
      <c r="C915" s="1" t="s">
        <v>1218</v>
      </c>
      <c r="D915" s="1">
        <v>144.0</v>
      </c>
      <c r="E915" s="3">
        <v>40148.5125</v>
      </c>
      <c r="F915" s="1">
        <v>0.85</v>
      </c>
      <c r="G915" s="1">
        <v>15061.0</v>
      </c>
      <c r="H915" s="1" t="s">
        <v>14</v>
      </c>
      <c r="I915" s="4">
        <v>40148.0</v>
      </c>
      <c r="J915" s="5">
        <v>0.5125</v>
      </c>
      <c r="K915" s="1">
        <v>12.0</v>
      </c>
      <c r="L915" s="1">
        <v>122.399999999999</v>
      </c>
    </row>
    <row r="916">
      <c r="A916" s="1">
        <v>489539.0</v>
      </c>
      <c r="B916" s="2" t="s">
        <v>392</v>
      </c>
      <c r="C916" s="1" t="s">
        <v>393</v>
      </c>
      <c r="D916" s="1">
        <v>60.0</v>
      </c>
      <c r="E916" s="3">
        <v>40148.5125</v>
      </c>
      <c r="F916" s="1">
        <v>1.06</v>
      </c>
      <c r="G916" s="1">
        <v>15061.0</v>
      </c>
      <c r="H916" s="1" t="s">
        <v>14</v>
      </c>
      <c r="I916" s="4">
        <v>40148.0</v>
      </c>
      <c r="J916" s="5">
        <v>0.5125</v>
      </c>
      <c r="K916" s="1">
        <v>12.0</v>
      </c>
      <c r="L916" s="1">
        <v>63.6</v>
      </c>
    </row>
    <row r="917">
      <c r="A917" s="1">
        <v>489539.0</v>
      </c>
      <c r="B917" s="2" t="s">
        <v>281</v>
      </c>
      <c r="C917" s="1" t="s">
        <v>282</v>
      </c>
      <c r="D917" s="1">
        <v>60.0</v>
      </c>
      <c r="E917" s="3">
        <v>40148.5125</v>
      </c>
      <c r="F917" s="1">
        <v>1.06</v>
      </c>
      <c r="G917" s="1">
        <v>15061.0</v>
      </c>
      <c r="H917" s="1" t="s">
        <v>14</v>
      </c>
      <c r="I917" s="4">
        <v>40148.0</v>
      </c>
      <c r="J917" s="5">
        <v>0.5125</v>
      </c>
      <c r="K917" s="1">
        <v>12.0</v>
      </c>
      <c r="L917" s="1">
        <v>63.6</v>
      </c>
    </row>
    <row r="918">
      <c r="A918" s="1">
        <v>489539.0</v>
      </c>
      <c r="B918" s="2" t="s">
        <v>386</v>
      </c>
      <c r="C918" s="1" t="s">
        <v>387</v>
      </c>
      <c r="D918" s="1">
        <v>60.0</v>
      </c>
      <c r="E918" s="3">
        <v>40148.5125</v>
      </c>
      <c r="F918" s="1">
        <v>1.06</v>
      </c>
      <c r="G918" s="1">
        <v>15061.0</v>
      </c>
      <c r="H918" s="1" t="s">
        <v>14</v>
      </c>
      <c r="I918" s="4">
        <v>40148.0</v>
      </c>
      <c r="J918" s="5">
        <v>0.5125</v>
      </c>
      <c r="K918" s="1">
        <v>12.0</v>
      </c>
      <c r="L918" s="1">
        <v>63.6</v>
      </c>
    </row>
    <row r="919">
      <c r="A919" s="1">
        <v>489539.0</v>
      </c>
      <c r="B919" s="2" t="s">
        <v>958</v>
      </c>
      <c r="C919" s="1" t="s">
        <v>959</v>
      </c>
      <c r="D919" s="1">
        <v>100.0</v>
      </c>
      <c r="E919" s="3">
        <v>40148.5125</v>
      </c>
      <c r="F919" s="1">
        <v>0.34</v>
      </c>
      <c r="G919" s="1">
        <v>15061.0</v>
      </c>
      <c r="H919" s="1" t="s">
        <v>14</v>
      </c>
      <c r="I919" s="4">
        <v>40148.0</v>
      </c>
      <c r="J919" s="5">
        <v>0.5125</v>
      </c>
      <c r="K919" s="1">
        <v>12.0</v>
      </c>
      <c r="L919" s="1">
        <v>34.0</v>
      </c>
    </row>
    <row r="920">
      <c r="A920" s="1">
        <v>489539.0</v>
      </c>
      <c r="B920" s="2" t="s">
        <v>1219</v>
      </c>
      <c r="C920" s="1" t="s">
        <v>1220</v>
      </c>
      <c r="D920" s="1">
        <v>96.0</v>
      </c>
      <c r="E920" s="3">
        <v>40148.5125</v>
      </c>
      <c r="F920" s="1">
        <v>3.75</v>
      </c>
      <c r="G920" s="1">
        <v>15061.0</v>
      </c>
      <c r="H920" s="1" t="s">
        <v>14</v>
      </c>
      <c r="I920" s="4">
        <v>40148.0</v>
      </c>
      <c r="J920" s="5">
        <v>0.5125</v>
      </c>
      <c r="K920" s="1">
        <v>12.0</v>
      </c>
      <c r="L920" s="1">
        <v>360.0</v>
      </c>
    </row>
    <row r="921">
      <c r="A921" s="1">
        <v>489539.0</v>
      </c>
      <c r="B921" s="2" t="s">
        <v>766</v>
      </c>
      <c r="C921" s="1" t="s">
        <v>767</v>
      </c>
      <c r="D921" s="1">
        <v>30.0</v>
      </c>
      <c r="E921" s="3">
        <v>40148.5125</v>
      </c>
      <c r="F921" s="1">
        <v>5.95</v>
      </c>
      <c r="G921" s="1">
        <v>15061.0</v>
      </c>
      <c r="H921" s="1" t="s">
        <v>14</v>
      </c>
      <c r="I921" s="4">
        <v>40148.0</v>
      </c>
      <c r="J921" s="5">
        <v>0.5125</v>
      </c>
      <c r="K921" s="1">
        <v>12.0</v>
      </c>
      <c r="L921" s="1">
        <v>178.5</v>
      </c>
    </row>
    <row r="922">
      <c r="A922" s="1">
        <v>489539.0</v>
      </c>
      <c r="B922" s="2" t="s">
        <v>1221</v>
      </c>
      <c r="C922" s="1" t="s">
        <v>1222</v>
      </c>
      <c r="D922" s="1">
        <v>180.0</v>
      </c>
      <c r="E922" s="3">
        <v>40148.5125</v>
      </c>
      <c r="F922" s="1">
        <v>0.21</v>
      </c>
      <c r="G922" s="1">
        <v>15061.0</v>
      </c>
      <c r="H922" s="1" t="s">
        <v>14</v>
      </c>
      <c r="I922" s="4">
        <v>40148.0</v>
      </c>
      <c r="J922" s="5">
        <v>0.5125</v>
      </c>
      <c r="K922" s="1">
        <v>12.0</v>
      </c>
      <c r="L922" s="1">
        <v>37.8</v>
      </c>
    </row>
    <row r="923">
      <c r="A923" s="1">
        <v>489542.0</v>
      </c>
      <c r="B923" s="2" t="s">
        <v>1223</v>
      </c>
      <c r="C923" s="1" t="s">
        <v>1224</v>
      </c>
      <c r="D923" s="1">
        <v>216.0</v>
      </c>
      <c r="E923" s="3">
        <v>40148.513194444444</v>
      </c>
      <c r="F923" s="1">
        <v>0.85</v>
      </c>
      <c r="G923" s="1">
        <v>15061.0</v>
      </c>
      <c r="H923" s="1" t="s">
        <v>14</v>
      </c>
      <c r="I923" s="4">
        <v>40148.0</v>
      </c>
      <c r="J923" s="5">
        <v>0.5131944444444444</v>
      </c>
      <c r="K923" s="1">
        <v>12.0</v>
      </c>
      <c r="L923" s="1">
        <v>183.6</v>
      </c>
    </row>
    <row r="924">
      <c r="A924" s="1">
        <v>489542.0</v>
      </c>
      <c r="B924" s="2" t="s">
        <v>158</v>
      </c>
      <c r="C924" s="1" t="s">
        <v>159</v>
      </c>
      <c r="D924" s="1">
        <v>48.0</v>
      </c>
      <c r="E924" s="3">
        <v>40148.513194444444</v>
      </c>
      <c r="F924" s="1">
        <v>4.25</v>
      </c>
      <c r="G924" s="1">
        <v>15061.0</v>
      </c>
      <c r="H924" s="1" t="s">
        <v>14</v>
      </c>
      <c r="I924" s="4">
        <v>40148.0</v>
      </c>
      <c r="J924" s="5">
        <v>0.5131944444444444</v>
      </c>
      <c r="K924" s="1">
        <v>12.0</v>
      </c>
      <c r="L924" s="1">
        <v>204.0</v>
      </c>
    </row>
    <row r="925">
      <c r="A925" s="1" t="s">
        <v>1225</v>
      </c>
      <c r="B925" s="2" t="s">
        <v>89</v>
      </c>
      <c r="C925" s="1" t="s">
        <v>90</v>
      </c>
      <c r="D925" s="1">
        <v>-2.0</v>
      </c>
      <c r="E925" s="3">
        <v>40148.513194444444</v>
      </c>
      <c r="F925" s="1">
        <v>8.95</v>
      </c>
      <c r="G925" s="1">
        <v>14292.0</v>
      </c>
      <c r="H925" s="1" t="s">
        <v>14</v>
      </c>
      <c r="I925" s="4">
        <v>40148.0</v>
      </c>
      <c r="J925" s="5">
        <v>0.5131944444444444</v>
      </c>
      <c r="K925" s="1">
        <v>12.0</v>
      </c>
      <c r="L925" s="1">
        <v>-17.9</v>
      </c>
    </row>
    <row r="926">
      <c r="A926" s="1">
        <v>489544.0</v>
      </c>
      <c r="B926" s="2" t="s">
        <v>283</v>
      </c>
      <c r="C926" s="1" t="s">
        <v>284</v>
      </c>
      <c r="D926" s="1">
        <v>18.0</v>
      </c>
      <c r="E926" s="3">
        <v>40148.51388888889</v>
      </c>
      <c r="F926" s="1">
        <v>2.95</v>
      </c>
      <c r="G926" s="1">
        <v>14341.0</v>
      </c>
      <c r="H926" s="1" t="s">
        <v>14</v>
      </c>
      <c r="I926" s="4">
        <v>40148.0</v>
      </c>
      <c r="J926" s="5">
        <v>0.5138888888888888</v>
      </c>
      <c r="K926" s="1">
        <v>12.0</v>
      </c>
      <c r="L926" s="1">
        <v>53.1</v>
      </c>
    </row>
    <row r="927">
      <c r="A927" s="1">
        <v>489544.0</v>
      </c>
      <c r="B927" s="2" t="s">
        <v>985</v>
      </c>
      <c r="C927" s="1" t="s">
        <v>986</v>
      </c>
      <c r="D927" s="1">
        <v>18.0</v>
      </c>
      <c r="E927" s="3">
        <v>40148.51388888889</v>
      </c>
      <c r="F927" s="1">
        <v>2.55</v>
      </c>
      <c r="G927" s="1">
        <v>14341.0</v>
      </c>
      <c r="H927" s="1" t="s">
        <v>14</v>
      </c>
      <c r="I927" s="4">
        <v>40148.0</v>
      </c>
      <c r="J927" s="5">
        <v>0.5138888888888888</v>
      </c>
      <c r="K927" s="1">
        <v>12.0</v>
      </c>
      <c r="L927" s="1">
        <v>45.9</v>
      </c>
    </row>
    <row r="928">
      <c r="A928" s="1">
        <v>489544.0</v>
      </c>
      <c r="B928" s="2" t="s">
        <v>153</v>
      </c>
      <c r="C928" s="1" t="s">
        <v>154</v>
      </c>
      <c r="D928" s="1">
        <v>12.0</v>
      </c>
      <c r="E928" s="3">
        <v>40148.51388888889</v>
      </c>
      <c r="F928" s="1">
        <v>1.45</v>
      </c>
      <c r="G928" s="1">
        <v>14341.0</v>
      </c>
      <c r="H928" s="1" t="s">
        <v>14</v>
      </c>
      <c r="I928" s="4">
        <v>40148.0</v>
      </c>
      <c r="J928" s="5">
        <v>0.5138888888888888</v>
      </c>
      <c r="K928" s="1">
        <v>12.0</v>
      </c>
      <c r="L928" s="1">
        <v>17.4</v>
      </c>
    </row>
    <row r="929">
      <c r="A929" s="1">
        <v>489544.0</v>
      </c>
      <c r="B929" s="2" t="s">
        <v>1189</v>
      </c>
      <c r="C929" s="1" t="s">
        <v>1190</v>
      </c>
      <c r="D929" s="1">
        <v>6.0</v>
      </c>
      <c r="E929" s="3">
        <v>40148.51388888889</v>
      </c>
      <c r="F929" s="1">
        <v>4.95</v>
      </c>
      <c r="G929" s="1">
        <v>14341.0</v>
      </c>
      <c r="H929" s="1" t="s">
        <v>14</v>
      </c>
      <c r="I929" s="4">
        <v>40148.0</v>
      </c>
      <c r="J929" s="5">
        <v>0.5138888888888888</v>
      </c>
      <c r="K929" s="1">
        <v>12.0</v>
      </c>
      <c r="L929" s="1">
        <v>29.7</v>
      </c>
    </row>
    <row r="930">
      <c r="A930" s="1">
        <v>489544.0</v>
      </c>
      <c r="B930" s="2" t="s">
        <v>1226</v>
      </c>
      <c r="C930" s="1" t="s">
        <v>1227</v>
      </c>
      <c r="D930" s="1">
        <v>12.0</v>
      </c>
      <c r="E930" s="3">
        <v>40148.51388888889</v>
      </c>
      <c r="F930" s="1">
        <v>0.19</v>
      </c>
      <c r="G930" s="1">
        <v>14341.0</v>
      </c>
      <c r="H930" s="1" t="s">
        <v>14</v>
      </c>
      <c r="I930" s="4">
        <v>40148.0</v>
      </c>
      <c r="J930" s="5">
        <v>0.5138888888888888</v>
      </c>
      <c r="K930" s="1">
        <v>12.0</v>
      </c>
      <c r="L930" s="1">
        <v>2.28</v>
      </c>
    </row>
    <row r="931">
      <c r="A931" s="1">
        <v>489544.0</v>
      </c>
      <c r="B931" s="2" t="s">
        <v>1081</v>
      </c>
      <c r="C931" s="1" t="s">
        <v>1082</v>
      </c>
      <c r="D931" s="1">
        <v>24.0</v>
      </c>
      <c r="E931" s="3">
        <v>40148.51388888889</v>
      </c>
      <c r="F931" s="1">
        <v>0.65</v>
      </c>
      <c r="G931" s="1">
        <v>14341.0</v>
      </c>
      <c r="H931" s="1" t="s">
        <v>14</v>
      </c>
      <c r="I931" s="4">
        <v>40148.0</v>
      </c>
      <c r="J931" s="5">
        <v>0.5138888888888888</v>
      </c>
      <c r="K931" s="1">
        <v>12.0</v>
      </c>
      <c r="L931" s="1">
        <v>15.6</v>
      </c>
    </row>
    <row r="932">
      <c r="A932" s="1">
        <v>489544.0</v>
      </c>
      <c r="B932" s="2" t="s">
        <v>1228</v>
      </c>
      <c r="C932" s="1" t="s">
        <v>1229</v>
      </c>
      <c r="D932" s="1">
        <v>12.0</v>
      </c>
      <c r="E932" s="3">
        <v>40148.51388888889</v>
      </c>
      <c r="F932" s="1">
        <v>0.85</v>
      </c>
      <c r="G932" s="1">
        <v>14341.0</v>
      </c>
      <c r="H932" s="1" t="s">
        <v>14</v>
      </c>
      <c r="I932" s="4">
        <v>40148.0</v>
      </c>
      <c r="J932" s="5">
        <v>0.5138888888888888</v>
      </c>
      <c r="K932" s="1">
        <v>12.0</v>
      </c>
      <c r="L932" s="1">
        <v>10.2</v>
      </c>
    </row>
    <row r="933">
      <c r="A933" s="1">
        <v>489544.0</v>
      </c>
      <c r="B933" s="2" t="s">
        <v>875</v>
      </c>
      <c r="C933" s="1" t="s">
        <v>876</v>
      </c>
      <c r="D933" s="1">
        <v>6.0</v>
      </c>
      <c r="E933" s="3">
        <v>40148.51388888889</v>
      </c>
      <c r="F933" s="1">
        <v>2.95</v>
      </c>
      <c r="G933" s="1">
        <v>14341.0</v>
      </c>
      <c r="H933" s="1" t="s">
        <v>14</v>
      </c>
      <c r="I933" s="4">
        <v>40148.0</v>
      </c>
      <c r="J933" s="5">
        <v>0.5138888888888888</v>
      </c>
      <c r="K933" s="1">
        <v>12.0</v>
      </c>
      <c r="L933" s="1">
        <v>17.7</v>
      </c>
    </row>
    <row r="934">
      <c r="A934" s="1">
        <v>489544.0</v>
      </c>
      <c r="B934" s="2" t="s">
        <v>997</v>
      </c>
      <c r="C934" s="1" t="s">
        <v>998</v>
      </c>
      <c r="D934" s="1">
        <v>6.0</v>
      </c>
      <c r="E934" s="3">
        <v>40148.51388888889</v>
      </c>
      <c r="F934" s="1">
        <v>3.75</v>
      </c>
      <c r="G934" s="1">
        <v>14341.0</v>
      </c>
      <c r="H934" s="1" t="s">
        <v>14</v>
      </c>
      <c r="I934" s="4">
        <v>40148.0</v>
      </c>
      <c r="J934" s="5">
        <v>0.5138888888888888</v>
      </c>
      <c r="K934" s="1">
        <v>12.0</v>
      </c>
      <c r="L934" s="1">
        <v>22.5</v>
      </c>
    </row>
    <row r="935">
      <c r="A935" s="1">
        <v>489544.0</v>
      </c>
      <c r="B935" s="2" t="s">
        <v>981</v>
      </c>
      <c r="C935" s="1" t="s">
        <v>982</v>
      </c>
      <c r="D935" s="1">
        <v>48.0</v>
      </c>
      <c r="E935" s="3">
        <v>40148.51388888889</v>
      </c>
      <c r="F935" s="1">
        <v>0.29</v>
      </c>
      <c r="G935" s="1">
        <v>14341.0</v>
      </c>
      <c r="H935" s="1" t="s">
        <v>14</v>
      </c>
      <c r="I935" s="4">
        <v>40148.0</v>
      </c>
      <c r="J935" s="5">
        <v>0.5138888888888888</v>
      </c>
      <c r="K935" s="1">
        <v>12.0</v>
      </c>
      <c r="L935" s="1">
        <v>13.9199999999999</v>
      </c>
    </row>
    <row r="936">
      <c r="A936" s="1">
        <v>489544.0</v>
      </c>
      <c r="B936" s="2" t="s">
        <v>1230</v>
      </c>
      <c r="C936" s="1" t="s">
        <v>1231</v>
      </c>
      <c r="D936" s="1">
        <v>48.0</v>
      </c>
      <c r="E936" s="3">
        <v>40148.51388888889</v>
      </c>
      <c r="F936" s="1">
        <v>0.29</v>
      </c>
      <c r="G936" s="1">
        <v>14341.0</v>
      </c>
      <c r="H936" s="1" t="s">
        <v>14</v>
      </c>
      <c r="I936" s="4">
        <v>40148.0</v>
      </c>
      <c r="J936" s="5">
        <v>0.5138888888888888</v>
      </c>
      <c r="K936" s="1">
        <v>12.0</v>
      </c>
      <c r="L936" s="1">
        <v>13.9199999999999</v>
      </c>
    </row>
    <row r="937">
      <c r="A937" s="1">
        <v>489544.0</v>
      </c>
      <c r="B937" s="2" t="s">
        <v>279</v>
      </c>
      <c r="C937" s="1" t="s">
        <v>280</v>
      </c>
      <c r="D937" s="1">
        <v>3.0</v>
      </c>
      <c r="E937" s="3">
        <v>40148.51388888889</v>
      </c>
      <c r="F937" s="1">
        <v>5.95</v>
      </c>
      <c r="G937" s="1">
        <v>14341.0</v>
      </c>
      <c r="H937" s="1" t="s">
        <v>14</v>
      </c>
      <c r="I937" s="4">
        <v>40148.0</v>
      </c>
      <c r="J937" s="5">
        <v>0.5138888888888888</v>
      </c>
      <c r="K937" s="1">
        <v>12.0</v>
      </c>
      <c r="L937" s="1">
        <v>17.85</v>
      </c>
    </row>
    <row r="938">
      <c r="A938" s="1">
        <v>489544.0</v>
      </c>
      <c r="B938" s="2" t="s">
        <v>81</v>
      </c>
      <c r="C938" s="1" t="s">
        <v>82</v>
      </c>
      <c r="D938" s="1">
        <v>1.0</v>
      </c>
      <c r="E938" s="3">
        <v>40148.51388888889</v>
      </c>
      <c r="F938" s="1">
        <v>6.75</v>
      </c>
      <c r="G938" s="1">
        <v>14341.0</v>
      </c>
      <c r="H938" s="1" t="s">
        <v>14</v>
      </c>
      <c r="I938" s="4">
        <v>40148.0</v>
      </c>
      <c r="J938" s="5">
        <v>0.5138888888888888</v>
      </c>
      <c r="K938" s="1">
        <v>12.0</v>
      </c>
      <c r="L938" s="1">
        <v>6.75</v>
      </c>
    </row>
    <row r="939">
      <c r="A939" s="1">
        <v>489544.0</v>
      </c>
      <c r="B939" s="2" t="s">
        <v>1033</v>
      </c>
      <c r="C939" s="1" t="s">
        <v>1034</v>
      </c>
      <c r="D939" s="1">
        <v>12.0</v>
      </c>
      <c r="E939" s="3">
        <v>40148.51388888889</v>
      </c>
      <c r="F939" s="1">
        <v>1.25</v>
      </c>
      <c r="G939" s="1">
        <v>14341.0</v>
      </c>
      <c r="H939" s="1" t="s">
        <v>14</v>
      </c>
      <c r="I939" s="4">
        <v>40148.0</v>
      </c>
      <c r="J939" s="5">
        <v>0.5138888888888888</v>
      </c>
      <c r="K939" s="1">
        <v>12.0</v>
      </c>
      <c r="L939" s="1">
        <v>15.0</v>
      </c>
    </row>
    <row r="940">
      <c r="A940" s="1">
        <v>489545.0</v>
      </c>
      <c r="B940" s="2" t="s">
        <v>490</v>
      </c>
      <c r="C940" s="1" t="s">
        <v>491</v>
      </c>
      <c r="D940" s="1">
        <v>1.0</v>
      </c>
      <c r="E940" s="3">
        <v>40148.51527777778</v>
      </c>
      <c r="F940" s="1">
        <v>12.75</v>
      </c>
      <c r="G940" s="1">
        <v>17804.0</v>
      </c>
      <c r="H940" s="1" t="s">
        <v>14</v>
      </c>
      <c r="I940" s="4">
        <v>40148.0</v>
      </c>
      <c r="J940" s="5">
        <v>0.5152777777777777</v>
      </c>
      <c r="K940" s="1">
        <v>12.0</v>
      </c>
      <c r="L940" s="1">
        <v>12.75</v>
      </c>
    </row>
    <row r="941">
      <c r="A941" s="1">
        <v>489545.0</v>
      </c>
      <c r="B941" s="2" t="s">
        <v>1039</v>
      </c>
      <c r="C941" s="1" t="s">
        <v>1040</v>
      </c>
      <c r="D941" s="1">
        <v>2.0</v>
      </c>
      <c r="E941" s="3">
        <v>40148.51527777778</v>
      </c>
      <c r="F941" s="1">
        <v>2.95</v>
      </c>
      <c r="G941" s="1">
        <v>17804.0</v>
      </c>
      <c r="H941" s="1" t="s">
        <v>14</v>
      </c>
      <c r="I941" s="4">
        <v>40148.0</v>
      </c>
      <c r="J941" s="5">
        <v>0.5152777777777777</v>
      </c>
      <c r="K941" s="1">
        <v>12.0</v>
      </c>
      <c r="L941" s="1">
        <v>5.9</v>
      </c>
    </row>
    <row r="942">
      <c r="A942" s="1">
        <v>489545.0</v>
      </c>
      <c r="B942" s="2" t="s">
        <v>1232</v>
      </c>
      <c r="C942" s="1" t="s">
        <v>1233</v>
      </c>
      <c r="D942" s="1">
        <v>1.0</v>
      </c>
      <c r="E942" s="3">
        <v>40148.51527777778</v>
      </c>
      <c r="F942" s="1">
        <v>3.45</v>
      </c>
      <c r="G942" s="1">
        <v>17804.0</v>
      </c>
      <c r="H942" s="1" t="s">
        <v>14</v>
      </c>
      <c r="I942" s="4">
        <v>40148.0</v>
      </c>
      <c r="J942" s="5">
        <v>0.5152777777777777</v>
      </c>
      <c r="K942" s="1">
        <v>12.0</v>
      </c>
      <c r="L942" s="1">
        <v>3.45</v>
      </c>
    </row>
    <row r="943">
      <c r="A943" s="1">
        <v>489545.0</v>
      </c>
      <c r="B943" s="2" t="s">
        <v>696</v>
      </c>
      <c r="C943" s="1" t="s">
        <v>697</v>
      </c>
      <c r="D943" s="1">
        <v>1.0</v>
      </c>
      <c r="E943" s="3">
        <v>40148.51527777778</v>
      </c>
      <c r="F943" s="1">
        <v>3.45</v>
      </c>
      <c r="G943" s="1">
        <v>17804.0</v>
      </c>
      <c r="H943" s="1" t="s">
        <v>14</v>
      </c>
      <c r="I943" s="4">
        <v>40148.0</v>
      </c>
      <c r="J943" s="5">
        <v>0.5152777777777777</v>
      </c>
      <c r="K943" s="1">
        <v>12.0</v>
      </c>
      <c r="L943" s="1">
        <v>3.45</v>
      </c>
    </row>
    <row r="944">
      <c r="A944" s="1">
        <v>489545.0</v>
      </c>
      <c r="B944" s="2" t="s">
        <v>454</v>
      </c>
      <c r="C944" s="1" t="s">
        <v>455</v>
      </c>
      <c r="D944" s="1">
        <v>2.0</v>
      </c>
      <c r="E944" s="3">
        <v>40148.51527777778</v>
      </c>
      <c r="F944" s="1">
        <v>3.45</v>
      </c>
      <c r="G944" s="1">
        <v>17804.0</v>
      </c>
      <c r="H944" s="1" t="s">
        <v>14</v>
      </c>
      <c r="I944" s="4">
        <v>40148.0</v>
      </c>
      <c r="J944" s="5">
        <v>0.5152777777777777</v>
      </c>
      <c r="K944" s="1">
        <v>12.0</v>
      </c>
      <c r="L944" s="1">
        <v>6.9</v>
      </c>
    </row>
    <row r="945">
      <c r="A945" s="1">
        <v>489545.0</v>
      </c>
      <c r="B945" s="2" t="s">
        <v>868</v>
      </c>
      <c r="C945" s="1" t="s">
        <v>869</v>
      </c>
      <c r="D945" s="1">
        <v>1.0</v>
      </c>
      <c r="E945" s="3">
        <v>40148.51527777778</v>
      </c>
      <c r="F945" s="1">
        <v>2.95</v>
      </c>
      <c r="G945" s="1">
        <v>17804.0</v>
      </c>
      <c r="H945" s="1" t="s">
        <v>14</v>
      </c>
      <c r="I945" s="4">
        <v>40148.0</v>
      </c>
      <c r="J945" s="5">
        <v>0.5152777777777777</v>
      </c>
      <c r="K945" s="1">
        <v>12.0</v>
      </c>
      <c r="L945" s="1">
        <v>2.95</v>
      </c>
    </row>
    <row r="946">
      <c r="A946" s="1">
        <v>489545.0</v>
      </c>
      <c r="B946" s="2" t="s">
        <v>1234</v>
      </c>
      <c r="C946" s="1" t="s">
        <v>1235</v>
      </c>
      <c r="D946" s="1">
        <v>6.0</v>
      </c>
      <c r="E946" s="3">
        <v>40148.51527777778</v>
      </c>
      <c r="F946" s="1">
        <v>1.25</v>
      </c>
      <c r="G946" s="1">
        <v>17804.0</v>
      </c>
      <c r="H946" s="1" t="s">
        <v>14</v>
      </c>
      <c r="I946" s="4">
        <v>40148.0</v>
      </c>
      <c r="J946" s="5">
        <v>0.5152777777777777</v>
      </c>
      <c r="K946" s="1">
        <v>12.0</v>
      </c>
      <c r="L946" s="1">
        <v>7.5</v>
      </c>
    </row>
    <row r="947">
      <c r="A947" s="1">
        <v>489545.0</v>
      </c>
      <c r="B947" s="2" t="s">
        <v>710</v>
      </c>
      <c r="C947" s="1" t="s">
        <v>711</v>
      </c>
      <c r="D947" s="1">
        <v>1.0</v>
      </c>
      <c r="E947" s="3">
        <v>40148.51527777778</v>
      </c>
      <c r="F947" s="1">
        <v>1.25</v>
      </c>
      <c r="G947" s="1">
        <v>17804.0</v>
      </c>
      <c r="H947" s="1" t="s">
        <v>14</v>
      </c>
      <c r="I947" s="4">
        <v>40148.0</v>
      </c>
      <c r="J947" s="5">
        <v>0.5152777777777777</v>
      </c>
      <c r="K947" s="1">
        <v>12.0</v>
      </c>
      <c r="L947" s="1">
        <v>1.25</v>
      </c>
    </row>
    <row r="948">
      <c r="A948" s="1">
        <v>489545.0</v>
      </c>
      <c r="B948" s="2" t="s">
        <v>1236</v>
      </c>
      <c r="C948" s="1" t="s">
        <v>1237</v>
      </c>
      <c r="D948" s="1">
        <v>6.0</v>
      </c>
      <c r="E948" s="3">
        <v>40148.51527777778</v>
      </c>
      <c r="F948" s="1">
        <v>0.42</v>
      </c>
      <c r="G948" s="1">
        <v>17804.0</v>
      </c>
      <c r="H948" s="1" t="s">
        <v>14</v>
      </c>
      <c r="I948" s="4">
        <v>40148.0</v>
      </c>
      <c r="J948" s="5">
        <v>0.5152777777777777</v>
      </c>
      <c r="K948" s="1">
        <v>12.0</v>
      </c>
      <c r="L948" s="1">
        <v>2.52</v>
      </c>
    </row>
    <row r="949">
      <c r="A949" s="1">
        <v>489545.0</v>
      </c>
      <c r="B949" s="2" t="s">
        <v>400</v>
      </c>
      <c r="C949" s="1" t="s">
        <v>401</v>
      </c>
      <c r="D949" s="1">
        <v>1.0</v>
      </c>
      <c r="E949" s="3">
        <v>40148.51527777778</v>
      </c>
      <c r="F949" s="1">
        <v>1.45</v>
      </c>
      <c r="G949" s="1">
        <v>17804.0</v>
      </c>
      <c r="H949" s="1" t="s">
        <v>14</v>
      </c>
      <c r="I949" s="4">
        <v>40148.0</v>
      </c>
      <c r="J949" s="5">
        <v>0.5152777777777777</v>
      </c>
      <c r="K949" s="1">
        <v>12.0</v>
      </c>
      <c r="L949" s="1">
        <v>1.45</v>
      </c>
    </row>
    <row r="950">
      <c r="A950" s="1">
        <v>489545.0</v>
      </c>
      <c r="B950" s="2" t="s">
        <v>93</v>
      </c>
      <c r="C950" s="1" t="s">
        <v>94</v>
      </c>
      <c r="D950" s="1">
        <v>2.0</v>
      </c>
      <c r="E950" s="3">
        <v>40148.51527777778</v>
      </c>
      <c r="F950" s="1">
        <v>1.25</v>
      </c>
      <c r="G950" s="1">
        <v>17804.0</v>
      </c>
      <c r="H950" s="1" t="s">
        <v>14</v>
      </c>
      <c r="I950" s="4">
        <v>40148.0</v>
      </c>
      <c r="J950" s="5">
        <v>0.5152777777777777</v>
      </c>
      <c r="K950" s="1">
        <v>12.0</v>
      </c>
      <c r="L950" s="1">
        <v>2.5</v>
      </c>
    </row>
    <row r="951">
      <c r="A951" s="1">
        <v>489545.0</v>
      </c>
      <c r="B951" s="2" t="s">
        <v>1238</v>
      </c>
      <c r="C951" s="1" t="s">
        <v>1239</v>
      </c>
      <c r="D951" s="1">
        <v>15.0</v>
      </c>
      <c r="E951" s="3">
        <v>40148.51527777778</v>
      </c>
      <c r="F951" s="1">
        <v>0.42</v>
      </c>
      <c r="G951" s="1">
        <v>17804.0</v>
      </c>
      <c r="H951" s="1" t="s">
        <v>14</v>
      </c>
      <c r="I951" s="4">
        <v>40148.0</v>
      </c>
      <c r="J951" s="5">
        <v>0.5152777777777777</v>
      </c>
      <c r="K951" s="1">
        <v>12.0</v>
      </c>
      <c r="L951" s="1">
        <v>6.3</v>
      </c>
    </row>
    <row r="952">
      <c r="A952" s="1">
        <v>489545.0</v>
      </c>
      <c r="B952" s="2" t="s">
        <v>1240</v>
      </c>
      <c r="C952" s="1" t="s">
        <v>1241</v>
      </c>
      <c r="D952" s="1">
        <v>3.0</v>
      </c>
      <c r="E952" s="3">
        <v>40148.51527777778</v>
      </c>
      <c r="F952" s="1">
        <v>2.1</v>
      </c>
      <c r="G952" s="1">
        <v>17804.0</v>
      </c>
      <c r="H952" s="1" t="s">
        <v>14</v>
      </c>
      <c r="I952" s="4">
        <v>40148.0</v>
      </c>
      <c r="J952" s="5">
        <v>0.5152777777777777</v>
      </c>
      <c r="K952" s="1">
        <v>12.0</v>
      </c>
      <c r="L952" s="1">
        <v>6.3</v>
      </c>
    </row>
    <row r="953">
      <c r="A953" s="1">
        <v>489545.0</v>
      </c>
      <c r="B953" s="2" t="s">
        <v>158</v>
      </c>
      <c r="C953" s="1" t="s">
        <v>159</v>
      </c>
      <c r="D953" s="1">
        <v>4.0</v>
      </c>
      <c r="E953" s="3">
        <v>40148.51527777778</v>
      </c>
      <c r="F953" s="1">
        <v>4.95</v>
      </c>
      <c r="G953" s="1">
        <v>17804.0</v>
      </c>
      <c r="H953" s="1" t="s">
        <v>14</v>
      </c>
      <c r="I953" s="4">
        <v>40148.0</v>
      </c>
      <c r="J953" s="5">
        <v>0.5152777777777777</v>
      </c>
      <c r="K953" s="1">
        <v>12.0</v>
      </c>
      <c r="L953" s="1">
        <v>19.8</v>
      </c>
    </row>
    <row r="954">
      <c r="A954" s="1">
        <v>489545.0</v>
      </c>
      <c r="B954" s="2" t="s">
        <v>75</v>
      </c>
      <c r="C954" s="1" t="s">
        <v>76</v>
      </c>
      <c r="D954" s="1">
        <v>1.0</v>
      </c>
      <c r="E954" s="3">
        <v>40148.51527777778</v>
      </c>
      <c r="F954" s="1">
        <v>2.1</v>
      </c>
      <c r="G954" s="1">
        <v>17804.0</v>
      </c>
      <c r="H954" s="1" t="s">
        <v>14</v>
      </c>
      <c r="I954" s="4">
        <v>40148.0</v>
      </c>
      <c r="J954" s="5">
        <v>0.5152777777777777</v>
      </c>
      <c r="K954" s="1">
        <v>12.0</v>
      </c>
      <c r="L954" s="1">
        <v>2.1</v>
      </c>
    </row>
    <row r="955">
      <c r="A955" s="1">
        <v>489545.0</v>
      </c>
      <c r="B955" s="2" t="s">
        <v>801</v>
      </c>
      <c r="C955" s="1" t="s">
        <v>802</v>
      </c>
      <c r="D955" s="1">
        <v>3.0</v>
      </c>
      <c r="E955" s="3">
        <v>40148.51527777778</v>
      </c>
      <c r="F955" s="1">
        <v>0.85</v>
      </c>
      <c r="G955" s="1">
        <v>17804.0</v>
      </c>
      <c r="H955" s="1" t="s">
        <v>14</v>
      </c>
      <c r="I955" s="4">
        <v>40148.0</v>
      </c>
      <c r="J955" s="5">
        <v>0.5152777777777777</v>
      </c>
      <c r="K955" s="1">
        <v>12.0</v>
      </c>
      <c r="L955" s="1">
        <v>2.55</v>
      </c>
    </row>
    <row r="956">
      <c r="A956" s="1">
        <v>489545.0</v>
      </c>
      <c r="B956" s="2" t="s">
        <v>1242</v>
      </c>
      <c r="C956" s="1" t="s">
        <v>1243</v>
      </c>
      <c r="D956" s="1">
        <v>1.0</v>
      </c>
      <c r="E956" s="3">
        <v>40148.51527777778</v>
      </c>
      <c r="F956" s="1">
        <v>1.65</v>
      </c>
      <c r="G956" s="1">
        <v>17804.0</v>
      </c>
      <c r="H956" s="1" t="s">
        <v>14</v>
      </c>
      <c r="I956" s="4">
        <v>40148.0</v>
      </c>
      <c r="J956" s="5">
        <v>0.5152777777777777</v>
      </c>
      <c r="K956" s="1">
        <v>12.0</v>
      </c>
      <c r="L956" s="1">
        <v>1.65</v>
      </c>
    </row>
    <row r="957">
      <c r="A957" s="1">
        <v>489545.0</v>
      </c>
      <c r="B957" s="2" t="s">
        <v>1244</v>
      </c>
      <c r="C957" s="1" t="s">
        <v>1245</v>
      </c>
      <c r="D957" s="1">
        <v>1.0</v>
      </c>
      <c r="E957" s="3">
        <v>40148.51527777778</v>
      </c>
      <c r="F957" s="1">
        <v>1.65</v>
      </c>
      <c r="G957" s="1">
        <v>17804.0</v>
      </c>
      <c r="H957" s="1" t="s">
        <v>14</v>
      </c>
      <c r="I957" s="4">
        <v>40148.0</v>
      </c>
      <c r="J957" s="5">
        <v>0.5152777777777777</v>
      </c>
      <c r="K957" s="1">
        <v>12.0</v>
      </c>
      <c r="L957" s="1">
        <v>1.65</v>
      </c>
    </row>
    <row r="958">
      <c r="A958" s="1">
        <v>489545.0</v>
      </c>
      <c r="B958" s="2" t="s">
        <v>370</v>
      </c>
      <c r="C958" s="1" t="s">
        <v>371</v>
      </c>
      <c r="D958" s="1">
        <v>1.0</v>
      </c>
      <c r="E958" s="3">
        <v>40148.51527777778</v>
      </c>
      <c r="F958" s="1">
        <v>2.95</v>
      </c>
      <c r="G958" s="1">
        <v>17804.0</v>
      </c>
      <c r="H958" s="1" t="s">
        <v>14</v>
      </c>
      <c r="I958" s="4">
        <v>40148.0</v>
      </c>
      <c r="J958" s="5">
        <v>0.5152777777777777</v>
      </c>
      <c r="K958" s="1">
        <v>12.0</v>
      </c>
      <c r="L958" s="1">
        <v>2.95</v>
      </c>
    </row>
    <row r="959">
      <c r="A959" s="1">
        <v>489545.0</v>
      </c>
      <c r="B959" s="2" t="s">
        <v>111</v>
      </c>
      <c r="C959" s="1" t="s">
        <v>112</v>
      </c>
      <c r="D959" s="1">
        <v>1.0</v>
      </c>
      <c r="E959" s="3">
        <v>40148.51527777778</v>
      </c>
      <c r="F959" s="1">
        <v>2.95</v>
      </c>
      <c r="G959" s="1">
        <v>17804.0</v>
      </c>
      <c r="H959" s="1" t="s">
        <v>14</v>
      </c>
      <c r="I959" s="4">
        <v>40148.0</v>
      </c>
      <c r="J959" s="5">
        <v>0.5152777777777777</v>
      </c>
      <c r="K959" s="1">
        <v>12.0</v>
      </c>
      <c r="L959" s="1">
        <v>2.95</v>
      </c>
    </row>
    <row r="960">
      <c r="A960" s="1">
        <v>489545.0</v>
      </c>
      <c r="B960" s="2" t="s">
        <v>113</v>
      </c>
      <c r="C960" s="1" t="s">
        <v>114</v>
      </c>
      <c r="D960" s="1">
        <v>1.0</v>
      </c>
      <c r="E960" s="3">
        <v>40148.51527777778</v>
      </c>
      <c r="F960" s="1">
        <v>2.95</v>
      </c>
      <c r="G960" s="1">
        <v>17804.0</v>
      </c>
      <c r="H960" s="1" t="s">
        <v>14</v>
      </c>
      <c r="I960" s="4">
        <v>40148.0</v>
      </c>
      <c r="J960" s="5">
        <v>0.5152777777777777</v>
      </c>
      <c r="K960" s="1">
        <v>12.0</v>
      </c>
      <c r="L960" s="1">
        <v>2.95</v>
      </c>
    </row>
    <row r="961">
      <c r="A961" s="1">
        <v>489545.0</v>
      </c>
      <c r="B961" s="2" t="s">
        <v>920</v>
      </c>
      <c r="C961" s="1" t="s">
        <v>921</v>
      </c>
      <c r="D961" s="1">
        <v>1.0</v>
      </c>
      <c r="E961" s="3">
        <v>40148.51527777778</v>
      </c>
      <c r="F961" s="1">
        <v>1.25</v>
      </c>
      <c r="G961" s="1">
        <v>17804.0</v>
      </c>
      <c r="H961" s="1" t="s">
        <v>14</v>
      </c>
      <c r="I961" s="4">
        <v>40148.0</v>
      </c>
      <c r="J961" s="5">
        <v>0.5152777777777777</v>
      </c>
      <c r="K961" s="1">
        <v>12.0</v>
      </c>
      <c r="L961" s="1">
        <v>1.25</v>
      </c>
    </row>
    <row r="962">
      <c r="A962" s="1">
        <v>489545.0</v>
      </c>
      <c r="B962" s="2" t="s">
        <v>918</v>
      </c>
      <c r="C962" s="1" t="s">
        <v>919</v>
      </c>
      <c r="D962" s="1">
        <v>1.0</v>
      </c>
      <c r="E962" s="3">
        <v>40148.51527777778</v>
      </c>
      <c r="F962" s="1">
        <v>1.25</v>
      </c>
      <c r="G962" s="1">
        <v>17804.0</v>
      </c>
      <c r="H962" s="1" t="s">
        <v>14</v>
      </c>
      <c r="I962" s="4">
        <v>40148.0</v>
      </c>
      <c r="J962" s="5">
        <v>0.5152777777777777</v>
      </c>
      <c r="K962" s="1">
        <v>12.0</v>
      </c>
      <c r="L962" s="1">
        <v>1.25</v>
      </c>
    </row>
    <row r="963">
      <c r="A963" s="1">
        <v>489545.0</v>
      </c>
      <c r="B963" s="2" t="s">
        <v>1246</v>
      </c>
      <c r="C963" s="1" t="s">
        <v>1247</v>
      </c>
      <c r="D963" s="1">
        <v>3.0</v>
      </c>
      <c r="E963" s="3">
        <v>40148.51527777778</v>
      </c>
      <c r="F963" s="1">
        <v>0.85</v>
      </c>
      <c r="G963" s="1">
        <v>17804.0</v>
      </c>
      <c r="H963" s="1" t="s">
        <v>14</v>
      </c>
      <c r="I963" s="4">
        <v>40148.0</v>
      </c>
      <c r="J963" s="5">
        <v>0.5152777777777777</v>
      </c>
      <c r="K963" s="1">
        <v>12.0</v>
      </c>
      <c r="L963" s="1">
        <v>2.55</v>
      </c>
    </row>
    <row r="964">
      <c r="A964" s="1">
        <v>489545.0</v>
      </c>
      <c r="B964" s="2" t="s">
        <v>1248</v>
      </c>
      <c r="C964" s="1" t="s">
        <v>1249</v>
      </c>
      <c r="D964" s="1">
        <v>3.0</v>
      </c>
      <c r="E964" s="3">
        <v>40148.51527777778</v>
      </c>
      <c r="F964" s="1">
        <v>0.85</v>
      </c>
      <c r="G964" s="1">
        <v>17804.0</v>
      </c>
      <c r="H964" s="1" t="s">
        <v>14</v>
      </c>
      <c r="I964" s="4">
        <v>40148.0</v>
      </c>
      <c r="J964" s="5">
        <v>0.5152777777777777</v>
      </c>
      <c r="K964" s="1">
        <v>12.0</v>
      </c>
      <c r="L964" s="1">
        <v>2.55</v>
      </c>
    </row>
    <row r="965">
      <c r="A965" s="1">
        <v>489545.0</v>
      </c>
      <c r="B965" s="2" t="s">
        <v>1250</v>
      </c>
      <c r="C965" s="1" t="s">
        <v>1251</v>
      </c>
      <c r="D965" s="1">
        <v>1.0</v>
      </c>
      <c r="E965" s="3">
        <v>40148.51527777778</v>
      </c>
      <c r="F965" s="1">
        <v>1.25</v>
      </c>
      <c r="G965" s="1">
        <v>17804.0</v>
      </c>
      <c r="H965" s="1" t="s">
        <v>14</v>
      </c>
      <c r="I965" s="4">
        <v>40148.0</v>
      </c>
      <c r="J965" s="5">
        <v>0.5152777777777777</v>
      </c>
      <c r="K965" s="1">
        <v>12.0</v>
      </c>
      <c r="L965" s="1">
        <v>1.25</v>
      </c>
    </row>
    <row r="966">
      <c r="A966" s="1">
        <v>489545.0</v>
      </c>
      <c r="B966" s="2" t="s">
        <v>1252</v>
      </c>
      <c r="C966" s="1" t="s">
        <v>1253</v>
      </c>
      <c r="D966" s="1">
        <v>1.0</v>
      </c>
      <c r="E966" s="3">
        <v>40148.51527777778</v>
      </c>
      <c r="F966" s="1">
        <v>1.25</v>
      </c>
      <c r="G966" s="1">
        <v>17804.0</v>
      </c>
      <c r="H966" s="1" t="s">
        <v>14</v>
      </c>
      <c r="I966" s="4">
        <v>40148.0</v>
      </c>
      <c r="J966" s="5">
        <v>0.5152777777777777</v>
      </c>
      <c r="K966" s="1">
        <v>12.0</v>
      </c>
      <c r="L966" s="1">
        <v>1.25</v>
      </c>
    </row>
    <row r="967">
      <c r="A967" s="1">
        <v>489545.0</v>
      </c>
      <c r="B967" s="2" t="s">
        <v>744</v>
      </c>
      <c r="C967" s="1" t="s">
        <v>745</v>
      </c>
      <c r="D967" s="1">
        <v>8.0</v>
      </c>
      <c r="E967" s="3">
        <v>40148.51527777778</v>
      </c>
      <c r="F967" s="1">
        <v>0.42</v>
      </c>
      <c r="G967" s="1">
        <v>17804.0</v>
      </c>
      <c r="H967" s="1" t="s">
        <v>14</v>
      </c>
      <c r="I967" s="4">
        <v>40148.0</v>
      </c>
      <c r="J967" s="5">
        <v>0.5152777777777777</v>
      </c>
      <c r="K967" s="1">
        <v>12.0</v>
      </c>
      <c r="L967" s="1">
        <v>3.36</v>
      </c>
    </row>
    <row r="968">
      <c r="A968" s="1">
        <v>489545.0</v>
      </c>
      <c r="B968" s="2" t="s">
        <v>1254</v>
      </c>
      <c r="C968" s="1" t="s">
        <v>1255</v>
      </c>
      <c r="D968" s="1">
        <v>3.0</v>
      </c>
      <c r="E968" s="3">
        <v>40148.51527777778</v>
      </c>
      <c r="F968" s="1">
        <v>1.65</v>
      </c>
      <c r="G968" s="1">
        <v>17804.0</v>
      </c>
      <c r="H968" s="1" t="s">
        <v>14</v>
      </c>
      <c r="I968" s="4">
        <v>40148.0</v>
      </c>
      <c r="J968" s="5">
        <v>0.5152777777777777</v>
      </c>
      <c r="K968" s="1">
        <v>12.0</v>
      </c>
      <c r="L968" s="1">
        <v>4.94999999999999</v>
      </c>
    </row>
    <row r="969">
      <c r="A969" s="1">
        <v>489545.0</v>
      </c>
      <c r="B969" s="2" t="s">
        <v>1256</v>
      </c>
      <c r="C969" s="1" t="s">
        <v>1257</v>
      </c>
      <c r="D969" s="1">
        <v>4.0</v>
      </c>
      <c r="E969" s="3">
        <v>40148.51527777778</v>
      </c>
      <c r="F969" s="1">
        <v>0.42</v>
      </c>
      <c r="G969" s="1">
        <v>17804.0</v>
      </c>
      <c r="H969" s="1" t="s">
        <v>14</v>
      </c>
      <c r="I969" s="4">
        <v>40148.0</v>
      </c>
      <c r="J969" s="5">
        <v>0.5152777777777777</v>
      </c>
      <c r="K969" s="1">
        <v>12.0</v>
      </c>
      <c r="L969" s="1">
        <v>1.68</v>
      </c>
    </row>
    <row r="970">
      <c r="A970" s="1">
        <v>489545.0</v>
      </c>
      <c r="B970" s="2" t="s">
        <v>1258</v>
      </c>
      <c r="C970" s="1" t="s">
        <v>1259</v>
      </c>
      <c r="D970" s="1">
        <v>6.0</v>
      </c>
      <c r="E970" s="3">
        <v>40148.51527777778</v>
      </c>
      <c r="F970" s="1">
        <v>0.42</v>
      </c>
      <c r="G970" s="1">
        <v>17804.0</v>
      </c>
      <c r="H970" s="1" t="s">
        <v>14</v>
      </c>
      <c r="I970" s="4">
        <v>40148.0</v>
      </c>
      <c r="J970" s="5">
        <v>0.5152777777777777</v>
      </c>
      <c r="K970" s="1">
        <v>12.0</v>
      </c>
      <c r="L970" s="1">
        <v>2.52</v>
      </c>
    </row>
    <row r="971">
      <c r="A971" s="1">
        <v>489545.0</v>
      </c>
      <c r="B971" s="2" t="s">
        <v>1260</v>
      </c>
      <c r="C971" s="1" t="s">
        <v>1261</v>
      </c>
      <c r="D971" s="1">
        <v>6.0</v>
      </c>
      <c r="E971" s="3">
        <v>40148.51527777778</v>
      </c>
      <c r="F971" s="1">
        <v>0.42</v>
      </c>
      <c r="G971" s="1">
        <v>17804.0</v>
      </c>
      <c r="H971" s="1" t="s">
        <v>14</v>
      </c>
      <c r="I971" s="4">
        <v>40148.0</v>
      </c>
      <c r="J971" s="5">
        <v>0.5152777777777777</v>
      </c>
      <c r="K971" s="1">
        <v>12.0</v>
      </c>
      <c r="L971" s="1">
        <v>2.52</v>
      </c>
    </row>
    <row r="972">
      <c r="A972" s="1">
        <v>489546.0</v>
      </c>
      <c r="B972" s="2" t="s">
        <v>1262</v>
      </c>
      <c r="C972" s="1" t="s">
        <v>1263</v>
      </c>
      <c r="D972" s="1">
        <v>6.0</v>
      </c>
      <c r="E972" s="3">
        <v>40148.520833333336</v>
      </c>
      <c r="F972" s="1">
        <v>1.65</v>
      </c>
      <c r="G972" s="1">
        <v>14156.0</v>
      </c>
      <c r="H972" s="1" t="s">
        <v>653</v>
      </c>
      <c r="I972" s="4">
        <v>40148.0</v>
      </c>
      <c r="J972" s="5">
        <v>0.5208333333333334</v>
      </c>
      <c r="K972" s="1">
        <v>12.0</v>
      </c>
      <c r="L972" s="1">
        <v>9.89999999999999</v>
      </c>
    </row>
    <row r="973">
      <c r="A973" s="1">
        <v>489546.0</v>
      </c>
      <c r="B973" s="2" t="s">
        <v>1264</v>
      </c>
      <c r="C973" s="1" t="s">
        <v>1265</v>
      </c>
      <c r="D973" s="1">
        <v>6.0</v>
      </c>
      <c r="E973" s="3">
        <v>40148.520833333336</v>
      </c>
      <c r="F973" s="1">
        <v>2.1</v>
      </c>
      <c r="G973" s="1">
        <v>14156.0</v>
      </c>
      <c r="H973" s="1" t="s">
        <v>653</v>
      </c>
      <c r="I973" s="4">
        <v>40148.0</v>
      </c>
      <c r="J973" s="5">
        <v>0.5208333333333334</v>
      </c>
      <c r="K973" s="1">
        <v>12.0</v>
      </c>
      <c r="L973" s="1">
        <v>12.6</v>
      </c>
    </row>
    <row r="974">
      <c r="A974" s="1">
        <v>489546.0</v>
      </c>
      <c r="B974" s="2" t="s">
        <v>1266</v>
      </c>
      <c r="C974" s="1" t="s">
        <v>1267</v>
      </c>
      <c r="D974" s="1">
        <v>2.0</v>
      </c>
      <c r="E974" s="3">
        <v>40148.520833333336</v>
      </c>
      <c r="F974" s="1">
        <v>12.75</v>
      </c>
      <c r="G974" s="1">
        <v>14156.0</v>
      </c>
      <c r="H974" s="1" t="s">
        <v>653</v>
      </c>
      <c r="I974" s="4">
        <v>40148.0</v>
      </c>
      <c r="J974" s="5">
        <v>0.5208333333333334</v>
      </c>
      <c r="K974" s="1">
        <v>12.0</v>
      </c>
      <c r="L974" s="1">
        <v>25.5</v>
      </c>
    </row>
    <row r="975">
      <c r="A975" s="1">
        <v>489546.0</v>
      </c>
      <c r="B975" s="2" t="s">
        <v>1268</v>
      </c>
      <c r="C975" s="1" t="s">
        <v>1269</v>
      </c>
      <c r="D975" s="1">
        <v>1.0</v>
      </c>
      <c r="E975" s="3">
        <v>40148.520833333336</v>
      </c>
      <c r="F975" s="1">
        <v>12.75</v>
      </c>
      <c r="G975" s="1">
        <v>14156.0</v>
      </c>
      <c r="H975" s="1" t="s">
        <v>653</v>
      </c>
      <c r="I975" s="4">
        <v>40148.0</v>
      </c>
      <c r="J975" s="5">
        <v>0.5208333333333334</v>
      </c>
      <c r="K975" s="1">
        <v>12.0</v>
      </c>
      <c r="L975" s="1">
        <v>12.75</v>
      </c>
    </row>
    <row r="976">
      <c r="A976" s="1">
        <v>489546.0</v>
      </c>
      <c r="B976" s="2" t="s">
        <v>21</v>
      </c>
      <c r="C976" s="1" t="s">
        <v>22</v>
      </c>
      <c r="D976" s="1">
        <v>12.0</v>
      </c>
      <c r="E976" s="3">
        <v>40148.520833333336</v>
      </c>
      <c r="F976" s="1">
        <v>1.25</v>
      </c>
      <c r="G976" s="1">
        <v>14156.0</v>
      </c>
      <c r="H976" s="1" t="s">
        <v>653</v>
      </c>
      <c r="I976" s="4">
        <v>40148.0</v>
      </c>
      <c r="J976" s="5">
        <v>0.5208333333333334</v>
      </c>
      <c r="K976" s="1">
        <v>12.0</v>
      </c>
      <c r="L976" s="1">
        <v>15.0</v>
      </c>
    </row>
    <row r="977">
      <c r="A977" s="1">
        <v>489546.0</v>
      </c>
      <c r="B977" s="2" t="s">
        <v>480</v>
      </c>
      <c r="C977" s="1" t="s">
        <v>481</v>
      </c>
      <c r="D977" s="1">
        <v>12.0</v>
      </c>
      <c r="E977" s="3">
        <v>40148.520833333336</v>
      </c>
      <c r="F977" s="1">
        <v>1.25</v>
      </c>
      <c r="G977" s="1">
        <v>14156.0</v>
      </c>
      <c r="H977" s="1" t="s">
        <v>653</v>
      </c>
      <c r="I977" s="4">
        <v>40148.0</v>
      </c>
      <c r="J977" s="5">
        <v>0.5208333333333334</v>
      </c>
      <c r="K977" s="1">
        <v>12.0</v>
      </c>
      <c r="L977" s="1">
        <v>15.0</v>
      </c>
    </row>
    <row r="978">
      <c r="A978" s="1">
        <v>489546.0</v>
      </c>
      <c r="B978" s="2" t="s">
        <v>1027</v>
      </c>
      <c r="C978" s="1" t="s">
        <v>1028</v>
      </c>
      <c r="D978" s="1">
        <v>6.0</v>
      </c>
      <c r="E978" s="3">
        <v>40148.520833333336</v>
      </c>
      <c r="F978" s="1">
        <v>2.95</v>
      </c>
      <c r="G978" s="1">
        <v>14156.0</v>
      </c>
      <c r="H978" s="1" t="s">
        <v>653</v>
      </c>
      <c r="I978" s="4">
        <v>40148.0</v>
      </c>
      <c r="J978" s="5">
        <v>0.5208333333333334</v>
      </c>
      <c r="K978" s="1">
        <v>12.0</v>
      </c>
      <c r="L978" s="1">
        <v>17.7</v>
      </c>
    </row>
    <row r="979">
      <c r="A979" s="1">
        <v>489546.0</v>
      </c>
      <c r="B979" s="2" t="s">
        <v>1270</v>
      </c>
      <c r="C979" s="1" t="s">
        <v>1271</v>
      </c>
      <c r="D979" s="1">
        <v>4.0</v>
      </c>
      <c r="E979" s="3">
        <v>40148.520833333336</v>
      </c>
      <c r="F979" s="1">
        <v>8.5</v>
      </c>
      <c r="G979" s="1">
        <v>14156.0</v>
      </c>
      <c r="H979" s="1" t="s">
        <v>653</v>
      </c>
      <c r="I979" s="4">
        <v>40148.0</v>
      </c>
      <c r="J979" s="5">
        <v>0.5208333333333334</v>
      </c>
      <c r="K979" s="1">
        <v>12.0</v>
      </c>
      <c r="L979" s="1">
        <v>34.0</v>
      </c>
    </row>
    <row r="980">
      <c r="A980" s="1">
        <v>489546.0</v>
      </c>
      <c r="B980" s="2" t="s">
        <v>406</v>
      </c>
      <c r="C980" s="1" t="s">
        <v>407</v>
      </c>
      <c r="D980" s="1">
        <v>6.0</v>
      </c>
      <c r="E980" s="3">
        <v>40148.520833333336</v>
      </c>
      <c r="F980" s="1">
        <v>2.95</v>
      </c>
      <c r="G980" s="1">
        <v>14156.0</v>
      </c>
      <c r="H980" s="1" t="s">
        <v>653</v>
      </c>
      <c r="I980" s="4">
        <v>40148.0</v>
      </c>
      <c r="J980" s="5">
        <v>0.5208333333333334</v>
      </c>
      <c r="K980" s="1">
        <v>12.0</v>
      </c>
      <c r="L980" s="1">
        <v>17.7</v>
      </c>
    </row>
    <row r="981">
      <c r="A981" s="1">
        <v>489546.0</v>
      </c>
      <c r="B981" s="2" t="s">
        <v>1272</v>
      </c>
      <c r="C981" s="1" t="s">
        <v>1273</v>
      </c>
      <c r="D981" s="1">
        <v>6.0</v>
      </c>
      <c r="E981" s="3">
        <v>40148.520833333336</v>
      </c>
      <c r="F981" s="1">
        <v>2.1</v>
      </c>
      <c r="G981" s="1">
        <v>14156.0</v>
      </c>
      <c r="H981" s="1" t="s">
        <v>653</v>
      </c>
      <c r="I981" s="4">
        <v>40148.0</v>
      </c>
      <c r="J981" s="5">
        <v>0.5208333333333334</v>
      </c>
      <c r="K981" s="1">
        <v>12.0</v>
      </c>
      <c r="L981" s="1">
        <v>12.6</v>
      </c>
    </row>
    <row r="982">
      <c r="A982" s="1">
        <v>489546.0</v>
      </c>
      <c r="B982" s="2" t="s">
        <v>1274</v>
      </c>
      <c r="C982" s="1" t="s">
        <v>1275</v>
      </c>
      <c r="D982" s="1">
        <v>6.0</v>
      </c>
      <c r="E982" s="3">
        <v>40148.520833333336</v>
      </c>
      <c r="F982" s="1">
        <v>2.1</v>
      </c>
      <c r="G982" s="1">
        <v>14156.0</v>
      </c>
      <c r="H982" s="1" t="s">
        <v>653</v>
      </c>
      <c r="I982" s="4">
        <v>40148.0</v>
      </c>
      <c r="J982" s="5">
        <v>0.5208333333333334</v>
      </c>
      <c r="K982" s="1">
        <v>12.0</v>
      </c>
      <c r="L982" s="1">
        <v>12.6</v>
      </c>
    </row>
    <row r="983">
      <c r="A983" s="1">
        <v>489546.0</v>
      </c>
      <c r="B983" s="2" t="s">
        <v>1276</v>
      </c>
      <c r="C983" s="1" t="s">
        <v>1277</v>
      </c>
      <c r="D983" s="1">
        <v>4.0</v>
      </c>
      <c r="E983" s="3">
        <v>40148.520833333336</v>
      </c>
      <c r="F983" s="1">
        <v>4.25</v>
      </c>
      <c r="G983" s="1">
        <v>14156.0</v>
      </c>
      <c r="H983" s="1" t="s">
        <v>653</v>
      </c>
      <c r="I983" s="4">
        <v>40148.0</v>
      </c>
      <c r="J983" s="5">
        <v>0.5208333333333334</v>
      </c>
      <c r="K983" s="1">
        <v>12.0</v>
      </c>
      <c r="L983" s="1">
        <v>17.0</v>
      </c>
    </row>
    <row r="984">
      <c r="A984" s="1">
        <v>489546.0</v>
      </c>
      <c r="B984" s="2" t="s">
        <v>1278</v>
      </c>
      <c r="C984" s="1" t="s">
        <v>1279</v>
      </c>
      <c r="D984" s="1">
        <v>4.0</v>
      </c>
      <c r="E984" s="3">
        <v>40148.520833333336</v>
      </c>
      <c r="F984" s="1">
        <v>10.75</v>
      </c>
      <c r="G984" s="1">
        <v>14156.0</v>
      </c>
      <c r="H984" s="1" t="s">
        <v>653</v>
      </c>
      <c r="I984" s="4">
        <v>40148.0</v>
      </c>
      <c r="J984" s="5">
        <v>0.5208333333333334</v>
      </c>
      <c r="K984" s="1">
        <v>12.0</v>
      </c>
      <c r="L984" s="1">
        <v>43.0</v>
      </c>
    </row>
    <row r="985">
      <c r="A985" s="1">
        <v>489546.0</v>
      </c>
      <c r="B985" s="2" t="s">
        <v>440</v>
      </c>
      <c r="C985" s="1" t="s">
        <v>441</v>
      </c>
      <c r="D985" s="1">
        <v>4.0</v>
      </c>
      <c r="E985" s="3">
        <v>40148.520833333336</v>
      </c>
      <c r="F985" s="1">
        <v>6.75</v>
      </c>
      <c r="G985" s="1">
        <v>14156.0</v>
      </c>
      <c r="H985" s="1" t="s">
        <v>653</v>
      </c>
      <c r="I985" s="4">
        <v>40148.0</v>
      </c>
      <c r="J985" s="5">
        <v>0.5208333333333334</v>
      </c>
      <c r="K985" s="1">
        <v>12.0</v>
      </c>
      <c r="L985" s="1">
        <v>27.0</v>
      </c>
    </row>
    <row r="986">
      <c r="A986" s="1">
        <v>489547.0</v>
      </c>
      <c r="B986" s="2" t="s">
        <v>283</v>
      </c>
      <c r="C986" s="1" t="s">
        <v>284</v>
      </c>
      <c r="D986" s="1">
        <v>18.0</v>
      </c>
      <c r="E986" s="3">
        <v>40148.520833333336</v>
      </c>
      <c r="F986" s="1">
        <v>2.95</v>
      </c>
      <c r="G986" s="1">
        <v>13599.0</v>
      </c>
      <c r="H986" s="1" t="s">
        <v>14</v>
      </c>
      <c r="I986" s="4">
        <v>40148.0</v>
      </c>
      <c r="J986" s="5">
        <v>0.5208333333333334</v>
      </c>
      <c r="K986" s="1">
        <v>12.0</v>
      </c>
      <c r="L986" s="1">
        <v>53.1</v>
      </c>
    </row>
    <row r="987">
      <c r="A987" s="1">
        <v>489547.0</v>
      </c>
      <c r="B987" s="2" t="s">
        <v>25</v>
      </c>
      <c r="C987" s="1" t="s">
        <v>26</v>
      </c>
      <c r="D987" s="1">
        <v>12.0</v>
      </c>
      <c r="E987" s="3">
        <v>40148.520833333336</v>
      </c>
      <c r="F987" s="1">
        <v>1.25</v>
      </c>
      <c r="G987" s="1">
        <v>13599.0</v>
      </c>
      <c r="H987" s="1" t="s">
        <v>14</v>
      </c>
      <c r="I987" s="4">
        <v>40148.0</v>
      </c>
      <c r="J987" s="5">
        <v>0.5208333333333334</v>
      </c>
      <c r="K987" s="1">
        <v>12.0</v>
      </c>
      <c r="L987" s="1">
        <v>15.0</v>
      </c>
    </row>
    <row r="988">
      <c r="A988" s="1">
        <v>489547.0</v>
      </c>
      <c r="B988" s="2" t="s">
        <v>712</v>
      </c>
      <c r="C988" s="1" t="s">
        <v>713</v>
      </c>
      <c r="D988" s="1">
        <v>12.0</v>
      </c>
      <c r="E988" s="3">
        <v>40148.520833333336</v>
      </c>
      <c r="F988" s="1">
        <v>1.25</v>
      </c>
      <c r="G988" s="1">
        <v>13599.0</v>
      </c>
      <c r="H988" s="1" t="s">
        <v>14</v>
      </c>
      <c r="I988" s="4">
        <v>40148.0</v>
      </c>
      <c r="J988" s="5">
        <v>0.5208333333333334</v>
      </c>
      <c r="K988" s="1">
        <v>12.0</v>
      </c>
      <c r="L988" s="1">
        <v>15.0</v>
      </c>
    </row>
    <row r="989">
      <c r="A989" s="1">
        <v>489547.0</v>
      </c>
      <c r="B989" s="2" t="s">
        <v>754</v>
      </c>
      <c r="C989" s="1" t="s">
        <v>755</v>
      </c>
      <c r="D989" s="1">
        <v>12.0</v>
      </c>
      <c r="E989" s="3">
        <v>40148.520833333336</v>
      </c>
      <c r="F989" s="1">
        <v>2.55</v>
      </c>
      <c r="G989" s="1">
        <v>13599.0</v>
      </c>
      <c r="H989" s="1" t="s">
        <v>14</v>
      </c>
      <c r="I989" s="4">
        <v>40148.0</v>
      </c>
      <c r="J989" s="5">
        <v>0.5208333333333334</v>
      </c>
      <c r="K989" s="1">
        <v>12.0</v>
      </c>
      <c r="L989" s="1">
        <v>30.5999999999999</v>
      </c>
    </row>
    <row r="990">
      <c r="A990" s="1">
        <v>489547.0</v>
      </c>
      <c r="B990" s="2" t="s">
        <v>1280</v>
      </c>
      <c r="C990" s="1" t="s">
        <v>1281</v>
      </c>
      <c r="D990" s="1">
        <v>24.0</v>
      </c>
      <c r="E990" s="3">
        <v>40148.520833333336</v>
      </c>
      <c r="F990" s="1">
        <v>1.25</v>
      </c>
      <c r="G990" s="1">
        <v>13599.0</v>
      </c>
      <c r="H990" s="1" t="s">
        <v>14</v>
      </c>
      <c r="I990" s="4">
        <v>40148.0</v>
      </c>
      <c r="J990" s="5">
        <v>0.5208333333333334</v>
      </c>
      <c r="K990" s="1">
        <v>12.0</v>
      </c>
      <c r="L990" s="1">
        <v>30.0</v>
      </c>
    </row>
    <row r="991">
      <c r="A991" s="1">
        <v>489547.0</v>
      </c>
      <c r="B991" s="2" t="s">
        <v>971</v>
      </c>
      <c r="C991" s="1" t="s">
        <v>972</v>
      </c>
      <c r="D991" s="1">
        <v>24.0</v>
      </c>
      <c r="E991" s="3">
        <v>40148.520833333336</v>
      </c>
      <c r="F991" s="1">
        <v>1.25</v>
      </c>
      <c r="G991" s="1">
        <v>13599.0</v>
      </c>
      <c r="H991" s="1" t="s">
        <v>14</v>
      </c>
      <c r="I991" s="4">
        <v>40148.0</v>
      </c>
      <c r="J991" s="5">
        <v>0.5208333333333334</v>
      </c>
      <c r="K991" s="1">
        <v>12.0</v>
      </c>
      <c r="L991" s="1">
        <v>30.0</v>
      </c>
    </row>
    <row r="992">
      <c r="A992" s="1">
        <v>489547.0</v>
      </c>
      <c r="B992" s="2" t="s">
        <v>202</v>
      </c>
      <c r="C992" s="1" t="s">
        <v>203</v>
      </c>
      <c r="D992" s="1">
        <v>24.0</v>
      </c>
      <c r="E992" s="3">
        <v>40148.520833333336</v>
      </c>
      <c r="F992" s="1">
        <v>1.25</v>
      </c>
      <c r="G992" s="1">
        <v>13599.0</v>
      </c>
      <c r="H992" s="1" t="s">
        <v>14</v>
      </c>
      <c r="I992" s="4">
        <v>40148.0</v>
      </c>
      <c r="J992" s="5">
        <v>0.5208333333333334</v>
      </c>
      <c r="K992" s="1">
        <v>12.0</v>
      </c>
      <c r="L992" s="1">
        <v>30.0</v>
      </c>
    </row>
    <row r="993">
      <c r="A993" s="1">
        <v>489547.0</v>
      </c>
      <c r="B993" s="2" t="s">
        <v>289</v>
      </c>
      <c r="C993" s="1" t="s">
        <v>290</v>
      </c>
      <c r="D993" s="1">
        <v>6.0</v>
      </c>
      <c r="E993" s="3">
        <v>40148.520833333336</v>
      </c>
      <c r="F993" s="1">
        <v>2.95</v>
      </c>
      <c r="G993" s="1">
        <v>13599.0</v>
      </c>
      <c r="H993" s="1" t="s">
        <v>14</v>
      </c>
      <c r="I993" s="4">
        <v>40148.0</v>
      </c>
      <c r="J993" s="5">
        <v>0.5208333333333334</v>
      </c>
      <c r="K993" s="1">
        <v>12.0</v>
      </c>
      <c r="L993" s="1">
        <v>17.7</v>
      </c>
    </row>
    <row r="994">
      <c r="A994" s="1">
        <v>489547.0</v>
      </c>
      <c r="B994" s="2" t="s">
        <v>1282</v>
      </c>
      <c r="C994" s="1" t="s">
        <v>1283</v>
      </c>
      <c r="D994" s="1">
        <v>6.0</v>
      </c>
      <c r="E994" s="3">
        <v>40148.520833333336</v>
      </c>
      <c r="F994" s="1">
        <v>2.95</v>
      </c>
      <c r="G994" s="1">
        <v>13599.0</v>
      </c>
      <c r="H994" s="1" t="s">
        <v>14</v>
      </c>
      <c r="I994" s="4">
        <v>40148.0</v>
      </c>
      <c r="J994" s="5">
        <v>0.5208333333333334</v>
      </c>
      <c r="K994" s="1">
        <v>12.0</v>
      </c>
      <c r="L994" s="1">
        <v>17.7</v>
      </c>
    </row>
    <row r="995">
      <c r="A995" s="1">
        <v>489547.0</v>
      </c>
      <c r="B995" s="2" t="s">
        <v>176</v>
      </c>
      <c r="C995" s="1" t="s">
        <v>177</v>
      </c>
      <c r="D995" s="1">
        <v>12.0</v>
      </c>
      <c r="E995" s="3">
        <v>40148.520833333336</v>
      </c>
      <c r="F995" s="1">
        <v>0.85</v>
      </c>
      <c r="G995" s="1">
        <v>13599.0</v>
      </c>
      <c r="H995" s="1" t="s">
        <v>14</v>
      </c>
      <c r="I995" s="4">
        <v>40148.0</v>
      </c>
      <c r="J995" s="5">
        <v>0.5208333333333334</v>
      </c>
      <c r="K995" s="1">
        <v>12.0</v>
      </c>
      <c r="L995" s="1">
        <v>10.2</v>
      </c>
    </row>
    <row r="996">
      <c r="A996" s="1">
        <v>489547.0</v>
      </c>
      <c r="B996" s="2" t="s">
        <v>156</v>
      </c>
      <c r="C996" s="1" t="s">
        <v>157</v>
      </c>
      <c r="D996" s="1">
        <v>3.0</v>
      </c>
      <c r="E996" s="3">
        <v>40148.520833333336</v>
      </c>
      <c r="F996" s="1">
        <v>4.95</v>
      </c>
      <c r="G996" s="1">
        <v>13599.0</v>
      </c>
      <c r="H996" s="1" t="s">
        <v>14</v>
      </c>
      <c r="I996" s="4">
        <v>40148.0</v>
      </c>
      <c r="J996" s="5">
        <v>0.5208333333333334</v>
      </c>
      <c r="K996" s="1">
        <v>12.0</v>
      </c>
      <c r="L996" s="1">
        <v>14.85</v>
      </c>
    </row>
    <row r="997">
      <c r="A997" s="1">
        <v>489547.0</v>
      </c>
      <c r="B997" s="2" t="s">
        <v>492</v>
      </c>
      <c r="C997" s="1" t="s">
        <v>493</v>
      </c>
      <c r="D997" s="1">
        <v>10.0</v>
      </c>
      <c r="E997" s="3">
        <v>40148.520833333336</v>
      </c>
      <c r="F997" s="1">
        <v>1.95</v>
      </c>
      <c r="G997" s="1">
        <v>13599.0</v>
      </c>
      <c r="H997" s="1" t="s">
        <v>14</v>
      </c>
      <c r="I997" s="4">
        <v>40148.0</v>
      </c>
      <c r="J997" s="5">
        <v>0.5208333333333334</v>
      </c>
      <c r="K997" s="1">
        <v>12.0</v>
      </c>
      <c r="L997" s="1">
        <v>19.5</v>
      </c>
    </row>
    <row r="998">
      <c r="A998" s="1">
        <v>489547.0</v>
      </c>
      <c r="B998" s="2" t="s">
        <v>297</v>
      </c>
      <c r="C998" s="1" t="s">
        <v>298</v>
      </c>
      <c r="D998" s="1">
        <v>10.0</v>
      </c>
      <c r="E998" s="3">
        <v>40148.520833333336</v>
      </c>
      <c r="F998" s="1">
        <v>1.95</v>
      </c>
      <c r="G998" s="1">
        <v>13599.0</v>
      </c>
      <c r="H998" s="1" t="s">
        <v>14</v>
      </c>
      <c r="I998" s="4">
        <v>40148.0</v>
      </c>
      <c r="J998" s="5">
        <v>0.5208333333333334</v>
      </c>
      <c r="K998" s="1">
        <v>12.0</v>
      </c>
      <c r="L998" s="1">
        <v>19.5</v>
      </c>
    </row>
    <row r="999">
      <c r="A999" s="1">
        <v>489547.0</v>
      </c>
      <c r="B999" s="2" t="s">
        <v>1284</v>
      </c>
      <c r="C999" s="1" t="s">
        <v>1285</v>
      </c>
      <c r="D999" s="1">
        <v>10.0</v>
      </c>
      <c r="E999" s="3">
        <v>40148.520833333336</v>
      </c>
      <c r="F999" s="1">
        <v>1.95</v>
      </c>
      <c r="G999" s="1">
        <v>13599.0</v>
      </c>
      <c r="H999" s="1" t="s">
        <v>14</v>
      </c>
      <c r="I999" s="4">
        <v>40148.0</v>
      </c>
      <c r="J999" s="5">
        <v>0.5208333333333334</v>
      </c>
      <c r="K999" s="1">
        <v>12.0</v>
      </c>
      <c r="L999" s="1">
        <v>19.5</v>
      </c>
    </row>
    <row r="1000">
      <c r="A1000" s="1">
        <v>489547.0</v>
      </c>
      <c r="B1000" s="2" t="s">
        <v>538</v>
      </c>
      <c r="C1000" s="1" t="s">
        <v>539</v>
      </c>
      <c r="D1000" s="1">
        <v>10.0</v>
      </c>
      <c r="E1000" s="3">
        <v>40148.520833333336</v>
      </c>
      <c r="F1000" s="1">
        <v>0.85</v>
      </c>
      <c r="G1000" s="1">
        <v>13599.0</v>
      </c>
      <c r="H1000" s="1" t="s">
        <v>14</v>
      </c>
      <c r="I1000" s="4">
        <v>40148.0</v>
      </c>
      <c r="J1000" s="5">
        <v>0.5208333333333334</v>
      </c>
      <c r="K1000" s="1">
        <v>12.0</v>
      </c>
      <c r="L1000" s="1">
        <v>8.5</v>
      </c>
    </row>
    <row r="1001">
      <c r="A1001" s="1">
        <v>489547.0</v>
      </c>
      <c r="B1001" s="2" t="s">
        <v>299</v>
      </c>
      <c r="C1001" s="1" t="s">
        <v>300</v>
      </c>
      <c r="D1001" s="1">
        <v>100.0</v>
      </c>
      <c r="E1001" s="3">
        <v>40148.520833333336</v>
      </c>
      <c r="F1001" s="1">
        <v>0.72</v>
      </c>
      <c r="G1001" s="1">
        <v>13599.0</v>
      </c>
      <c r="H1001" s="1" t="s">
        <v>14</v>
      </c>
      <c r="I1001" s="4">
        <v>40148.0</v>
      </c>
      <c r="J1001" s="5">
        <v>0.5208333333333334</v>
      </c>
      <c r="K1001" s="1">
        <v>12.0</v>
      </c>
      <c r="L1001" s="1">
        <v>72.0</v>
      </c>
    </row>
    <row r="1002">
      <c r="A1002" s="1">
        <v>489547.0</v>
      </c>
      <c r="B1002" s="2" t="s">
        <v>301</v>
      </c>
      <c r="C1002" s="1" t="s">
        <v>302</v>
      </c>
      <c r="D1002" s="1">
        <v>10.0</v>
      </c>
      <c r="E1002" s="3">
        <v>40148.520833333336</v>
      </c>
      <c r="F1002" s="1">
        <v>0.85</v>
      </c>
      <c r="G1002" s="1">
        <v>13599.0</v>
      </c>
      <c r="H1002" s="1" t="s">
        <v>14</v>
      </c>
      <c r="I1002" s="4">
        <v>40148.0</v>
      </c>
      <c r="J1002" s="5">
        <v>0.5208333333333334</v>
      </c>
      <c r="K1002" s="1">
        <v>12.0</v>
      </c>
      <c r="L1002" s="1">
        <v>8.5</v>
      </c>
    </row>
    <row r="1003">
      <c r="A1003" s="1">
        <v>489547.0</v>
      </c>
      <c r="B1003" s="2" t="s">
        <v>1147</v>
      </c>
      <c r="C1003" s="1" t="s">
        <v>1148</v>
      </c>
      <c r="D1003" s="1">
        <v>10.0</v>
      </c>
      <c r="E1003" s="3">
        <v>40148.520833333336</v>
      </c>
      <c r="F1003" s="1">
        <v>1.65</v>
      </c>
      <c r="G1003" s="1">
        <v>13599.0</v>
      </c>
      <c r="H1003" s="1" t="s">
        <v>14</v>
      </c>
      <c r="I1003" s="4">
        <v>40148.0</v>
      </c>
      <c r="J1003" s="5">
        <v>0.5208333333333334</v>
      </c>
      <c r="K1003" s="1">
        <v>12.0</v>
      </c>
      <c r="L1003" s="1">
        <v>16.5</v>
      </c>
    </row>
    <row r="1004">
      <c r="A1004" s="1">
        <v>489547.0</v>
      </c>
      <c r="B1004" s="2" t="s">
        <v>309</v>
      </c>
      <c r="C1004" s="1" t="s">
        <v>310</v>
      </c>
      <c r="D1004" s="1">
        <v>10.0</v>
      </c>
      <c r="E1004" s="3">
        <v>40148.520833333336</v>
      </c>
      <c r="F1004" s="1">
        <v>1.65</v>
      </c>
      <c r="G1004" s="1">
        <v>13599.0</v>
      </c>
      <c r="H1004" s="1" t="s">
        <v>14</v>
      </c>
      <c r="I1004" s="4">
        <v>40148.0</v>
      </c>
      <c r="J1004" s="5">
        <v>0.5208333333333334</v>
      </c>
      <c r="K1004" s="1">
        <v>12.0</v>
      </c>
      <c r="L1004" s="1">
        <v>16.5</v>
      </c>
    </row>
    <row r="1005">
      <c r="A1005" s="1">
        <v>489547.0</v>
      </c>
      <c r="B1005" s="2" t="s">
        <v>305</v>
      </c>
      <c r="C1005" s="1" t="s">
        <v>306</v>
      </c>
      <c r="D1005" s="1">
        <v>20.0</v>
      </c>
      <c r="E1005" s="3">
        <v>40148.520833333336</v>
      </c>
      <c r="F1005" s="1">
        <v>1.65</v>
      </c>
      <c r="G1005" s="1">
        <v>13599.0</v>
      </c>
      <c r="H1005" s="1" t="s">
        <v>14</v>
      </c>
      <c r="I1005" s="4">
        <v>40148.0</v>
      </c>
      <c r="J1005" s="5">
        <v>0.5208333333333334</v>
      </c>
      <c r="K1005" s="1">
        <v>12.0</v>
      </c>
      <c r="L1005" s="1">
        <v>33.0</v>
      </c>
    </row>
    <row r="1006">
      <c r="A1006" s="1">
        <v>489547.0</v>
      </c>
      <c r="B1006" s="2" t="s">
        <v>1286</v>
      </c>
      <c r="C1006" s="1" t="s">
        <v>1287</v>
      </c>
      <c r="D1006" s="1">
        <v>12.0</v>
      </c>
      <c r="E1006" s="3">
        <v>40148.520833333336</v>
      </c>
      <c r="F1006" s="1">
        <v>0.85</v>
      </c>
      <c r="G1006" s="1">
        <v>13599.0</v>
      </c>
      <c r="H1006" s="1" t="s">
        <v>14</v>
      </c>
      <c r="I1006" s="4">
        <v>40148.0</v>
      </c>
      <c r="J1006" s="5">
        <v>0.5208333333333334</v>
      </c>
      <c r="K1006" s="1">
        <v>12.0</v>
      </c>
      <c r="L1006" s="1">
        <v>10.2</v>
      </c>
    </row>
    <row r="1007">
      <c r="A1007" s="1">
        <v>489547.0</v>
      </c>
      <c r="B1007" s="2" t="s">
        <v>1288</v>
      </c>
      <c r="C1007" s="1" t="s">
        <v>1289</v>
      </c>
      <c r="D1007" s="1">
        <v>240.0</v>
      </c>
      <c r="E1007" s="3">
        <v>40148.520833333336</v>
      </c>
      <c r="F1007" s="1">
        <v>0.64</v>
      </c>
      <c r="G1007" s="1">
        <v>13599.0</v>
      </c>
      <c r="H1007" s="1" t="s">
        <v>14</v>
      </c>
      <c r="I1007" s="4">
        <v>40148.0</v>
      </c>
      <c r="J1007" s="5">
        <v>0.5208333333333334</v>
      </c>
      <c r="K1007" s="1">
        <v>12.0</v>
      </c>
      <c r="L1007" s="1">
        <v>153.6</v>
      </c>
    </row>
    <row r="1008">
      <c r="A1008" s="1">
        <v>489546.0</v>
      </c>
      <c r="B1008" s="2" t="s">
        <v>1157</v>
      </c>
      <c r="C1008" s="1" t="s">
        <v>1158</v>
      </c>
      <c r="D1008" s="1">
        <v>2.0</v>
      </c>
      <c r="E1008" s="3">
        <v>40148.520833333336</v>
      </c>
      <c r="F1008" s="1">
        <v>6.75</v>
      </c>
      <c r="G1008" s="1">
        <v>14156.0</v>
      </c>
      <c r="H1008" s="1" t="s">
        <v>653</v>
      </c>
      <c r="I1008" s="4">
        <v>40148.0</v>
      </c>
      <c r="J1008" s="5">
        <v>0.5208333333333334</v>
      </c>
      <c r="K1008" s="1">
        <v>12.0</v>
      </c>
      <c r="L1008" s="1">
        <v>13.5</v>
      </c>
    </row>
    <row r="1009">
      <c r="A1009" s="1">
        <v>489546.0</v>
      </c>
      <c r="B1009" s="2" t="s">
        <v>768</v>
      </c>
      <c r="C1009" s="1" t="s">
        <v>769</v>
      </c>
      <c r="D1009" s="1">
        <v>2.0</v>
      </c>
      <c r="E1009" s="3">
        <v>40148.520833333336</v>
      </c>
      <c r="F1009" s="1">
        <v>6.75</v>
      </c>
      <c r="G1009" s="1">
        <v>14156.0</v>
      </c>
      <c r="H1009" s="1" t="s">
        <v>653</v>
      </c>
      <c r="I1009" s="4">
        <v>40148.0</v>
      </c>
      <c r="J1009" s="5">
        <v>0.5208333333333334</v>
      </c>
      <c r="K1009" s="1">
        <v>12.0</v>
      </c>
      <c r="L1009" s="1">
        <v>13.5</v>
      </c>
    </row>
    <row r="1010">
      <c r="A1010" s="1">
        <v>489546.0</v>
      </c>
      <c r="B1010" s="2" t="s">
        <v>904</v>
      </c>
      <c r="C1010" s="1" t="s">
        <v>905</v>
      </c>
      <c r="D1010" s="1">
        <v>2.0</v>
      </c>
      <c r="E1010" s="3">
        <v>40148.520833333336</v>
      </c>
      <c r="F1010" s="1">
        <v>6.75</v>
      </c>
      <c r="G1010" s="1">
        <v>14156.0</v>
      </c>
      <c r="H1010" s="1" t="s">
        <v>653</v>
      </c>
      <c r="I1010" s="4">
        <v>40148.0</v>
      </c>
      <c r="J1010" s="5">
        <v>0.5208333333333334</v>
      </c>
      <c r="K1010" s="1">
        <v>12.0</v>
      </c>
      <c r="L1010" s="1">
        <v>13.5</v>
      </c>
    </row>
    <row r="1011">
      <c r="A1011" s="1">
        <v>489546.0</v>
      </c>
      <c r="B1011" s="2" t="s">
        <v>472</v>
      </c>
      <c r="C1011" s="1" t="s">
        <v>473</v>
      </c>
      <c r="D1011" s="1">
        <v>6.0</v>
      </c>
      <c r="E1011" s="3">
        <v>40148.520833333336</v>
      </c>
      <c r="F1011" s="1">
        <v>3.75</v>
      </c>
      <c r="G1011" s="1">
        <v>14156.0</v>
      </c>
      <c r="H1011" s="1" t="s">
        <v>653</v>
      </c>
      <c r="I1011" s="4">
        <v>40148.0</v>
      </c>
      <c r="J1011" s="5">
        <v>0.5208333333333334</v>
      </c>
      <c r="K1011" s="1">
        <v>12.0</v>
      </c>
      <c r="L1011" s="1">
        <v>22.5</v>
      </c>
    </row>
    <row r="1012">
      <c r="A1012" s="1">
        <v>489546.0</v>
      </c>
      <c r="B1012" s="2" t="s">
        <v>1290</v>
      </c>
      <c r="C1012" s="1" t="s">
        <v>1291</v>
      </c>
      <c r="D1012" s="1">
        <v>1.0</v>
      </c>
      <c r="E1012" s="3">
        <v>40148.520833333336</v>
      </c>
      <c r="F1012" s="1">
        <v>14.95</v>
      </c>
      <c r="G1012" s="1">
        <v>14156.0</v>
      </c>
      <c r="H1012" s="1" t="s">
        <v>653</v>
      </c>
      <c r="I1012" s="4">
        <v>40148.0</v>
      </c>
      <c r="J1012" s="5">
        <v>0.5208333333333334</v>
      </c>
      <c r="K1012" s="1">
        <v>12.0</v>
      </c>
      <c r="L1012" s="1">
        <v>14.95</v>
      </c>
    </row>
    <row r="1013">
      <c r="A1013" s="1">
        <v>489546.0</v>
      </c>
      <c r="B1013" s="2" t="s">
        <v>73</v>
      </c>
      <c r="C1013" s="1" t="s">
        <v>74</v>
      </c>
      <c r="D1013" s="1">
        <v>3.0</v>
      </c>
      <c r="E1013" s="3">
        <v>40148.520833333336</v>
      </c>
      <c r="F1013" s="1">
        <v>4.95</v>
      </c>
      <c r="G1013" s="1">
        <v>14156.0</v>
      </c>
      <c r="H1013" s="1" t="s">
        <v>653</v>
      </c>
      <c r="I1013" s="4">
        <v>40148.0</v>
      </c>
      <c r="J1013" s="5">
        <v>0.5208333333333334</v>
      </c>
      <c r="K1013" s="1">
        <v>12.0</v>
      </c>
      <c r="L1013" s="1">
        <v>14.85</v>
      </c>
    </row>
    <row r="1014">
      <c r="A1014" s="1">
        <v>489546.0</v>
      </c>
      <c r="B1014" s="2" t="s">
        <v>293</v>
      </c>
      <c r="C1014" s="1" t="s">
        <v>294</v>
      </c>
      <c r="D1014" s="1">
        <v>3.0</v>
      </c>
      <c r="E1014" s="3">
        <v>40148.520833333336</v>
      </c>
      <c r="F1014" s="1">
        <v>4.95</v>
      </c>
      <c r="G1014" s="1">
        <v>14156.0</v>
      </c>
      <c r="H1014" s="1" t="s">
        <v>653</v>
      </c>
      <c r="I1014" s="4">
        <v>40148.0</v>
      </c>
      <c r="J1014" s="5">
        <v>0.5208333333333334</v>
      </c>
      <c r="K1014" s="1">
        <v>12.0</v>
      </c>
      <c r="L1014" s="1">
        <v>14.85</v>
      </c>
    </row>
    <row r="1015">
      <c r="A1015" s="1">
        <v>489546.0</v>
      </c>
      <c r="B1015" s="2" t="s">
        <v>454</v>
      </c>
      <c r="C1015" s="1" t="s">
        <v>455</v>
      </c>
      <c r="D1015" s="1">
        <v>4.0</v>
      </c>
      <c r="E1015" s="3">
        <v>40148.520833333336</v>
      </c>
      <c r="F1015" s="1">
        <v>3.45</v>
      </c>
      <c r="G1015" s="1">
        <v>14156.0</v>
      </c>
      <c r="H1015" s="1" t="s">
        <v>653</v>
      </c>
      <c r="I1015" s="4">
        <v>40148.0</v>
      </c>
      <c r="J1015" s="5">
        <v>0.5208333333333334</v>
      </c>
      <c r="K1015" s="1">
        <v>12.0</v>
      </c>
      <c r="L1015" s="1">
        <v>13.8</v>
      </c>
    </row>
    <row r="1016">
      <c r="A1016" s="1">
        <v>489546.0</v>
      </c>
      <c r="B1016" s="2" t="s">
        <v>1219</v>
      </c>
      <c r="C1016" s="1" t="s">
        <v>1220</v>
      </c>
      <c r="D1016" s="1">
        <v>9.0</v>
      </c>
      <c r="E1016" s="3">
        <v>40148.520833333336</v>
      </c>
      <c r="F1016" s="1">
        <v>4.25</v>
      </c>
      <c r="G1016" s="1">
        <v>14156.0</v>
      </c>
      <c r="H1016" s="1" t="s">
        <v>653</v>
      </c>
      <c r="I1016" s="4">
        <v>40148.0</v>
      </c>
      <c r="J1016" s="5">
        <v>0.5208333333333334</v>
      </c>
      <c r="K1016" s="1">
        <v>12.0</v>
      </c>
      <c r="L1016" s="1">
        <v>38.25</v>
      </c>
    </row>
    <row r="1017">
      <c r="A1017" s="1">
        <v>489546.0</v>
      </c>
      <c r="B1017" s="2" t="s">
        <v>1292</v>
      </c>
      <c r="C1017" s="1" t="s">
        <v>1293</v>
      </c>
      <c r="D1017" s="1">
        <v>6.0</v>
      </c>
      <c r="E1017" s="3">
        <v>40148.520833333336</v>
      </c>
      <c r="F1017" s="1">
        <v>2.55</v>
      </c>
      <c r="G1017" s="1">
        <v>14156.0</v>
      </c>
      <c r="H1017" s="1" t="s">
        <v>653</v>
      </c>
      <c r="I1017" s="4">
        <v>40148.0</v>
      </c>
      <c r="J1017" s="5">
        <v>0.5208333333333334</v>
      </c>
      <c r="K1017" s="1">
        <v>12.0</v>
      </c>
      <c r="L1017" s="1">
        <v>15.2999999999999</v>
      </c>
    </row>
    <row r="1018">
      <c r="A1018" s="1">
        <v>489546.0</v>
      </c>
      <c r="B1018" s="2" t="s">
        <v>1294</v>
      </c>
      <c r="C1018" s="1" t="s">
        <v>1295</v>
      </c>
      <c r="D1018" s="1">
        <v>12.0</v>
      </c>
      <c r="E1018" s="3">
        <v>40148.520833333336</v>
      </c>
      <c r="F1018" s="1">
        <v>0.85</v>
      </c>
      <c r="G1018" s="1">
        <v>14156.0</v>
      </c>
      <c r="H1018" s="1" t="s">
        <v>653</v>
      </c>
      <c r="I1018" s="4">
        <v>40148.0</v>
      </c>
      <c r="J1018" s="5">
        <v>0.5208333333333334</v>
      </c>
      <c r="K1018" s="1">
        <v>12.0</v>
      </c>
      <c r="L1018" s="1">
        <v>10.2</v>
      </c>
    </row>
    <row r="1019">
      <c r="A1019" s="1">
        <v>489546.0</v>
      </c>
      <c r="B1019" s="2" t="s">
        <v>522</v>
      </c>
      <c r="C1019" s="1" t="s">
        <v>523</v>
      </c>
      <c r="D1019" s="1">
        <v>8.0</v>
      </c>
      <c r="E1019" s="3">
        <v>40148.520833333336</v>
      </c>
      <c r="F1019" s="1">
        <v>1.95</v>
      </c>
      <c r="G1019" s="1">
        <v>14156.0</v>
      </c>
      <c r="H1019" s="1" t="s">
        <v>653</v>
      </c>
      <c r="I1019" s="4">
        <v>40148.0</v>
      </c>
      <c r="J1019" s="5">
        <v>0.5208333333333334</v>
      </c>
      <c r="K1019" s="1">
        <v>12.0</v>
      </c>
      <c r="L1019" s="1">
        <v>15.6</v>
      </c>
    </row>
    <row r="1020">
      <c r="A1020" s="1">
        <v>489546.0</v>
      </c>
      <c r="B1020" s="2" t="s">
        <v>1296</v>
      </c>
      <c r="C1020" s="1" t="s">
        <v>1297</v>
      </c>
      <c r="D1020" s="1">
        <v>8.0</v>
      </c>
      <c r="E1020" s="3">
        <v>40148.520833333336</v>
      </c>
      <c r="F1020" s="1">
        <v>1.65</v>
      </c>
      <c r="G1020" s="1">
        <v>14156.0</v>
      </c>
      <c r="H1020" s="1" t="s">
        <v>653</v>
      </c>
      <c r="I1020" s="4">
        <v>40148.0</v>
      </c>
      <c r="J1020" s="5">
        <v>0.5208333333333334</v>
      </c>
      <c r="K1020" s="1">
        <v>12.0</v>
      </c>
      <c r="L1020" s="1">
        <v>13.2</v>
      </c>
    </row>
    <row r="1021">
      <c r="A1021" s="1">
        <v>489546.0</v>
      </c>
      <c r="B1021" s="2" t="s">
        <v>948</v>
      </c>
      <c r="C1021" s="1" t="s">
        <v>949</v>
      </c>
      <c r="D1021" s="1">
        <v>3.0</v>
      </c>
      <c r="E1021" s="3">
        <v>40148.520833333336</v>
      </c>
      <c r="F1021" s="1">
        <v>4.25</v>
      </c>
      <c r="G1021" s="1">
        <v>14156.0</v>
      </c>
      <c r="H1021" s="1" t="s">
        <v>653</v>
      </c>
      <c r="I1021" s="4">
        <v>40148.0</v>
      </c>
      <c r="J1021" s="5">
        <v>0.5208333333333334</v>
      </c>
      <c r="K1021" s="1">
        <v>12.0</v>
      </c>
      <c r="L1021" s="1">
        <v>12.75</v>
      </c>
    </row>
    <row r="1022">
      <c r="A1022" s="1">
        <v>489546.0</v>
      </c>
      <c r="B1022" s="2" t="s">
        <v>412</v>
      </c>
      <c r="C1022" s="1" t="s">
        <v>413</v>
      </c>
      <c r="D1022" s="1">
        <v>24.0</v>
      </c>
      <c r="E1022" s="3">
        <v>40148.520833333336</v>
      </c>
      <c r="F1022" s="1">
        <v>0.55</v>
      </c>
      <c r="G1022" s="1">
        <v>14156.0</v>
      </c>
      <c r="H1022" s="1" t="s">
        <v>653</v>
      </c>
      <c r="I1022" s="4">
        <v>40148.0</v>
      </c>
      <c r="J1022" s="5">
        <v>0.5208333333333334</v>
      </c>
      <c r="K1022" s="1">
        <v>12.0</v>
      </c>
      <c r="L1022" s="1">
        <v>13.2</v>
      </c>
    </row>
    <row r="1023">
      <c r="A1023" s="1">
        <v>489546.0</v>
      </c>
      <c r="B1023" s="2" t="s">
        <v>438</v>
      </c>
      <c r="C1023" s="1" t="s">
        <v>439</v>
      </c>
      <c r="D1023" s="1">
        <v>12.0</v>
      </c>
      <c r="E1023" s="3">
        <v>40148.520833333336</v>
      </c>
      <c r="F1023" s="1">
        <v>2.1</v>
      </c>
      <c r="G1023" s="1">
        <v>14156.0</v>
      </c>
      <c r="H1023" s="1" t="s">
        <v>653</v>
      </c>
      <c r="I1023" s="4">
        <v>40148.0</v>
      </c>
      <c r="J1023" s="5">
        <v>0.5208333333333334</v>
      </c>
      <c r="K1023" s="1">
        <v>12.0</v>
      </c>
      <c r="L1023" s="1">
        <v>25.2</v>
      </c>
    </row>
    <row r="1024">
      <c r="A1024" s="1">
        <v>489546.0</v>
      </c>
      <c r="B1024" s="2" t="s">
        <v>33</v>
      </c>
      <c r="C1024" s="1" t="s">
        <v>313</v>
      </c>
      <c r="D1024" s="1">
        <v>12.0</v>
      </c>
      <c r="E1024" s="3">
        <v>40148.520833333336</v>
      </c>
      <c r="F1024" s="1">
        <v>1.65</v>
      </c>
      <c r="G1024" s="1">
        <v>14156.0</v>
      </c>
      <c r="H1024" s="1" t="s">
        <v>653</v>
      </c>
      <c r="I1024" s="4">
        <v>40148.0</v>
      </c>
      <c r="J1024" s="5">
        <v>0.5208333333333334</v>
      </c>
      <c r="K1024" s="1">
        <v>12.0</v>
      </c>
      <c r="L1024" s="1">
        <v>19.7999999999999</v>
      </c>
    </row>
    <row r="1025">
      <c r="A1025" s="1">
        <v>489546.0</v>
      </c>
      <c r="B1025" s="2" t="s">
        <v>1298</v>
      </c>
      <c r="C1025" s="1" t="s">
        <v>1299</v>
      </c>
      <c r="D1025" s="1">
        <v>12.0</v>
      </c>
      <c r="E1025" s="3">
        <v>40148.520833333336</v>
      </c>
      <c r="F1025" s="1">
        <v>0.85</v>
      </c>
      <c r="G1025" s="1">
        <v>14156.0</v>
      </c>
      <c r="H1025" s="1" t="s">
        <v>653</v>
      </c>
      <c r="I1025" s="4">
        <v>40148.0</v>
      </c>
      <c r="J1025" s="5">
        <v>0.5208333333333334</v>
      </c>
      <c r="K1025" s="1">
        <v>12.0</v>
      </c>
      <c r="L1025" s="1">
        <v>10.2</v>
      </c>
    </row>
    <row r="1026">
      <c r="A1026" s="1">
        <v>489546.0</v>
      </c>
      <c r="B1026" s="2" t="s">
        <v>287</v>
      </c>
      <c r="C1026" s="1" t="s">
        <v>288</v>
      </c>
      <c r="D1026" s="1">
        <v>4.0</v>
      </c>
      <c r="E1026" s="3">
        <v>40148.520833333336</v>
      </c>
      <c r="F1026" s="1">
        <v>4.25</v>
      </c>
      <c r="G1026" s="1">
        <v>14156.0</v>
      </c>
      <c r="H1026" s="1" t="s">
        <v>653</v>
      </c>
      <c r="I1026" s="4">
        <v>40148.0</v>
      </c>
      <c r="J1026" s="5">
        <v>0.5208333333333334</v>
      </c>
      <c r="K1026" s="1">
        <v>12.0</v>
      </c>
      <c r="L1026" s="1">
        <v>17.0</v>
      </c>
    </row>
    <row r="1027">
      <c r="A1027" s="1">
        <v>489548.0</v>
      </c>
      <c r="B1027" s="2" t="s">
        <v>109</v>
      </c>
      <c r="C1027" s="1" t="s">
        <v>110</v>
      </c>
      <c r="D1027" s="1">
        <v>1.0</v>
      </c>
      <c r="E1027" s="3">
        <v>40148.52222222222</v>
      </c>
      <c r="F1027" s="1">
        <v>2.95</v>
      </c>
      <c r="G1027" s="1" t="s">
        <v>421</v>
      </c>
      <c r="H1027" s="1" t="s">
        <v>14</v>
      </c>
      <c r="I1027" s="4">
        <v>40148.0</v>
      </c>
      <c r="J1027" s="5">
        <v>0.5222222222222223</v>
      </c>
      <c r="K1027" s="1">
        <v>12.0</v>
      </c>
      <c r="L1027" s="1">
        <v>2.95</v>
      </c>
    </row>
    <row r="1028">
      <c r="A1028" s="1">
        <v>489548.0</v>
      </c>
      <c r="B1028" s="2" t="s">
        <v>885</v>
      </c>
      <c r="C1028" s="1" t="s">
        <v>886</v>
      </c>
      <c r="D1028" s="1">
        <v>12.0</v>
      </c>
      <c r="E1028" s="3">
        <v>40148.52222222222</v>
      </c>
      <c r="F1028" s="1">
        <v>1.25</v>
      </c>
      <c r="G1028" s="1" t="s">
        <v>421</v>
      </c>
      <c r="H1028" s="1" t="s">
        <v>14</v>
      </c>
      <c r="I1028" s="4">
        <v>40148.0</v>
      </c>
      <c r="J1028" s="5">
        <v>0.5222222222222223</v>
      </c>
      <c r="K1028" s="1">
        <v>12.0</v>
      </c>
      <c r="L1028" s="1">
        <v>15.0</v>
      </c>
    </row>
    <row r="1029">
      <c r="A1029" s="1">
        <v>489548.0</v>
      </c>
      <c r="B1029" s="2" t="s">
        <v>370</v>
      </c>
      <c r="C1029" s="1" t="s">
        <v>371</v>
      </c>
      <c r="D1029" s="1">
        <v>3.0</v>
      </c>
      <c r="E1029" s="3">
        <v>40148.52222222222</v>
      </c>
      <c r="F1029" s="1">
        <v>2.95</v>
      </c>
      <c r="G1029" s="1" t="s">
        <v>421</v>
      </c>
      <c r="H1029" s="1" t="s">
        <v>14</v>
      </c>
      <c r="I1029" s="4">
        <v>40148.0</v>
      </c>
      <c r="J1029" s="5">
        <v>0.5222222222222223</v>
      </c>
      <c r="K1029" s="1">
        <v>12.0</v>
      </c>
      <c r="L1029" s="1">
        <v>8.85</v>
      </c>
    </row>
    <row r="1030">
      <c r="A1030" s="1">
        <v>489548.0</v>
      </c>
      <c r="B1030" s="2" t="s">
        <v>33</v>
      </c>
      <c r="C1030" s="1" t="s">
        <v>313</v>
      </c>
      <c r="D1030" s="1">
        <v>1.0</v>
      </c>
      <c r="E1030" s="3">
        <v>40148.52222222222</v>
      </c>
      <c r="F1030" s="1">
        <v>1.65</v>
      </c>
      <c r="G1030" s="1" t="s">
        <v>421</v>
      </c>
      <c r="H1030" s="1" t="s">
        <v>14</v>
      </c>
      <c r="I1030" s="4">
        <v>40148.0</v>
      </c>
      <c r="J1030" s="5">
        <v>0.5222222222222223</v>
      </c>
      <c r="K1030" s="1">
        <v>12.0</v>
      </c>
      <c r="L1030" s="1">
        <v>1.65</v>
      </c>
    </row>
    <row r="1031">
      <c r="A1031" s="1">
        <v>489548.0</v>
      </c>
      <c r="B1031" s="2" t="s">
        <v>1300</v>
      </c>
      <c r="C1031" s="1" t="s">
        <v>1301</v>
      </c>
      <c r="D1031" s="1">
        <v>2.0</v>
      </c>
      <c r="E1031" s="3">
        <v>40148.52222222222</v>
      </c>
      <c r="F1031" s="1">
        <v>1.95</v>
      </c>
      <c r="G1031" s="1" t="s">
        <v>421</v>
      </c>
      <c r="H1031" s="1" t="s">
        <v>14</v>
      </c>
      <c r="I1031" s="4">
        <v>40148.0</v>
      </c>
      <c r="J1031" s="5">
        <v>0.5222222222222223</v>
      </c>
      <c r="K1031" s="1">
        <v>12.0</v>
      </c>
      <c r="L1031" s="1">
        <v>3.9</v>
      </c>
    </row>
    <row r="1032">
      <c r="A1032" s="1">
        <v>489548.0</v>
      </c>
      <c r="B1032" s="2" t="s">
        <v>1244</v>
      </c>
      <c r="C1032" s="1" t="s">
        <v>1245</v>
      </c>
      <c r="D1032" s="1">
        <v>10.0</v>
      </c>
      <c r="E1032" s="3">
        <v>40148.52222222222</v>
      </c>
      <c r="F1032" s="1">
        <v>1.65</v>
      </c>
      <c r="G1032" s="1" t="s">
        <v>421</v>
      </c>
      <c r="H1032" s="1" t="s">
        <v>14</v>
      </c>
      <c r="I1032" s="4">
        <v>40148.0</v>
      </c>
      <c r="J1032" s="5">
        <v>0.5222222222222223</v>
      </c>
      <c r="K1032" s="1">
        <v>12.0</v>
      </c>
      <c r="L1032" s="1">
        <v>16.5</v>
      </c>
    </row>
    <row r="1033">
      <c r="A1033" s="1">
        <v>489548.0</v>
      </c>
      <c r="B1033" s="2" t="s">
        <v>156</v>
      </c>
      <c r="C1033" s="1" t="s">
        <v>157</v>
      </c>
      <c r="D1033" s="1">
        <v>3.0</v>
      </c>
      <c r="E1033" s="3">
        <v>40148.52222222222</v>
      </c>
      <c r="F1033" s="1">
        <v>4.95</v>
      </c>
      <c r="G1033" s="1" t="s">
        <v>421</v>
      </c>
      <c r="H1033" s="1" t="s">
        <v>14</v>
      </c>
      <c r="I1033" s="4">
        <v>40148.0</v>
      </c>
      <c r="J1033" s="5">
        <v>0.5222222222222223</v>
      </c>
      <c r="K1033" s="1">
        <v>12.0</v>
      </c>
      <c r="L1033" s="1">
        <v>14.85</v>
      </c>
    </row>
    <row r="1034">
      <c r="A1034" s="1">
        <v>489548.0</v>
      </c>
      <c r="B1034" s="2" t="s">
        <v>1089</v>
      </c>
      <c r="C1034" s="1" t="s">
        <v>1090</v>
      </c>
      <c r="D1034" s="1">
        <v>2.0</v>
      </c>
      <c r="E1034" s="3">
        <v>40148.52222222222</v>
      </c>
      <c r="F1034" s="1">
        <v>1.45</v>
      </c>
      <c r="G1034" s="1" t="s">
        <v>421</v>
      </c>
      <c r="H1034" s="1" t="s">
        <v>14</v>
      </c>
      <c r="I1034" s="4">
        <v>40148.0</v>
      </c>
      <c r="J1034" s="5">
        <v>0.5222222222222223</v>
      </c>
      <c r="K1034" s="1">
        <v>12.0</v>
      </c>
      <c r="L1034" s="1">
        <v>2.9</v>
      </c>
    </row>
    <row r="1035">
      <c r="A1035" s="1">
        <v>489548.0</v>
      </c>
      <c r="B1035" s="2" t="s">
        <v>47</v>
      </c>
      <c r="C1035" s="1" t="s">
        <v>48</v>
      </c>
      <c r="D1035" s="1">
        <v>2.0</v>
      </c>
      <c r="E1035" s="3">
        <v>40148.52222222222</v>
      </c>
      <c r="F1035" s="1">
        <v>1.45</v>
      </c>
      <c r="G1035" s="1" t="s">
        <v>421</v>
      </c>
      <c r="H1035" s="1" t="s">
        <v>14</v>
      </c>
      <c r="I1035" s="4">
        <v>40148.0</v>
      </c>
      <c r="J1035" s="5">
        <v>0.5222222222222223</v>
      </c>
      <c r="K1035" s="1">
        <v>12.0</v>
      </c>
      <c r="L1035" s="1">
        <v>2.9</v>
      </c>
    </row>
    <row r="1036">
      <c r="A1036" s="1">
        <v>489548.0</v>
      </c>
      <c r="B1036" s="2" t="s">
        <v>1087</v>
      </c>
      <c r="C1036" s="1" t="s">
        <v>1088</v>
      </c>
      <c r="D1036" s="1">
        <v>2.0</v>
      </c>
      <c r="E1036" s="3">
        <v>40148.52222222222</v>
      </c>
      <c r="F1036" s="1">
        <v>1.95</v>
      </c>
      <c r="G1036" s="1" t="s">
        <v>421</v>
      </c>
      <c r="H1036" s="1" t="s">
        <v>14</v>
      </c>
      <c r="I1036" s="4">
        <v>40148.0</v>
      </c>
      <c r="J1036" s="5">
        <v>0.5222222222222223</v>
      </c>
      <c r="K1036" s="1">
        <v>12.0</v>
      </c>
      <c r="L1036" s="1">
        <v>3.9</v>
      </c>
    </row>
    <row r="1037">
      <c r="A1037" s="1">
        <v>489548.0</v>
      </c>
      <c r="B1037" s="2" t="s">
        <v>1302</v>
      </c>
      <c r="C1037" s="1" t="s">
        <v>1303</v>
      </c>
      <c r="D1037" s="1">
        <v>1.0</v>
      </c>
      <c r="E1037" s="3">
        <v>40148.52222222222</v>
      </c>
      <c r="F1037" s="1">
        <v>1.65</v>
      </c>
      <c r="G1037" s="1" t="s">
        <v>421</v>
      </c>
      <c r="H1037" s="1" t="s">
        <v>14</v>
      </c>
      <c r="I1037" s="4">
        <v>40148.0</v>
      </c>
      <c r="J1037" s="5">
        <v>0.5222222222222223</v>
      </c>
      <c r="K1037" s="1">
        <v>12.0</v>
      </c>
      <c r="L1037" s="1">
        <v>1.65</v>
      </c>
    </row>
    <row r="1038">
      <c r="A1038" s="1">
        <v>489548.0</v>
      </c>
      <c r="B1038" s="2" t="s">
        <v>1298</v>
      </c>
      <c r="C1038" s="1" t="s">
        <v>1299</v>
      </c>
      <c r="D1038" s="1">
        <v>8.0</v>
      </c>
      <c r="E1038" s="3">
        <v>40148.52222222222</v>
      </c>
      <c r="F1038" s="1">
        <v>0.85</v>
      </c>
      <c r="G1038" s="1" t="s">
        <v>421</v>
      </c>
      <c r="H1038" s="1" t="s">
        <v>14</v>
      </c>
      <c r="I1038" s="4">
        <v>40148.0</v>
      </c>
      <c r="J1038" s="5">
        <v>0.5222222222222223</v>
      </c>
      <c r="K1038" s="1">
        <v>12.0</v>
      </c>
      <c r="L1038" s="1">
        <v>6.8</v>
      </c>
    </row>
    <row r="1039">
      <c r="A1039" s="1">
        <v>489548.0</v>
      </c>
      <c r="B1039" s="2" t="s">
        <v>283</v>
      </c>
      <c r="C1039" s="1" t="s">
        <v>284</v>
      </c>
      <c r="D1039" s="1">
        <v>3.0</v>
      </c>
      <c r="E1039" s="3">
        <v>40148.52222222222</v>
      </c>
      <c r="F1039" s="1">
        <v>2.95</v>
      </c>
      <c r="G1039" s="1" t="s">
        <v>421</v>
      </c>
      <c r="H1039" s="1" t="s">
        <v>14</v>
      </c>
      <c r="I1039" s="4">
        <v>40148.0</v>
      </c>
      <c r="J1039" s="5">
        <v>0.5222222222222223</v>
      </c>
      <c r="K1039" s="1">
        <v>12.0</v>
      </c>
      <c r="L1039" s="1">
        <v>8.85</v>
      </c>
    </row>
    <row r="1040">
      <c r="A1040" s="1">
        <v>489548.0</v>
      </c>
      <c r="B1040" s="2" t="s">
        <v>1304</v>
      </c>
      <c r="C1040" s="1" t="s">
        <v>1305</v>
      </c>
      <c r="D1040" s="1">
        <v>1.0</v>
      </c>
      <c r="E1040" s="3">
        <v>40148.52222222222</v>
      </c>
      <c r="F1040" s="1">
        <v>6.75</v>
      </c>
      <c r="G1040" s="1" t="s">
        <v>421</v>
      </c>
      <c r="H1040" s="1" t="s">
        <v>14</v>
      </c>
      <c r="I1040" s="4">
        <v>40148.0</v>
      </c>
      <c r="J1040" s="5">
        <v>0.5222222222222223</v>
      </c>
      <c r="K1040" s="1">
        <v>12.0</v>
      </c>
      <c r="L1040" s="1">
        <v>6.75</v>
      </c>
    </row>
    <row r="1041">
      <c r="A1041" s="1">
        <v>489548.0</v>
      </c>
      <c r="B1041" s="2" t="s">
        <v>1306</v>
      </c>
      <c r="C1041" s="1" t="s">
        <v>1307</v>
      </c>
      <c r="D1041" s="1">
        <v>6.0</v>
      </c>
      <c r="E1041" s="3">
        <v>40148.52222222222</v>
      </c>
      <c r="F1041" s="1">
        <v>1.25</v>
      </c>
      <c r="G1041" s="1" t="s">
        <v>421</v>
      </c>
      <c r="H1041" s="1" t="s">
        <v>14</v>
      </c>
      <c r="I1041" s="4">
        <v>40148.0</v>
      </c>
      <c r="J1041" s="5">
        <v>0.5222222222222223</v>
      </c>
      <c r="K1041" s="1">
        <v>12.0</v>
      </c>
      <c r="L1041" s="1">
        <v>7.5</v>
      </c>
    </row>
    <row r="1042">
      <c r="A1042" s="1">
        <v>489548.0</v>
      </c>
      <c r="B1042" s="2" t="s">
        <v>1308</v>
      </c>
      <c r="C1042" s="1" t="s">
        <v>1309</v>
      </c>
      <c r="D1042" s="1">
        <v>12.0</v>
      </c>
      <c r="E1042" s="3">
        <v>40148.52222222222</v>
      </c>
      <c r="F1042" s="1">
        <v>0.42</v>
      </c>
      <c r="G1042" s="1" t="s">
        <v>421</v>
      </c>
      <c r="H1042" s="1" t="s">
        <v>14</v>
      </c>
      <c r="I1042" s="4">
        <v>40148.0</v>
      </c>
      <c r="J1042" s="5">
        <v>0.5222222222222223</v>
      </c>
      <c r="K1042" s="1">
        <v>12.0</v>
      </c>
      <c r="L1042" s="1">
        <v>5.04</v>
      </c>
    </row>
    <row r="1043">
      <c r="A1043" s="1">
        <v>489548.0</v>
      </c>
      <c r="B1043" s="2" t="s">
        <v>1310</v>
      </c>
      <c r="C1043" s="1" t="s">
        <v>1311</v>
      </c>
      <c r="D1043" s="1">
        <v>12.0</v>
      </c>
      <c r="E1043" s="3">
        <v>40148.52222222222</v>
      </c>
      <c r="F1043" s="1">
        <v>0.85</v>
      </c>
      <c r="G1043" s="1" t="s">
        <v>421</v>
      </c>
      <c r="H1043" s="1" t="s">
        <v>14</v>
      </c>
      <c r="I1043" s="4">
        <v>40148.0</v>
      </c>
      <c r="J1043" s="5">
        <v>0.5222222222222223</v>
      </c>
      <c r="K1043" s="1">
        <v>12.0</v>
      </c>
      <c r="L1043" s="1">
        <v>10.2</v>
      </c>
    </row>
    <row r="1044">
      <c r="A1044" s="1">
        <v>489548.0</v>
      </c>
      <c r="B1044" s="2" t="s">
        <v>1298</v>
      </c>
      <c r="C1044" s="1" t="s">
        <v>1299</v>
      </c>
      <c r="D1044" s="1">
        <v>1.0</v>
      </c>
      <c r="E1044" s="3">
        <v>40148.52222222222</v>
      </c>
      <c r="F1044" s="1">
        <v>0.85</v>
      </c>
      <c r="G1044" s="1" t="s">
        <v>421</v>
      </c>
      <c r="H1044" s="1" t="s">
        <v>14</v>
      </c>
      <c r="I1044" s="4">
        <v>40148.0</v>
      </c>
      <c r="J1044" s="5">
        <v>0.5222222222222223</v>
      </c>
      <c r="K1044" s="1">
        <v>12.0</v>
      </c>
      <c r="L1044" s="1">
        <v>0.85</v>
      </c>
    </row>
    <row r="1045">
      <c r="A1045" s="1">
        <v>489548.0</v>
      </c>
      <c r="B1045" s="2" t="s">
        <v>33</v>
      </c>
      <c r="C1045" s="1" t="s">
        <v>313</v>
      </c>
      <c r="D1045" s="1">
        <v>5.0</v>
      </c>
      <c r="E1045" s="3">
        <v>40148.52222222222</v>
      </c>
      <c r="F1045" s="1">
        <v>1.65</v>
      </c>
      <c r="G1045" s="1" t="s">
        <v>421</v>
      </c>
      <c r="H1045" s="1" t="s">
        <v>14</v>
      </c>
      <c r="I1045" s="4">
        <v>40148.0</v>
      </c>
      <c r="J1045" s="5">
        <v>0.5222222222222223</v>
      </c>
      <c r="K1045" s="1">
        <v>12.0</v>
      </c>
      <c r="L1045" s="1">
        <v>8.25</v>
      </c>
    </row>
    <row r="1046">
      <c r="A1046" s="1">
        <v>489548.0</v>
      </c>
      <c r="B1046" s="2" t="s">
        <v>781</v>
      </c>
      <c r="C1046" s="1" t="s">
        <v>782</v>
      </c>
      <c r="D1046" s="1">
        <v>25.0</v>
      </c>
      <c r="E1046" s="3">
        <v>40148.52222222222</v>
      </c>
      <c r="F1046" s="1">
        <v>0.65</v>
      </c>
      <c r="G1046" s="1" t="s">
        <v>421</v>
      </c>
      <c r="H1046" s="1" t="s">
        <v>14</v>
      </c>
      <c r="I1046" s="4">
        <v>40148.0</v>
      </c>
      <c r="J1046" s="5">
        <v>0.5222222222222223</v>
      </c>
      <c r="K1046" s="1">
        <v>12.0</v>
      </c>
      <c r="L1046" s="1">
        <v>16.25</v>
      </c>
    </row>
    <row r="1047">
      <c r="A1047" s="1">
        <v>489548.0</v>
      </c>
      <c r="B1047" s="2" t="s">
        <v>1312</v>
      </c>
      <c r="C1047" s="1" t="s">
        <v>1313</v>
      </c>
      <c r="D1047" s="1">
        <v>10.0</v>
      </c>
      <c r="E1047" s="3">
        <v>40148.52222222222</v>
      </c>
      <c r="F1047" s="1">
        <v>1.25</v>
      </c>
      <c r="G1047" s="1" t="s">
        <v>421</v>
      </c>
      <c r="H1047" s="1" t="s">
        <v>14</v>
      </c>
      <c r="I1047" s="4">
        <v>40148.0</v>
      </c>
      <c r="J1047" s="5">
        <v>0.5222222222222223</v>
      </c>
      <c r="K1047" s="1">
        <v>12.0</v>
      </c>
      <c r="L1047" s="1">
        <v>12.5</v>
      </c>
    </row>
    <row r="1048">
      <c r="A1048" s="1">
        <v>489548.0</v>
      </c>
      <c r="B1048" s="2" t="s">
        <v>1015</v>
      </c>
      <c r="C1048" s="1" t="s">
        <v>1016</v>
      </c>
      <c r="D1048" s="1">
        <v>1.0</v>
      </c>
      <c r="E1048" s="3">
        <v>40148.52222222222</v>
      </c>
      <c r="F1048" s="1">
        <v>2.1</v>
      </c>
      <c r="G1048" s="1" t="s">
        <v>421</v>
      </c>
      <c r="H1048" s="1" t="s">
        <v>14</v>
      </c>
      <c r="I1048" s="4">
        <v>40148.0</v>
      </c>
      <c r="J1048" s="5">
        <v>0.5222222222222223</v>
      </c>
      <c r="K1048" s="1">
        <v>12.0</v>
      </c>
      <c r="L1048" s="1">
        <v>2.1</v>
      </c>
    </row>
    <row r="1049">
      <c r="A1049" s="1">
        <v>489548.0</v>
      </c>
      <c r="B1049" s="2" t="s">
        <v>1314</v>
      </c>
      <c r="C1049" s="1" t="s">
        <v>1315</v>
      </c>
      <c r="D1049" s="1">
        <v>12.0</v>
      </c>
      <c r="E1049" s="3">
        <v>40148.52222222222</v>
      </c>
      <c r="F1049" s="1">
        <v>0.42</v>
      </c>
      <c r="G1049" s="1" t="s">
        <v>421</v>
      </c>
      <c r="H1049" s="1" t="s">
        <v>14</v>
      </c>
      <c r="I1049" s="4">
        <v>40148.0</v>
      </c>
      <c r="J1049" s="5">
        <v>0.5222222222222223</v>
      </c>
      <c r="K1049" s="1">
        <v>12.0</v>
      </c>
      <c r="L1049" s="1">
        <v>5.04</v>
      </c>
    </row>
    <row r="1050">
      <c r="A1050" s="1">
        <v>489548.0</v>
      </c>
      <c r="B1050" s="2" t="s">
        <v>1316</v>
      </c>
      <c r="C1050" s="1" t="s">
        <v>1317</v>
      </c>
      <c r="D1050" s="1">
        <v>2.0</v>
      </c>
      <c r="E1050" s="3">
        <v>40148.52222222222</v>
      </c>
      <c r="F1050" s="1">
        <v>2.55</v>
      </c>
      <c r="G1050" s="1" t="s">
        <v>421</v>
      </c>
      <c r="H1050" s="1" t="s">
        <v>14</v>
      </c>
      <c r="I1050" s="4">
        <v>40148.0</v>
      </c>
      <c r="J1050" s="5">
        <v>0.5222222222222223</v>
      </c>
      <c r="K1050" s="1">
        <v>12.0</v>
      </c>
      <c r="L1050" s="1">
        <v>5.1</v>
      </c>
    </row>
    <row r="1051">
      <c r="A1051" s="1">
        <v>489548.0</v>
      </c>
      <c r="B1051" s="2" t="s">
        <v>1318</v>
      </c>
      <c r="C1051" s="1" t="s">
        <v>1319</v>
      </c>
      <c r="D1051" s="1">
        <v>3.0</v>
      </c>
      <c r="E1051" s="3">
        <v>40148.52222222222</v>
      </c>
      <c r="F1051" s="1">
        <v>2.55</v>
      </c>
      <c r="G1051" s="1" t="s">
        <v>421</v>
      </c>
      <c r="H1051" s="1" t="s">
        <v>14</v>
      </c>
      <c r="I1051" s="4">
        <v>40148.0</v>
      </c>
      <c r="J1051" s="5">
        <v>0.5222222222222223</v>
      </c>
      <c r="K1051" s="1">
        <v>12.0</v>
      </c>
      <c r="L1051" s="1">
        <v>7.64999999999999</v>
      </c>
    </row>
    <row r="1052">
      <c r="A1052" s="1">
        <v>489548.0</v>
      </c>
      <c r="B1052" s="2" t="s">
        <v>160</v>
      </c>
      <c r="C1052" s="1" t="s">
        <v>161</v>
      </c>
      <c r="D1052" s="1">
        <v>1.0</v>
      </c>
      <c r="E1052" s="3">
        <v>40148.52222222222</v>
      </c>
      <c r="F1052" s="1">
        <v>2.55</v>
      </c>
      <c r="G1052" s="1" t="s">
        <v>421</v>
      </c>
      <c r="H1052" s="1" t="s">
        <v>14</v>
      </c>
      <c r="I1052" s="4">
        <v>40148.0</v>
      </c>
      <c r="J1052" s="5">
        <v>0.5222222222222223</v>
      </c>
      <c r="K1052" s="1">
        <v>12.0</v>
      </c>
      <c r="L1052" s="1">
        <v>2.55</v>
      </c>
    </row>
    <row r="1053">
      <c r="A1053" s="1">
        <v>489548.0</v>
      </c>
      <c r="B1053" s="2" t="s">
        <v>948</v>
      </c>
      <c r="C1053" s="1" t="s">
        <v>949</v>
      </c>
      <c r="D1053" s="1">
        <v>3.0</v>
      </c>
      <c r="E1053" s="3">
        <v>40148.52222222222</v>
      </c>
      <c r="F1053" s="1">
        <v>4.25</v>
      </c>
      <c r="G1053" s="1" t="s">
        <v>421</v>
      </c>
      <c r="H1053" s="1" t="s">
        <v>14</v>
      </c>
      <c r="I1053" s="4">
        <v>40148.0</v>
      </c>
      <c r="J1053" s="5">
        <v>0.5222222222222223</v>
      </c>
      <c r="K1053" s="1">
        <v>12.0</v>
      </c>
      <c r="L1053" s="1">
        <v>12.75</v>
      </c>
    </row>
    <row r="1054">
      <c r="A1054" s="1">
        <v>489548.0</v>
      </c>
      <c r="B1054" s="2" t="s">
        <v>960</v>
      </c>
      <c r="C1054" s="1" t="s">
        <v>961</v>
      </c>
      <c r="D1054" s="1">
        <v>1.0</v>
      </c>
      <c r="E1054" s="3">
        <v>40148.52222222222</v>
      </c>
      <c r="F1054" s="1">
        <v>1.65</v>
      </c>
      <c r="G1054" s="1" t="s">
        <v>421</v>
      </c>
      <c r="H1054" s="1" t="s">
        <v>14</v>
      </c>
      <c r="I1054" s="4">
        <v>40148.0</v>
      </c>
      <c r="J1054" s="5">
        <v>0.5222222222222223</v>
      </c>
      <c r="K1054" s="1">
        <v>12.0</v>
      </c>
      <c r="L1054" s="1">
        <v>1.65</v>
      </c>
    </row>
    <row r="1055">
      <c r="A1055" s="1">
        <v>489548.0</v>
      </c>
      <c r="B1055" s="2" t="s">
        <v>981</v>
      </c>
      <c r="C1055" s="1" t="s">
        <v>982</v>
      </c>
      <c r="D1055" s="1">
        <v>12.0</v>
      </c>
      <c r="E1055" s="3">
        <v>40148.52222222222</v>
      </c>
      <c r="F1055" s="1">
        <v>0.29</v>
      </c>
      <c r="G1055" s="1" t="s">
        <v>421</v>
      </c>
      <c r="H1055" s="1" t="s">
        <v>14</v>
      </c>
      <c r="I1055" s="4">
        <v>40148.0</v>
      </c>
      <c r="J1055" s="5">
        <v>0.5222222222222223</v>
      </c>
      <c r="K1055" s="1">
        <v>12.0</v>
      </c>
      <c r="L1055" s="1">
        <v>3.47999999999999</v>
      </c>
    </row>
    <row r="1056">
      <c r="A1056" s="1">
        <v>489548.0</v>
      </c>
      <c r="B1056" s="2" t="s">
        <v>1320</v>
      </c>
      <c r="C1056" s="1" t="s">
        <v>1321</v>
      </c>
      <c r="D1056" s="1">
        <v>1.0</v>
      </c>
      <c r="E1056" s="3">
        <v>40148.52222222222</v>
      </c>
      <c r="F1056" s="1">
        <v>5.45</v>
      </c>
      <c r="G1056" s="1" t="s">
        <v>421</v>
      </c>
      <c r="H1056" s="1" t="s">
        <v>14</v>
      </c>
      <c r="I1056" s="4">
        <v>40148.0</v>
      </c>
      <c r="J1056" s="5">
        <v>0.5222222222222223</v>
      </c>
      <c r="K1056" s="1">
        <v>12.0</v>
      </c>
      <c r="L1056" s="1">
        <v>5.45</v>
      </c>
    </row>
    <row r="1057">
      <c r="A1057" s="1">
        <v>489548.0</v>
      </c>
      <c r="B1057" s="2" t="s">
        <v>1322</v>
      </c>
      <c r="C1057" s="1" t="s">
        <v>1323</v>
      </c>
      <c r="D1057" s="1">
        <v>6.0</v>
      </c>
      <c r="E1057" s="3">
        <v>40148.52222222222</v>
      </c>
      <c r="F1057" s="1">
        <v>2.55</v>
      </c>
      <c r="G1057" s="1" t="s">
        <v>421</v>
      </c>
      <c r="H1057" s="1" t="s">
        <v>14</v>
      </c>
      <c r="I1057" s="4">
        <v>40148.0</v>
      </c>
      <c r="J1057" s="5">
        <v>0.5222222222222223</v>
      </c>
      <c r="K1057" s="1">
        <v>12.0</v>
      </c>
      <c r="L1057" s="1">
        <v>15.2999999999999</v>
      </c>
    </row>
    <row r="1058">
      <c r="A1058" s="1">
        <v>489548.0</v>
      </c>
      <c r="B1058" s="2" t="s">
        <v>506</v>
      </c>
      <c r="C1058" s="1" t="s">
        <v>507</v>
      </c>
      <c r="D1058" s="1">
        <v>1.0</v>
      </c>
      <c r="E1058" s="3">
        <v>40148.52222222222</v>
      </c>
      <c r="F1058" s="1">
        <v>8.5</v>
      </c>
      <c r="G1058" s="1" t="s">
        <v>421</v>
      </c>
      <c r="H1058" s="1" t="s">
        <v>14</v>
      </c>
      <c r="I1058" s="4">
        <v>40148.0</v>
      </c>
      <c r="J1058" s="5">
        <v>0.5222222222222223</v>
      </c>
      <c r="K1058" s="1">
        <v>12.0</v>
      </c>
      <c r="L1058" s="1">
        <v>8.5</v>
      </c>
    </row>
    <row r="1059">
      <c r="A1059" s="1">
        <v>489548.0</v>
      </c>
      <c r="B1059" s="2" t="s">
        <v>599</v>
      </c>
      <c r="C1059" s="1" t="s">
        <v>600</v>
      </c>
      <c r="D1059" s="1">
        <v>1.0</v>
      </c>
      <c r="E1059" s="3">
        <v>40148.52222222222</v>
      </c>
      <c r="F1059" s="1">
        <v>2.55</v>
      </c>
      <c r="G1059" s="1" t="s">
        <v>421</v>
      </c>
      <c r="H1059" s="1" t="s">
        <v>14</v>
      </c>
      <c r="I1059" s="4">
        <v>40148.0</v>
      </c>
      <c r="J1059" s="5">
        <v>0.5222222222222223</v>
      </c>
      <c r="K1059" s="1">
        <v>12.0</v>
      </c>
      <c r="L1059" s="1">
        <v>2.55</v>
      </c>
    </row>
    <row r="1060">
      <c r="A1060" s="1">
        <v>489548.0</v>
      </c>
      <c r="B1060" s="2" t="s">
        <v>803</v>
      </c>
      <c r="C1060" s="1" t="s">
        <v>804</v>
      </c>
      <c r="D1060" s="1">
        <v>22.0</v>
      </c>
      <c r="E1060" s="3">
        <v>40148.52222222222</v>
      </c>
      <c r="F1060" s="1">
        <v>0.85</v>
      </c>
      <c r="G1060" s="1" t="s">
        <v>421</v>
      </c>
      <c r="H1060" s="1" t="s">
        <v>14</v>
      </c>
      <c r="I1060" s="4">
        <v>40148.0</v>
      </c>
      <c r="J1060" s="5">
        <v>0.5222222222222223</v>
      </c>
      <c r="K1060" s="1">
        <v>12.0</v>
      </c>
      <c r="L1060" s="1">
        <v>18.7</v>
      </c>
    </row>
    <row r="1061">
      <c r="A1061" s="1">
        <v>489548.0</v>
      </c>
      <c r="B1061" s="2" t="s">
        <v>436</v>
      </c>
      <c r="C1061" s="1" t="s">
        <v>437</v>
      </c>
      <c r="D1061" s="1">
        <v>1.0</v>
      </c>
      <c r="E1061" s="3">
        <v>40148.52222222222</v>
      </c>
      <c r="F1061" s="1">
        <v>2.1</v>
      </c>
      <c r="G1061" s="1" t="s">
        <v>421</v>
      </c>
      <c r="H1061" s="1" t="s">
        <v>14</v>
      </c>
      <c r="I1061" s="4">
        <v>40148.0</v>
      </c>
      <c r="J1061" s="5">
        <v>0.5222222222222223</v>
      </c>
      <c r="K1061" s="1">
        <v>12.0</v>
      </c>
      <c r="L1061" s="1">
        <v>2.1</v>
      </c>
    </row>
    <row r="1062">
      <c r="A1062" s="1">
        <v>489548.0</v>
      </c>
      <c r="B1062" s="2" t="s">
        <v>230</v>
      </c>
      <c r="C1062" s="1" t="s">
        <v>231</v>
      </c>
      <c r="D1062" s="1">
        <v>2.0</v>
      </c>
      <c r="E1062" s="3">
        <v>40148.52222222222</v>
      </c>
      <c r="F1062" s="1">
        <v>2.1</v>
      </c>
      <c r="G1062" s="1" t="s">
        <v>421</v>
      </c>
      <c r="H1062" s="1" t="s">
        <v>14</v>
      </c>
      <c r="I1062" s="4">
        <v>40148.0</v>
      </c>
      <c r="J1062" s="5">
        <v>0.5222222222222223</v>
      </c>
      <c r="K1062" s="1">
        <v>12.0</v>
      </c>
      <c r="L1062" s="1">
        <v>4.2</v>
      </c>
    </row>
    <row r="1063">
      <c r="A1063" s="1">
        <v>489548.0</v>
      </c>
      <c r="B1063" s="2" t="s">
        <v>434</v>
      </c>
      <c r="C1063" s="1" t="s">
        <v>435</v>
      </c>
      <c r="D1063" s="1">
        <v>3.0</v>
      </c>
      <c r="E1063" s="3">
        <v>40148.52222222222</v>
      </c>
      <c r="F1063" s="1">
        <v>2.1</v>
      </c>
      <c r="G1063" s="1" t="s">
        <v>421</v>
      </c>
      <c r="H1063" s="1" t="s">
        <v>14</v>
      </c>
      <c r="I1063" s="4">
        <v>40148.0</v>
      </c>
      <c r="J1063" s="5">
        <v>0.5222222222222223</v>
      </c>
      <c r="K1063" s="1">
        <v>12.0</v>
      </c>
      <c r="L1063" s="1">
        <v>6.3</v>
      </c>
    </row>
    <row r="1064">
      <c r="A1064" s="1">
        <v>489548.0</v>
      </c>
      <c r="B1064" s="2" t="s">
        <v>704</v>
      </c>
      <c r="C1064" s="1" t="s">
        <v>705</v>
      </c>
      <c r="D1064" s="1">
        <v>1.0</v>
      </c>
      <c r="E1064" s="3">
        <v>40148.52222222222</v>
      </c>
      <c r="F1064" s="1">
        <v>3.95</v>
      </c>
      <c r="G1064" s="1" t="s">
        <v>421</v>
      </c>
      <c r="H1064" s="1" t="s">
        <v>14</v>
      </c>
      <c r="I1064" s="4">
        <v>40148.0</v>
      </c>
      <c r="J1064" s="5">
        <v>0.5222222222222223</v>
      </c>
      <c r="K1064" s="1">
        <v>12.0</v>
      </c>
      <c r="L1064" s="1">
        <v>3.95</v>
      </c>
    </row>
    <row r="1065">
      <c r="A1065" s="1">
        <v>489548.0</v>
      </c>
      <c r="B1065" s="2" t="s">
        <v>1193</v>
      </c>
      <c r="C1065" s="1" t="s">
        <v>1194</v>
      </c>
      <c r="D1065" s="1">
        <v>1.0</v>
      </c>
      <c r="E1065" s="3">
        <v>40148.52222222222</v>
      </c>
      <c r="F1065" s="1">
        <v>3.95</v>
      </c>
      <c r="G1065" s="1" t="s">
        <v>421</v>
      </c>
      <c r="H1065" s="1" t="s">
        <v>14</v>
      </c>
      <c r="I1065" s="4">
        <v>40148.0</v>
      </c>
      <c r="J1065" s="5">
        <v>0.5222222222222223</v>
      </c>
      <c r="K1065" s="1">
        <v>12.0</v>
      </c>
      <c r="L1065" s="1">
        <v>3.95</v>
      </c>
    </row>
    <row r="1066">
      <c r="A1066" s="1">
        <v>489548.0</v>
      </c>
      <c r="B1066" s="2" t="s">
        <v>1324</v>
      </c>
      <c r="C1066" s="1" t="s">
        <v>1325</v>
      </c>
      <c r="D1066" s="1">
        <v>2.0</v>
      </c>
      <c r="E1066" s="3">
        <v>40148.52222222222</v>
      </c>
      <c r="F1066" s="1">
        <v>5.95</v>
      </c>
      <c r="G1066" s="1" t="s">
        <v>421</v>
      </c>
      <c r="H1066" s="1" t="s">
        <v>14</v>
      </c>
      <c r="I1066" s="4">
        <v>40148.0</v>
      </c>
      <c r="J1066" s="5">
        <v>0.5222222222222223</v>
      </c>
      <c r="K1066" s="1">
        <v>12.0</v>
      </c>
      <c r="L1066" s="1">
        <v>11.9</v>
      </c>
    </row>
    <row r="1067">
      <c r="A1067" s="1">
        <v>489548.0</v>
      </c>
      <c r="B1067" s="2" t="s">
        <v>1326</v>
      </c>
      <c r="C1067" s="1" t="s">
        <v>1327</v>
      </c>
      <c r="D1067" s="1">
        <v>6.0</v>
      </c>
      <c r="E1067" s="3">
        <v>40148.52222222222</v>
      </c>
      <c r="F1067" s="1">
        <v>2.55</v>
      </c>
      <c r="G1067" s="1" t="s">
        <v>421</v>
      </c>
      <c r="H1067" s="1" t="s">
        <v>14</v>
      </c>
      <c r="I1067" s="4">
        <v>40148.0</v>
      </c>
      <c r="J1067" s="5">
        <v>0.5222222222222223</v>
      </c>
      <c r="K1067" s="1">
        <v>12.0</v>
      </c>
      <c r="L1067" s="1">
        <v>15.2999999999999</v>
      </c>
    </row>
    <row r="1068">
      <c r="A1068" s="1">
        <v>489548.0</v>
      </c>
      <c r="B1068" s="2" t="s">
        <v>734</v>
      </c>
      <c r="C1068" s="1" t="s">
        <v>735</v>
      </c>
      <c r="D1068" s="1">
        <v>6.0</v>
      </c>
      <c r="E1068" s="3">
        <v>40148.52222222222</v>
      </c>
      <c r="F1068" s="1">
        <v>2.55</v>
      </c>
      <c r="G1068" s="1" t="s">
        <v>421</v>
      </c>
      <c r="H1068" s="1" t="s">
        <v>14</v>
      </c>
      <c r="I1068" s="4">
        <v>40148.0</v>
      </c>
      <c r="J1068" s="5">
        <v>0.5222222222222223</v>
      </c>
      <c r="K1068" s="1">
        <v>12.0</v>
      </c>
      <c r="L1068" s="1">
        <v>15.2999999999999</v>
      </c>
    </row>
    <row r="1069">
      <c r="A1069" s="1">
        <v>489548.0</v>
      </c>
      <c r="B1069" s="2" t="s">
        <v>736</v>
      </c>
      <c r="C1069" s="1" t="s">
        <v>737</v>
      </c>
      <c r="D1069" s="1">
        <v>6.0</v>
      </c>
      <c r="E1069" s="3">
        <v>40148.52222222222</v>
      </c>
      <c r="F1069" s="1">
        <v>2.55</v>
      </c>
      <c r="G1069" s="1" t="s">
        <v>421</v>
      </c>
      <c r="H1069" s="1" t="s">
        <v>14</v>
      </c>
      <c r="I1069" s="4">
        <v>40148.0</v>
      </c>
      <c r="J1069" s="5">
        <v>0.5222222222222223</v>
      </c>
      <c r="K1069" s="1">
        <v>12.0</v>
      </c>
      <c r="L1069" s="1">
        <v>15.2999999999999</v>
      </c>
    </row>
    <row r="1070">
      <c r="A1070" s="1">
        <v>489548.0</v>
      </c>
      <c r="B1070" s="2" t="s">
        <v>975</v>
      </c>
      <c r="C1070" s="1" t="s">
        <v>976</v>
      </c>
      <c r="D1070" s="1">
        <v>3.0</v>
      </c>
      <c r="E1070" s="3">
        <v>40148.52222222222</v>
      </c>
      <c r="F1070" s="1">
        <v>0.95</v>
      </c>
      <c r="G1070" s="1" t="s">
        <v>421</v>
      </c>
      <c r="H1070" s="1" t="s">
        <v>14</v>
      </c>
      <c r="I1070" s="4">
        <v>40148.0</v>
      </c>
      <c r="J1070" s="5">
        <v>0.5222222222222223</v>
      </c>
      <c r="K1070" s="1">
        <v>12.0</v>
      </c>
      <c r="L1070" s="1">
        <v>2.84999999999999</v>
      </c>
    </row>
    <row r="1071">
      <c r="A1071" s="1">
        <v>489548.0</v>
      </c>
      <c r="B1071" s="2" t="s">
        <v>1328</v>
      </c>
      <c r="C1071" s="1" t="s">
        <v>1329</v>
      </c>
      <c r="D1071" s="1">
        <v>2.0</v>
      </c>
      <c r="E1071" s="3">
        <v>40148.52222222222</v>
      </c>
      <c r="F1071" s="1">
        <v>1.65</v>
      </c>
      <c r="G1071" s="1" t="s">
        <v>421</v>
      </c>
      <c r="H1071" s="1" t="s">
        <v>14</v>
      </c>
      <c r="I1071" s="4">
        <v>40148.0</v>
      </c>
      <c r="J1071" s="5">
        <v>0.5222222222222223</v>
      </c>
      <c r="K1071" s="1">
        <v>12.0</v>
      </c>
      <c r="L1071" s="1">
        <v>3.3</v>
      </c>
    </row>
    <row r="1072">
      <c r="A1072" s="1">
        <v>489548.0</v>
      </c>
      <c r="B1072" s="2" t="s">
        <v>1035</v>
      </c>
      <c r="C1072" s="1" t="s">
        <v>1036</v>
      </c>
      <c r="D1072" s="1">
        <v>6.0</v>
      </c>
      <c r="E1072" s="3">
        <v>40148.52222222222</v>
      </c>
      <c r="F1072" s="1">
        <v>1.65</v>
      </c>
      <c r="G1072" s="1" t="s">
        <v>421</v>
      </c>
      <c r="H1072" s="1" t="s">
        <v>14</v>
      </c>
      <c r="I1072" s="4">
        <v>40148.0</v>
      </c>
      <c r="J1072" s="5">
        <v>0.5222222222222223</v>
      </c>
      <c r="K1072" s="1">
        <v>12.0</v>
      </c>
      <c r="L1072" s="1">
        <v>9.89999999999999</v>
      </c>
    </row>
    <row r="1073">
      <c r="A1073" s="1">
        <v>489548.0</v>
      </c>
      <c r="B1073" s="2" t="s">
        <v>289</v>
      </c>
      <c r="C1073" s="1" t="s">
        <v>290</v>
      </c>
      <c r="D1073" s="1">
        <v>3.0</v>
      </c>
      <c r="E1073" s="3">
        <v>40148.52222222222</v>
      </c>
      <c r="F1073" s="1">
        <v>2.95</v>
      </c>
      <c r="G1073" s="1" t="s">
        <v>421</v>
      </c>
      <c r="H1073" s="1" t="s">
        <v>14</v>
      </c>
      <c r="I1073" s="4">
        <v>40148.0</v>
      </c>
      <c r="J1073" s="5">
        <v>0.5222222222222223</v>
      </c>
      <c r="K1073" s="1">
        <v>12.0</v>
      </c>
      <c r="L1073" s="1">
        <v>8.85</v>
      </c>
    </row>
    <row r="1074">
      <c r="A1074" s="1">
        <v>489548.0</v>
      </c>
      <c r="B1074" s="2" t="s">
        <v>1330</v>
      </c>
      <c r="C1074" s="1" t="s">
        <v>1331</v>
      </c>
      <c r="D1074" s="1">
        <v>12.0</v>
      </c>
      <c r="E1074" s="3">
        <v>40148.52222222222</v>
      </c>
      <c r="F1074" s="1">
        <v>0.85</v>
      </c>
      <c r="G1074" s="1" t="s">
        <v>421</v>
      </c>
      <c r="H1074" s="1" t="s">
        <v>14</v>
      </c>
      <c r="I1074" s="4">
        <v>40148.0</v>
      </c>
      <c r="J1074" s="5">
        <v>0.5222222222222223</v>
      </c>
      <c r="K1074" s="1">
        <v>12.0</v>
      </c>
      <c r="L1074" s="1">
        <v>10.2</v>
      </c>
    </row>
    <row r="1075">
      <c r="A1075" s="1">
        <v>489548.0</v>
      </c>
      <c r="B1075" s="2" t="s">
        <v>668</v>
      </c>
      <c r="C1075" s="1" t="s">
        <v>669</v>
      </c>
      <c r="D1075" s="1">
        <v>5.0</v>
      </c>
      <c r="E1075" s="3">
        <v>40148.52222222222</v>
      </c>
      <c r="F1075" s="1">
        <v>1.65</v>
      </c>
      <c r="G1075" s="1" t="s">
        <v>421</v>
      </c>
      <c r="H1075" s="1" t="s">
        <v>14</v>
      </c>
      <c r="I1075" s="4">
        <v>40148.0</v>
      </c>
      <c r="J1075" s="5">
        <v>0.5222222222222223</v>
      </c>
      <c r="K1075" s="1">
        <v>12.0</v>
      </c>
      <c r="L1075" s="1">
        <v>8.25</v>
      </c>
    </row>
    <row r="1076">
      <c r="A1076" s="1">
        <v>489548.0</v>
      </c>
      <c r="B1076" s="2" t="s">
        <v>1332</v>
      </c>
      <c r="C1076" s="1" t="s">
        <v>1333</v>
      </c>
      <c r="D1076" s="1">
        <v>1.0</v>
      </c>
      <c r="E1076" s="3">
        <v>40148.52222222222</v>
      </c>
      <c r="F1076" s="1">
        <v>8.95</v>
      </c>
      <c r="G1076" s="1" t="s">
        <v>421</v>
      </c>
      <c r="H1076" s="1" t="s">
        <v>14</v>
      </c>
      <c r="I1076" s="4">
        <v>40148.0</v>
      </c>
      <c r="J1076" s="5">
        <v>0.5222222222222223</v>
      </c>
      <c r="K1076" s="1">
        <v>12.0</v>
      </c>
      <c r="L1076" s="1">
        <v>8.95</v>
      </c>
    </row>
    <row r="1077">
      <c r="A1077" s="1">
        <v>489548.0</v>
      </c>
      <c r="B1077" s="2" t="s">
        <v>113</v>
      </c>
      <c r="C1077" s="1" t="s">
        <v>114</v>
      </c>
      <c r="D1077" s="1">
        <v>1.0</v>
      </c>
      <c r="E1077" s="3">
        <v>40148.52222222222</v>
      </c>
      <c r="F1077" s="1">
        <v>2.95</v>
      </c>
      <c r="G1077" s="1" t="s">
        <v>421</v>
      </c>
      <c r="H1077" s="1" t="s">
        <v>14</v>
      </c>
      <c r="I1077" s="4">
        <v>40148.0</v>
      </c>
      <c r="J1077" s="5">
        <v>0.5222222222222223</v>
      </c>
      <c r="K1077" s="1">
        <v>12.0</v>
      </c>
      <c r="L1077" s="1">
        <v>2.95</v>
      </c>
    </row>
    <row r="1078">
      <c r="A1078" s="1" t="s">
        <v>1334</v>
      </c>
      <c r="B1078" s="2" t="s">
        <v>89</v>
      </c>
      <c r="C1078" s="1" t="s">
        <v>90</v>
      </c>
      <c r="D1078" s="1">
        <v>-2.0</v>
      </c>
      <c r="E1078" s="3">
        <v>40148.52291666667</v>
      </c>
      <c r="F1078" s="1">
        <v>7.95</v>
      </c>
      <c r="G1078" s="1">
        <v>13768.0</v>
      </c>
      <c r="H1078" s="1" t="s">
        <v>14</v>
      </c>
      <c r="I1078" s="4">
        <v>40148.0</v>
      </c>
      <c r="J1078" s="5">
        <v>0.5229166666666667</v>
      </c>
      <c r="K1078" s="1">
        <v>12.0</v>
      </c>
      <c r="L1078" s="1">
        <v>-15.9</v>
      </c>
    </row>
    <row r="1079">
      <c r="A1079" s="1">
        <v>489550.0</v>
      </c>
      <c r="B1079" s="2" t="s">
        <v>658</v>
      </c>
      <c r="C1079" s="1" t="s">
        <v>659</v>
      </c>
      <c r="D1079" s="1">
        <v>2.0</v>
      </c>
      <c r="E1079" s="3">
        <v>40148.52291666667</v>
      </c>
      <c r="F1079" s="1">
        <v>6.75</v>
      </c>
      <c r="G1079" s="1">
        <v>14156.0</v>
      </c>
      <c r="H1079" s="1" t="s">
        <v>653</v>
      </c>
      <c r="I1079" s="4">
        <v>40148.0</v>
      </c>
      <c r="J1079" s="5">
        <v>0.5229166666666667</v>
      </c>
      <c r="K1079" s="1">
        <v>12.0</v>
      </c>
      <c r="L1079" s="1">
        <v>13.5</v>
      </c>
    </row>
    <row r="1080">
      <c r="A1080" s="1">
        <v>489550.0</v>
      </c>
      <c r="B1080" s="2" t="s">
        <v>27</v>
      </c>
      <c r="C1080" s="1" t="s">
        <v>28</v>
      </c>
      <c r="D1080" s="1">
        <v>2.0</v>
      </c>
      <c r="E1080" s="3">
        <v>40148.52291666667</v>
      </c>
      <c r="F1080" s="1">
        <v>6.75</v>
      </c>
      <c r="G1080" s="1">
        <v>14156.0</v>
      </c>
      <c r="H1080" s="1" t="s">
        <v>653</v>
      </c>
      <c r="I1080" s="4">
        <v>40148.0</v>
      </c>
      <c r="J1080" s="5">
        <v>0.5229166666666667</v>
      </c>
      <c r="K1080" s="1">
        <v>12.0</v>
      </c>
      <c r="L1080" s="1">
        <v>13.5</v>
      </c>
    </row>
    <row r="1081">
      <c r="A1081" s="1">
        <v>489550.0</v>
      </c>
      <c r="B1081" s="2" t="s">
        <v>1335</v>
      </c>
      <c r="C1081" s="1" t="s">
        <v>1336</v>
      </c>
      <c r="D1081" s="1">
        <v>4.0</v>
      </c>
      <c r="E1081" s="3">
        <v>40148.52291666667</v>
      </c>
      <c r="F1081" s="1">
        <v>12.75</v>
      </c>
      <c r="G1081" s="1">
        <v>14156.0</v>
      </c>
      <c r="H1081" s="1" t="s">
        <v>653</v>
      </c>
      <c r="I1081" s="4">
        <v>40148.0</v>
      </c>
      <c r="J1081" s="5">
        <v>0.5229166666666667</v>
      </c>
      <c r="K1081" s="1">
        <v>12.0</v>
      </c>
      <c r="L1081" s="1">
        <v>51.0</v>
      </c>
    </row>
    <row r="1082">
      <c r="A1082" s="1">
        <v>489550.0</v>
      </c>
      <c r="B1082" s="2" t="s">
        <v>1337</v>
      </c>
      <c r="C1082" s="1" t="s">
        <v>1338</v>
      </c>
      <c r="D1082" s="1">
        <v>2.0</v>
      </c>
      <c r="E1082" s="3">
        <v>40148.52291666667</v>
      </c>
      <c r="F1082" s="1">
        <v>12.75</v>
      </c>
      <c r="G1082" s="1">
        <v>14156.0</v>
      </c>
      <c r="H1082" s="1" t="s">
        <v>653</v>
      </c>
      <c r="I1082" s="4">
        <v>40148.0</v>
      </c>
      <c r="J1082" s="5">
        <v>0.5229166666666667</v>
      </c>
      <c r="K1082" s="1">
        <v>12.0</v>
      </c>
      <c r="L1082" s="1">
        <v>25.5</v>
      </c>
    </row>
    <row r="1083">
      <c r="A1083" s="1">
        <v>489550.0</v>
      </c>
      <c r="B1083" s="2" t="s">
        <v>1339</v>
      </c>
      <c r="C1083" s="1" t="s">
        <v>1340</v>
      </c>
      <c r="D1083" s="1">
        <v>2.0</v>
      </c>
      <c r="E1083" s="3">
        <v>40148.52291666667</v>
      </c>
      <c r="F1083" s="1">
        <v>12.75</v>
      </c>
      <c r="G1083" s="1">
        <v>14156.0</v>
      </c>
      <c r="H1083" s="1" t="s">
        <v>653</v>
      </c>
      <c r="I1083" s="4">
        <v>40148.0</v>
      </c>
      <c r="J1083" s="5">
        <v>0.5229166666666667</v>
      </c>
      <c r="K1083" s="1">
        <v>12.0</v>
      </c>
      <c r="L1083" s="1">
        <v>25.5</v>
      </c>
    </row>
    <row r="1084">
      <c r="A1084" s="1">
        <v>489550.0</v>
      </c>
      <c r="B1084" s="2" t="s">
        <v>366</v>
      </c>
      <c r="C1084" s="1" t="s">
        <v>367</v>
      </c>
      <c r="D1084" s="1">
        <v>48.0</v>
      </c>
      <c r="E1084" s="3">
        <v>40148.52291666667</v>
      </c>
      <c r="F1084" s="1">
        <v>0.55</v>
      </c>
      <c r="G1084" s="1">
        <v>14156.0</v>
      </c>
      <c r="H1084" s="1" t="s">
        <v>653</v>
      </c>
      <c r="I1084" s="4">
        <v>40148.0</v>
      </c>
      <c r="J1084" s="5">
        <v>0.5229166666666667</v>
      </c>
      <c r="K1084" s="1">
        <v>12.0</v>
      </c>
      <c r="L1084" s="1">
        <v>26.4</v>
      </c>
    </row>
    <row r="1085">
      <c r="A1085" s="1">
        <v>489550.0</v>
      </c>
      <c r="B1085" s="2" t="s">
        <v>599</v>
      </c>
      <c r="C1085" s="1" t="s">
        <v>600</v>
      </c>
      <c r="D1085" s="1">
        <v>6.0</v>
      </c>
      <c r="E1085" s="3">
        <v>40148.52291666667</v>
      </c>
      <c r="F1085" s="1">
        <v>2.55</v>
      </c>
      <c r="G1085" s="1">
        <v>14156.0</v>
      </c>
      <c r="H1085" s="1" t="s">
        <v>653</v>
      </c>
      <c r="I1085" s="4">
        <v>40148.0</v>
      </c>
      <c r="J1085" s="5">
        <v>0.5229166666666667</v>
      </c>
      <c r="K1085" s="1">
        <v>12.0</v>
      </c>
      <c r="L1085" s="1">
        <v>15.2999999999999</v>
      </c>
    </row>
    <row r="1086">
      <c r="A1086" s="1">
        <v>489550.0</v>
      </c>
      <c r="B1086" s="2" t="s">
        <v>446</v>
      </c>
      <c r="C1086" s="1" t="s">
        <v>447</v>
      </c>
      <c r="D1086" s="1">
        <v>4.0</v>
      </c>
      <c r="E1086" s="3">
        <v>40148.52291666667</v>
      </c>
      <c r="F1086" s="1">
        <v>9.95</v>
      </c>
      <c r="G1086" s="1">
        <v>14156.0</v>
      </c>
      <c r="H1086" s="1" t="s">
        <v>653</v>
      </c>
      <c r="I1086" s="4">
        <v>40148.0</v>
      </c>
      <c r="J1086" s="5">
        <v>0.5229166666666667</v>
      </c>
      <c r="K1086" s="1">
        <v>12.0</v>
      </c>
      <c r="L1086" s="1">
        <v>39.8</v>
      </c>
    </row>
    <row r="1087">
      <c r="A1087" s="1">
        <v>489550.0</v>
      </c>
      <c r="B1087" s="2" t="s">
        <v>1341</v>
      </c>
      <c r="C1087" s="1" t="s">
        <v>1342</v>
      </c>
      <c r="D1087" s="1">
        <v>12.0</v>
      </c>
      <c r="E1087" s="3">
        <v>40148.52291666667</v>
      </c>
      <c r="F1087" s="1">
        <v>0.85</v>
      </c>
      <c r="G1087" s="1">
        <v>14156.0</v>
      </c>
      <c r="H1087" s="1" t="s">
        <v>653</v>
      </c>
      <c r="I1087" s="4">
        <v>40148.0</v>
      </c>
      <c r="J1087" s="5">
        <v>0.5229166666666667</v>
      </c>
      <c r="K1087" s="1">
        <v>12.0</v>
      </c>
      <c r="L1087" s="1">
        <v>10.2</v>
      </c>
    </row>
    <row r="1088">
      <c r="A1088" s="1">
        <v>489550.0</v>
      </c>
      <c r="B1088" s="2" t="s">
        <v>1179</v>
      </c>
      <c r="C1088" s="1" t="s">
        <v>1180</v>
      </c>
      <c r="D1088" s="1">
        <v>12.0</v>
      </c>
      <c r="E1088" s="3">
        <v>40148.52291666667</v>
      </c>
      <c r="F1088" s="1">
        <v>0.85</v>
      </c>
      <c r="G1088" s="1">
        <v>14156.0</v>
      </c>
      <c r="H1088" s="1" t="s">
        <v>653</v>
      </c>
      <c r="I1088" s="4">
        <v>40148.0</v>
      </c>
      <c r="J1088" s="5">
        <v>0.5229166666666667</v>
      </c>
      <c r="K1088" s="1">
        <v>12.0</v>
      </c>
      <c r="L1088" s="1">
        <v>10.2</v>
      </c>
    </row>
    <row r="1089">
      <c r="A1089" s="1">
        <v>489550.0</v>
      </c>
      <c r="B1089" s="2" t="s">
        <v>1343</v>
      </c>
      <c r="C1089" s="1" t="s">
        <v>1344</v>
      </c>
      <c r="D1089" s="1">
        <v>6.0</v>
      </c>
      <c r="E1089" s="3">
        <v>40148.52291666667</v>
      </c>
      <c r="F1089" s="1">
        <v>3.75</v>
      </c>
      <c r="G1089" s="1">
        <v>14156.0</v>
      </c>
      <c r="H1089" s="1" t="s">
        <v>653</v>
      </c>
      <c r="I1089" s="4">
        <v>40148.0</v>
      </c>
      <c r="J1089" s="5">
        <v>0.5229166666666667</v>
      </c>
      <c r="K1089" s="1">
        <v>12.0</v>
      </c>
      <c r="L1089" s="1">
        <v>22.5</v>
      </c>
    </row>
    <row r="1090">
      <c r="A1090" s="1">
        <v>489550.0</v>
      </c>
      <c r="B1090" s="2" t="s">
        <v>1345</v>
      </c>
      <c r="C1090" s="1" t="s">
        <v>1346</v>
      </c>
      <c r="D1090" s="1">
        <v>6.0</v>
      </c>
      <c r="E1090" s="3">
        <v>40148.52291666667</v>
      </c>
      <c r="F1090" s="1">
        <v>3.75</v>
      </c>
      <c r="G1090" s="1">
        <v>14156.0</v>
      </c>
      <c r="H1090" s="1" t="s">
        <v>653</v>
      </c>
      <c r="I1090" s="4">
        <v>40148.0</v>
      </c>
      <c r="J1090" s="5">
        <v>0.5229166666666667</v>
      </c>
      <c r="K1090" s="1">
        <v>12.0</v>
      </c>
      <c r="L1090" s="1">
        <v>22.5</v>
      </c>
    </row>
    <row r="1091">
      <c r="A1091" s="1">
        <v>489550.0</v>
      </c>
      <c r="B1091" s="2" t="s">
        <v>1347</v>
      </c>
      <c r="C1091" s="1" t="s">
        <v>1348</v>
      </c>
      <c r="D1091" s="1">
        <v>6.0</v>
      </c>
      <c r="E1091" s="3">
        <v>40148.52291666667</v>
      </c>
      <c r="F1091" s="1">
        <v>3.75</v>
      </c>
      <c r="G1091" s="1">
        <v>14156.0</v>
      </c>
      <c r="H1091" s="1" t="s">
        <v>653</v>
      </c>
      <c r="I1091" s="4">
        <v>40148.0</v>
      </c>
      <c r="J1091" s="5">
        <v>0.5229166666666667</v>
      </c>
      <c r="K1091" s="1">
        <v>12.0</v>
      </c>
      <c r="L1091" s="1">
        <v>22.5</v>
      </c>
    </row>
    <row r="1092">
      <c r="A1092" s="1">
        <v>489550.0</v>
      </c>
      <c r="B1092" s="2" t="s">
        <v>1349</v>
      </c>
      <c r="C1092" s="1" t="s">
        <v>1350</v>
      </c>
      <c r="D1092" s="1">
        <v>6.0</v>
      </c>
      <c r="E1092" s="3">
        <v>40148.52291666667</v>
      </c>
      <c r="F1092" s="1">
        <v>2.95</v>
      </c>
      <c r="G1092" s="1">
        <v>14156.0</v>
      </c>
      <c r="H1092" s="1" t="s">
        <v>653</v>
      </c>
      <c r="I1092" s="4">
        <v>40148.0</v>
      </c>
      <c r="J1092" s="5">
        <v>0.5229166666666667</v>
      </c>
      <c r="K1092" s="1">
        <v>12.0</v>
      </c>
      <c r="L1092" s="1">
        <v>17.7</v>
      </c>
    </row>
    <row r="1093">
      <c r="A1093" s="1">
        <v>489550.0</v>
      </c>
      <c r="B1093" s="2" t="s">
        <v>825</v>
      </c>
      <c r="C1093" s="1" t="s">
        <v>826</v>
      </c>
      <c r="D1093" s="1">
        <v>12.0</v>
      </c>
      <c r="E1093" s="3">
        <v>40148.52291666667</v>
      </c>
      <c r="F1093" s="1">
        <v>1.25</v>
      </c>
      <c r="G1093" s="1">
        <v>14156.0</v>
      </c>
      <c r="H1093" s="1" t="s">
        <v>653</v>
      </c>
      <c r="I1093" s="4">
        <v>40148.0</v>
      </c>
      <c r="J1093" s="5">
        <v>0.5229166666666667</v>
      </c>
      <c r="K1093" s="1">
        <v>12.0</v>
      </c>
      <c r="L1093" s="1">
        <v>15.0</v>
      </c>
    </row>
    <row r="1094">
      <c r="A1094" s="1">
        <v>489550.0</v>
      </c>
      <c r="B1094" s="2" t="s">
        <v>1351</v>
      </c>
      <c r="C1094" s="1" t="s">
        <v>1352</v>
      </c>
      <c r="D1094" s="1">
        <v>12.0</v>
      </c>
      <c r="E1094" s="3">
        <v>40148.52291666667</v>
      </c>
      <c r="F1094" s="1">
        <v>1.25</v>
      </c>
      <c r="G1094" s="1">
        <v>14156.0</v>
      </c>
      <c r="H1094" s="1" t="s">
        <v>653</v>
      </c>
      <c r="I1094" s="4">
        <v>40148.0</v>
      </c>
      <c r="J1094" s="5">
        <v>0.5229166666666667</v>
      </c>
      <c r="K1094" s="1">
        <v>12.0</v>
      </c>
      <c r="L1094" s="1">
        <v>15.0</v>
      </c>
    </row>
    <row r="1095">
      <c r="A1095" s="1">
        <v>489550.0</v>
      </c>
      <c r="B1095" s="2" t="s">
        <v>1353</v>
      </c>
      <c r="C1095" s="1" t="s">
        <v>1354</v>
      </c>
      <c r="D1095" s="1">
        <v>12.0</v>
      </c>
      <c r="E1095" s="3">
        <v>40148.52291666667</v>
      </c>
      <c r="F1095" s="1">
        <v>1.25</v>
      </c>
      <c r="G1095" s="1">
        <v>14156.0</v>
      </c>
      <c r="H1095" s="1" t="s">
        <v>653</v>
      </c>
      <c r="I1095" s="4">
        <v>40148.0</v>
      </c>
      <c r="J1095" s="5">
        <v>0.5229166666666667</v>
      </c>
      <c r="K1095" s="1">
        <v>12.0</v>
      </c>
      <c r="L1095" s="1">
        <v>15.0</v>
      </c>
    </row>
    <row r="1096">
      <c r="A1096" s="1">
        <v>489550.0</v>
      </c>
      <c r="B1096" s="2" t="s">
        <v>797</v>
      </c>
      <c r="C1096" s="1" t="s">
        <v>798</v>
      </c>
      <c r="D1096" s="1">
        <v>6.0</v>
      </c>
      <c r="E1096" s="3">
        <v>40148.52291666667</v>
      </c>
      <c r="F1096" s="1">
        <v>2.1</v>
      </c>
      <c r="G1096" s="1">
        <v>14156.0</v>
      </c>
      <c r="H1096" s="1" t="s">
        <v>653</v>
      </c>
      <c r="I1096" s="4">
        <v>40148.0</v>
      </c>
      <c r="J1096" s="5">
        <v>0.5229166666666667</v>
      </c>
      <c r="K1096" s="1">
        <v>12.0</v>
      </c>
      <c r="L1096" s="1">
        <v>12.6</v>
      </c>
    </row>
    <row r="1097">
      <c r="A1097" s="1">
        <v>489550.0</v>
      </c>
      <c r="B1097" s="2" t="s">
        <v>1355</v>
      </c>
      <c r="C1097" s="1" t="s">
        <v>1356</v>
      </c>
      <c r="D1097" s="1">
        <v>2.0</v>
      </c>
      <c r="E1097" s="3">
        <v>40148.52291666667</v>
      </c>
      <c r="F1097" s="1">
        <v>4.95</v>
      </c>
      <c r="G1097" s="1">
        <v>14156.0</v>
      </c>
      <c r="H1097" s="1" t="s">
        <v>653</v>
      </c>
      <c r="I1097" s="4">
        <v>40148.0</v>
      </c>
      <c r="J1097" s="5">
        <v>0.5229166666666667</v>
      </c>
      <c r="K1097" s="1">
        <v>12.0</v>
      </c>
      <c r="L1097" s="1">
        <v>9.9</v>
      </c>
    </row>
    <row r="1098">
      <c r="A1098" s="1">
        <v>489550.0</v>
      </c>
      <c r="B1098" s="2" t="s">
        <v>432</v>
      </c>
      <c r="C1098" s="1" t="s">
        <v>433</v>
      </c>
      <c r="D1098" s="1">
        <v>2.0</v>
      </c>
      <c r="E1098" s="3">
        <v>40148.52291666667</v>
      </c>
      <c r="F1098" s="1">
        <v>14.95</v>
      </c>
      <c r="G1098" s="1">
        <v>14156.0</v>
      </c>
      <c r="H1098" s="1" t="s">
        <v>653</v>
      </c>
      <c r="I1098" s="4">
        <v>40148.0</v>
      </c>
      <c r="J1098" s="5">
        <v>0.5229166666666667</v>
      </c>
      <c r="K1098" s="1">
        <v>12.0</v>
      </c>
      <c r="L1098" s="1">
        <v>29.9</v>
      </c>
    </row>
    <row r="1099">
      <c r="A1099" s="1">
        <v>489550.0</v>
      </c>
      <c r="B1099" s="2" t="s">
        <v>1357</v>
      </c>
      <c r="C1099" s="1" t="s">
        <v>1358</v>
      </c>
      <c r="D1099" s="1">
        <v>2.0</v>
      </c>
      <c r="E1099" s="3">
        <v>40148.52291666667</v>
      </c>
      <c r="F1099" s="1">
        <v>9.95</v>
      </c>
      <c r="G1099" s="1">
        <v>14156.0</v>
      </c>
      <c r="H1099" s="1" t="s">
        <v>653</v>
      </c>
      <c r="I1099" s="4">
        <v>40148.0</v>
      </c>
      <c r="J1099" s="5">
        <v>0.5229166666666667</v>
      </c>
      <c r="K1099" s="1">
        <v>12.0</v>
      </c>
      <c r="L1099" s="1">
        <v>19.9</v>
      </c>
    </row>
    <row r="1100">
      <c r="A1100" s="1">
        <v>489550.0</v>
      </c>
      <c r="B1100" s="2" t="s">
        <v>368</v>
      </c>
      <c r="C1100" s="1" t="s">
        <v>369</v>
      </c>
      <c r="D1100" s="1">
        <v>48.0</v>
      </c>
      <c r="E1100" s="3">
        <v>40148.52291666667</v>
      </c>
      <c r="F1100" s="1">
        <v>0.55</v>
      </c>
      <c r="G1100" s="1">
        <v>14156.0</v>
      </c>
      <c r="H1100" s="1" t="s">
        <v>653</v>
      </c>
      <c r="I1100" s="4">
        <v>40148.0</v>
      </c>
      <c r="J1100" s="5">
        <v>0.5229166666666667</v>
      </c>
      <c r="K1100" s="1">
        <v>12.0</v>
      </c>
      <c r="L1100" s="1">
        <v>26.4</v>
      </c>
    </row>
    <row r="1101">
      <c r="A1101" s="1">
        <v>489550.0</v>
      </c>
      <c r="B1101" s="2" t="s">
        <v>1359</v>
      </c>
      <c r="C1101" s="1" t="s">
        <v>1360</v>
      </c>
      <c r="D1101" s="1">
        <v>18.0</v>
      </c>
      <c r="E1101" s="3">
        <v>40148.52291666667</v>
      </c>
      <c r="F1101" s="1">
        <v>1.25</v>
      </c>
      <c r="G1101" s="1">
        <v>14156.0</v>
      </c>
      <c r="H1101" s="1" t="s">
        <v>653</v>
      </c>
      <c r="I1101" s="4">
        <v>40148.0</v>
      </c>
      <c r="J1101" s="5">
        <v>0.5229166666666667</v>
      </c>
      <c r="K1101" s="1">
        <v>12.0</v>
      </c>
      <c r="L1101" s="1">
        <v>22.5</v>
      </c>
    </row>
    <row r="1102">
      <c r="A1102" s="1" t="s">
        <v>1361</v>
      </c>
      <c r="B1102" s="2" t="s">
        <v>12</v>
      </c>
      <c r="C1102" s="1" t="s">
        <v>13</v>
      </c>
      <c r="D1102" s="1">
        <v>-1.0</v>
      </c>
      <c r="E1102" s="3">
        <v>40148.524305555555</v>
      </c>
      <c r="F1102" s="1">
        <v>6.95</v>
      </c>
      <c r="G1102" s="1">
        <v>17641.0</v>
      </c>
      <c r="H1102" s="1" t="s">
        <v>14</v>
      </c>
      <c r="I1102" s="4">
        <v>40148.0</v>
      </c>
      <c r="J1102" s="5">
        <v>0.5243055555555556</v>
      </c>
      <c r="K1102" s="1">
        <v>12.0</v>
      </c>
      <c r="L1102" s="1">
        <v>-6.95</v>
      </c>
    </row>
    <row r="1103">
      <c r="A1103" s="1">
        <v>489552.0</v>
      </c>
      <c r="B1103" s="2" t="s">
        <v>89</v>
      </c>
      <c r="C1103" s="1" t="s">
        <v>90</v>
      </c>
      <c r="D1103" s="1">
        <v>1.0</v>
      </c>
      <c r="E1103" s="3">
        <v>40148.525</v>
      </c>
      <c r="F1103" s="1">
        <v>8.95</v>
      </c>
      <c r="G1103" s="1">
        <v>17063.0</v>
      </c>
      <c r="H1103" s="1" t="s">
        <v>14</v>
      </c>
      <c r="I1103" s="4">
        <v>40148.0</v>
      </c>
      <c r="J1103" s="5">
        <v>0.525</v>
      </c>
      <c r="K1103" s="1">
        <v>12.0</v>
      </c>
      <c r="L1103" s="1">
        <v>8.95</v>
      </c>
    </row>
    <row r="1104">
      <c r="A1104" s="1">
        <v>489552.0</v>
      </c>
      <c r="B1104" s="2" t="s">
        <v>1362</v>
      </c>
      <c r="C1104" s="1" t="s">
        <v>1363</v>
      </c>
      <c r="D1104" s="1">
        <v>10.0</v>
      </c>
      <c r="E1104" s="3">
        <v>40148.525</v>
      </c>
      <c r="F1104" s="1">
        <v>0.65</v>
      </c>
      <c r="G1104" s="1">
        <v>17063.0</v>
      </c>
      <c r="H1104" s="1" t="s">
        <v>14</v>
      </c>
      <c r="I1104" s="4">
        <v>40148.0</v>
      </c>
      <c r="J1104" s="5">
        <v>0.525</v>
      </c>
      <c r="K1104" s="1">
        <v>12.0</v>
      </c>
      <c r="L1104" s="1">
        <v>6.5</v>
      </c>
    </row>
    <row r="1105">
      <c r="A1105" s="1">
        <v>489552.0</v>
      </c>
      <c r="B1105" s="2" t="s">
        <v>1364</v>
      </c>
      <c r="C1105" s="1" t="s">
        <v>1365</v>
      </c>
      <c r="D1105" s="1">
        <v>10.0</v>
      </c>
      <c r="E1105" s="3">
        <v>40148.525</v>
      </c>
      <c r="F1105" s="1">
        <v>0.65</v>
      </c>
      <c r="G1105" s="1">
        <v>17063.0</v>
      </c>
      <c r="H1105" s="1" t="s">
        <v>14</v>
      </c>
      <c r="I1105" s="4">
        <v>40148.0</v>
      </c>
      <c r="J1105" s="5">
        <v>0.525</v>
      </c>
      <c r="K1105" s="1">
        <v>12.0</v>
      </c>
      <c r="L1105" s="1">
        <v>6.5</v>
      </c>
    </row>
    <row r="1106">
      <c r="A1106" s="1">
        <v>489552.0</v>
      </c>
      <c r="B1106" s="2" t="s">
        <v>1366</v>
      </c>
      <c r="C1106" s="1" t="s">
        <v>1367</v>
      </c>
      <c r="D1106" s="1">
        <v>12.0</v>
      </c>
      <c r="E1106" s="3">
        <v>40148.525</v>
      </c>
      <c r="F1106" s="1">
        <v>0.65</v>
      </c>
      <c r="G1106" s="1">
        <v>17063.0</v>
      </c>
      <c r="H1106" s="1" t="s">
        <v>14</v>
      </c>
      <c r="I1106" s="4">
        <v>40148.0</v>
      </c>
      <c r="J1106" s="5">
        <v>0.525</v>
      </c>
      <c r="K1106" s="1">
        <v>12.0</v>
      </c>
      <c r="L1106" s="1">
        <v>7.8</v>
      </c>
    </row>
    <row r="1107">
      <c r="A1107" s="1">
        <v>489552.0</v>
      </c>
      <c r="B1107" s="2" t="s">
        <v>1244</v>
      </c>
      <c r="C1107" s="1" t="s">
        <v>1245</v>
      </c>
      <c r="D1107" s="1">
        <v>2.0</v>
      </c>
      <c r="E1107" s="3">
        <v>40148.525</v>
      </c>
      <c r="F1107" s="1">
        <v>1.65</v>
      </c>
      <c r="G1107" s="1">
        <v>17063.0</v>
      </c>
      <c r="H1107" s="1" t="s">
        <v>14</v>
      </c>
      <c r="I1107" s="4">
        <v>40148.0</v>
      </c>
      <c r="J1107" s="5">
        <v>0.525</v>
      </c>
      <c r="K1107" s="1">
        <v>12.0</v>
      </c>
      <c r="L1107" s="1">
        <v>3.3</v>
      </c>
    </row>
    <row r="1108">
      <c r="A1108" s="1">
        <v>489552.0</v>
      </c>
      <c r="B1108" s="2" t="s">
        <v>1368</v>
      </c>
      <c r="C1108" s="1" t="s">
        <v>1369</v>
      </c>
      <c r="D1108" s="1">
        <v>2.0</v>
      </c>
      <c r="E1108" s="3">
        <v>40148.525</v>
      </c>
      <c r="F1108" s="1">
        <v>1.25</v>
      </c>
      <c r="G1108" s="1">
        <v>17063.0</v>
      </c>
      <c r="H1108" s="1" t="s">
        <v>14</v>
      </c>
      <c r="I1108" s="4">
        <v>40148.0</v>
      </c>
      <c r="J1108" s="5">
        <v>0.525</v>
      </c>
      <c r="K1108" s="1">
        <v>12.0</v>
      </c>
      <c r="L1108" s="1">
        <v>2.5</v>
      </c>
    </row>
    <row r="1109">
      <c r="A1109" s="1">
        <v>489552.0</v>
      </c>
      <c r="B1109" s="2" t="s">
        <v>400</v>
      </c>
      <c r="C1109" s="1" t="s">
        <v>401</v>
      </c>
      <c r="D1109" s="1">
        <v>4.0</v>
      </c>
      <c r="E1109" s="3">
        <v>40148.525</v>
      </c>
      <c r="F1109" s="1">
        <v>1.45</v>
      </c>
      <c r="G1109" s="1">
        <v>17063.0</v>
      </c>
      <c r="H1109" s="1" t="s">
        <v>14</v>
      </c>
      <c r="I1109" s="4">
        <v>40148.0</v>
      </c>
      <c r="J1109" s="5">
        <v>0.525</v>
      </c>
      <c r="K1109" s="1">
        <v>12.0</v>
      </c>
      <c r="L1109" s="1">
        <v>5.8</v>
      </c>
    </row>
    <row r="1110">
      <c r="A1110" s="1">
        <v>489552.0</v>
      </c>
      <c r="B1110" s="2" t="s">
        <v>977</v>
      </c>
      <c r="C1110" s="1" t="s">
        <v>978</v>
      </c>
      <c r="D1110" s="1">
        <v>2.0</v>
      </c>
      <c r="E1110" s="3">
        <v>40148.525</v>
      </c>
      <c r="F1110" s="1">
        <v>1.25</v>
      </c>
      <c r="G1110" s="1">
        <v>17063.0</v>
      </c>
      <c r="H1110" s="1" t="s">
        <v>14</v>
      </c>
      <c r="I1110" s="4">
        <v>40148.0</v>
      </c>
      <c r="J1110" s="5">
        <v>0.525</v>
      </c>
      <c r="K1110" s="1">
        <v>12.0</v>
      </c>
      <c r="L1110" s="1">
        <v>2.5</v>
      </c>
    </row>
    <row r="1111">
      <c r="A1111" s="1">
        <v>489552.0</v>
      </c>
      <c r="B1111" s="2" t="s">
        <v>1370</v>
      </c>
      <c r="C1111" s="1" t="s">
        <v>1371</v>
      </c>
      <c r="D1111" s="1">
        <v>1.0</v>
      </c>
      <c r="E1111" s="3">
        <v>40148.525</v>
      </c>
      <c r="F1111" s="1">
        <v>1.25</v>
      </c>
      <c r="G1111" s="1">
        <v>17063.0</v>
      </c>
      <c r="H1111" s="1" t="s">
        <v>14</v>
      </c>
      <c r="I1111" s="4">
        <v>40148.0</v>
      </c>
      <c r="J1111" s="5">
        <v>0.525</v>
      </c>
      <c r="K1111" s="1">
        <v>12.0</v>
      </c>
      <c r="L1111" s="1">
        <v>1.25</v>
      </c>
    </row>
    <row r="1112">
      <c r="A1112" s="1">
        <v>489552.0</v>
      </c>
      <c r="B1112" s="2" t="s">
        <v>1353</v>
      </c>
      <c r="C1112" s="1" t="s">
        <v>1354</v>
      </c>
      <c r="D1112" s="1">
        <v>3.0</v>
      </c>
      <c r="E1112" s="3">
        <v>40148.525</v>
      </c>
      <c r="F1112" s="1">
        <v>1.25</v>
      </c>
      <c r="G1112" s="1">
        <v>17063.0</v>
      </c>
      <c r="H1112" s="1" t="s">
        <v>14</v>
      </c>
      <c r="I1112" s="4">
        <v>40148.0</v>
      </c>
      <c r="J1112" s="5">
        <v>0.525</v>
      </c>
      <c r="K1112" s="1">
        <v>12.0</v>
      </c>
      <c r="L1112" s="1">
        <v>3.75</v>
      </c>
    </row>
    <row r="1113">
      <c r="A1113" s="1">
        <v>489552.0</v>
      </c>
      <c r="B1113" s="2" t="s">
        <v>283</v>
      </c>
      <c r="C1113" s="1" t="s">
        <v>284</v>
      </c>
      <c r="D1113" s="1">
        <v>2.0</v>
      </c>
      <c r="E1113" s="3">
        <v>40148.525</v>
      </c>
      <c r="F1113" s="1">
        <v>2.95</v>
      </c>
      <c r="G1113" s="1">
        <v>17063.0</v>
      </c>
      <c r="H1113" s="1" t="s">
        <v>14</v>
      </c>
      <c r="I1113" s="4">
        <v>40148.0</v>
      </c>
      <c r="J1113" s="5">
        <v>0.525</v>
      </c>
      <c r="K1113" s="1">
        <v>12.0</v>
      </c>
      <c r="L1113" s="1">
        <v>5.9</v>
      </c>
    </row>
    <row r="1114">
      <c r="A1114" s="1">
        <v>489552.0</v>
      </c>
      <c r="B1114" s="2" t="s">
        <v>79</v>
      </c>
      <c r="C1114" s="1" t="s">
        <v>80</v>
      </c>
      <c r="D1114" s="1">
        <v>18.0</v>
      </c>
      <c r="E1114" s="3">
        <v>40148.525</v>
      </c>
      <c r="F1114" s="1">
        <v>0.85</v>
      </c>
      <c r="G1114" s="1">
        <v>17063.0</v>
      </c>
      <c r="H1114" s="1" t="s">
        <v>14</v>
      </c>
      <c r="I1114" s="4">
        <v>40148.0</v>
      </c>
      <c r="J1114" s="5">
        <v>0.525</v>
      </c>
      <c r="K1114" s="1">
        <v>12.0</v>
      </c>
      <c r="L1114" s="1">
        <v>15.2999999999999</v>
      </c>
    </row>
    <row r="1115">
      <c r="A1115" s="1">
        <v>489552.0</v>
      </c>
      <c r="B1115" s="2" t="s">
        <v>414</v>
      </c>
      <c r="C1115" s="1" t="s">
        <v>415</v>
      </c>
      <c r="D1115" s="1">
        <v>9.0</v>
      </c>
      <c r="E1115" s="3">
        <v>40148.525</v>
      </c>
      <c r="F1115" s="1">
        <v>1.49</v>
      </c>
      <c r="G1115" s="1">
        <v>17063.0</v>
      </c>
      <c r="H1115" s="1" t="s">
        <v>14</v>
      </c>
      <c r="I1115" s="4">
        <v>40148.0</v>
      </c>
      <c r="J1115" s="5">
        <v>0.525</v>
      </c>
      <c r="K1115" s="1">
        <v>12.0</v>
      </c>
      <c r="L1115" s="1">
        <v>13.41</v>
      </c>
    </row>
    <row r="1116">
      <c r="A1116" s="1">
        <v>489552.0</v>
      </c>
      <c r="B1116" s="2" t="s">
        <v>556</v>
      </c>
      <c r="C1116" s="1" t="s">
        <v>557</v>
      </c>
      <c r="D1116" s="1">
        <v>6.0</v>
      </c>
      <c r="E1116" s="3">
        <v>40148.525</v>
      </c>
      <c r="F1116" s="1">
        <v>3.75</v>
      </c>
      <c r="G1116" s="1">
        <v>17063.0</v>
      </c>
      <c r="H1116" s="1" t="s">
        <v>14</v>
      </c>
      <c r="I1116" s="4">
        <v>40148.0</v>
      </c>
      <c r="J1116" s="5">
        <v>0.525</v>
      </c>
      <c r="K1116" s="1">
        <v>12.0</v>
      </c>
      <c r="L1116" s="1">
        <v>22.5</v>
      </c>
    </row>
    <row r="1117">
      <c r="A1117" s="1">
        <v>489552.0</v>
      </c>
      <c r="B1117" s="2" t="s">
        <v>472</v>
      </c>
      <c r="C1117" s="1" t="s">
        <v>473</v>
      </c>
      <c r="D1117" s="1">
        <v>6.0</v>
      </c>
      <c r="E1117" s="3">
        <v>40148.525</v>
      </c>
      <c r="F1117" s="1">
        <v>3.75</v>
      </c>
      <c r="G1117" s="1">
        <v>17063.0</v>
      </c>
      <c r="H1117" s="1" t="s">
        <v>14</v>
      </c>
      <c r="I1117" s="4">
        <v>40148.0</v>
      </c>
      <c r="J1117" s="5">
        <v>0.525</v>
      </c>
      <c r="K1117" s="1">
        <v>12.0</v>
      </c>
      <c r="L1117" s="1">
        <v>22.5</v>
      </c>
    </row>
    <row r="1118">
      <c r="A1118" s="1">
        <v>489552.0</v>
      </c>
      <c r="B1118" s="2" t="s">
        <v>578</v>
      </c>
      <c r="C1118" s="1" t="s">
        <v>579</v>
      </c>
      <c r="D1118" s="1">
        <v>6.0</v>
      </c>
      <c r="E1118" s="3">
        <v>40148.525</v>
      </c>
      <c r="F1118" s="1">
        <v>3.75</v>
      </c>
      <c r="G1118" s="1">
        <v>17063.0</v>
      </c>
      <c r="H1118" s="1" t="s">
        <v>14</v>
      </c>
      <c r="I1118" s="4">
        <v>40148.0</v>
      </c>
      <c r="J1118" s="5">
        <v>0.525</v>
      </c>
      <c r="K1118" s="1">
        <v>12.0</v>
      </c>
      <c r="L1118" s="1">
        <v>22.5</v>
      </c>
    </row>
    <row r="1119">
      <c r="A1119" s="1">
        <v>489552.0</v>
      </c>
      <c r="B1119" s="2" t="s">
        <v>474</v>
      </c>
      <c r="C1119" s="1" t="s">
        <v>475</v>
      </c>
      <c r="D1119" s="1">
        <v>6.0</v>
      </c>
      <c r="E1119" s="3">
        <v>40148.525</v>
      </c>
      <c r="F1119" s="1">
        <v>3.75</v>
      </c>
      <c r="G1119" s="1">
        <v>17063.0</v>
      </c>
      <c r="H1119" s="1" t="s">
        <v>14</v>
      </c>
      <c r="I1119" s="4">
        <v>40148.0</v>
      </c>
      <c r="J1119" s="5">
        <v>0.525</v>
      </c>
      <c r="K1119" s="1">
        <v>12.0</v>
      </c>
      <c r="L1119" s="1">
        <v>22.5</v>
      </c>
    </row>
    <row r="1120">
      <c r="A1120" s="1">
        <v>489552.0</v>
      </c>
      <c r="B1120" s="2" t="s">
        <v>1372</v>
      </c>
      <c r="C1120" s="1" t="s">
        <v>1373</v>
      </c>
      <c r="D1120" s="1">
        <v>1.0</v>
      </c>
      <c r="E1120" s="3">
        <v>40148.525</v>
      </c>
      <c r="F1120" s="1">
        <v>2.25</v>
      </c>
      <c r="G1120" s="1">
        <v>17063.0</v>
      </c>
      <c r="H1120" s="1" t="s">
        <v>14</v>
      </c>
      <c r="I1120" s="4">
        <v>40148.0</v>
      </c>
      <c r="J1120" s="5">
        <v>0.525</v>
      </c>
      <c r="K1120" s="1">
        <v>12.0</v>
      </c>
      <c r="L1120" s="1">
        <v>2.25</v>
      </c>
    </row>
    <row r="1121">
      <c r="A1121" s="1">
        <v>489552.0</v>
      </c>
      <c r="B1121" s="2" t="s">
        <v>1374</v>
      </c>
      <c r="C1121" s="1" t="s">
        <v>1375</v>
      </c>
      <c r="D1121" s="1">
        <v>1.0</v>
      </c>
      <c r="E1121" s="3">
        <v>40148.525</v>
      </c>
      <c r="F1121" s="1">
        <v>2.25</v>
      </c>
      <c r="G1121" s="1">
        <v>17063.0</v>
      </c>
      <c r="H1121" s="1" t="s">
        <v>14</v>
      </c>
      <c r="I1121" s="4">
        <v>40148.0</v>
      </c>
      <c r="J1121" s="5">
        <v>0.525</v>
      </c>
      <c r="K1121" s="1">
        <v>12.0</v>
      </c>
      <c r="L1121" s="1">
        <v>2.25</v>
      </c>
    </row>
    <row r="1122">
      <c r="A1122" s="1">
        <v>489552.0</v>
      </c>
      <c r="B1122" s="2" t="s">
        <v>73</v>
      </c>
      <c r="C1122" s="1" t="s">
        <v>74</v>
      </c>
      <c r="D1122" s="1">
        <v>8.0</v>
      </c>
      <c r="E1122" s="3">
        <v>40148.525</v>
      </c>
      <c r="F1122" s="1">
        <v>4.95</v>
      </c>
      <c r="G1122" s="1">
        <v>17063.0</v>
      </c>
      <c r="H1122" s="1" t="s">
        <v>14</v>
      </c>
      <c r="I1122" s="4">
        <v>40148.0</v>
      </c>
      <c r="J1122" s="5">
        <v>0.525</v>
      </c>
      <c r="K1122" s="1">
        <v>12.0</v>
      </c>
      <c r="L1122" s="1">
        <v>39.6</v>
      </c>
    </row>
    <row r="1123">
      <c r="A1123" s="1">
        <v>489552.0</v>
      </c>
      <c r="B1123" s="2" t="s">
        <v>508</v>
      </c>
      <c r="C1123" s="1" t="s">
        <v>509</v>
      </c>
      <c r="D1123" s="1">
        <v>10.0</v>
      </c>
      <c r="E1123" s="3">
        <v>40148.525</v>
      </c>
      <c r="F1123" s="1">
        <v>3.75</v>
      </c>
      <c r="G1123" s="1">
        <v>17063.0</v>
      </c>
      <c r="H1123" s="1" t="s">
        <v>14</v>
      </c>
      <c r="I1123" s="4">
        <v>40148.0</v>
      </c>
      <c r="J1123" s="5">
        <v>0.525</v>
      </c>
      <c r="K1123" s="1">
        <v>12.0</v>
      </c>
      <c r="L1123" s="1">
        <v>37.5</v>
      </c>
    </row>
    <row r="1124">
      <c r="A1124" s="1">
        <v>489552.0</v>
      </c>
      <c r="B1124" s="2" t="s">
        <v>466</v>
      </c>
      <c r="C1124" s="1" t="s">
        <v>467</v>
      </c>
      <c r="D1124" s="1">
        <v>3.0</v>
      </c>
      <c r="E1124" s="3">
        <v>40148.525</v>
      </c>
      <c r="F1124" s="1">
        <v>1.95</v>
      </c>
      <c r="G1124" s="1">
        <v>17063.0</v>
      </c>
      <c r="H1124" s="1" t="s">
        <v>14</v>
      </c>
      <c r="I1124" s="4">
        <v>40148.0</v>
      </c>
      <c r="J1124" s="5">
        <v>0.525</v>
      </c>
      <c r="K1124" s="1">
        <v>12.0</v>
      </c>
      <c r="L1124" s="1">
        <v>5.85</v>
      </c>
    </row>
    <row r="1125">
      <c r="A1125" s="1">
        <v>489552.0</v>
      </c>
      <c r="B1125" s="2" t="s">
        <v>109</v>
      </c>
      <c r="C1125" s="1" t="s">
        <v>110</v>
      </c>
      <c r="D1125" s="1">
        <v>2.0</v>
      </c>
      <c r="E1125" s="3">
        <v>40148.525</v>
      </c>
      <c r="F1125" s="1">
        <v>2.95</v>
      </c>
      <c r="G1125" s="1">
        <v>17063.0</v>
      </c>
      <c r="H1125" s="1" t="s">
        <v>14</v>
      </c>
      <c r="I1125" s="4">
        <v>40148.0</v>
      </c>
      <c r="J1125" s="5">
        <v>0.525</v>
      </c>
      <c r="K1125" s="1">
        <v>12.0</v>
      </c>
      <c r="L1125" s="1">
        <v>5.9</v>
      </c>
    </row>
    <row r="1126">
      <c r="A1126" s="1">
        <v>489552.0</v>
      </c>
      <c r="B1126" s="2" t="s">
        <v>370</v>
      </c>
      <c r="C1126" s="1" t="s">
        <v>371</v>
      </c>
      <c r="D1126" s="1">
        <v>2.0</v>
      </c>
      <c r="E1126" s="3">
        <v>40148.525</v>
      </c>
      <c r="F1126" s="1">
        <v>2.95</v>
      </c>
      <c r="G1126" s="1">
        <v>17063.0</v>
      </c>
      <c r="H1126" s="1" t="s">
        <v>14</v>
      </c>
      <c r="I1126" s="4">
        <v>40148.0</v>
      </c>
      <c r="J1126" s="5">
        <v>0.525</v>
      </c>
      <c r="K1126" s="1">
        <v>12.0</v>
      </c>
      <c r="L1126" s="1">
        <v>5.9</v>
      </c>
    </row>
    <row r="1127">
      <c r="A1127" s="1">
        <v>489552.0</v>
      </c>
      <c r="B1127" s="2" t="s">
        <v>111</v>
      </c>
      <c r="C1127" s="1" t="s">
        <v>112</v>
      </c>
      <c r="D1127" s="1">
        <v>2.0</v>
      </c>
      <c r="E1127" s="3">
        <v>40148.525</v>
      </c>
      <c r="F1127" s="1">
        <v>2.95</v>
      </c>
      <c r="G1127" s="1">
        <v>17063.0</v>
      </c>
      <c r="H1127" s="1" t="s">
        <v>14</v>
      </c>
      <c r="I1127" s="4">
        <v>40148.0</v>
      </c>
      <c r="J1127" s="5">
        <v>0.525</v>
      </c>
      <c r="K1127" s="1">
        <v>12.0</v>
      </c>
      <c r="L1127" s="1">
        <v>5.9</v>
      </c>
    </row>
    <row r="1128">
      <c r="A1128" s="1" t="s">
        <v>1376</v>
      </c>
      <c r="B1128" s="2" t="s">
        <v>1377</v>
      </c>
      <c r="C1128" s="1" t="s">
        <v>1378</v>
      </c>
      <c r="D1128" s="1">
        <v>-1.0</v>
      </c>
      <c r="E1128" s="3">
        <v>40148.52847222222</v>
      </c>
      <c r="F1128" s="1">
        <v>6.35</v>
      </c>
      <c r="G1128" s="1">
        <v>13545.0</v>
      </c>
      <c r="H1128" s="1" t="s">
        <v>14</v>
      </c>
      <c r="I1128" s="4">
        <v>40148.0</v>
      </c>
      <c r="J1128" s="5">
        <v>0.5284722222222222</v>
      </c>
      <c r="K1128" s="1">
        <v>12.0</v>
      </c>
      <c r="L1128" s="1">
        <v>-6.35</v>
      </c>
    </row>
    <row r="1129">
      <c r="A1129" s="1" t="s">
        <v>1376</v>
      </c>
      <c r="B1129" s="2" t="s">
        <v>1379</v>
      </c>
      <c r="C1129" s="1" t="s">
        <v>1380</v>
      </c>
      <c r="D1129" s="1">
        <v>-6.0</v>
      </c>
      <c r="E1129" s="3">
        <v>40148.52847222222</v>
      </c>
      <c r="F1129" s="1">
        <v>3.49</v>
      </c>
      <c r="G1129" s="1">
        <v>13545.0</v>
      </c>
      <c r="H1129" s="1" t="s">
        <v>14</v>
      </c>
      <c r="I1129" s="4">
        <v>40148.0</v>
      </c>
      <c r="J1129" s="5">
        <v>0.5284722222222222</v>
      </c>
      <c r="K1129" s="1">
        <v>12.0</v>
      </c>
      <c r="L1129" s="1">
        <v>-20.94</v>
      </c>
    </row>
    <row r="1130">
      <c r="A1130" s="1" t="s">
        <v>1381</v>
      </c>
      <c r="B1130" s="2" t="s">
        <v>444</v>
      </c>
      <c r="C1130" s="1" t="s">
        <v>445</v>
      </c>
      <c r="D1130" s="1">
        <v>-3.0</v>
      </c>
      <c r="E1130" s="3">
        <v>40148.529861111114</v>
      </c>
      <c r="F1130" s="1">
        <v>4.25</v>
      </c>
      <c r="G1130" s="1">
        <v>13767.0</v>
      </c>
      <c r="H1130" s="1" t="s">
        <v>14</v>
      </c>
      <c r="I1130" s="4">
        <v>40148.0</v>
      </c>
      <c r="J1130" s="5">
        <v>0.5298611111111111</v>
      </c>
      <c r="K1130" s="1">
        <v>12.0</v>
      </c>
      <c r="L1130" s="1">
        <v>-12.75</v>
      </c>
    </row>
    <row r="1131">
      <c r="A1131" s="1" t="s">
        <v>1381</v>
      </c>
      <c r="B1131" s="2" t="s">
        <v>1382</v>
      </c>
      <c r="C1131" s="1" t="s">
        <v>1383</v>
      </c>
      <c r="D1131" s="1">
        <v>-2.0</v>
      </c>
      <c r="E1131" s="3">
        <v>40148.529861111114</v>
      </c>
      <c r="F1131" s="1">
        <v>2.95</v>
      </c>
      <c r="G1131" s="1">
        <v>13767.0</v>
      </c>
      <c r="H1131" s="1" t="s">
        <v>14</v>
      </c>
      <c r="I1131" s="4">
        <v>40148.0</v>
      </c>
      <c r="J1131" s="5">
        <v>0.5298611111111111</v>
      </c>
      <c r="K1131" s="1">
        <v>12.0</v>
      </c>
      <c r="L1131" s="1">
        <v>-5.9</v>
      </c>
    </row>
    <row r="1132">
      <c r="A1132" s="1" t="s">
        <v>1384</v>
      </c>
      <c r="B1132" s="2" t="s">
        <v>1385</v>
      </c>
      <c r="C1132" s="1" t="s">
        <v>1386</v>
      </c>
      <c r="D1132" s="1">
        <v>-6.0</v>
      </c>
      <c r="E1132" s="3">
        <v>40148.53055555555</v>
      </c>
      <c r="F1132" s="1">
        <v>3.25</v>
      </c>
      <c r="G1132" s="1">
        <v>16955.0</v>
      </c>
      <c r="H1132" s="1" t="s">
        <v>14</v>
      </c>
      <c r="I1132" s="4">
        <v>40148.0</v>
      </c>
      <c r="J1132" s="5">
        <v>0.5305555555555556</v>
      </c>
      <c r="K1132" s="1">
        <v>12.0</v>
      </c>
      <c r="L1132" s="1">
        <v>-19.5</v>
      </c>
    </row>
    <row r="1133">
      <c r="A1133" s="1">
        <v>489556.0</v>
      </c>
      <c r="B1133" s="2" t="s">
        <v>1387</v>
      </c>
      <c r="C1133" s="1" t="s">
        <v>1388</v>
      </c>
      <c r="D1133" s="1">
        <v>2.0</v>
      </c>
      <c r="E1133" s="3">
        <v>40148.532638888886</v>
      </c>
      <c r="F1133" s="1">
        <v>1.25</v>
      </c>
      <c r="G1133" s="1">
        <v>15719.0</v>
      </c>
      <c r="H1133" s="1" t="s">
        <v>14</v>
      </c>
      <c r="I1133" s="4">
        <v>40148.0</v>
      </c>
      <c r="J1133" s="5">
        <v>0.5326388888888889</v>
      </c>
      <c r="K1133" s="1">
        <v>12.0</v>
      </c>
      <c r="L1133" s="1">
        <v>2.5</v>
      </c>
    </row>
    <row r="1134">
      <c r="A1134" s="1">
        <v>489556.0</v>
      </c>
      <c r="B1134" s="2" t="s">
        <v>1389</v>
      </c>
      <c r="C1134" s="1" t="s">
        <v>1390</v>
      </c>
      <c r="D1134" s="1">
        <v>2.0</v>
      </c>
      <c r="E1134" s="3">
        <v>40148.532638888886</v>
      </c>
      <c r="F1134" s="1">
        <v>1.25</v>
      </c>
      <c r="G1134" s="1">
        <v>15719.0</v>
      </c>
      <c r="H1134" s="1" t="s">
        <v>14</v>
      </c>
      <c r="I1134" s="4">
        <v>40148.0</v>
      </c>
      <c r="J1134" s="5">
        <v>0.5326388888888889</v>
      </c>
      <c r="K1134" s="1">
        <v>12.0</v>
      </c>
      <c r="L1134" s="1">
        <v>2.5</v>
      </c>
    </row>
    <row r="1135">
      <c r="A1135" s="1">
        <v>489556.0</v>
      </c>
      <c r="B1135" s="2" t="s">
        <v>1391</v>
      </c>
      <c r="C1135" s="1" t="s">
        <v>1392</v>
      </c>
      <c r="D1135" s="1">
        <v>4.0</v>
      </c>
      <c r="E1135" s="3">
        <v>40148.532638888886</v>
      </c>
      <c r="F1135" s="1">
        <v>1.25</v>
      </c>
      <c r="G1135" s="1">
        <v>15719.0</v>
      </c>
      <c r="H1135" s="1" t="s">
        <v>14</v>
      </c>
      <c r="I1135" s="4">
        <v>40148.0</v>
      </c>
      <c r="J1135" s="5">
        <v>0.5326388888888889</v>
      </c>
      <c r="K1135" s="1">
        <v>12.0</v>
      </c>
      <c r="L1135" s="1">
        <v>5.0</v>
      </c>
    </row>
    <row r="1136">
      <c r="A1136" s="1">
        <v>489556.0</v>
      </c>
      <c r="B1136" s="2" t="s">
        <v>1393</v>
      </c>
      <c r="C1136" s="1" t="s">
        <v>1394</v>
      </c>
      <c r="D1136" s="1">
        <v>2.0</v>
      </c>
      <c r="E1136" s="3">
        <v>40148.532638888886</v>
      </c>
      <c r="F1136" s="1">
        <v>0.85</v>
      </c>
      <c r="G1136" s="1">
        <v>15719.0</v>
      </c>
      <c r="H1136" s="1" t="s">
        <v>14</v>
      </c>
      <c r="I1136" s="4">
        <v>40148.0</v>
      </c>
      <c r="J1136" s="5">
        <v>0.5326388888888889</v>
      </c>
      <c r="K1136" s="1">
        <v>12.0</v>
      </c>
      <c r="L1136" s="1">
        <v>1.7</v>
      </c>
    </row>
    <row r="1137">
      <c r="A1137" s="1">
        <v>489556.0</v>
      </c>
      <c r="B1137" s="2" t="s">
        <v>1395</v>
      </c>
      <c r="C1137" s="1" t="s">
        <v>1396</v>
      </c>
      <c r="D1137" s="1">
        <v>1.0</v>
      </c>
      <c r="E1137" s="3">
        <v>40148.532638888886</v>
      </c>
      <c r="F1137" s="1">
        <v>0.85</v>
      </c>
      <c r="G1137" s="1">
        <v>15719.0</v>
      </c>
      <c r="H1137" s="1" t="s">
        <v>14</v>
      </c>
      <c r="I1137" s="4">
        <v>40148.0</v>
      </c>
      <c r="J1137" s="5">
        <v>0.5326388888888889</v>
      </c>
      <c r="K1137" s="1">
        <v>12.0</v>
      </c>
      <c r="L1137" s="1">
        <v>0.85</v>
      </c>
    </row>
    <row r="1138">
      <c r="A1138" s="1">
        <v>489556.0</v>
      </c>
      <c r="B1138" s="2" t="s">
        <v>774</v>
      </c>
      <c r="C1138" s="1" t="s">
        <v>695</v>
      </c>
      <c r="D1138" s="1">
        <v>1.0</v>
      </c>
      <c r="E1138" s="3">
        <v>40148.532638888886</v>
      </c>
      <c r="F1138" s="1">
        <v>1.25</v>
      </c>
      <c r="G1138" s="1">
        <v>15719.0</v>
      </c>
      <c r="H1138" s="1" t="s">
        <v>14</v>
      </c>
      <c r="I1138" s="4">
        <v>40148.0</v>
      </c>
      <c r="J1138" s="5">
        <v>0.5326388888888889</v>
      </c>
      <c r="K1138" s="1">
        <v>12.0</v>
      </c>
      <c r="L1138" s="1">
        <v>1.25</v>
      </c>
    </row>
    <row r="1139">
      <c r="A1139" s="1">
        <v>489556.0</v>
      </c>
      <c r="B1139" s="2" t="s">
        <v>1081</v>
      </c>
      <c r="C1139" s="1" t="s">
        <v>1082</v>
      </c>
      <c r="D1139" s="1">
        <v>8.0</v>
      </c>
      <c r="E1139" s="3">
        <v>40148.532638888886</v>
      </c>
      <c r="F1139" s="1">
        <v>0.65</v>
      </c>
      <c r="G1139" s="1">
        <v>15719.0</v>
      </c>
      <c r="H1139" s="1" t="s">
        <v>14</v>
      </c>
      <c r="I1139" s="4">
        <v>40148.0</v>
      </c>
      <c r="J1139" s="5">
        <v>0.5326388888888889</v>
      </c>
      <c r="K1139" s="1">
        <v>12.0</v>
      </c>
      <c r="L1139" s="1">
        <v>5.2</v>
      </c>
    </row>
    <row r="1140">
      <c r="A1140" s="1">
        <v>489556.0</v>
      </c>
      <c r="B1140" s="2" t="s">
        <v>1397</v>
      </c>
      <c r="C1140" s="1" t="s">
        <v>1398</v>
      </c>
      <c r="D1140" s="1">
        <v>2.0</v>
      </c>
      <c r="E1140" s="3">
        <v>40148.532638888886</v>
      </c>
      <c r="F1140" s="1">
        <v>1.25</v>
      </c>
      <c r="G1140" s="1">
        <v>15719.0</v>
      </c>
      <c r="H1140" s="1" t="s">
        <v>14</v>
      </c>
      <c r="I1140" s="4">
        <v>40148.0</v>
      </c>
      <c r="J1140" s="5">
        <v>0.5326388888888889</v>
      </c>
      <c r="K1140" s="1">
        <v>12.0</v>
      </c>
      <c r="L1140" s="1">
        <v>2.5</v>
      </c>
    </row>
    <row r="1141">
      <c r="A1141" s="1">
        <v>489556.0</v>
      </c>
      <c r="B1141" s="2" t="s">
        <v>1399</v>
      </c>
      <c r="C1141" s="1" t="s">
        <v>1400</v>
      </c>
      <c r="D1141" s="1">
        <v>3.0</v>
      </c>
      <c r="E1141" s="3">
        <v>40148.532638888886</v>
      </c>
      <c r="F1141" s="1">
        <v>0.65</v>
      </c>
      <c r="G1141" s="1">
        <v>15719.0</v>
      </c>
      <c r="H1141" s="1" t="s">
        <v>14</v>
      </c>
      <c r="I1141" s="4">
        <v>40148.0</v>
      </c>
      <c r="J1141" s="5">
        <v>0.5326388888888889</v>
      </c>
      <c r="K1141" s="1">
        <v>12.0</v>
      </c>
      <c r="L1141" s="1">
        <v>1.95</v>
      </c>
    </row>
    <row r="1142">
      <c r="A1142" s="1">
        <v>489556.0</v>
      </c>
      <c r="B1142" s="2" t="s">
        <v>1401</v>
      </c>
      <c r="C1142" s="1" t="s">
        <v>1402</v>
      </c>
      <c r="D1142" s="1">
        <v>15.0</v>
      </c>
      <c r="E1142" s="3">
        <v>40148.532638888886</v>
      </c>
      <c r="F1142" s="1">
        <v>1.25</v>
      </c>
      <c r="G1142" s="1">
        <v>15719.0</v>
      </c>
      <c r="H1142" s="1" t="s">
        <v>14</v>
      </c>
      <c r="I1142" s="4">
        <v>40148.0</v>
      </c>
      <c r="J1142" s="5">
        <v>0.5326388888888889</v>
      </c>
      <c r="K1142" s="1">
        <v>12.0</v>
      </c>
      <c r="L1142" s="1">
        <v>18.75</v>
      </c>
    </row>
    <row r="1143">
      <c r="A1143" s="1">
        <v>489556.0</v>
      </c>
      <c r="B1143" s="2" t="s">
        <v>196</v>
      </c>
      <c r="C1143" s="1" t="s">
        <v>197</v>
      </c>
      <c r="D1143" s="1">
        <v>3.0</v>
      </c>
      <c r="E1143" s="3">
        <v>40148.532638888886</v>
      </c>
      <c r="F1143" s="1">
        <v>2.95</v>
      </c>
      <c r="G1143" s="1">
        <v>15719.0</v>
      </c>
      <c r="H1143" s="1" t="s">
        <v>14</v>
      </c>
      <c r="I1143" s="4">
        <v>40148.0</v>
      </c>
      <c r="J1143" s="5">
        <v>0.5326388888888889</v>
      </c>
      <c r="K1143" s="1">
        <v>12.0</v>
      </c>
      <c r="L1143" s="1">
        <v>8.85</v>
      </c>
    </row>
    <row r="1144">
      <c r="A1144" s="1">
        <v>489556.0</v>
      </c>
      <c r="B1144" s="2" t="s">
        <v>446</v>
      </c>
      <c r="C1144" s="1" t="s">
        <v>447</v>
      </c>
      <c r="D1144" s="1">
        <v>2.0</v>
      </c>
      <c r="E1144" s="3">
        <v>40148.532638888886</v>
      </c>
      <c r="F1144" s="1">
        <v>9.95</v>
      </c>
      <c r="G1144" s="1">
        <v>15719.0</v>
      </c>
      <c r="H1144" s="1" t="s">
        <v>14</v>
      </c>
      <c r="I1144" s="4">
        <v>40148.0</v>
      </c>
      <c r="J1144" s="5">
        <v>0.5326388888888889</v>
      </c>
      <c r="K1144" s="1">
        <v>12.0</v>
      </c>
      <c r="L1144" s="1">
        <v>19.9</v>
      </c>
    </row>
    <row r="1145">
      <c r="A1145" s="1">
        <v>489556.0</v>
      </c>
      <c r="B1145" s="2" t="s">
        <v>1403</v>
      </c>
      <c r="C1145" s="1" t="s">
        <v>1404</v>
      </c>
      <c r="D1145" s="1">
        <v>1.0</v>
      </c>
      <c r="E1145" s="3">
        <v>40148.532638888886</v>
      </c>
      <c r="F1145" s="1">
        <v>4.95</v>
      </c>
      <c r="G1145" s="1">
        <v>15719.0</v>
      </c>
      <c r="H1145" s="1" t="s">
        <v>14</v>
      </c>
      <c r="I1145" s="4">
        <v>40148.0</v>
      </c>
      <c r="J1145" s="5">
        <v>0.5326388888888889</v>
      </c>
      <c r="K1145" s="1">
        <v>12.0</v>
      </c>
      <c r="L1145" s="1">
        <v>4.95</v>
      </c>
    </row>
    <row r="1146">
      <c r="A1146" s="1">
        <v>489556.0</v>
      </c>
      <c r="B1146" s="2" t="s">
        <v>542</v>
      </c>
      <c r="C1146" s="1" t="s">
        <v>543</v>
      </c>
      <c r="D1146" s="1">
        <v>6.0</v>
      </c>
      <c r="E1146" s="3">
        <v>40148.532638888886</v>
      </c>
      <c r="F1146" s="1">
        <v>1.25</v>
      </c>
      <c r="G1146" s="1">
        <v>15719.0</v>
      </c>
      <c r="H1146" s="1" t="s">
        <v>14</v>
      </c>
      <c r="I1146" s="4">
        <v>40148.0</v>
      </c>
      <c r="J1146" s="5">
        <v>0.5326388888888889</v>
      </c>
      <c r="K1146" s="1">
        <v>12.0</v>
      </c>
      <c r="L1146" s="1">
        <v>7.5</v>
      </c>
    </row>
    <row r="1147">
      <c r="A1147" s="1">
        <v>489556.0</v>
      </c>
      <c r="B1147" s="2" t="s">
        <v>412</v>
      </c>
      <c r="C1147" s="1" t="s">
        <v>413</v>
      </c>
      <c r="D1147" s="1">
        <v>24.0</v>
      </c>
      <c r="E1147" s="3">
        <v>40148.532638888886</v>
      </c>
      <c r="F1147" s="1">
        <v>0.55</v>
      </c>
      <c r="G1147" s="1">
        <v>15719.0</v>
      </c>
      <c r="H1147" s="1" t="s">
        <v>14</v>
      </c>
      <c r="I1147" s="4">
        <v>40148.0</v>
      </c>
      <c r="J1147" s="5">
        <v>0.5326388888888889</v>
      </c>
      <c r="K1147" s="1">
        <v>12.0</v>
      </c>
      <c r="L1147" s="1">
        <v>13.2</v>
      </c>
    </row>
    <row r="1148">
      <c r="A1148" s="1">
        <v>489556.0</v>
      </c>
      <c r="B1148" s="2" t="s">
        <v>1153</v>
      </c>
      <c r="C1148" s="1" t="s">
        <v>1154</v>
      </c>
      <c r="D1148" s="1">
        <v>2.0</v>
      </c>
      <c r="E1148" s="3">
        <v>40148.532638888886</v>
      </c>
      <c r="F1148" s="1">
        <v>3.95</v>
      </c>
      <c r="G1148" s="1">
        <v>15719.0</v>
      </c>
      <c r="H1148" s="1" t="s">
        <v>14</v>
      </c>
      <c r="I1148" s="4">
        <v>40148.0</v>
      </c>
      <c r="J1148" s="5">
        <v>0.5326388888888889</v>
      </c>
      <c r="K1148" s="1">
        <v>12.0</v>
      </c>
      <c r="L1148" s="1">
        <v>7.9</v>
      </c>
    </row>
    <row r="1149">
      <c r="A1149" s="1">
        <v>489556.0</v>
      </c>
      <c r="B1149" s="2" t="s">
        <v>311</v>
      </c>
      <c r="C1149" s="1" t="s">
        <v>312</v>
      </c>
      <c r="D1149" s="1">
        <v>2.0</v>
      </c>
      <c r="E1149" s="3">
        <v>40148.532638888886</v>
      </c>
      <c r="F1149" s="1">
        <v>9.95</v>
      </c>
      <c r="G1149" s="1">
        <v>15719.0</v>
      </c>
      <c r="H1149" s="1" t="s">
        <v>14</v>
      </c>
      <c r="I1149" s="4">
        <v>40148.0</v>
      </c>
      <c r="J1149" s="5">
        <v>0.5326388888888889</v>
      </c>
      <c r="K1149" s="1">
        <v>12.0</v>
      </c>
      <c r="L1149" s="1">
        <v>19.9</v>
      </c>
    </row>
    <row r="1150">
      <c r="A1150" s="1">
        <v>489556.0</v>
      </c>
      <c r="B1150" s="2" t="s">
        <v>712</v>
      </c>
      <c r="C1150" s="1" t="s">
        <v>713</v>
      </c>
      <c r="D1150" s="1">
        <v>2.0</v>
      </c>
      <c r="E1150" s="3">
        <v>40148.532638888886</v>
      </c>
      <c r="F1150" s="1">
        <v>1.25</v>
      </c>
      <c r="G1150" s="1">
        <v>15719.0</v>
      </c>
      <c r="H1150" s="1" t="s">
        <v>14</v>
      </c>
      <c r="I1150" s="4">
        <v>40148.0</v>
      </c>
      <c r="J1150" s="5">
        <v>0.5326388888888889</v>
      </c>
      <c r="K1150" s="1">
        <v>12.0</v>
      </c>
      <c r="L1150" s="1">
        <v>2.5</v>
      </c>
    </row>
    <row r="1151">
      <c r="A1151" s="1">
        <v>489556.0</v>
      </c>
      <c r="B1151" s="2" t="s">
        <v>462</v>
      </c>
      <c r="C1151" s="1" t="s">
        <v>463</v>
      </c>
      <c r="D1151" s="1">
        <v>1.0</v>
      </c>
      <c r="E1151" s="3">
        <v>40148.532638888886</v>
      </c>
      <c r="F1151" s="1">
        <v>1.25</v>
      </c>
      <c r="G1151" s="1">
        <v>15719.0</v>
      </c>
      <c r="H1151" s="1" t="s">
        <v>14</v>
      </c>
      <c r="I1151" s="4">
        <v>40148.0</v>
      </c>
      <c r="J1151" s="5">
        <v>0.5326388888888889</v>
      </c>
      <c r="K1151" s="1">
        <v>12.0</v>
      </c>
      <c r="L1151" s="1">
        <v>1.25</v>
      </c>
    </row>
    <row r="1152">
      <c r="A1152" s="1">
        <v>489556.0</v>
      </c>
      <c r="B1152" s="2" t="s">
        <v>1405</v>
      </c>
      <c r="C1152" s="1" t="s">
        <v>1406</v>
      </c>
      <c r="D1152" s="1">
        <v>2.0</v>
      </c>
      <c r="E1152" s="3">
        <v>40148.532638888886</v>
      </c>
      <c r="F1152" s="1">
        <v>1.25</v>
      </c>
      <c r="G1152" s="1">
        <v>15719.0</v>
      </c>
      <c r="H1152" s="1" t="s">
        <v>14</v>
      </c>
      <c r="I1152" s="4">
        <v>40148.0</v>
      </c>
      <c r="J1152" s="5">
        <v>0.5326388888888889</v>
      </c>
      <c r="K1152" s="1">
        <v>12.0</v>
      </c>
      <c r="L1152" s="1">
        <v>2.5</v>
      </c>
    </row>
    <row r="1153">
      <c r="A1153" s="1">
        <v>489556.0</v>
      </c>
      <c r="B1153" s="2" t="s">
        <v>156</v>
      </c>
      <c r="C1153" s="1" t="s">
        <v>157</v>
      </c>
      <c r="D1153" s="1">
        <v>1.0</v>
      </c>
      <c r="E1153" s="3">
        <v>40148.532638888886</v>
      </c>
      <c r="F1153" s="1">
        <v>4.95</v>
      </c>
      <c r="G1153" s="1">
        <v>15719.0</v>
      </c>
      <c r="H1153" s="1" t="s">
        <v>14</v>
      </c>
      <c r="I1153" s="4">
        <v>40148.0</v>
      </c>
      <c r="J1153" s="5">
        <v>0.5326388888888889</v>
      </c>
      <c r="K1153" s="1">
        <v>12.0</v>
      </c>
      <c r="L1153" s="1">
        <v>4.95</v>
      </c>
    </row>
    <row r="1154">
      <c r="A1154" s="1">
        <v>489556.0</v>
      </c>
      <c r="B1154" s="2" t="s">
        <v>75</v>
      </c>
      <c r="C1154" s="1" t="s">
        <v>76</v>
      </c>
      <c r="D1154" s="1">
        <v>2.0</v>
      </c>
      <c r="E1154" s="3">
        <v>40148.532638888886</v>
      </c>
      <c r="F1154" s="1">
        <v>2.1</v>
      </c>
      <c r="G1154" s="1">
        <v>15719.0</v>
      </c>
      <c r="H1154" s="1" t="s">
        <v>14</v>
      </c>
      <c r="I1154" s="4">
        <v>40148.0</v>
      </c>
      <c r="J1154" s="5">
        <v>0.5326388888888889</v>
      </c>
      <c r="K1154" s="1">
        <v>12.0</v>
      </c>
      <c r="L1154" s="1">
        <v>4.2</v>
      </c>
    </row>
    <row r="1155">
      <c r="A1155" s="1">
        <v>489556.0</v>
      </c>
      <c r="B1155" s="2" t="s">
        <v>1187</v>
      </c>
      <c r="C1155" s="1" t="s">
        <v>1188</v>
      </c>
      <c r="D1155" s="1">
        <v>1.0</v>
      </c>
      <c r="E1155" s="3">
        <v>40148.532638888886</v>
      </c>
      <c r="F1155" s="1">
        <v>3.75</v>
      </c>
      <c r="G1155" s="1">
        <v>15719.0</v>
      </c>
      <c r="H1155" s="1" t="s">
        <v>14</v>
      </c>
      <c r="I1155" s="4">
        <v>40148.0</v>
      </c>
      <c r="J1155" s="5">
        <v>0.5326388888888889</v>
      </c>
      <c r="K1155" s="1">
        <v>12.0</v>
      </c>
      <c r="L1155" s="1">
        <v>3.75</v>
      </c>
    </row>
    <row r="1156">
      <c r="A1156" s="1">
        <v>489556.0</v>
      </c>
      <c r="B1156" s="2" t="s">
        <v>293</v>
      </c>
      <c r="C1156" s="1" t="s">
        <v>294</v>
      </c>
      <c r="D1156" s="1">
        <v>1.0</v>
      </c>
      <c r="E1156" s="3">
        <v>40148.532638888886</v>
      </c>
      <c r="F1156" s="1">
        <v>4.95</v>
      </c>
      <c r="G1156" s="1">
        <v>15719.0</v>
      </c>
      <c r="H1156" s="1" t="s">
        <v>14</v>
      </c>
      <c r="I1156" s="4">
        <v>40148.0</v>
      </c>
      <c r="J1156" s="5">
        <v>0.5326388888888889</v>
      </c>
      <c r="K1156" s="1">
        <v>12.0</v>
      </c>
      <c r="L1156" s="1">
        <v>4.95</v>
      </c>
    </row>
    <row r="1157">
      <c r="A1157" s="1">
        <v>489556.0</v>
      </c>
      <c r="B1157" s="2" t="s">
        <v>279</v>
      </c>
      <c r="C1157" s="1" t="s">
        <v>280</v>
      </c>
      <c r="D1157" s="1">
        <v>1.0</v>
      </c>
      <c r="E1157" s="3">
        <v>40148.532638888886</v>
      </c>
      <c r="F1157" s="1">
        <v>5.95</v>
      </c>
      <c r="G1157" s="1">
        <v>15719.0</v>
      </c>
      <c r="H1157" s="1" t="s">
        <v>14</v>
      </c>
      <c r="I1157" s="4">
        <v>40148.0</v>
      </c>
      <c r="J1157" s="5">
        <v>0.5326388888888889</v>
      </c>
      <c r="K1157" s="1">
        <v>12.0</v>
      </c>
      <c r="L1157" s="1">
        <v>5.95</v>
      </c>
    </row>
    <row r="1158">
      <c r="A1158" s="1">
        <v>489556.0</v>
      </c>
      <c r="B1158" s="2" t="s">
        <v>508</v>
      </c>
      <c r="C1158" s="1" t="s">
        <v>509</v>
      </c>
      <c r="D1158" s="1">
        <v>1.0</v>
      </c>
      <c r="E1158" s="3">
        <v>40148.532638888886</v>
      </c>
      <c r="F1158" s="1">
        <v>3.75</v>
      </c>
      <c r="G1158" s="1">
        <v>15719.0</v>
      </c>
      <c r="H1158" s="1" t="s">
        <v>14</v>
      </c>
      <c r="I1158" s="4">
        <v>40148.0</v>
      </c>
      <c r="J1158" s="5">
        <v>0.5326388888888889</v>
      </c>
      <c r="K1158" s="1">
        <v>12.0</v>
      </c>
      <c r="L1158" s="1">
        <v>3.75</v>
      </c>
    </row>
    <row r="1159">
      <c r="A1159" s="1">
        <v>489556.0</v>
      </c>
      <c r="B1159" s="2" t="s">
        <v>1407</v>
      </c>
      <c r="C1159" s="1" t="s">
        <v>1408</v>
      </c>
      <c r="D1159" s="1">
        <v>2.0</v>
      </c>
      <c r="E1159" s="3">
        <v>40148.532638888886</v>
      </c>
      <c r="F1159" s="1">
        <v>2.95</v>
      </c>
      <c r="G1159" s="1">
        <v>15719.0</v>
      </c>
      <c r="H1159" s="1" t="s">
        <v>14</v>
      </c>
      <c r="I1159" s="4">
        <v>40148.0</v>
      </c>
      <c r="J1159" s="5">
        <v>0.5326388888888889</v>
      </c>
      <c r="K1159" s="1">
        <v>12.0</v>
      </c>
      <c r="L1159" s="1">
        <v>5.9</v>
      </c>
    </row>
    <row r="1160">
      <c r="A1160" s="1">
        <v>489556.0</v>
      </c>
      <c r="B1160" s="2" t="s">
        <v>670</v>
      </c>
      <c r="C1160" s="1" t="s">
        <v>671</v>
      </c>
      <c r="D1160" s="1">
        <v>5.0</v>
      </c>
      <c r="E1160" s="3">
        <v>40148.532638888886</v>
      </c>
      <c r="F1160" s="1">
        <v>1.65</v>
      </c>
      <c r="G1160" s="1">
        <v>15719.0</v>
      </c>
      <c r="H1160" s="1" t="s">
        <v>14</v>
      </c>
      <c r="I1160" s="4">
        <v>40148.0</v>
      </c>
      <c r="J1160" s="5">
        <v>0.5326388888888889</v>
      </c>
      <c r="K1160" s="1">
        <v>12.0</v>
      </c>
      <c r="L1160" s="1">
        <v>8.25</v>
      </c>
    </row>
    <row r="1161">
      <c r="A1161" s="1">
        <v>489556.0</v>
      </c>
      <c r="B1161" s="2" t="s">
        <v>33</v>
      </c>
      <c r="C1161" s="1" t="s">
        <v>313</v>
      </c>
      <c r="D1161" s="1">
        <v>2.0</v>
      </c>
      <c r="E1161" s="3">
        <v>40148.532638888886</v>
      </c>
      <c r="F1161" s="1">
        <v>1.65</v>
      </c>
      <c r="G1161" s="1">
        <v>15719.0</v>
      </c>
      <c r="H1161" s="1" t="s">
        <v>14</v>
      </c>
      <c r="I1161" s="4">
        <v>40148.0</v>
      </c>
      <c r="J1161" s="5">
        <v>0.5326388888888889</v>
      </c>
      <c r="K1161" s="1">
        <v>12.0</v>
      </c>
      <c r="L1161" s="1">
        <v>3.3</v>
      </c>
    </row>
    <row r="1162">
      <c r="A1162" s="1">
        <v>489556.0</v>
      </c>
      <c r="B1162" s="2" t="s">
        <v>1409</v>
      </c>
      <c r="C1162" s="1" t="s">
        <v>1410</v>
      </c>
      <c r="D1162" s="1">
        <v>1.0</v>
      </c>
      <c r="E1162" s="3">
        <v>40148.532638888886</v>
      </c>
      <c r="F1162" s="1">
        <v>5.95</v>
      </c>
      <c r="G1162" s="1">
        <v>15719.0</v>
      </c>
      <c r="H1162" s="1" t="s">
        <v>14</v>
      </c>
      <c r="I1162" s="4">
        <v>40148.0</v>
      </c>
      <c r="J1162" s="5">
        <v>0.5326388888888889</v>
      </c>
      <c r="K1162" s="1">
        <v>12.0</v>
      </c>
      <c r="L1162" s="1">
        <v>5.95</v>
      </c>
    </row>
    <row r="1163">
      <c r="A1163" s="1">
        <v>489556.0</v>
      </c>
      <c r="B1163" s="2" t="s">
        <v>1411</v>
      </c>
      <c r="C1163" s="1" t="s">
        <v>1412</v>
      </c>
      <c r="D1163" s="1">
        <v>2.0</v>
      </c>
      <c r="E1163" s="3">
        <v>40148.532638888886</v>
      </c>
      <c r="F1163" s="1">
        <v>2.95</v>
      </c>
      <c r="G1163" s="1">
        <v>15719.0</v>
      </c>
      <c r="H1163" s="1" t="s">
        <v>14</v>
      </c>
      <c r="I1163" s="4">
        <v>40148.0</v>
      </c>
      <c r="J1163" s="5">
        <v>0.5326388888888889</v>
      </c>
      <c r="K1163" s="1">
        <v>12.0</v>
      </c>
      <c r="L1163" s="1">
        <v>5.9</v>
      </c>
    </row>
    <row r="1164">
      <c r="A1164" s="1">
        <v>489556.0</v>
      </c>
      <c r="B1164" s="2" t="s">
        <v>1413</v>
      </c>
      <c r="C1164" s="1" t="s">
        <v>1414</v>
      </c>
      <c r="D1164" s="1">
        <v>2.0</v>
      </c>
      <c r="E1164" s="3">
        <v>40148.532638888886</v>
      </c>
      <c r="F1164" s="1">
        <v>2.1</v>
      </c>
      <c r="G1164" s="1">
        <v>15719.0</v>
      </c>
      <c r="H1164" s="1" t="s">
        <v>14</v>
      </c>
      <c r="I1164" s="4">
        <v>40148.0</v>
      </c>
      <c r="J1164" s="5">
        <v>0.5326388888888889</v>
      </c>
      <c r="K1164" s="1">
        <v>12.0</v>
      </c>
      <c r="L1164" s="1">
        <v>4.2</v>
      </c>
    </row>
    <row r="1165">
      <c r="A1165" s="1">
        <v>489556.0</v>
      </c>
      <c r="B1165" s="2" t="s">
        <v>1415</v>
      </c>
      <c r="C1165" s="1" t="s">
        <v>1416</v>
      </c>
      <c r="D1165" s="1">
        <v>2.0</v>
      </c>
      <c r="E1165" s="3">
        <v>40148.532638888886</v>
      </c>
      <c r="F1165" s="1">
        <v>4.25</v>
      </c>
      <c r="G1165" s="1">
        <v>15719.0</v>
      </c>
      <c r="H1165" s="1" t="s">
        <v>14</v>
      </c>
      <c r="I1165" s="4">
        <v>40148.0</v>
      </c>
      <c r="J1165" s="5">
        <v>0.5326388888888889</v>
      </c>
      <c r="K1165" s="1">
        <v>12.0</v>
      </c>
      <c r="L1165" s="1">
        <v>8.5</v>
      </c>
    </row>
    <row r="1166">
      <c r="A1166" s="1">
        <v>489556.0</v>
      </c>
      <c r="B1166" s="2" t="s">
        <v>460</v>
      </c>
      <c r="C1166" s="1" t="s">
        <v>461</v>
      </c>
      <c r="D1166" s="1">
        <v>1.0</v>
      </c>
      <c r="E1166" s="3">
        <v>40148.532638888886</v>
      </c>
      <c r="F1166" s="1">
        <v>4.25</v>
      </c>
      <c r="G1166" s="1">
        <v>15719.0</v>
      </c>
      <c r="H1166" s="1" t="s">
        <v>14</v>
      </c>
      <c r="I1166" s="4">
        <v>40148.0</v>
      </c>
      <c r="J1166" s="5">
        <v>0.5326388888888889</v>
      </c>
      <c r="K1166" s="1">
        <v>12.0</v>
      </c>
      <c r="L1166" s="1">
        <v>4.25</v>
      </c>
    </row>
    <row r="1167">
      <c r="A1167" s="1">
        <v>489556.0</v>
      </c>
      <c r="B1167" s="2" t="s">
        <v>1417</v>
      </c>
      <c r="C1167" s="1" t="s">
        <v>1418</v>
      </c>
      <c r="D1167" s="1">
        <v>1.0</v>
      </c>
      <c r="E1167" s="3">
        <v>40148.532638888886</v>
      </c>
      <c r="F1167" s="1">
        <v>8.5</v>
      </c>
      <c r="G1167" s="1">
        <v>15719.0</v>
      </c>
      <c r="H1167" s="1" t="s">
        <v>14</v>
      </c>
      <c r="I1167" s="4">
        <v>40148.0</v>
      </c>
      <c r="J1167" s="5">
        <v>0.5326388888888889</v>
      </c>
      <c r="K1167" s="1">
        <v>12.0</v>
      </c>
      <c r="L1167" s="1">
        <v>8.5</v>
      </c>
    </row>
    <row r="1168">
      <c r="A1168" s="1">
        <v>489556.0</v>
      </c>
      <c r="B1168" s="2" t="s">
        <v>1419</v>
      </c>
      <c r="C1168" s="1" t="s">
        <v>1420</v>
      </c>
      <c r="D1168" s="1">
        <v>1.0</v>
      </c>
      <c r="E1168" s="3">
        <v>40148.532638888886</v>
      </c>
      <c r="F1168" s="1">
        <v>4.95</v>
      </c>
      <c r="G1168" s="1">
        <v>15719.0</v>
      </c>
      <c r="H1168" s="1" t="s">
        <v>14</v>
      </c>
      <c r="I1168" s="4">
        <v>40148.0</v>
      </c>
      <c r="J1168" s="5">
        <v>0.5326388888888889</v>
      </c>
      <c r="K1168" s="1">
        <v>12.0</v>
      </c>
      <c r="L1168" s="1">
        <v>4.95</v>
      </c>
    </row>
    <row r="1169">
      <c r="A1169" s="1">
        <v>489556.0</v>
      </c>
      <c r="B1169" s="2" t="s">
        <v>948</v>
      </c>
      <c r="C1169" s="1" t="s">
        <v>949</v>
      </c>
      <c r="D1169" s="1">
        <v>2.0</v>
      </c>
      <c r="E1169" s="3">
        <v>40148.532638888886</v>
      </c>
      <c r="F1169" s="1">
        <v>4.25</v>
      </c>
      <c r="G1169" s="1">
        <v>15719.0</v>
      </c>
      <c r="H1169" s="1" t="s">
        <v>14</v>
      </c>
      <c r="I1169" s="4">
        <v>40148.0</v>
      </c>
      <c r="J1169" s="5">
        <v>0.5326388888888889</v>
      </c>
      <c r="K1169" s="1">
        <v>12.0</v>
      </c>
      <c r="L1169" s="1">
        <v>8.5</v>
      </c>
    </row>
    <row r="1170">
      <c r="A1170" s="1">
        <v>489556.0</v>
      </c>
      <c r="B1170" s="2" t="s">
        <v>853</v>
      </c>
      <c r="C1170" s="1" t="s">
        <v>854</v>
      </c>
      <c r="D1170" s="1">
        <v>3.0</v>
      </c>
      <c r="E1170" s="3">
        <v>40148.532638888886</v>
      </c>
      <c r="F1170" s="1">
        <v>1.25</v>
      </c>
      <c r="G1170" s="1">
        <v>15719.0</v>
      </c>
      <c r="H1170" s="1" t="s">
        <v>14</v>
      </c>
      <c r="I1170" s="4">
        <v>40148.0</v>
      </c>
      <c r="J1170" s="5">
        <v>0.5326388888888889</v>
      </c>
      <c r="K1170" s="1">
        <v>12.0</v>
      </c>
      <c r="L1170" s="1">
        <v>3.75</v>
      </c>
    </row>
    <row r="1171">
      <c r="A1171" s="1">
        <v>489556.0</v>
      </c>
      <c r="B1171" s="2" t="s">
        <v>121</v>
      </c>
      <c r="C1171" s="1" t="s">
        <v>122</v>
      </c>
      <c r="D1171" s="1">
        <v>2.0</v>
      </c>
      <c r="E1171" s="3">
        <v>40148.532638888886</v>
      </c>
      <c r="F1171" s="1">
        <v>2.95</v>
      </c>
      <c r="G1171" s="1">
        <v>15719.0</v>
      </c>
      <c r="H1171" s="1" t="s">
        <v>14</v>
      </c>
      <c r="I1171" s="4">
        <v>40148.0</v>
      </c>
      <c r="J1171" s="5">
        <v>0.5326388888888889</v>
      </c>
      <c r="K1171" s="1">
        <v>12.0</v>
      </c>
      <c r="L1171" s="1">
        <v>5.9</v>
      </c>
    </row>
    <row r="1172">
      <c r="A1172" s="1">
        <v>489556.0</v>
      </c>
      <c r="B1172" s="2" t="s">
        <v>335</v>
      </c>
      <c r="C1172" s="1" t="s">
        <v>336</v>
      </c>
      <c r="D1172" s="1">
        <v>6.0</v>
      </c>
      <c r="E1172" s="3">
        <v>40148.532638888886</v>
      </c>
      <c r="F1172" s="1">
        <v>1.25</v>
      </c>
      <c r="G1172" s="1">
        <v>15719.0</v>
      </c>
      <c r="H1172" s="1" t="s">
        <v>14</v>
      </c>
      <c r="I1172" s="4">
        <v>40148.0</v>
      </c>
      <c r="J1172" s="5">
        <v>0.5326388888888889</v>
      </c>
      <c r="K1172" s="1">
        <v>12.0</v>
      </c>
      <c r="L1172" s="1">
        <v>7.5</v>
      </c>
    </row>
    <row r="1173">
      <c r="A1173" s="1">
        <v>489556.0</v>
      </c>
      <c r="B1173" s="2" t="s">
        <v>991</v>
      </c>
      <c r="C1173" s="1" t="s">
        <v>992</v>
      </c>
      <c r="D1173" s="1">
        <v>2.0</v>
      </c>
      <c r="E1173" s="3">
        <v>40148.532638888886</v>
      </c>
      <c r="F1173" s="1">
        <v>0.85</v>
      </c>
      <c r="G1173" s="1">
        <v>15719.0</v>
      </c>
      <c r="H1173" s="1" t="s">
        <v>14</v>
      </c>
      <c r="I1173" s="4">
        <v>40148.0</v>
      </c>
      <c r="J1173" s="5">
        <v>0.5326388888888889</v>
      </c>
      <c r="K1173" s="1">
        <v>12.0</v>
      </c>
      <c r="L1173" s="1">
        <v>1.7</v>
      </c>
    </row>
    <row r="1174">
      <c r="A1174" s="1">
        <v>489556.0</v>
      </c>
      <c r="B1174" s="2" t="s">
        <v>1341</v>
      </c>
      <c r="C1174" s="1" t="s">
        <v>1342</v>
      </c>
      <c r="D1174" s="1">
        <v>1.0</v>
      </c>
      <c r="E1174" s="3">
        <v>40148.532638888886</v>
      </c>
      <c r="F1174" s="1">
        <v>0.85</v>
      </c>
      <c r="G1174" s="1">
        <v>15719.0</v>
      </c>
      <c r="H1174" s="1" t="s">
        <v>14</v>
      </c>
      <c r="I1174" s="4">
        <v>40148.0</v>
      </c>
      <c r="J1174" s="5">
        <v>0.5326388888888889</v>
      </c>
      <c r="K1174" s="1">
        <v>12.0</v>
      </c>
      <c r="L1174" s="1">
        <v>0.85</v>
      </c>
    </row>
    <row r="1175">
      <c r="A1175" s="1">
        <v>489556.0</v>
      </c>
      <c r="B1175" s="2" t="s">
        <v>1421</v>
      </c>
      <c r="C1175" s="1" t="s">
        <v>1422</v>
      </c>
      <c r="D1175" s="1">
        <v>1.0</v>
      </c>
      <c r="E1175" s="3">
        <v>40148.532638888886</v>
      </c>
      <c r="F1175" s="1">
        <v>7.95</v>
      </c>
      <c r="G1175" s="1">
        <v>15719.0</v>
      </c>
      <c r="H1175" s="1" t="s">
        <v>14</v>
      </c>
      <c r="I1175" s="4">
        <v>40148.0</v>
      </c>
      <c r="J1175" s="5">
        <v>0.5326388888888889</v>
      </c>
      <c r="K1175" s="1">
        <v>12.0</v>
      </c>
      <c r="L1175" s="1">
        <v>7.95</v>
      </c>
    </row>
    <row r="1176">
      <c r="A1176" s="1">
        <v>489556.0</v>
      </c>
      <c r="B1176" s="2" t="s">
        <v>1423</v>
      </c>
      <c r="C1176" s="1" t="s">
        <v>1424</v>
      </c>
      <c r="D1176" s="1">
        <v>4.0</v>
      </c>
      <c r="E1176" s="3">
        <v>40148.532638888886</v>
      </c>
      <c r="F1176" s="1">
        <v>2.55</v>
      </c>
      <c r="G1176" s="1">
        <v>15719.0</v>
      </c>
      <c r="H1176" s="1" t="s">
        <v>14</v>
      </c>
      <c r="I1176" s="4">
        <v>40148.0</v>
      </c>
      <c r="J1176" s="5">
        <v>0.5326388888888889</v>
      </c>
      <c r="K1176" s="1">
        <v>12.0</v>
      </c>
      <c r="L1176" s="1">
        <v>10.2</v>
      </c>
    </row>
    <row r="1177">
      <c r="A1177" s="1">
        <v>489556.0</v>
      </c>
      <c r="B1177" s="2" t="s">
        <v>615</v>
      </c>
      <c r="C1177" s="1" t="s">
        <v>616</v>
      </c>
      <c r="D1177" s="1">
        <v>4.0</v>
      </c>
      <c r="E1177" s="3">
        <v>40148.532638888886</v>
      </c>
      <c r="F1177" s="1">
        <v>2.1</v>
      </c>
      <c r="G1177" s="1">
        <v>15719.0</v>
      </c>
      <c r="H1177" s="1" t="s">
        <v>14</v>
      </c>
      <c r="I1177" s="4">
        <v>40148.0</v>
      </c>
      <c r="J1177" s="5">
        <v>0.5326388888888889</v>
      </c>
      <c r="K1177" s="1">
        <v>12.0</v>
      </c>
      <c r="L1177" s="1">
        <v>8.4</v>
      </c>
    </row>
    <row r="1178">
      <c r="A1178" s="1">
        <v>489556.0</v>
      </c>
      <c r="B1178" s="2" t="s">
        <v>799</v>
      </c>
      <c r="C1178" s="1" t="s">
        <v>800</v>
      </c>
      <c r="D1178" s="1">
        <v>2.0</v>
      </c>
      <c r="E1178" s="3">
        <v>40148.532638888886</v>
      </c>
      <c r="F1178" s="1">
        <v>1.95</v>
      </c>
      <c r="G1178" s="1">
        <v>15719.0</v>
      </c>
      <c r="H1178" s="1" t="s">
        <v>14</v>
      </c>
      <c r="I1178" s="4">
        <v>40148.0</v>
      </c>
      <c r="J1178" s="5">
        <v>0.5326388888888889</v>
      </c>
      <c r="K1178" s="1">
        <v>12.0</v>
      </c>
      <c r="L1178" s="1">
        <v>3.9</v>
      </c>
    </row>
    <row r="1179">
      <c r="A1179" s="1">
        <v>489556.0</v>
      </c>
      <c r="B1179" s="2" t="s">
        <v>1425</v>
      </c>
      <c r="C1179" s="1" t="s">
        <v>1426</v>
      </c>
      <c r="D1179" s="1">
        <v>1.0</v>
      </c>
      <c r="E1179" s="3">
        <v>40148.532638888886</v>
      </c>
      <c r="F1179" s="1">
        <v>2.95</v>
      </c>
      <c r="G1179" s="1">
        <v>15719.0</v>
      </c>
      <c r="H1179" s="1" t="s">
        <v>14</v>
      </c>
      <c r="I1179" s="4">
        <v>40148.0</v>
      </c>
      <c r="J1179" s="5">
        <v>0.5326388888888889</v>
      </c>
      <c r="K1179" s="1">
        <v>12.0</v>
      </c>
      <c r="L1179" s="1">
        <v>2.95</v>
      </c>
    </row>
    <row r="1180">
      <c r="A1180" s="1">
        <v>489556.0</v>
      </c>
      <c r="B1180" s="2" t="s">
        <v>408</v>
      </c>
      <c r="C1180" s="1" t="s">
        <v>409</v>
      </c>
      <c r="D1180" s="1">
        <v>2.0</v>
      </c>
      <c r="E1180" s="3">
        <v>40148.532638888886</v>
      </c>
      <c r="F1180" s="1">
        <v>7.95</v>
      </c>
      <c r="G1180" s="1">
        <v>15719.0</v>
      </c>
      <c r="H1180" s="1" t="s">
        <v>14</v>
      </c>
      <c r="I1180" s="4">
        <v>40148.0</v>
      </c>
      <c r="J1180" s="5">
        <v>0.5326388888888889</v>
      </c>
      <c r="K1180" s="1">
        <v>12.0</v>
      </c>
      <c r="L1180" s="1">
        <v>15.9</v>
      </c>
    </row>
    <row r="1181">
      <c r="A1181" s="1">
        <v>489556.0</v>
      </c>
      <c r="B1181" s="2" t="s">
        <v>1427</v>
      </c>
      <c r="C1181" s="1" t="s">
        <v>1428</v>
      </c>
      <c r="D1181" s="1">
        <v>1.0</v>
      </c>
      <c r="E1181" s="3">
        <v>40148.532638888886</v>
      </c>
      <c r="F1181" s="1">
        <v>12.75</v>
      </c>
      <c r="G1181" s="1">
        <v>15719.0</v>
      </c>
      <c r="H1181" s="1" t="s">
        <v>14</v>
      </c>
      <c r="I1181" s="4">
        <v>40148.0</v>
      </c>
      <c r="J1181" s="5">
        <v>0.5326388888888889</v>
      </c>
      <c r="K1181" s="1">
        <v>12.0</v>
      </c>
      <c r="L1181" s="1">
        <v>12.75</v>
      </c>
    </row>
    <row r="1182">
      <c r="A1182" s="1">
        <v>489556.0</v>
      </c>
      <c r="B1182" s="2" t="s">
        <v>766</v>
      </c>
      <c r="C1182" s="1" t="s">
        <v>767</v>
      </c>
      <c r="D1182" s="1">
        <v>2.0</v>
      </c>
      <c r="E1182" s="3">
        <v>40148.532638888886</v>
      </c>
      <c r="F1182" s="1">
        <v>6.75</v>
      </c>
      <c r="G1182" s="1">
        <v>15719.0</v>
      </c>
      <c r="H1182" s="1" t="s">
        <v>14</v>
      </c>
      <c r="I1182" s="4">
        <v>40148.0</v>
      </c>
      <c r="J1182" s="5">
        <v>0.5326388888888889</v>
      </c>
      <c r="K1182" s="1">
        <v>12.0</v>
      </c>
      <c r="L1182" s="1">
        <v>13.5</v>
      </c>
    </row>
    <row r="1183">
      <c r="A1183" s="1">
        <v>489556.0</v>
      </c>
      <c r="B1183" s="2" t="s">
        <v>658</v>
      </c>
      <c r="C1183" s="1" t="s">
        <v>659</v>
      </c>
      <c r="D1183" s="1">
        <v>1.0</v>
      </c>
      <c r="E1183" s="3">
        <v>40148.532638888886</v>
      </c>
      <c r="F1183" s="1">
        <v>6.75</v>
      </c>
      <c r="G1183" s="1">
        <v>15719.0</v>
      </c>
      <c r="H1183" s="1" t="s">
        <v>14</v>
      </c>
      <c r="I1183" s="4">
        <v>40148.0</v>
      </c>
      <c r="J1183" s="5">
        <v>0.5326388888888889</v>
      </c>
      <c r="K1183" s="1">
        <v>12.0</v>
      </c>
      <c r="L1183" s="1">
        <v>6.75</v>
      </c>
    </row>
    <row r="1184">
      <c r="A1184" s="1">
        <v>489556.0</v>
      </c>
      <c r="B1184" s="2" t="s">
        <v>466</v>
      </c>
      <c r="C1184" s="1" t="s">
        <v>467</v>
      </c>
      <c r="D1184" s="1">
        <v>3.0</v>
      </c>
      <c r="E1184" s="3">
        <v>40148.532638888886</v>
      </c>
      <c r="F1184" s="1">
        <v>1.95</v>
      </c>
      <c r="G1184" s="1">
        <v>15719.0</v>
      </c>
      <c r="H1184" s="1" t="s">
        <v>14</v>
      </c>
      <c r="I1184" s="4">
        <v>40148.0</v>
      </c>
      <c r="J1184" s="5">
        <v>0.5326388888888889</v>
      </c>
      <c r="K1184" s="1">
        <v>12.0</v>
      </c>
      <c r="L1184" s="1">
        <v>5.85</v>
      </c>
    </row>
    <row r="1185">
      <c r="A1185" s="1">
        <v>489556.0</v>
      </c>
      <c r="B1185" s="2" t="s">
        <v>170</v>
      </c>
      <c r="C1185" s="1" t="s">
        <v>171</v>
      </c>
      <c r="D1185" s="1">
        <v>6.0</v>
      </c>
      <c r="E1185" s="3">
        <v>40148.532638888886</v>
      </c>
      <c r="F1185" s="1">
        <v>1.95</v>
      </c>
      <c r="G1185" s="1">
        <v>15719.0</v>
      </c>
      <c r="H1185" s="1" t="s">
        <v>14</v>
      </c>
      <c r="I1185" s="4">
        <v>40148.0</v>
      </c>
      <c r="J1185" s="5">
        <v>0.5326388888888889</v>
      </c>
      <c r="K1185" s="1">
        <v>12.0</v>
      </c>
      <c r="L1185" s="1">
        <v>11.7</v>
      </c>
    </row>
    <row r="1186">
      <c r="A1186" s="1">
        <v>489556.0</v>
      </c>
      <c r="B1186" s="2" t="s">
        <v>176</v>
      </c>
      <c r="C1186" s="1" t="s">
        <v>177</v>
      </c>
      <c r="D1186" s="1">
        <v>2.0</v>
      </c>
      <c r="E1186" s="3">
        <v>40148.532638888886</v>
      </c>
      <c r="F1186" s="1">
        <v>0.85</v>
      </c>
      <c r="G1186" s="1">
        <v>15719.0</v>
      </c>
      <c r="H1186" s="1" t="s">
        <v>14</v>
      </c>
      <c r="I1186" s="4">
        <v>40148.0</v>
      </c>
      <c r="J1186" s="5">
        <v>0.5326388888888889</v>
      </c>
      <c r="K1186" s="1">
        <v>12.0</v>
      </c>
      <c r="L1186" s="1">
        <v>1.7</v>
      </c>
    </row>
    <row r="1187">
      <c r="A1187" s="1">
        <v>489556.0</v>
      </c>
      <c r="B1187" s="2" t="s">
        <v>1039</v>
      </c>
      <c r="C1187" s="1" t="s">
        <v>1040</v>
      </c>
      <c r="D1187" s="1">
        <v>4.0</v>
      </c>
      <c r="E1187" s="3">
        <v>40148.532638888886</v>
      </c>
      <c r="F1187" s="1">
        <v>2.95</v>
      </c>
      <c r="G1187" s="1">
        <v>15719.0</v>
      </c>
      <c r="H1187" s="1" t="s">
        <v>14</v>
      </c>
      <c r="I1187" s="4">
        <v>40148.0</v>
      </c>
      <c r="J1187" s="5">
        <v>0.5326388888888889</v>
      </c>
      <c r="K1187" s="1">
        <v>12.0</v>
      </c>
      <c r="L1187" s="1">
        <v>11.8</v>
      </c>
    </row>
    <row r="1188">
      <c r="A1188" s="1">
        <v>489556.0</v>
      </c>
      <c r="B1188" s="2" t="s">
        <v>442</v>
      </c>
      <c r="C1188" s="1" t="s">
        <v>443</v>
      </c>
      <c r="D1188" s="1">
        <v>2.0</v>
      </c>
      <c r="E1188" s="3">
        <v>40148.532638888886</v>
      </c>
      <c r="F1188" s="1">
        <v>2.95</v>
      </c>
      <c r="G1188" s="1">
        <v>15719.0</v>
      </c>
      <c r="H1188" s="1" t="s">
        <v>14</v>
      </c>
      <c r="I1188" s="4">
        <v>40148.0</v>
      </c>
      <c r="J1188" s="5">
        <v>0.5326388888888889</v>
      </c>
      <c r="K1188" s="1">
        <v>12.0</v>
      </c>
      <c r="L1188" s="1">
        <v>5.9</v>
      </c>
    </row>
    <row r="1189">
      <c r="A1189" s="1">
        <v>489556.0</v>
      </c>
      <c r="B1189" s="2" t="s">
        <v>176</v>
      </c>
      <c r="C1189" s="1" t="s">
        <v>177</v>
      </c>
      <c r="D1189" s="1">
        <v>8.0</v>
      </c>
      <c r="E1189" s="3">
        <v>40148.532638888886</v>
      </c>
      <c r="F1189" s="1">
        <v>0.85</v>
      </c>
      <c r="G1189" s="1">
        <v>15719.0</v>
      </c>
      <c r="H1189" s="1" t="s">
        <v>14</v>
      </c>
      <c r="I1189" s="4">
        <v>40148.0</v>
      </c>
      <c r="J1189" s="5">
        <v>0.5326388888888889</v>
      </c>
      <c r="K1189" s="1">
        <v>12.0</v>
      </c>
      <c r="L1189" s="1">
        <v>6.8</v>
      </c>
    </row>
    <row r="1190">
      <c r="A1190" s="1">
        <v>489556.0</v>
      </c>
      <c r="B1190" s="2" t="s">
        <v>1405</v>
      </c>
      <c r="C1190" s="1" t="s">
        <v>1406</v>
      </c>
      <c r="D1190" s="1">
        <v>4.0</v>
      </c>
      <c r="E1190" s="3">
        <v>40148.532638888886</v>
      </c>
      <c r="F1190" s="1">
        <v>1.25</v>
      </c>
      <c r="G1190" s="1">
        <v>15719.0</v>
      </c>
      <c r="H1190" s="1" t="s">
        <v>14</v>
      </c>
      <c r="I1190" s="4">
        <v>40148.0</v>
      </c>
      <c r="J1190" s="5">
        <v>0.5326388888888889</v>
      </c>
      <c r="K1190" s="1">
        <v>12.0</v>
      </c>
      <c r="L1190" s="1">
        <v>5.0</v>
      </c>
    </row>
    <row r="1191">
      <c r="A1191" s="1">
        <v>489557.0</v>
      </c>
      <c r="B1191" s="2" t="s">
        <v>1429</v>
      </c>
      <c r="C1191" s="1" t="s">
        <v>1430</v>
      </c>
      <c r="D1191" s="1">
        <v>12.0</v>
      </c>
      <c r="E1191" s="3">
        <v>40148.53611111111</v>
      </c>
      <c r="F1191" s="1">
        <v>1.25</v>
      </c>
      <c r="G1191" s="1">
        <v>12490.0</v>
      </c>
      <c r="H1191" s="1" t="s">
        <v>155</v>
      </c>
      <c r="I1191" s="4">
        <v>40148.0</v>
      </c>
      <c r="J1191" s="5">
        <v>0.5361111111111111</v>
      </c>
      <c r="K1191" s="1">
        <v>12.0</v>
      </c>
      <c r="L1191" s="1">
        <v>15.0</v>
      </c>
    </row>
    <row r="1192">
      <c r="A1192" s="1">
        <v>489557.0</v>
      </c>
      <c r="B1192" s="2" t="s">
        <v>1431</v>
      </c>
      <c r="C1192" s="1" t="s">
        <v>1432</v>
      </c>
      <c r="D1192" s="1">
        <v>25.0</v>
      </c>
      <c r="E1192" s="3">
        <v>40148.53611111111</v>
      </c>
      <c r="F1192" s="1">
        <v>0.42</v>
      </c>
      <c r="G1192" s="1">
        <v>12490.0</v>
      </c>
      <c r="H1192" s="1" t="s">
        <v>155</v>
      </c>
      <c r="I1192" s="4">
        <v>40148.0</v>
      </c>
      <c r="J1192" s="5">
        <v>0.5361111111111111</v>
      </c>
      <c r="K1192" s="1">
        <v>12.0</v>
      </c>
      <c r="L1192" s="1">
        <v>10.5</v>
      </c>
    </row>
    <row r="1193">
      <c r="A1193" s="1">
        <v>489557.0</v>
      </c>
      <c r="B1193" s="2" t="s">
        <v>1433</v>
      </c>
      <c r="C1193" s="1" t="s">
        <v>1434</v>
      </c>
      <c r="D1193" s="1">
        <v>25.0</v>
      </c>
      <c r="E1193" s="3">
        <v>40148.53611111111</v>
      </c>
      <c r="F1193" s="1">
        <v>0.42</v>
      </c>
      <c r="G1193" s="1">
        <v>12490.0</v>
      </c>
      <c r="H1193" s="1" t="s">
        <v>155</v>
      </c>
      <c r="I1193" s="4">
        <v>40148.0</v>
      </c>
      <c r="J1193" s="5">
        <v>0.5361111111111111</v>
      </c>
      <c r="K1193" s="1">
        <v>12.0</v>
      </c>
      <c r="L1193" s="1">
        <v>10.5</v>
      </c>
    </row>
    <row r="1194">
      <c r="A1194" s="1">
        <v>489557.0</v>
      </c>
      <c r="B1194" s="2" t="s">
        <v>1435</v>
      </c>
      <c r="C1194" s="1" t="s">
        <v>1436</v>
      </c>
      <c r="D1194" s="1">
        <v>192.0</v>
      </c>
      <c r="E1194" s="3">
        <v>40148.53611111111</v>
      </c>
      <c r="F1194" s="1">
        <v>0.72</v>
      </c>
      <c r="G1194" s="1">
        <v>12490.0</v>
      </c>
      <c r="H1194" s="1" t="s">
        <v>155</v>
      </c>
      <c r="I1194" s="4">
        <v>40148.0</v>
      </c>
      <c r="J1194" s="5">
        <v>0.5361111111111111</v>
      </c>
      <c r="K1194" s="1">
        <v>12.0</v>
      </c>
      <c r="L1194" s="1">
        <v>138.24</v>
      </c>
    </row>
    <row r="1195">
      <c r="A1195" s="1">
        <v>489557.0</v>
      </c>
      <c r="B1195" s="2" t="s">
        <v>178</v>
      </c>
      <c r="C1195" s="1" t="s">
        <v>179</v>
      </c>
      <c r="D1195" s="1">
        <v>24.0</v>
      </c>
      <c r="E1195" s="3">
        <v>40148.53611111111</v>
      </c>
      <c r="F1195" s="1">
        <v>1.65</v>
      </c>
      <c r="G1195" s="1">
        <v>12490.0</v>
      </c>
      <c r="H1195" s="1" t="s">
        <v>155</v>
      </c>
      <c r="I1195" s="4">
        <v>40148.0</v>
      </c>
      <c r="J1195" s="5">
        <v>0.5361111111111111</v>
      </c>
      <c r="K1195" s="1">
        <v>12.0</v>
      </c>
      <c r="L1195" s="1">
        <v>39.5999999999999</v>
      </c>
    </row>
    <row r="1196">
      <c r="A1196" s="1">
        <v>489557.0</v>
      </c>
      <c r="B1196" s="2" t="s">
        <v>160</v>
      </c>
      <c r="C1196" s="1" t="s">
        <v>161</v>
      </c>
      <c r="D1196" s="1">
        <v>12.0</v>
      </c>
      <c r="E1196" s="3">
        <v>40148.53611111111</v>
      </c>
      <c r="F1196" s="1">
        <v>2.55</v>
      </c>
      <c r="G1196" s="1">
        <v>12490.0</v>
      </c>
      <c r="H1196" s="1" t="s">
        <v>155</v>
      </c>
      <c r="I1196" s="4">
        <v>40148.0</v>
      </c>
      <c r="J1196" s="5">
        <v>0.5361111111111111</v>
      </c>
      <c r="K1196" s="1">
        <v>12.0</v>
      </c>
      <c r="L1196" s="1">
        <v>30.5999999999999</v>
      </c>
    </row>
    <row r="1197">
      <c r="A1197" s="1">
        <v>489557.0</v>
      </c>
      <c r="B1197" s="2" t="s">
        <v>35</v>
      </c>
      <c r="C1197" s="1" t="s">
        <v>36</v>
      </c>
      <c r="D1197" s="1">
        <v>6.0</v>
      </c>
      <c r="E1197" s="3">
        <v>40148.53611111111</v>
      </c>
      <c r="F1197" s="1">
        <v>2.55</v>
      </c>
      <c r="G1197" s="1">
        <v>12490.0</v>
      </c>
      <c r="H1197" s="1" t="s">
        <v>155</v>
      </c>
      <c r="I1197" s="4">
        <v>40148.0</v>
      </c>
      <c r="J1197" s="5">
        <v>0.5361111111111111</v>
      </c>
      <c r="K1197" s="1">
        <v>12.0</v>
      </c>
      <c r="L1197" s="1">
        <v>15.2999999999999</v>
      </c>
    </row>
    <row r="1198">
      <c r="A1198" s="1">
        <v>489557.0</v>
      </c>
      <c r="B1198" s="2" t="s">
        <v>766</v>
      </c>
      <c r="C1198" s="1" t="s">
        <v>767</v>
      </c>
      <c r="D1198" s="1">
        <v>2.0</v>
      </c>
      <c r="E1198" s="3">
        <v>40148.53611111111</v>
      </c>
      <c r="F1198" s="1">
        <v>6.75</v>
      </c>
      <c r="G1198" s="1">
        <v>12490.0</v>
      </c>
      <c r="H1198" s="1" t="s">
        <v>155</v>
      </c>
      <c r="I1198" s="4">
        <v>40148.0</v>
      </c>
      <c r="J1198" s="5">
        <v>0.5361111111111111</v>
      </c>
      <c r="K1198" s="1">
        <v>12.0</v>
      </c>
      <c r="L1198" s="1">
        <v>13.5</v>
      </c>
    </row>
    <row r="1199">
      <c r="A1199" s="1">
        <v>489557.0</v>
      </c>
      <c r="B1199" s="2" t="s">
        <v>1437</v>
      </c>
      <c r="C1199" s="1" t="s">
        <v>1438</v>
      </c>
      <c r="D1199" s="1">
        <v>12.0</v>
      </c>
      <c r="E1199" s="3">
        <v>40148.53611111111</v>
      </c>
      <c r="F1199" s="1">
        <v>1.45</v>
      </c>
      <c r="G1199" s="1">
        <v>12490.0</v>
      </c>
      <c r="H1199" s="1" t="s">
        <v>155</v>
      </c>
      <c r="I1199" s="4">
        <v>40148.0</v>
      </c>
      <c r="J1199" s="5">
        <v>0.5361111111111111</v>
      </c>
      <c r="K1199" s="1">
        <v>12.0</v>
      </c>
      <c r="L1199" s="1">
        <v>17.4</v>
      </c>
    </row>
    <row r="1200">
      <c r="A1200" s="1">
        <v>489557.0</v>
      </c>
      <c r="B1200" s="2" t="s">
        <v>412</v>
      </c>
      <c r="C1200" s="1" t="s">
        <v>413</v>
      </c>
      <c r="D1200" s="1">
        <v>24.0</v>
      </c>
      <c r="E1200" s="3">
        <v>40148.53611111111</v>
      </c>
      <c r="F1200" s="1">
        <v>0.55</v>
      </c>
      <c r="G1200" s="1">
        <v>12490.0</v>
      </c>
      <c r="H1200" s="1" t="s">
        <v>155</v>
      </c>
      <c r="I1200" s="4">
        <v>40148.0</v>
      </c>
      <c r="J1200" s="5">
        <v>0.5361111111111111</v>
      </c>
      <c r="K1200" s="1">
        <v>12.0</v>
      </c>
      <c r="L1200" s="1">
        <v>13.2</v>
      </c>
    </row>
    <row r="1201">
      <c r="A1201" s="1">
        <v>489557.0</v>
      </c>
      <c r="B1201" s="2" t="s">
        <v>813</v>
      </c>
      <c r="C1201" s="1" t="s">
        <v>814</v>
      </c>
      <c r="D1201" s="1">
        <v>16.0</v>
      </c>
      <c r="E1201" s="3">
        <v>40148.53611111111</v>
      </c>
      <c r="F1201" s="1">
        <v>0.85</v>
      </c>
      <c r="G1201" s="1">
        <v>12490.0</v>
      </c>
      <c r="H1201" s="1" t="s">
        <v>155</v>
      </c>
      <c r="I1201" s="4">
        <v>40148.0</v>
      </c>
      <c r="J1201" s="5">
        <v>0.5361111111111111</v>
      </c>
      <c r="K1201" s="1">
        <v>12.0</v>
      </c>
      <c r="L1201" s="1">
        <v>13.6</v>
      </c>
    </row>
    <row r="1202">
      <c r="A1202" s="1">
        <v>489557.0</v>
      </c>
      <c r="B1202" s="2" t="s">
        <v>297</v>
      </c>
      <c r="C1202" s="1" t="s">
        <v>298</v>
      </c>
      <c r="D1202" s="1">
        <v>20.0</v>
      </c>
      <c r="E1202" s="3">
        <v>40148.53611111111</v>
      </c>
      <c r="F1202" s="1">
        <v>1.95</v>
      </c>
      <c r="G1202" s="1">
        <v>12490.0</v>
      </c>
      <c r="H1202" s="1" t="s">
        <v>155</v>
      </c>
      <c r="I1202" s="4">
        <v>40148.0</v>
      </c>
      <c r="J1202" s="5">
        <v>0.5361111111111111</v>
      </c>
      <c r="K1202" s="1">
        <v>12.0</v>
      </c>
      <c r="L1202" s="1">
        <v>39.0</v>
      </c>
    </row>
    <row r="1203">
      <c r="A1203" s="1">
        <v>489557.0</v>
      </c>
      <c r="B1203" s="2" t="s">
        <v>538</v>
      </c>
      <c r="C1203" s="1" t="s">
        <v>539</v>
      </c>
      <c r="D1203" s="1">
        <v>10.0</v>
      </c>
      <c r="E1203" s="3">
        <v>40148.53611111111</v>
      </c>
      <c r="F1203" s="1">
        <v>0.85</v>
      </c>
      <c r="G1203" s="1">
        <v>12490.0</v>
      </c>
      <c r="H1203" s="1" t="s">
        <v>155</v>
      </c>
      <c r="I1203" s="4">
        <v>40148.0</v>
      </c>
      <c r="J1203" s="5">
        <v>0.5361111111111111</v>
      </c>
      <c r="K1203" s="1">
        <v>12.0</v>
      </c>
      <c r="L1203" s="1">
        <v>8.5</v>
      </c>
    </row>
    <row r="1204">
      <c r="A1204" s="1">
        <v>489557.0</v>
      </c>
      <c r="B1204" s="2" t="s">
        <v>1439</v>
      </c>
      <c r="C1204" s="1" t="s">
        <v>1440</v>
      </c>
      <c r="D1204" s="1">
        <v>12.0</v>
      </c>
      <c r="E1204" s="3">
        <v>40148.53611111111</v>
      </c>
      <c r="F1204" s="1">
        <v>2.55</v>
      </c>
      <c r="G1204" s="1">
        <v>12490.0</v>
      </c>
      <c r="H1204" s="1" t="s">
        <v>155</v>
      </c>
      <c r="I1204" s="4">
        <v>40148.0</v>
      </c>
      <c r="J1204" s="5">
        <v>0.5361111111111111</v>
      </c>
      <c r="K1204" s="1">
        <v>12.0</v>
      </c>
      <c r="L1204" s="1">
        <v>30.5999999999999</v>
      </c>
    </row>
    <row r="1205">
      <c r="A1205" s="1">
        <v>489557.0</v>
      </c>
      <c r="B1205" s="2" t="s">
        <v>1123</v>
      </c>
      <c r="C1205" s="1" t="s">
        <v>1124</v>
      </c>
      <c r="D1205" s="1">
        <v>10.0</v>
      </c>
      <c r="E1205" s="3">
        <v>40148.53611111111</v>
      </c>
      <c r="F1205" s="1">
        <v>1.95</v>
      </c>
      <c r="G1205" s="1">
        <v>12490.0</v>
      </c>
      <c r="H1205" s="1" t="s">
        <v>155</v>
      </c>
      <c r="I1205" s="4">
        <v>40148.0</v>
      </c>
      <c r="J1205" s="5">
        <v>0.5361111111111111</v>
      </c>
      <c r="K1205" s="1">
        <v>12.0</v>
      </c>
      <c r="L1205" s="1">
        <v>19.5</v>
      </c>
    </row>
    <row r="1206">
      <c r="A1206" s="1">
        <v>489557.0</v>
      </c>
      <c r="B1206" s="2" t="s">
        <v>127</v>
      </c>
      <c r="C1206" s="1" t="s">
        <v>128</v>
      </c>
      <c r="D1206" s="1">
        <v>10.0</v>
      </c>
      <c r="E1206" s="3">
        <v>40148.53611111111</v>
      </c>
      <c r="F1206" s="1">
        <v>1.95</v>
      </c>
      <c r="G1206" s="1">
        <v>12490.0</v>
      </c>
      <c r="H1206" s="1" t="s">
        <v>155</v>
      </c>
      <c r="I1206" s="4">
        <v>40148.0</v>
      </c>
      <c r="J1206" s="5">
        <v>0.5361111111111111</v>
      </c>
      <c r="K1206" s="1">
        <v>12.0</v>
      </c>
      <c r="L1206" s="1">
        <v>19.5</v>
      </c>
    </row>
    <row r="1207">
      <c r="A1207" s="1">
        <v>489557.0</v>
      </c>
      <c r="B1207" s="2" t="s">
        <v>1441</v>
      </c>
      <c r="C1207" s="1" t="s">
        <v>1442</v>
      </c>
      <c r="D1207" s="1">
        <v>8.0</v>
      </c>
      <c r="E1207" s="3">
        <v>40148.53611111111</v>
      </c>
      <c r="F1207" s="1">
        <v>5.95</v>
      </c>
      <c r="G1207" s="1">
        <v>12490.0</v>
      </c>
      <c r="H1207" s="1" t="s">
        <v>155</v>
      </c>
      <c r="I1207" s="4">
        <v>40148.0</v>
      </c>
      <c r="J1207" s="5">
        <v>0.5361111111111111</v>
      </c>
      <c r="K1207" s="1">
        <v>12.0</v>
      </c>
      <c r="L1207" s="1">
        <v>47.6</v>
      </c>
    </row>
    <row r="1208">
      <c r="A1208" s="1">
        <v>489557.0</v>
      </c>
      <c r="B1208" s="2" t="s">
        <v>1443</v>
      </c>
      <c r="C1208" s="1" t="s">
        <v>1444</v>
      </c>
      <c r="D1208" s="1">
        <v>6.0</v>
      </c>
      <c r="E1208" s="3">
        <v>40148.53611111111</v>
      </c>
      <c r="F1208" s="1">
        <v>2.95</v>
      </c>
      <c r="G1208" s="1">
        <v>12490.0</v>
      </c>
      <c r="H1208" s="1" t="s">
        <v>155</v>
      </c>
      <c r="I1208" s="4">
        <v>40148.0</v>
      </c>
      <c r="J1208" s="5">
        <v>0.5361111111111111</v>
      </c>
      <c r="K1208" s="1">
        <v>12.0</v>
      </c>
      <c r="L1208" s="1">
        <v>17.7</v>
      </c>
    </row>
    <row r="1209">
      <c r="A1209" s="1">
        <v>489557.0</v>
      </c>
      <c r="B1209" s="2" t="s">
        <v>1445</v>
      </c>
      <c r="C1209" s="1" t="s">
        <v>1446</v>
      </c>
      <c r="D1209" s="1">
        <v>6.0</v>
      </c>
      <c r="E1209" s="3">
        <v>40148.53611111111</v>
      </c>
      <c r="F1209" s="1">
        <v>2.1</v>
      </c>
      <c r="G1209" s="1">
        <v>12490.0</v>
      </c>
      <c r="H1209" s="1" t="s">
        <v>155</v>
      </c>
      <c r="I1209" s="4">
        <v>40148.0</v>
      </c>
      <c r="J1209" s="5">
        <v>0.5361111111111111</v>
      </c>
      <c r="K1209" s="1">
        <v>12.0</v>
      </c>
      <c r="L1209" s="1">
        <v>12.6</v>
      </c>
    </row>
    <row r="1210">
      <c r="A1210" s="1">
        <v>489557.0</v>
      </c>
      <c r="B1210" s="2" t="s">
        <v>897</v>
      </c>
      <c r="C1210" s="1" t="s">
        <v>898</v>
      </c>
      <c r="D1210" s="1">
        <v>6.0</v>
      </c>
      <c r="E1210" s="3">
        <v>40148.53611111111</v>
      </c>
      <c r="F1210" s="1">
        <v>3.25</v>
      </c>
      <c r="G1210" s="1">
        <v>12490.0</v>
      </c>
      <c r="H1210" s="1" t="s">
        <v>155</v>
      </c>
      <c r="I1210" s="4">
        <v>40148.0</v>
      </c>
      <c r="J1210" s="5">
        <v>0.5361111111111111</v>
      </c>
      <c r="K1210" s="1">
        <v>12.0</v>
      </c>
      <c r="L1210" s="1">
        <v>19.5</v>
      </c>
    </row>
    <row r="1211">
      <c r="A1211" s="1">
        <v>489557.0</v>
      </c>
      <c r="B1211" s="2" t="s">
        <v>186</v>
      </c>
      <c r="C1211" s="1" t="s">
        <v>187</v>
      </c>
      <c r="D1211" s="1">
        <v>4.0</v>
      </c>
      <c r="E1211" s="3">
        <v>40148.53611111111</v>
      </c>
      <c r="F1211" s="1">
        <v>18.0</v>
      </c>
      <c r="G1211" s="1">
        <v>12490.0</v>
      </c>
      <c r="H1211" s="1" t="s">
        <v>155</v>
      </c>
      <c r="I1211" s="4">
        <v>40148.0</v>
      </c>
      <c r="J1211" s="5">
        <v>0.5361111111111111</v>
      </c>
      <c r="K1211" s="1">
        <v>12.0</v>
      </c>
      <c r="L1211" s="1">
        <v>72.0</v>
      </c>
    </row>
    <row r="1212">
      <c r="A1212" s="1">
        <v>489558.0</v>
      </c>
      <c r="B1212" s="2" t="s">
        <v>335</v>
      </c>
      <c r="C1212" s="1" t="s">
        <v>336</v>
      </c>
      <c r="D1212" s="1">
        <v>72.0</v>
      </c>
      <c r="E1212" s="3">
        <v>40148.5375</v>
      </c>
      <c r="F1212" s="1">
        <v>1.06</v>
      </c>
      <c r="G1212" s="1">
        <v>15793.0</v>
      </c>
      <c r="H1212" s="1" t="s">
        <v>14</v>
      </c>
      <c r="I1212" s="4">
        <v>40148.0</v>
      </c>
      <c r="J1212" s="5">
        <v>0.5375</v>
      </c>
      <c r="K1212" s="1">
        <v>12.0</v>
      </c>
      <c r="L1212" s="1">
        <v>76.32</v>
      </c>
    </row>
    <row r="1213">
      <c r="A1213" s="1">
        <v>489558.0</v>
      </c>
      <c r="B1213" s="2" t="s">
        <v>65</v>
      </c>
      <c r="C1213" s="1" t="s">
        <v>66</v>
      </c>
      <c r="D1213" s="1">
        <v>6.0</v>
      </c>
      <c r="E1213" s="3">
        <v>40148.5375</v>
      </c>
      <c r="F1213" s="1">
        <v>5.95</v>
      </c>
      <c r="G1213" s="1">
        <v>15793.0</v>
      </c>
      <c r="H1213" s="1" t="s">
        <v>14</v>
      </c>
      <c r="I1213" s="4">
        <v>40148.0</v>
      </c>
      <c r="J1213" s="5">
        <v>0.5375</v>
      </c>
      <c r="K1213" s="1">
        <v>12.0</v>
      </c>
      <c r="L1213" s="1">
        <v>35.7</v>
      </c>
    </row>
    <row r="1214">
      <c r="A1214" s="1">
        <v>489558.0</v>
      </c>
      <c r="B1214" s="2" t="s">
        <v>41</v>
      </c>
      <c r="C1214" s="1" t="s">
        <v>42</v>
      </c>
      <c r="D1214" s="1">
        <v>12.0</v>
      </c>
      <c r="E1214" s="3">
        <v>40148.5375</v>
      </c>
      <c r="F1214" s="1">
        <v>5.95</v>
      </c>
      <c r="G1214" s="1">
        <v>15793.0</v>
      </c>
      <c r="H1214" s="1" t="s">
        <v>14</v>
      </c>
      <c r="I1214" s="4">
        <v>40148.0</v>
      </c>
      <c r="J1214" s="5">
        <v>0.5375</v>
      </c>
      <c r="K1214" s="1">
        <v>12.0</v>
      </c>
      <c r="L1214" s="1">
        <v>71.4</v>
      </c>
    </row>
    <row r="1215">
      <c r="A1215" s="1">
        <v>489558.0</v>
      </c>
      <c r="B1215" s="2" t="s">
        <v>43</v>
      </c>
      <c r="C1215" s="1" t="s">
        <v>44</v>
      </c>
      <c r="D1215" s="1">
        <v>64.0</v>
      </c>
      <c r="E1215" s="3">
        <v>40148.5375</v>
      </c>
      <c r="F1215" s="1">
        <v>1.69</v>
      </c>
      <c r="G1215" s="1">
        <v>15793.0</v>
      </c>
      <c r="H1215" s="1" t="s">
        <v>14</v>
      </c>
      <c r="I1215" s="4">
        <v>40148.0</v>
      </c>
      <c r="J1215" s="5">
        <v>0.5375</v>
      </c>
      <c r="K1215" s="1">
        <v>12.0</v>
      </c>
      <c r="L1215" s="1">
        <v>108.16</v>
      </c>
    </row>
    <row r="1216">
      <c r="A1216" s="1">
        <v>489559.0</v>
      </c>
      <c r="B1216" s="2" t="s">
        <v>73</v>
      </c>
      <c r="C1216" s="1" t="s">
        <v>74</v>
      </c>
      <c r="D1216" s="1">
        <v>2.0</v>
      </c>
      <c r="E1216" s="3">
        <v>40148.538194444445</v>
      </c>
      <c r="F1216" s="1">
        <v>4.95</v>
      </c>
      <c r="G1216" s="1">
        <v>17056.0</v>
      </c>
      <c r="H1216" s="1" t="s">
        <v>14</v>
      </c>
      <c r="I1216" s="4">
        <v>40148.0</v>
      </c>
      <c r="J1216" s="5">
        <v>0.5381944444444444</v>
      </c>
      <c r="K1216" s="1">
        <v>12.0</v>
      </c>
      <c r="L1216" s="1">
        <v>9.9</v>
      </c>
    </row>
    <row r="1217">
      <c r="A1217" s="1">
        <v>489559.0</v>
      </c>
      <c r="B1217" s="2" t="s">
        <v>291</v>
      </c>
      <c r="C1217" s="1" t="s">
        <v>292</v>
      </c>
      <c r="D1217" s="1">
        <v>1.0</v>
      </c>
      <c r="E1217" s="3">
        <v>40148.538194444445</v>
      </c>
      <c r="F1217" s="1">
        <v>3.95</v>
      </c>
      <c r="G1217" s="1">
        <v>17056.0</v>
      </c>
      <c r="H1217" s="1" t="s">
        <v>14</v>
      </c>
      <c r="I1217" s="4">
        <v>40148.0</v>
      </c>
      <c r="J1217" s="5">
        <v>0.5381944444444444</v>
      </c>
      <c r="K1217" s="1">
        <v>12.0</v>
      </c>
      <c r="L1217" s="1">
        <v>3.95</v>
      </c>
    </row>
    <row r="1218">
      <c r="A1218" s="1">
        <v>489559.0</v>
      </c>
      <c r="B1218" s="2" t="s">
        <v>31</v>
      </c>
      <c r="C1218" s="1" t="s">
        <v>32</v>
      </c>
      <c r="D1218" s="1">
        <v>1.0</v>
      </c>
      <c r="E1218" s="3">
        <v>40148.538194444445</v>
      </c>
      <c r="F1218" s="1">
        <v>3.75</v>
      </c>
      <c r="G1218" s="1">
        <v>17056.0</v>
      </c>
      <c r="H1218" s="1" t="s">
        <v>14</v>
      </c>
      <c r="I1218" s="4">
        <v>40148.0</v>
      </c>
      <c r="J1218" s="5">
        <v>0.5381944444444444</v>
      </c>
      <c r="K1218" s="1">
        <v>12.0</v>
      </c>
      <c r="L1218" s="1">
        <v>3.75</v>
      </c>
    </row>
    <row r="1219">
      <c r="A1219" s="1">
        <v>489559.0</v>
      </c>
      <c r="B1219" s="2" t="s">
        <v>1075</v>
      </c>
      <c r="C1219" s="1" t="s">
        <v>1076</v>
      </c>
      <c r="D1219" s="1">
        <v>1.0</v>
      </c>
      <c r="E1219" s="3">
        <v>40148.538194444445</v>
      </c>
      <c r="F1219" s="1">
        <v>2.95</v>
      </c>
      <c r="G1219" s="1">
        <v>17056.0</v>
      </c>
      <c r="H1219" s="1" t="s">
        <v>14</v>
      </c>
      <c r="I1219" s="4">
        <v>40148.0</v>
      </c>
      <c r="J1219" s="5">
        <v>0.5381944444444444</v>
      </c>
      <c r="K1219" s="1">
        <v>12.0</v>
      </c>
      <c r="L1219" s="1">
        <v>2.95</v>
      </c>
    </row>
    <row r="1220">
      <c r="A1220" s="1">
        <v>489559.0</v>
      </c>
      <c r="B1220" s="2" t="s">
        <v>1447</v>
      </c>
      <c r="C1220" s="1" t="s">
        <v>1448</v>
      </c>
      <c r="D1220" s="1">
        <v>1.0</v>
      </c>
      <c r="E1220" s="3">
        <v>40148.538194444445</v>
      </c>
      <c r="F1220" s="1">
        <v>1.25</v>
      </c>
      <c r="G1220" s="1">
        <v>17056.0</v>
      </c>
      <c r="H1220" s="1" t="s">
        <v>14</v>
      </c>
      <c r="I1220" s="4">
        <v>40148.0</v>
      </c>
      <c r="J1220" s="5">
        <v>0.5381944444444444</v>
      </c>
      <c r="K1220" s="1">
        <v>12.0</v>
      </c>
      <c r="L1220" s="1">
        <v>1.25</v>
      </c>
    </row>
    <row r="1221">
      <c r="A1221" s="1">
        <v>489559.0</v>
      </c>
      <c r="B1221" s="2" t="s">
        <v>1449</v>
      </c>
      <c r="C1221" s="1" t="s">
        <v>1450</v>
      </c>
      <c r="D1221" s="1">
        <v>6.0</v>
      </c>
      <c r="E1221" s="3">
        <v>40148.538194444445</v>
      </c>
      <c r="F1221" s="1">
        <v>1.25</v>
      </c>
      <c r="G1221" s="1">
        <v>17056.0</v>
      </c>
      <c r="H1221" s="1" t="s">
        <v>14</v>
      </c>
      <c r="I1221" s="4">
        <v>40148.0</v>
      </c>
      <c r="J1221" s="5">
        <v>0.5381944444444444</v>
      </c>
      <c r="K1221" s="1">
        <v>12.0</v>
      </c>
      <c r="L1221" s="1">
        <v>7.5</v>
      </c>
    </row>
    <row r="1222">
      <c r="A1222" s="1">
        <v>489559.0</v>
      </c>
      <c r="B1222" s="2" t="s">
        <v>1451</v>
      </c>
      <c r="C1222" s="1" t="s">
        <v>1452</v>
      </c>
      <c r="D1222" s="1">
        <v>2.0</v>
      </c>
      <c r="E1222" s="3">
        <v>40148.538194444445</v>
      </c>
      <c r="F1222" s="1">
        <v>7.95</v>
      </c>
      <c r="G1222" s="1">
        <v>17056.0</v>
      </c>
      <c r="H1222" s="1" t="s">
        <v>14</v>
      </c>
      <c r="I1222" s="4">
        <v>40148.0</v>
      </c>
      <c r="J1222" s="5">
        <v>0.5381944444444444</v>
      </c>
      <c r="K1222" s="1">
        <v>12.0</v>
      </c>
      <c r="L1222" s="1">
        <v>15.9</v>
      </c>
    </row>
    <row r="1223">
      <c r="A1223" s="1">
        <v>489559.0</v>
      </c>
      <c r="B1223" s="2" t="s">
        <v>12</v>
      </c>
      <c r="C1223" s="1" t="s">
        <v>13</v>
      </c>
      <c r="D1223" s="1">
        <v>12.0</v>
      </c>
      <c r="E1223" s="3">
        <v>40148.538194444445</v>
      </c>
      <c r="F1223" s="1">
        <v>6.95</v>
      </c>
      <c r="G1223" s="1">
        <v>17056.0</v>
      </c>
      <c r="H1223" s="1" t="s">
        <v>14</v>
      </c>
      <c r="I1223" s="4">
        <v>40148.0</v>
      </c>
      <c r="J1223" s="5">
        <v>0.5381944444444444</v>
      </c>
      <c r="K1223" s="1">
        <v>12.0</v>
      </c>
      <c r="L1223" s="1">
        <v>83.4</v>
      </c>
    </row>
    <row r="1224">
      <c r="A1224" s="1">
        <v>489560.0</v>
      </c>
      <c r="B1224" s="2" t="s">
        <v>1073</v>
      </c>
      <c r="C1224" s="1" t="s">
        <v>1074</v>
      </c>
      <c r="D1224" s="1">
        <v>288.0</v>
      </c>
      <c r="E1224" s="3">
        <v>40148.53888888889</v>
      </c>
      <c r="F1224" s="1">
        <v>0.37</v>
      </c>
      <c r="G1224" s="1">
        <v>13526.0</v>
      </c>
      <c r="H1224" s="1" t="s">
        <v>14</v>
      </c>
      <c r="I1224" s="4">
        <v>40148.0</v>
      </c>
      <c r="J1224" s="5">
        <v>0.5388888888888889</v>
      </c>
      <c r="K1224" s="1">
        <v>12.0</v>
      </c>
      <c r="L1224" s="1">
        <v>106.56</v>
      </c>
    </row>
    <row r="1225">
      <c r="A1225" s="1">
        <v>489560.0</v>
      </c>
      <c r="B1225" s="2" t="s">
        <v>1453</v>
      </c>
      <c r="C1225" s="1" t="s">
        <v>1454</v>
      </c>
      <c r="D1225" s="1">
        <v>108.0</v>
      </c>
      <c r="E1225" s="3">
        <v>40148.53888888889</v>
      </c>
      <c r="F1225" s="1">
        <v>0.85</v>
      </c>
      <c r="G1225" s="1">
        <v>13526.0</v>
      </c>
      <c r="H1225" s="1" t="s">
        <v>14</v>
      </c>
      <c r="I1225" s="4">
        <v>40148.0</v>
      </c>
      <c r="J1225" s="5">
        <v>0.5388888888888889</v>
      </c>
      <c r="K1225" s="1">
        <v>12.0</v>
      </c>
      <c r="L1225" s="1">
        <v>91.8</v>
      </c>
    </row>
    <row r="1226">
      <c r="A1226" s="1">
        <v>489560.0</v>
      </c>
      <c r="B1226" s="2" t="s">
        <v>1455</v>
      </c>
      <c r="C1226" s="1" t="s">
        <v>1456</v>
      </c>
      <c r="D1226" s="1">
        <v>288.0</v>
      </c>
      <c r="E1226" s="3">
        <v>40148.53888888889</v>
      </c>
      <c r="F1226" s="1">
        <v>0.85</v>
      </c>
      <c r="G1226" s="1">
        <v>13526.0</v>
      </c>
      <c r="H1226" s="1" t="s">
        <v>14</v>
      </c>
      <c r="I1226" s="4">
        <v>40148.0</v>
      </c>
      <c r="J1226" s="5">
        <v>0.5388888888888889</v>
      </c>
      <c r="K1226" s="1">
        <v>12.0</v>
      </c>
      <c r="L1226" s="1">
        <v>244.799999999999</v>
      </c>
    </row>
    <row r="1227">
      <c r="A1227" s="1">
        <v>489560.0</v>
      </c>
      <c r="B1227" s="2" t="s">
        <v>1256</v>
      </c>
      <c r="C1227" s="1" t="s">
        <v>1257</v>
      </c>
      <c r="D1227" s="1">
        <v>33.0</v>
      </c>
      <c r="E1227" s="3">
        <v>40148.53888888889</v>
      </c>
      <c r="F1227" s="1">
        <v>0.42</v>
      </c>
      <c r="G1227" s="1">
        <v>13526.0</v>
      </c>
      <c r="H1227" s="1" t="s">
        <v>14</v>
      </c>
      <c r="I1227" s="4">
        <v>40148.0</v>
      </c>
      <c r="J1227" s="5">
        <v>0.5388888888888889</v>
      </c>
      <c r="K1227" s="1">
        <v>12.0</v>
      </c>
      <c r="L1227" s="1">
        <v>13.86</v>
      </c>
    </row>
    <row r="1228">
      <c r="A1228" s="1">
        <v>489560.0</v>
      </c>
      <c r="B1228" s="2" t="s">
        <v>1457</v>
      </c>
      <c r="C1228" s="1" t="s">
        <v>1458</v>
      </c>
      <c r="D1228" s="1">
        <v>1.0</v>
      </c>
      <c r="E1228" s="3">
        <v>40148.53888888889</v>
      </c>
      <c r="F1228" s="1">
        <v>2.1</v>
      </c>
      <c r="G1228" s="1">
        <v>13526.0</v>
      </c>
      <c r="H1228" s="1" t="s">
        <v>14</v>
      </c>
      <c r="I1228" s="4">
        <v>40148.0</v>
      </c>
      <c r="J1228" s="5">
        <v>0.5388888888888889</v>
      </c>
      <c r="K1228" s="1">
        <v>12.0</v>
      </c>
      <c r="L1228" s="1">
        <v>2.1</v>
      </c>
    </row>
    <row r="1229">
      <c r="A1229" s="1">
        <v>489560.0</v>
      </c>
      <c r="B1229" s="2" t="s">
        <v>1459</v>
      </c>
      <c r="C1229" s="1" t="s">
        <v>1460</v>
      </c>
      <c r="D1229" s="1">
        <v>12.0</v>
      </c>
      <c r="E1229" s="3">
        <v>40148.53888888889</v>
      </c>
      <c r="F1229" s="1">
        <v>0.85</v>
      </c>
      <c r="G1229" s="1">
        <v>13526.0</v>
      </c>
      <c r="H1229" s="1" t="s">
        <v>14</v>
      </c>
      <c r="I1229" s="4">
        <v>40148.0</v>
      </c>
      <c r="J1229" s="5">
        <v>0.5388888888888889</v>
      </c>
      <c r="K1229" s="1">
        <v>12.0</v>
      </c>
      <c r="L1229" s="1">
        <v>10.2</v>
      </c>
    </row>
    <row r="1230">
      <c r="A1230" s="1">
        <v>489560.0</v>
      </c>
      <c r="B1230" s="2" t="s">
        <v>1461</v>
      </c>
      <c r="C1230" s="1" t="s">
        <v>1462</v>
      </c>
      <c r="D1230" s="1">
        <v>3.0</v>
      </c>
      <c r="E1230" s="3">
        <v>40148.53888888889</v>
      </c>
      <c r="F1230" s="1">
        <v>0.85</v>
      </c>
      <c r="G1230" s="1">
        <v>13526.0</v>
      </c>
      <c r="H1230" s="1" t="s">
        <v>14</v>
      </c>
      <c r="I1230" s="4">
        <v>40148.0</v>
      </c>
      <c r="J1230" s="5">
        <v>0.5388888888888889</v>
      </c>
      <c r="K1230" s="1">
        <v>12.0</v>
      </c>
      <c r="L1230" s="1">
        <v>2.55</v>
      </c>
    </row>
    <row r="1231">
      <c r="A1231" s="1">
        <v>489560.0</v>
      </c>
      <c r="B1231" s="2" t="s">
        <v>1463</v>
      </c>
      <c r="C1231" s="1" t="s">
        <v>1464</v>
      </c>
      <c r="D1231" s="1">
        <v>100.0</v>
      </c>
      <c r="E1231" s="3">
        <v>40148.53888888889</v>
      </c>
      <c r="F1231" s="1">
        <v>0.1</v>
      </c>
      <c r="G1231" s="1">
        <v>13526.0</v>
      </c>
      <c r="H1231" s="1" t="s">
        <v>14</v>
      </c>
      <c r="I1231" s="4">
        <v>40148.0</v>
      </c>
      <c r="J1231" s="5">
        <v>0.5388888888888889</v>
      </c>
      <c r="K1231" s="1">
        <v>12.0</v>
      </c>
      <c r="L1231" s="1">
        <v>10.0</v>
      </c>
    </row>
    <row r="1232">
      <c r="A1232" s="1">
        <v>489560.0</v>
      </c>
      <c r="B1232" s="2" t="s">
        <v>746</v>
      </c>
      <c r="C1232" s="1" t="s">
        <v>747</v>
      </c>
      <c r="D1232" s="1">
        <v>12.0</v>
      </c>
      <c r="E1232" s="3">
        <v>40148.53888888889</v>
      </c>
      <c r="F1232" s="1">
        <v>0.42</v>
      </c>
      <c r="G1232" s="1">
        <v>13526.0</v>
      </c>
      <c r="H1232" s="1" t="s">
        <v>14</v>
      </c>
      <c r="I1232" s="4">
        <v>40148.0</v>
      </c>
      <c r="J1232" s="5">
        <v>0.5388888888888889</v>
      </c>
      <c r="K1232" s="1">
        <v>12.0</v>
      </c>
      <c r="L1232" s="1">
        <v>5.04</v>
      </c>
    </row>
    <row r="1233">
      <c r="A1233" s="1">
        <v>489560.0</v>
      </c>
      <c r="B1233" s="2" t="s">
        <v>1465</v>
      </c>
      <c r="C1233" s="1" t="s">
        <v>1466</v>
      </c>
      <c r="D1233" s="1">
        <v>8.0</v>
      </c>
      <c r="E1233" s="3">
        <v>40148.53888888889</v>
      </c>
      <c r="F1233" s="1">
        <v>0.85</v>
      </c>
      <c r="G1233" s="1">
        <v>13526.0</v>
      </c>
      <c r="H1233" s="1" t="s">
        <v>14</v>
      </c>
      <c r="I1233" s="4">
        <v>40148.0</v>
      </c>
      <c r="J1233" s="5">
        <v>0.5388888888888889</v>
      </c>
      <c r="K1233" s="1">
        <v>12.0</v>
      </c>
      <c r="L1233" s="1">
        <v>6.8</v>
      </c>
    </row>
    <row r="1234">
      <c r="A1234" s="1">
        <v>489560.0</v>
      </c>
      <c r="B1234" s="2" t="s">
        <v>1467</v>
      </c>
      <c r="C1234" s="1" t="s">
        <v>1468</v>
      </c>
      <c r="D1234" s="1">
        <v>12.0</v>
      </c>
      <c r="E1234" s="3">
        <v>40148.53888888889</v>
      </c>
      <c r="F1234" s="1">
        <v>0.42</v>
      </c>
      <c r="G1234" s="1">
        <v>13526.0</v>
      </c>
      <c r="H1234" s="1" t="s">
        <v>14</v>
      </c>
      <c r="I1234" s="4">
        <v>40148.0</v>
      </c>
      <c r="J1234" s="5">
        <v>0.5388888888888889</v>
      </c>
      <c r="K1234" s="1">
        <v>12.0</v>
      </c>
      <c r="L1234" s="1">
        <v>5.04</v>
      </c>
    </row>
    <row r="1235">
      <c r="A1235" s="1">
        <v>489560.0</v>
      </c>
      <c r="B1235" s="2" t="s">
        <v>1469</v>
      </c>
      <c r="C1235" s="1" t="s">
        <v>1470</v>
      </c>
      <c r="D1235" s="1">
        <v>36.0</v>
      </c>
      <c r="E1235" s="3">
        <v>40148.53888888889</v>
      </c>
      <c r="F1235" s="1">
        <v>0.42</v>
      </c>
      <c r="G1235" s="1">
        <v>13526.0</v>
      </c>
      <c r="H1235" s="1" t="s">
        <v>14</v>
      </c>
      <c r="I1235" s="4">
        <v>40148.0</v>
      </c>
      <c r="J1235" s="5">
        <v>0.5388888888888889</v>
      </c>
      <c r="K1235" s="1">
        <v>12.0</v>
      </c>
      <c r="L1235" s="1">
        <v>15.12</v>
      </c>
    </row>
    <row r="1236">
      <c r="A1236" s="1">
        <v>489560.0</v>
      </c>
      <c r="B1236" s="2" t="s">
        <v>1471</v>
      </c>
      <c r="C1236" s="1" t="s">
        <v>1472</v>
      </c>
      <c r="D1236" s="1">
        <v>12.0</v>
      </c>
      <c r="E1236" s="3">
        <v>40148.53888888889</v>
      </c>
      <c r="F1236" s="1">
        <v>2.1</v>
      </c>
      <c r="G1236" s="1">
        <v>13526.0</v>
      </c>
      <c r="H1236" s="1" t="s">
        <v>14</v>
      </c>
      <c r="I1236" s="4">
        <v>40148.0</v>
      </c>
      <c r="J1236" s="5">
        <v>0.5388888888888889</v>
      </c>
      <c r="K1236" s="1">
        <v>12.0</v>
      </c>
      <c r="L1236" s="1">
        <v>25.2</v>
      </c>
    </row>
    <row r="1237">
      <c r="A1237" s="1">
        <v>489560.0</v>
      </c>
      <c r="B1237" s="2" t="s">
        <v>1473</v>
      </c>
      <c r="C1237" s="1" t="s">
        <v>1474</v>
      </c>
      <c r="D1237" s="1">
        <v>1.0</v>
      </c>
      <c r="E1237" s="3">
        <v>40148.53888888889</v>
      </c>
      <c r="F1237" s="1">
        <v>3.75</v>
      </c>
      <c r="G1237" s="1">
        <v>13526.0</v>
      </c>
      <c r="H1237" s="1" t="s">
        <v>14</v>
      </c>
      <c r="I1237" s="4">
        <v>40148.0</v>
      </c>
      <c r="J1237" s="5">
        <v>0.5388888888888889</v>
      </c>
      <c r="K1237" s="1">
        <v>12.0</v>
      </c>
      <c r="L1237" s="1">
        <v>3.75</v>
      </c>
    </row>
    <row r="1238">
      <c r="A1238" s="1">
        <v>489560.0</v>
      </c>
      <c r="B1238" s="2" t="s">
        <v>1475</v>
      </c>
      <c r="C1238" s="1" t="s">
        <v>1476</v>
      </c>
      <c r="D1238" s="1">
        <v>1.0</v>
      </c>
      <c r="E1238" s="3">
        <v>40148.53888888889</v>
      </c>
      <c r="F1238" s="1">
        <v>3.75</v>
      </c>
      <c r="G1238" s="1">
        <v>13526.0</v>
      </c>
      <c r="H1238" s="1" t="s">
        <v>14</v>
      </c>
      <c r="I1238" s="4">
        <v>40148.0</v>
      </c>
      <c r="J1238" s="5">
        <v>0.5388888888888889</v>
      </c>
      <c r="K1238" s="1">
        <v>12.0</v>
      </c>
      <c r="L1238" s="1">
        <v>3.75</v>
      </c>
    </row>
    <row r="1239">
      <c r="A1239" s="1">
        <v>489560.0</v>
      </c>
      <c r="B1239" s="2" t="s">
        <v>464</v>
      </c>
      <c r="C1239" s="1" t="s">
        <v>465</v>
      </c>
      <c r="D1239" s="1">
        <v>3.0</v>
      </c>
      <c r="E1239" s="3">
        <v>40148.53888888889</v>
      </c>
      <c r="F1239" s="1">
        <v>2.1</v>
      </c>
      <c r="G1239" s="1">
        <v>13526.0</v>
      </c>
      <c r="H1239" s="1" t="s">
        <v>14</v>
      </c>
      <c r="I1239" s="4">
        <v>40148.0</v>
      </c>
      <c r="J1239" s="5">
        <v>0.5388888888888889</v>
      </c>
      <c r="K1239" s="1">
        <v>12.0</v>
      </c>
      <c r="L1239" s="1">
        <v>6.3</v>
      </c>
    </row>
    <row r="1240">
      <c r="A1240" s="1">
        <v>489560.0</v>
      </c>
      <c r="B1240" s="2" t="s">
        <v>999</v>
      </c>
      <c r="C1240" s="1" t="s">
        <v>1000</v>
      </c>
      <c r="D1240" s="1">
        <v>90.0</v>
      </c>
      <c r="E1240" s="3">
        <v>40148.53888888889</v>
      </c>
      <c r="F1240" s="1">
        <v>0.21</v>
      </c>
      <c r="G1240" s="1">
        <v>13526.0</v>
      </c>
      <c r="H1240" s="1" t="s">
        <v>14</v>
      </c>
      <c r="I1240" s="4">
        <v>40148.0</v>
      </c>
      <c r="J1240" s="5">
        <v>0.5388888888888889</v>
      </c>
      <c r="K1240" s="1">
        <v>12.0</v>
      </c>
      <c r="L1240" s="1">
        <v>18.9</v>
      </c>
    </row>
    <row r="1241">
      <c r="A1241" s="1">
        <v>489560.0</v>
      </c>
      <c r="B1241" s="2" t="s">
        <v>975</v>
      </c>
      <c r="C1241" s="1" t="s">
        <v>976</v>
      </c>
      <c r="D1241" s="1">
        <v>3.0</v>
      </c>
      <c r="E1241" s="3">
        <v>40148.53888888889</v>
      </c>
      <c r="F1241" s="1">
        <v>0.95</v>
      </c>
      <c r="G1241" s="1">
        <v>13526.0</v>
      </c>
      <c r="H1241" s="1" t="s">
        <v>14</v>
      </c>
      <c r="I1241" s="4">
        <v>40148.0</v>
      </c>
      <c r="J1241" s="5">
        <v>0.5388888888888889</v>
      </c>
      <c r="K1241" s="1">
        <v>12.0</v>
      </c>
      <c r="L1241" s="1">
        <v>2.84999999999999</v>
      </c>
    </row>
    <row r="1242">
      <c r="A1242" s="1">
        <v>489560.0</v>
      </c>
      <c r="B1242" s="2" t="s">
        <v>1477</v>
      </c>
      <c r="C1242" s="1" t="s">
        <v>1478</v>
      </c>
      <c r="D1242" s="1">
        <v>48.0</v>
      </c>
      <c r="E1242" s="3">
        <v>40148.53888888889</v>
      </c>
      <c r="F1242" s="1">
        <v>0.38</v>
      </c>
      <c r="G1242" s="1">
        <v>13526.0</v>
      </c>
      <c r="H1242" s="1" t="s">
        <v>14</v>
      </c>
      <c r="I1242" s="4">
        <v>40148.0</v>
      </c>
      <c r="J1242" s="5">
        <v>0.5388888888888889</v>
      </c>
      <c r="K1242" s="1">
        <v>12.0</v>
      </c>
      <c r="L1242" s="1">
        <v>18.24</v>
      </c>
    </row>
    <row r="1243">
      <c r="A1243" s="1">
        <v>489560.0</v>
      </c>
      <c r="B1243" s="2" t="s">
        <v>1479</v>
      </c>
      <c r="C1243" s="1" t="s">
        <v>1480</v>
      </c>
      <c r="D1243" s="1">
        <v>48.0</v>
      </c>
      <c r="E1243" s="3">
        <v>40148.53888888889</v>
      </c>
      <c r="F1243" s="1">
        <v>0.38</v>
      </c>
      <c r="G1243" s="1">
        <v>13526.0</v>
      </c>
      <c r="H1243" s="1" t="s">
        <v>14</v>
      </c>
      <c r="I1243" s="4">
        <v>40148.0</v>
      </c>
      <c r="J1243" s="5">
        <v>0.5388888888888889</v>
      </c>
      <c r="K1243" s="1">
        <v>12.0</v>
      </c>
      <c r="L1243" s="1">
        <v>18.24</v>
      </c>
    </row>
    <row r="1244">
      <c r="A1244" s="1">
        <v>489560.0</v>
      </c>
      <c r="B1244" s="2" t="s">
        <v>1481</v>
      </c>
      <c r="C1244" s="1" t="s">
        <v>1482</v>
      </c>
      <c r="D1244" s="1">
        <v>48.0</v>
      </c>
      <c r="E1244" s="3">
        <v>40148.53888888889</v>
      </c>
      <c r="F1244" s="1">
        <v>0.85</v>
      </c>
      <c r="G1244" s="1">
        <v>13526.0</v>
      </c>
      <c r="H1244" s="1" t="s">
        <v>14</v>
      </c>
      <c r="I1244" s="4">
        <v>40148.0</v>
      </c>
      <c r="J1244" s="5">
        <v>0.5388888888888889</v>
      </c>
      <c r="K1244" s="1">
        <v>12.0</v>
      </c>
      <c r="L1244" s="1">
        <v>40.8</v>
      </c>
    </row>
    <row r="1245">
      <c r="A1245" s="1">
        <v>489560.0</v>
      </c>
      <c r="B1245" s="2" t="s">
        <v>1461</v>
      </c>
      <c r="C1245" s="1" t="s">
        <v>1462</v>
      </c>
      <c r="D1245" s="1">
        <v>24.0</v>
      </c>
      <c r="E1245" s="3">
        <v>40148.53888888889</v>
      </c>
      <c r="F1245" s="1">
        <v>0.85</v>
      </c>
      <c r="G1245" s="1">
        <v>13526.0</v>
      </c>
      <c r="H1245" s="1" t="s">
        <v>14</v>
      </c>
      <c r="I1245" s="4">
        <v>40148.0</v>
      </c>
      <c r="J1245" s="5">
        <v>0.5388888888888889</v>
      </c>
      <c r="K1245" s="1">
        <v>12.0</v>
      </c>
      <c r="L1245" s="1">
        <v>20.4</v>
      </c>
    </row>
    <row r="1246">
      <c r="A1246" s="1">
        <v>489560.0</v>
      </c>
      <c r="B1246" s="2" t="s">
        <v>1483</v>
      </c>
      <c r="C1246" s="1" t="s">
        <v>1484</v>
      </c>
      <c r="D1246" s="1">
        <v>81.0</v>
      </c>
      <c r="E1246" s="3">
        <v>40148.53888888889</v>
      </c>
      <c r="F1246" s="1">
        <v>0.85</v>
      </c>
      <c r="G1246" s="1">
        <v>13526.0</v>
      </c>
      <c r="H1246" s="1" t="s">
        <v>14</v>
      </c>
      <c r="I1246" s="4">
        <v>40148.0</v>
      </c>
      <c r="J1246" s="5">
        <v>0.5388888888888889</v>
      </c>
      <c r="K1246" s="1">
        <v>12.0</v>
      </c>
      <c r="L1246" s="1">
        <v>68.85</v>
      </c>
    </row>
    <row r="1247">
      <c r="A1247" s="1">
        <v>489560.0</v>
      </c>
      <c r="B1247" s="2" t="s">
        <v>1485</v>
      </c>
      <c r="C1247" s="1" t="s">
        <v>1486</v>
      </c>
      <c r="D1247" s="1">
        <v>24.0</v>
      </c>
      <c r="E1247" s="3">
        <v>40148.53888888889</v>
      </c>
      <c r="F1247" s="1">
        <v>0.85</v>
      </c>
      <c r="G1247" s="1">
        <v>13526.0</v>
      </c>
      <c r="H1247" s="1" t="s">
        <v>14</v>
      </c>
      <c r="I1247" s="4">
        <v>40148.0</v>
      </c>
      <c r="J1247" s="5">
        <v>0.5388888888888889</v>
      </c>
      <c r="K1247" s="1">
        <v>12.0</v>
      </c>
      <c r="L1247" s="1">
        <v>20.4</v>
      </c>
    </row>
    <row r="1248">
      <c r="A1248" s="1">
        <v>489560.0</v>
      </c>
      <c r="B1248" s="2" t="s">
        <v>1487</v>
      </c>
      <c r="C1248" s="1" t="s">
        <v>1488</v>
      </c>
      <c r="D1248" s="1">
        <v>12.0</v>
      </c>
      <c r="E1248" s="3">
        <v>40148.53888888889</v>
      </c>
      <c r="F1248" s="1">
        <v>0.85</v>
      </c>
      <c r="G1248" s="1">
        <v>13526.0</v>
      </c>
      <c r="H1248" s="1" t="s">
        <v>14</v>
      </c>
      <c r="I1248" s="4">
        <v>40148.0</v>
      </c>
      <c r="J1248" s="5">
        <v>0.5388888888888889</v>
      </c>
      <c r="K1248" s="1">
        <v>12.0</v>
      </c>
      <c r="L1248" s="1">
        <v>10.2</v>
      </c>
    </row>
    <row r="1249">
      <c r="A1249" s="1">
        <v>489560.0</v>
      </c>
      <c r="B1249" s="2" t="s">
        <v>1459</v>
      </c>
      <c r="C1249" s="1" t="s">
        <v>1460</v>
      </c>
      <c r="D1249" s="1">
        <v>24.0</v>
      </c>
      <c r="E1249" s="3">
        <v>40148.53888888889</v>
      </c>
      <c r="F1249" s="1">
        <v>0.85</v>
      </c>
      <c r="G1249" s="1">
        <v>13526.0</v>
      </c>
      <c r="H1249" s="1" t="s">
        <v>14</v>
      </c>
      <c r="I1249" s="4">
        <v>40148.0</v>
      </c>
      <c r="J1249" s="5">
        <v>0.5388888888888889</v>
      </c>
      <c r="K1249" s="1">
        <v>12.0</v>
      </c>
      <c r="L1249" s="1">
        <v>20.4</v>
      </c>
    </row>
    <row r="1250">
      <c r="A1250" s="1">
        <v>489560.0</v>
      </c>
      <c r="B1250" s="2" t="s">
        <v>1489</v>
      </c>
      <c r="C1250" s="1" t="s">
        <v>1490</v>
      </c>
      <c r="D1250" s="1">
        <v>24.0</v>
      </c>
      <c r="E1250" s="3">
        <v>40148.53888888889</v>
      </c>
      <c r="F1250" s="1">
        <v>0.85</v>
      </c>
      <c r="G1250" s="1">
        <v>13526.0</v>
      </c>
      <c r="H1250" s="1" t="s">
        <v>14</v>
      </c>
      <c r="I1250" s="4">
        <v>40148.0</v>
      </c>
      <c r="J1250" s="5">
        <v>0.5388888888888889</v>
      </c>
      <c r="K1250" s="1">
        <v>12.0</v>
      </c>
      <c r="L1250" s="1">
        <v>20.4</v>
      </c>
    </row>
    <row r="1251">
      <c r="A1251" s="1">
        <v>489560.0</v>
      </c>
      <c r="B1251" s="2" t="s">
        <v>975</v>
      </c>
      <c r="C1251" s="1" t="s">
        <v>976</v>
      </c>
      <c r="D1251" s="1">
        <v>1.0</v>
      </c>
      <c r="E1251" s="3">
        <v>40148.53888888889</v>
      </c>
      <c r="F1251" s="1">
        <v>0.95</v>
      </c>
      <c r="G1251" s="1">
        <v>13526.0</v>
      </c>
      <c r="H1251" s="1" t="s">
        <v>14</v>
      </c>
      <c r="I1251" s="4">
        <v>40148.0</v>
      </c>
      <c r="J1251" s="5">
        <v>0.5388888888888889</v>
      </c>
      <c r="K1251" s="1">
        <v>12.0</v>
      </c>
      <c r="L1251" s="1">
        <v>0.95</v>
      </c>
    </row>
    <row r="1252">
      <c r="A1252" s="1">
        <v>489560.0</v>
      </c>
      <c r="B1252" s="2" t="s">
        <v>1256</v>
      </c>
      <c r="C1252" s="1" t="s">
        <v>1257</v>
      </c>
      <c r="D1252" s="1">
        <v>96.0</v>
      </c>
      <c r="E1252" s="3">
        <v>40148.53888888889</v>
      </c>
      <c r="F1252" s="1">
        <v>0.19</v>
      </c>
      <c r="G1252" s="1">
        <v>13526.0</v>
      </c>
      <c r="H1252" s="1" t="s">
        <v>14</v>
      </c>
      <c r="I1252" s="4">
        <v>40148.0</v>
      </c>
      <c r="J1252" s="5">
        <v>0.5388888888888889</v>
      </c>
      <c r="K1252" s="1">
        <v>12.0</v>
      </c>
      <c r="L1252" s="1">
        <v>18.24</v>
      </c>
    </row>
    <row r="1253">
      <c r="A1253" s="1">
        <v>489560.0</v>
      </c>
      <c r="B1253" s="2" t="s">
        <v>1260</v>
      </c>
      <c r="C1253" s="1" t="s">
        <v>1261</v>
      </c>
      <c r="D1253" s="1">
        <v>144.0</v>
      </c>
      <c r="E1253" s="3">
        <v>40148.53888888889</v>
      </c>
      <c r="F1253" s="1">
        <v>0.19</v>
      </c>
      <c r="G1253" s="1">
        <v>13526.0</v>
      </c>
      <c r="H1253" s="1" t="s">
        <v>14</v>
      </c>
      <c r="I1253" s="4">
        <v>40148.0</v>
      </c>
      <c r="J1253" s="5">
        <v>0.5388888888888889</v>
      </c>
      <c r="K1253" s="1">
        <v>12.0</v>
      </c>
      <c r="L1253" s="1">
        <v>27.36</v>
      </c>
    </row>
    <row r="1254">
      <c r="A1254" s="1">
        <v>489561.0</v>
      </c>
      <c r="B1254" s="2" t="s">
        <v>1431</v>
      </c>
      <c r="C1254" s="1" t="s">
        <v>1432</v>
      </c>
      <c r="D1254" s="1">
        <v>25.0</v>
      </c>
      <c r="E1254" s="3">
        <v>40148.53958333333</v>
      </c>
      <c r="F1254" s="1">
        <v>0.42</v>
      </c>
      <c r="G1254" s="1">
        <v>14654.0</v>
      </c>
      <c r="H1254" s="1" t="s">
        <v>14</v>
      </c>
      <c r="I1254" s="4">
        <v>40148.0</v>
      </c>
      <c r="J1254" s="5">
        <v>0.5395833333333333</v>
      </c>
      <c r="K1254" s="1">
        <v>12.0</v>
      </c>
      <c r="L1254" s="1">
        <v>10.5</v>
      </c>
    </row>
    <row r="1255">
      <c r="A1255" s="1">
        <v>489561.0</v>
      </c>
      <c r="B1255" s="2" t="s">
        <v>1469</v>
      </c>
      <c r="C1255" s="1" t="s">
        <v>1470</v>
      </c>
      <c r="D1255" s="1">
        <v>6.0</v>
      </c>
      <c r="E1255" s="3">
        <v>40148.53958333333</v>
      </c>
      <c r="F1255" s="1">
        <v>0.42</v>
      </c>
      <c r="G1255" s="1">
        <v>14654.0</v>
      </c>
      <c r="H1255" s="1" t="s">
        <v>14</v>
      </c>
      <c r="I1255" s="4">
        <v>40148.0</v>
      </c>
      <c r="J1255" s="5">
        <v>0.5395833333333333</v>
      </c>
      <c r="K1255" s="1">
        <v>12.0</v>
      </c>
      <c r="L1255" s="1">
        <v>2.52</v>
      </c>
    </row>
    <row r="1256">
      <c r="A1256" s="1">
        <v>489561.0</v>
      </c>
      <c r="B1256" s="2" t="s">
        <v>1491</v>
      </c>
      <c r="C1256" s="1" t="s">
        <v>1492</v>
      </c>
      <c r="D1256" s="1">
        <v>6.0</v>
      </c>
      <c r="E1256" s="3">
        <v>40148.53958333333</v>
      </c>
      <c r="F1256" s="1">
        <v>0.42</v>
      </c>
      <c r="G1256" s="1">
        <v>14654.0</v>
      </c>
      <c r="H1256" s="1" t="s">
        <v>14</v>
      </c>
      <c r="I1256" s="4">
        <v>40148.0</v>
      </c>
      <c r="J1256" s="5">
        <v>0.5395833333333333</v>
      </c>
      <c r="K1256" s="1">
        <v>12.0</v>
      </c>
      <c r="L1256" s="1">
        <v>2.52</v>
      </c>
    </row>
    <row r="1257">
      <c r="A1257" s="1">
        <v>489561.0</v>
      </c>
      <c r="B1257" s="2" t="s">
        <v>1493</v>
      </c>
      <c r="C1257" s="1" t="s">
        <v>1494</v>
      </c>
      <c r="D1257" s="1">
        <v>6.0</v>
      </c>
      <c r="E1257" s="3">
        <v>40148.53958333333</v>
      </c>
      <c r="F1257" s="1">
        <v>0.42</v>
      </c>
      <c r="G1257" s="1">
        <v>14654.0</v>
      </c>
      <c r="H1257" s="1" t="s">
        <v>14</v>
      </c>
      <c r="I1257" s="4">
        <v>40148.0</v>
      </c>
      <c r="J1257" s="5">
        <v>0.5395833333333333</v>
      </c>
      <c r="K1257" s="1">
        <v>12.0</v>
      </c>
      <c r="L1257" s="1">
        <v>2.52</v>
      </c>
    </row>
    <row r="1258">
      <c r="A1258" s="1">
        <v>489561.0</v>
      </c>
      <c r="B1258" s="2" t="s">
        <v>285</v>
      </c>
      <c r="C1258" s="1" t="s">
        <v>286</v>
      </c>
      <c r="D1258" s="1">
        <v>6.0</v>
      </c>
      <c r="E1258" s="3">
        <v>40148.53958333333</v>
      </c>
      <c r="F1258" s="1">
        <v>1.25</v>
      </c>
      <c r="G1258" s="1">
        <v>14654.0</v>
      </c>
      <c r="H1258" s="1" t="s">
        <v>14</v>
      </c>
      <c r="I1258" s="4">
        <v>40148.0</v>
      </c>
      <c r="J1258" s="5">
        <v>0.5395833333333333</v>
      </c>
      <c r="K1258" s="1">
        <v>12.0</v>
      </c>
      <c r="L1258" s="1">
        <v>7.5</v>
      </c>
    </row>
    <row r="1259">
      <c r="A1259" s="1">
        <v>489561.0</v>
      </c>
      <c r="B1259" s="2" t="s">
        <v>1495</v>
      </c>
      <c r="C1259" s="1" t="s">
        <v>1496</v>
      </c>
      <c r="D1259" s="1">
        <v>6.0</v>
      </c>
      <c r="E1259" s="3">
        <v>40148.53958333333</v>
      </c>
      <c r="F1259" s="1">
        <v>1.45</v>
      </c>
      <c r="G1259" s="1">
        <v>14654.0</v>
      </c>
      <c r="H1259" s="1" t="s">
        <v>14</v>
      </c>
      <c r="I1259" s="4">
        <v>40148.0</v>
      </c>
      <c r="J1259" s="5">
        <v>0.5395833333333333</v>
      </c>
      <c r="K1259" s="1">
        <v>12.0</v>
      </c>
      <c r="L1259" s="1">
        <v>8.7</v>
      </c>
    </row>
    <row r="1260">
      <c r="A1260" s="1">
        <v>489561.0</v>
      </c>
      <c r="B1260" s="2" t="s">
        <v>1497</v>
      </c>
      <c r="C1260" s="1" t="s">
        <v>1498</v>
      </c>
      <c r="D1260" s="1">
        <v>6.0</v>
      </c>
      <c r="E1260" s="3">
        <v>40148.53958333333</v>
      </c>
      <c r="F1260" s="1">
        <v>1.45</v>
      </c>
      <c r="G1260" s="1">
        <v>14654.0</v>
      </c>
      <c r="H1260" s="1" t="s">
        <v>14</v>
      </c>
      <c r="I1260" s="4">
        <v>40148.0</v>
      </c>
      <c r="J1260" s="5">
        <v>0.5395833333333333</v>
      </c>
      <c r="K1260" s="1">
        <v>12.0</v>
      </c>
      <c r="L1260" s="1">
        <v>8.7</v>
      </c>
    </row>
    <row r="1261">
      <c r="A1261" s="1">
        <v>489561.0</v>
      </c>
      <c r="B1261" s="2" t="s">
        <v>1499</v>
      </c>
      <c r="C1261" s="1" t="s">
        <v>1500</v>
      </c>
      <c r="D1261" s="1">
        <v>6.0</v>
      </c>
      <c r="E1261" s="3">
        <v>40148.53958333333</v>
      </c>
      <c r="F1261" s="1">
        <v>0.42</v>
      </c>
      <c r="G1261" s="1">
        <v>14654.0</v>
      </c>
      <c r="H1261" s="1" t="s">
        <v>14</v>
      </c>
      <c r="I1261" s="4">
        <v>40148.0</v>
      </c>
      <c r="J1261" s="5">
        <v>0.5395833333333333</v>
      </c>
      <c r="K1261" s="1">
        <v>12.0</v>
      </c>
      <c r="L1261" s="1">
        <v>2.52</v>
      </c>
    </row>
    <row r="1262">
      <c r="A1262" s="1">
        <v>489561.0</v>
      </c>
      <c r="B1262" s="2" t="s">
        <v>1501</v>
      </c>
      <c r="C1262" s="1" t="s">
        <v>1502</v>
      </c>
      <c r="D1262" s="1">
        <v>48.0</v>
      </c>
      <c r="E1262" s="3">
        <v>40148.53958333333</v>
      </c>
      <c r="F1262" s="1">
        <v>0.42</v>
      </c>
      <c r="G1262" s="1">
        <v>14654.0</v>
      </c>
      <c r="H1262" s="1" t="s">
        <v>14</v>
      </c>
      <c r="I1262" s="4">
        <v>40148.0</v>
      </c>
      <c r="J1262" s="5">
        <v>0.5395833333333333</v>
      </c>
      <c r="K1262" s="1">
        <v>12.0</v>
      </c>
      <c r="L1262" s="1">
        <v>20.16</v>
      </c>
    </row>
    <row r="1263">
      <c r="A1263" s="1">
        <v>489561.0</v>
      </c>
      <c r="B1263" s="2" t="s">
        <v>1503</v>
      </c>
      <c r="C1263" s="1" t="s">
        <v>1504</v>
      </c>
      <c r="D1263" s="1">
        <v>6.0</v>
      </c>
      <c r="E1263" s="3">
        <v>40148.53958333333</v>
      </c>
      <c r="F1263" s="1">
        <v>1.25</v>
      </c>
      <c r="G1263" s="1">
        <v>14654.0</v>
      </c>
      <c r="H1263" s="1" t="s">
        <v>14</v>
      </c>
      <c r="I1263" s="4">
        <v>40148.0</v>
      </c>
      <c r="J1263" s="5">
        <v>0.5395833333333333</v>
      </c>
      <c r="K1263" s="1">
        <v>12.0</v>
      </c>
      <c r="L1263" s="1">
        <v>7.5</v>
      </c>
    </row>
    <row r="1264">
      <c r="A1264" s="1">
        <v>489561.0</v>
      </c>
      <c r="B1264" s="2" t="s">
        <v>1505</v>
      </c>
      <c r="C1264" s="1" t="s">
        <v>1506</v>
      </c>
      <c r="D1264" s="1">
        <v>6.0</v>
      </c>
      <c r="E1264" s="3">
        <v>40148.53958333333</v>
      </c>
      <c r="F1264" s="1">
        <v>1.25</v>
      </c>
      <c r="G1264" s="1">
        <v>14654.0</v>
      </c>
      <c r="H1264" s="1" t="s">
        <v>14</v>
      </c>
      <c r="I1264" s="4">
        <v>40148.0</v>
      </c>
      <c r="J1264" s="5">
        <v>0.5395833333333333</v>
      </c>
      <c r="K1264" s="1">
        <v>12.0</v>
      </c>
      <c r="L1264" s="1">
        <v>7.5</v>
      </c>
    </row>
    <row r="1265">
      <c r="A1265" s="1">
        <v>489561.0</v>
      </c>
      <c r="B1265" s="2" t="s">
        <v>1507</v>
      </c>
      <c r="C1265" s="1" t="s">
        <v>1508</v>
      </c>
      <c r="D1265" s="1">
        <v>6.0</v>
      </c>
      <c r="E1265" s="3">
        <v>40148.53958333333</v>
      </c>
      <c r="F1265" s="1">
        <v>2.1</v>
      </c>
      <c r="G1265" s="1">
        <v>14654.0</v>
      </c>
      <c r="H1265" s="1" t="s">
        <v>14</v>
      </c>
      <c r="I1265" s="4">
        <v>40148.0</v>
      </c>
      <c r="J1265" s="5">
        <v>0.5395833333333333</v>
      </c>
      <c r="K1265" s="1">
        <v>12.0</v>
      </c>
      <c r="L1265" s="1">
        <v>12.6</v>
      </c>
    </row>
    <row r="1266">
      <c r="A1266" s="1">
        <v>489561.0</v>
      </c>
      <c r="B1266" s="2" t="s">
        <v>1391</v>
      </c>
      <c r="C1266" s="1" t="s">
        <v>1392</v>
      </c>
      <c r="D1266" s="1">
        <v>16.0</v>
      </c>
      <c r="E1266" s="3">
        <v>40148.53958333333</v>
      </c>
      <c r="F1266" s="1">
        <v>1.25</v>
      </c>
      <c r="G1266" s="1">
        <v>14654.0</v>
      </c>
      <c r="H1266" s="1" t="s">
        <v>14</v>
      </c>
      <c r="I1266" s="4">
        <v>40148.0</v>
      </c>
      <c r="J1266" s="5">
        <v>0.5395833333333333</v>
      </c>
      <c r="K1266" s="1">
        <v>12.0</v>
      </c>
      <c r="L1266" s="1">
        <v>20.0</v>
      </c>
    </row>
    <row r="1267">
      <c r="A1267" s="1">
        <v>489561.0</v>
      </c>
      <c r="B1267" s="2" t="s">
        <v>1509</v>
      </c>
      <c r="C1267" s="1" t="s">
        <v>1510</v>
      </c>
      <c r="D1267" s="1">
        <v>16.0</v>
      </c>
      <c r="E1267" s="3">
        <v>40148.53958333333</v>
      </c>
      <c r="F1267" s="1">
        <v>1.25</v>
      </c>
      <c r="G1267" s="1">
        <v>14654.0</v>
      </c>
      <c r="H1267" s="1" t="s">
        <v>14</v>
      </c>
      <c r="I1267" s="4">
        <v>40148.0</v>
      </c>
      <c r="J1267" s="5">
        <v>0.5395833333333333</v>
      </c>
      <c r="K1267" s="1">
        <v>12.0</v>
      </c>
      <c r="L1267" s="1">
        <v>20.0</v>
      </c>
    </row>
    <row r="1268">
      <c r="A1268" s="1">
        <v>489561.0</v>
      </c>
      <c r="B1268" s="2" t="s">
        <v>1511</v>
      </c>
      <c r="C1268" s="1" t="s">
        <v>1512</v>
      </c>
      <c r="D1268" s="1">
        <v>1.0</v>
      </c>
      <c r="E1268" s="3">
        <v>40148.53958333333</v>
      </c>
      <c r="F1268" s="1">
        <v>1.25</v>
      </c>
      <c r="G1268" s="1">
        <v>14654.0</v>
      </c>
      <c r="H1268" s="1" t="s">
        <v>14</v>
      </c>
      <c r="I1268" s="4">
        <v>40148.0</v>
      </c>
      <c r="J1268" s="5">
        <v>0.5395833333333333</v>
      </c>
      <c r="K1268" s="1">
        <v>12.0</v>
      </c>
      <c r="L1268" s="1">
        <v>1.25</v>
      </c>
    </row>
    <row r="1269">
      <c r="A1269" s="1">
        <v>489561.0</v>
      </c>
      <c r="B1269" s="2" t="s">
        <v>1513</v>
      </c>
      <c r="C1269" s="1" t="s">
        <v>1514</v>
      </c>
      <c r="D1269" s="1">
        <v>6.0</v>
      </c>
      <c r="E1269" s="3">
        <v>40148.53958333333</v>
      </c>
      <c r="F1269" s="1">
        <v>0.85</v>
      </c>
      <c r="G1269" s="1">
        <v>14654.0</v>
      </c>
      <c r="H1269" s="1" t="s">
        <v>14</v>
      </c>
      <c r="I1269" s="4">
        <v>40148.0</v>
      </c>
      <c r="J1269" s="5">
        <v>0.5395833333333333</v>
      </c>
      <c r="K1269" s="1">
        <v>12.0</v>
      </c>
      <c r="L1269" s="1">
        <v>5.1</v>
      </c>
    </row>
    <row r="1270">
      <c r="A1270" s="1">
        <v>489561.0</v>
      </c>
      <c r="B1270" s="2" t="s">
        <v>1515</v>
      </c>
      <c r="C1270" s="1" t="s">
        <v>1516</v>
      </c>
      <c r="D1270" s="1">
        <v>6.0</v>
      </c>
      <c r="E1270" s="3">
        <v>40148.53958333333</v>
      </c>
      <c r="F1270" s="1">
        <v>1.25</v>
      </c>
      <c r="G1270" s="1">
        <v>14654.0</v>
      </c>
      <c r="H1270" s="1" t="s">
        <v>14</v>
      </c>
      <c r="I1270" s="4">
        <v>40148.0</v>
      </c>
      <c r="J1270" s="5">
        <v>0.5395833333333333</v>
      </c>
      <c r="K1270" s="1">
        <v>12.0</v>
      </c>
      <c r="L1270" s="1">
        <v>7.5</v>
      </c>
    </row>
    <row r="1271">
      <c r="A1271" s="1">
        <v>489561.0</v>
      </c>
      <c r="B1271" s="2" t="s">
        <v>1517</v>
      </c>
      <c r="C1271" s="1" t="s">
        <v>1518</v>
      </c>
      <c r="D1271" s="1">
        <v>3.0</v>
      </c>
      <c r="E1271" s="3">
        <v>40148.53958333333</v>
      </c>
      <c r="F1271" s="1">
        <v>0.85</v>
      </c>
      <c r="G1271" s="1">
        <v>14654.0</v>
      </c>
      <c r="H1271" s="1" t="s">
        <v>14</v>
      </c>
      <c r="I1271" s="4">
        <v>40148.0</v>
      </c>
      <c r="J1271" s="5">
        <v>0.5395833333333333</v>
      </c>
      <c r="K1271" s="1">
        <v>12.0</v>
      </c>
      <c r="L1271" s="1">
        <v>2.55</v>
      </c>
    </row>
    <row r="1272">
      <c r="A1272" s="1">
        <v>489561.0</v>
      </c>
      <c r="B1272" s="2" t="s">
        <v>1519</v>
      </c>
      <c r="C1272" s="1" t="s">
        <v>1520</v>
      </c>
      <c r="D1272" s="1">
        <v>3.0</v>
      </c>
      <c r="E1272" s="3">
        <v>40148.53958333333</v>
      </c>
      <c r="F1272" s="1">
        <v>0.85</v>
      </c>
      <c r="G1272" s="1">
        <v>14654.0</v>
      </c>
      <c r="H1272" s="1" t="s">
        <v>14</v>
      </c>
      <c r="I1272" s="4">
        <v>40148.0</v>
      </c>
      <c r="J1272" s="5">
        <v>0.5395833333333333</v>
      </c>
      <c r="K1272" s="1">
        <v>12.0</v>
      </c>
      <c r="L1272" s="1">
        <v>2.55</v>
      </c>
    </row>
    <row r="1273">
      <c r="A1273" s="1">
        <v>489561.0</v>
      </c>
      <c r="B1273" s="2" t="s">
        <v>1103</v>
      </c>
      <c r="C1273" s="1" t="s">
        <v>1104</v>
      </c>
      <c r="D1273" s="1">
        <v>6.0</v>
      </c>
      <c r="E1273" s="3">
        <v>40148.53958333333</v>
      </c>
      <c r="F1273" s="1">
        <v>1.65</v>
      </c>
      <c r="G1273" s="1">
        <v>14654.0</v>
      </c>
      <c r="H1273" s="1" t="s">
        <v>14</v>
      </c>
      <c r="I1273" s="4">
        <v>40148.0</v>
      </c>
      <c r="J1273" s="5">
        <v>0.5395833333333333</v>
      </c>
      <c r="K1273" s="1">
        <v>12.0</v>
      </c>
      <c r="L1273" s="1">
        <v>9.89999999999999</v>
      </c>
    </row>
    <row r="1274">
      <c r="A1274" s="1">
        <v>489561.0</v>
      </c>
      <c r="B1274" s="2" t="s">
        <v>1101</v>
      </c>
      <c r="C1274" s="1" t="s">
        <v>1102</v>
      </c>
      <c r="D1274" s="1">
        <v>6.0</v>
      </c>
      <c r="E1274" s="3">
        <v>40148.53958333333</v>
      </c>
      <c r="F1274" s="1">
        <v>1.65</v>
      </c>
      <c r="G1274" s="1">
        <v>14654.0</v>
      </c>
      <c r="H1274" s="1" t="s">
        <v>14</v>
      </c>
      <c r="I1274" s="4">
        <v>40148.0</v>
      </c>
      <c r="J1274" s="5">
        <v>0.5395833333333333</v>
      </c>
      <c r="K1274" s="1">
        <v>12.0</v>
      </c>
      <c r="L1274" s="1">
        <v>9.89999999999999</v>
      </c>
    </row>
    <row r="1275">
      <c r="A1275" s="1">
        <v>489561.0</v>
      </c>
      <c r="B1275" s="2" t="s">
        <v>1314</v>
      </c>
      <c r="C1275" s="1" t="s">
        <v>1315</v>
      </c>
      <c r="D1275" s="1">
        <v>12.0</v>
      </c>
      <c r="E1275" s="3">
        <v>40148.53958333333</v>
      </c>
      <c r="F1275" s="1">
        <v>0.42</v>
      </c>
      <c r="G1275" s="1">
        <v>14654.0</v>
      </c>
      <c r="H1275" s="1" t="s">
        <v>14</v>
      </c>
      <c r="I1275" s="4">
        <v>40148.0</v>
      </c>
      <c r="J1275" s="5">
        <v>0.5395833333333333</v>
      </c>
      <c r="K1275" s="1">
        <v>12.0</v>
      </c>
      <c r="L1275" s="1">
        <v>5.04</v>
      </c>
    </row>
    <row r="1276">
      <c r="A1276" s="1">
        <v>489561.0</v>
      </c>
      <c r="B1276" s="2" t="s">
        <v>1521</v>
      </c>
      <c r="C1276" s="1" t="s">
        <v>1522</v>
      </c>
      <c r="D1276" s="1">
        <v>48.0</v>
      </c>
      <c r="E1276" s="3">
        <v>40148.53958333333</v>
      </c>
      <c r="F1276" s="1">
        <v>0.21</v>
      </c>
      <c r="G1276" s="1">
        <v>14654.0</v>
      </c>
      <c r="H1276" s="1" t="s">
        <v>14</v>
      </c>
      <c r="I1276" s="4">
        <v>40148.0</v>
      </c>
      <c r="J1276" s="5">
        <v>0.5395833333333333</v>
      </c>
      <c r="K1276" s="1">
        <v>12.0</v>
      </c>
      <c r="L1276" s="1">
        <v>10.08</v>
      </c>
    </row>
    <row r="1277">
      <c r="A1277" s="1">
        <v>489561.0</v>
      </c>
      <c r="B1277" s="2" t="s">
        <v>1523</v>
      </c>
      <c r="C1277" s="1" t="s">
        <v>1524</v>
      </c>
      <c r="D1277" s="1">
        <v>7.0</v>
      </c>
      <c r="E1277" s="3">
        <v>40148.53958333333</v>
      </c>
      <c r="F1277" s="1">
        <v>3.75</v>
      </c>
      <c r="G1277" s="1">
        <v>14654.0</v>
      </c>
      <c r="H1277" s="1" t="s">
        <v>14</v>
      </c>
      <c r="I1277" s="4">
        <v>40148.0</v>
      </c>
      <c r="J1277" s="5">
        <v>0.5395833333333333</v>
      </c>
      <c r="K1277" s="1">
        <v>12.0</v>
      </c>
      <c r="L1277" s="1">
        <v>26.25</v>
      </c>
    </row>
    <row r="1278">
      <c r="A1278" s="1">
        <v>489561.0</v>
      </c>
      <c r="B1278" s="2" t="s">
        <v>73</v>
      </c>
      <c r="C1278" s="1" t="s">
        <v>74</v>
      </c>
      <c r="D1278" s="1">
        <v>1.0</v>
      </c>
      <c r="E1278" s="3">
        <v>40148.53958333333</v>
      </c>
      <c r="F1278" s="1">
        <v>4.95</v>
      </c>
      <c r="G1278" s="1">
        <v>14654.0</v>
      </c>
      <c r="H1278" s="1" t="s">
        <v>14</v>
      </c>
      <c r="I1278" s="4">
        <v>40148.0</v>
      </c>
      <c r="J1278" s="5">
        <v>0.5395833333333333</v>
      </c>
      <c r="K1278" s="1">
        <v>12.0</v>
      </c>
      <c r="L1278" s="1">
        <v>4.95</v>
      </c>
    </row>
    <row r="1279">
      <c r="A1279" s="1">
        <v>489561.0</v>
      </c>
      <c r="B1279" s="2" t="s">
        <v>696</v>
      </c>
      <c r="C1279" s="1" t="s">
        <v>697</v>
      </c>
      <c r="D1279" s="1">
        <v>8.0</v>
      </c>
      <c r="E1279" s="3">
        <v>40148.53958333333</v>
      </c>
      <c r="F1279" s="1">
        <v>3.45</v>
      </c>
      <c r="G1279" s="1">
        <v>14654.0</v>
      </c>
      <c r="H1279" s="1" t="s">
        <v>14</v>
      </c>
      <c r="I1279" s="4">
        <v>40148.0</v>
      </c>
      <c r="J1279" s="5">
        <v>0.5395833333333333</v>
      </c>
      <c r="K1279" s="1">
        <v>12.0</v>
      </c>
      <c r="L1279" s="1">
        <v>27.6</v>
      </c>
    </row>
    <row r="1280">
      <c r="A1280" s="1">
        <v>489561.0</v>
      </c>
      <c r="B1280" s="2" t="s">
        <v>975</v>
      </c>
      <c r="C1280" s="1" t="s">
        <v>976</v>
      </c>
      <c r="D1280" s="1">
        <v>1.0</v>
      </c>
      <c r="E1280" s="3">
        <v>40148.53958333333</v>
      </c>
      <c r="F1280" s="1">
        <v>0.95</v>
      </c>
      <c r="G1280" s="1">
        <v>14654.0</v>
      </c>
      <c r="H1280" s="1" t="s">
        <v>14</v>
      </c>
      <c r="I1280" s="4">
        <v>40148.0</v>
      </c>
      <c r="J1280" s="5">
        <v>0.5395833333333333</v>
      </c>
      <c r="K1280" s="1">
        <v>12.0</v>
      </c>
      <c r="L1280" s="1">
        <v>0.95</v>
      </c>
    </row>
    <row r="1281">
      <c r="A1281" s="1">
        <v>489562.0</v>
      </c>
      <c r="B1281" s="2" t="s">
        <v>1525</v>
      </c>
      <c r="C1281" s="1" t="s">
        <v>1526</v>
      </c>
      <c r="D1281" s="1">
        <v>1.0</v>
      </c>
      <c r="E1281" s="3">
        <v>40148.54652777778</v>
      </c>
      <c r="F1281" s="1">
        <v>0.65</v>
      </c>
      <c r="G1281" s="1">
        <v>17998.0</v>
      </c>
      <c r="H1281" s="1" t="s">
        <v>14</v>
      </c>
      <c r="I1281" s="4">
        <v>40148.0</v>
      </c>
      <c r="J1281" s="5">
        <v>0.5465277777777777</v>
      </c>
      <c r="K1281" s="1">
        <v>13.0</v>
      </c>
      <c r="L1281" s="1">
        <v>0.65</v>
      </c>
    </row>
    <row r="1282">
      <c r="A1282" s="1">
        <v>489562.0</v>
      </c>
      <c r="B1282" s="2" t="s">
        <v>762</v>
      </c>
      <c r="C1282" s="1" t="s">
        <v>763</v>
      </c>
      <c r="D1282" s="1">
        <v>1.0</v>
      </c>
      <c r="E1282" s="3">
        <v>40148.54652777778</v>
      </c>
      <c r="F1282" s="1">
        <v>0.85</v>
      </c>
      <c r="G1282" s="1">
        <v>17998.0</v>
      </c>
      <c r="H1282" s="1" t="s">
        <v>14</v>
      </c>
      <c r="I1282" s="4">
        <v>40148.0</v>
      </c>
      <c r="J1282" s="5">
        <v>0.5465277777777777</v>
      </c>
      <c r="K1282" s="1">
        <v>13.0</v>
      </c>
      <c r="L1282" s="1">
        <v>0.85</v>
      </c>
    </row>
    <row r="1283">
      <c r="A1283" s="1">
        <v>489562.0</v>
      </c>
      <c r="B1283" s="2" t="s">
        <v>1527</v>
      </c>
      <c r="C1283" s="1" t="s">
        <v>1528</v>
      </c>
      <c r="D1283" s="1">
        <v>1.0</v>
      </c>
      <c r="E1283" s="3">
        <v>40148.54652777778</v>
      </c>
      <c r="F1283" s="1">
        <v>0.85</v>
      </c>
      <c r="G1283" s="1">
        <v>17998.0</v>
      </c>
      <c r="H1283" s="1" t="s">
        <v>14</v>
      </c>
      <c r="I1283" s="4">
        <v>40148.0</v>
      </c>
      <c r="J1283" s="5">
        <v>0.5465277777777777</v>
      </c>
      <c r="K1283" s="1">
        <v>13.0</v>
      </c>
      <c r="L1283" s="1">
        <v>0.85</v>
      </c>
    </row>
    <row r="1284">
      <c r="A1284" s="1">
        <v>489562.0</v>
      </c>
      <c r="B1284" s="2" t="s">
        <v>1529</v>
      </c>
      <c r="C1284" s="1" t="s">
        <v>1530</v>
      </c>
      <c r="D1284" s="1">
        <v>1.0</v>
      </c>
      <c r="E1284" s="3">
        <v>40148.54652777778</v>
      </c>
      <c r="F1284" s="1">
        <v>0.65</v>
      </c>
      <c r="G1284" s="1">
        <v>17998.0</v>
      </c>
      <c r="H1284" s="1" t="s">
        <v>14</v>
      </c>
      <c r="I1284" s="4">
        <v>40148.0</v>
      </c>
      <c r="J1284" s="5">
        <v>0.5465277777777777</v>
      </c>
      <c r="K1284" s="1">
        <v>13.0</v>
      </c>
      <c r="L1284" s="1">
        <v>0.65</v>
      </c>
    </row>
    <row r="1285">
      <c r="A1285" s="1">
        <v>489562.0</v>
      </c>
      <c r="B1285" s="2" t="s">
        <v>1531</v>
      </c>
      <c r="C1285" s="1" t="s">
        <v>1532</v>
      </c>
      <c r="D1285" s="1">
        <v>1.0</v>
      </c>
      <c r="E1285" s="3">
        <v>40148.54652777778</v>
      </c>
      <c r="F1285" s="1">
        <v>1.45</v>
      </c>
      <c r="G1285" s="1">
        <v>17998.0</v>
      </c>
      <c r="H1285" s="1" t="s">
        <v>14</v>
      </c>
      <c r="I1285" s="4">
        <v>40148.0</v>
      </c>
      <c r="J1285" s="5">
        <v>0.5465277777777777</v>
      </c>
      <c r="K1285" s="1">
        <v>13.0</v>
      </c>
      <c r="L1285" s="1">
        <v>1.45</v>
      </c>
    </row>
    <row r="1286">
      <c r="A1286" s="1">
        <v>489562.0</v>
      </c>
      <c r="B1286" s="2" t="s">
        <v>1533</v>
      </c>
      <c r="C1286" s="1" t="s">
        <v>1534</v>
      </c>
      <c r="D1286" s="1">
        <v>1.0</v>
      </c>
      <c r="E1286" s="3">
        <v>40148.54652777778</v>
      </c>
      <c r="F1286" s="1">
        <v>1.95</v>
      </c>
      <c r="G1286" s="1">
        <v>17998.0</v>
      </c>
      <c r="H1286" s="1" t="s">
        <v>14</v>
      </c>
      <c r="I1286" s="4">
        <v>40148.0</v>
      </c>
      <c r="J1286" s="5">
        <v>0.5465277777777777</v>
      </c>
      <c r="K1286" s="1">
        <v>13.0</v>
      </c>
      <c r="L1286" s="1">
        <v>1.95</v>
      </c>
    </row>
    <row r="1287">
      <c r="A1287" s="1">
        <v>489562.0</v>
      </c>
      <c r="B1287" s="2" t="s">
        <v>599</v>
      </c>
      <c r="C1287" s="1" t="s">
        <v>600</v>
      </c>
      <c r="D1287" s="1">
        <v>1.0</v>
      </c>
      <c r="E1287" s="3">
        <v>40148.54652777778</v>
      </c>
      <c r="F1287" s="1">
        <v>2.55</v>
      </c>
      <c r="G1287" s="1">
        <v>17998.0</v>
      </c>
      <c r="H1287" s="1" t="s">
        <v>14</v>
      </c>
      <c r="I1287" s="4">
        <v>40148.0</v>
      </c>
      <c r="J1287" s="5">
        <v>0.5465277777777777</v>
      </c>
      <c r="K1287" s="1">
        <v>13.0</v>
      </c>
      <c r="L1287" s="1">
        <v>2.55</v>
      </c>
    </row>
    <row r="1288">
      <c r="A1288" s="1">
        <v>489562.0</v>
      </c>
      <c r="B1288" s="2" t="s">
        <v>1535</v>
      </c>
      <c r="C1288" s="1" t="s">
        <v>1536</v>
      </c>
      <c r="D1288" s="1">
        <v>1.0</v>
      </c>
      <c r="E1288" s="3">
        <v>40148.54652777778</v>
      </c>
      <c r="F1288" s="1">
        <v>2.1</v>
      </c>
      <c r="G1288" s="1">
        <v>17998.0</v>
      </c>
      <c r="H1288" s="1" t="s">
        <v>14</v>
      </c>
      <c r="I1288" s="4">
        <v>40148.0</v>
      </c>
      <c r="J1288" s="5">
        <v>0.5465277777777777</v>
      </c>
      <c r="K1288" s="1">
        <v>13.0</v>
      </c>
      <c r="L1288" s="1">
        <v>2.1</v>
      </c>
    </row>
    <row r="1289">
      <c r="A1289" s="1">
        <v>489562.0</v>
      </c>
      <c r="B1289" s="2" t="s">
        <v>1537</v>
      </c>
      <c r="C1289" s="1" t="s">
        <v>1538</v>
      </c>
      <c r="D1289" s="1">
        <v>1.0</v>
      </c>
      <c r="E1289" s="3">
        <v>40148.54652777778</v>
      </c>
      <c r="F1289" s="1">
        <v>2.95</v>
      </c>
      <c r="G1289" s="1">
        <v>17998.0</v>
      </c>
      <c r="H1289" s="1" t="s">
        <v>14</v>
      </c>
      <c r="I1289" s="4">
        <v>40148.0</v>
      </c>
      <c r="J1289" s="5">
        <v>0.5465277777777777</v>
      </c>
      <c r="K1289" s="1">
        <v>13.0</v>
      </c>
      <c r="L1289" s="1">
        <v>2.95</v>
      </c>
    </row>
    <row r="1290">
      <c r="A1290" s="1">
        <v>489562.0</v>
      </c>
      <c r="B1290" s="2" t="s">
        <v>1270</v>
      </c>
      <c r="C1290" s="1" t="s">
        <v>1271</v>
      </c>
      <c r="D1290" s="1">
        <v>1.0</v>
      </c>
      <c r="E1290" s="3">
        <v>40148.54652777778</v>
      </c>
      <c r="F1290" s="1">
        <v>8.5</v>
      </c>
      <c r="G1290" s="1">
        <v>17998.0</v>
      </c>
      <c r="H1290" s="1" t="s">
        <v>14</v>
      </c>
      <c r="I1290" s="4">
        <v>40148.0</v>
      </c>
      <c r="J1290" s="5">
        <v>0.5465277777777777</v>
      </c>
      <c r="K1290" s="1">
        <v>13.0</v>
      </c>
      <c r="L1290" s="1">
        <v>8.5</v>
      </c>
    </row>
    <row r="1291">
      <c r="A1291" s="1">
        <v>489562.0</v>
      </c>
      <c r="B1291" s="2" t="s">
        <v>1217</v>
      </c>
      <c r="C1291" s="1" t="s">
        <v>1218</v>
      </c>
      <c r="D1291" s="1">
        <v>12.0</v>
      </c>
      <c r="E1291" s="3">
        <v>40148.54652777778</v>
      </c>
      <c r="F1291" s="1">
        <v>0.85</v>
      </c>
      <c r="G1291" s="1">
        <v>17998.0</v>
      </c>
      <c r="H1291" s="1" t="s">
        <v>14</v>
      </c>
      <c r="I1291" s="4">
        <v>40148.0</v>
      </c>
      <c r="J1291" s="5">
        <v>0.5465277777777777</v>
      </c>
      <c r="K1291" s="1">
        <v>13.0</v>
      </c>
      <c r="L1291" s="1">
        <v>10.2</v>
      </c>
    </row>
    <row r="1292">
      <c r="A1292" s="1">
        <v>489562.0</v>
      </c>
      <c r="B1292" s="2" t="s">
        <v>686</v>
      </c>
      <c r="C1292" s="1" t="s">
        <v>687</v>
      </c>
      <c r="D1292" s="1">
        <v>1.0</v>
      </c>
      <c r="E1292" s="3">
        <v>40148.54652777778</v>
      </c>
      <c r="F1292" s="1">
        <v>0.85</v>
      </c>
      <c r="G1292" s="1">
        <v>17998.0</v>
      </c>
      <c r="H1292" s="1" t="s">
        <v>14</v>
      </c>
      <c r="I1292" s="4">
        <v>40148.0</v>
      </c>
      <c r="J1292" s="5">
        <v>0.5465277777777777</v>
      </c>
      <c r="K1292" s="1">
        <v>13.0</v>
      </c>
      <c r="L1292" s="1">
        <v>0.85</v>
      </c>
    </row>
    <row r="1293">
      <c r="A1293" s="1">
        <v>489562.0</v>
      </c>
      <c r="B1293" s="2" t="s">
        <v>999</v>
      </c>
      <c r="C1293" s="1" t="s">
        <v>1000</v>
      </c>
      <c r="D1293" s="1">
        <v>30.0</v>
      </c>
      <c r="E1293" s="3">
        <v>40148.54652777778</v>
      </c>
      <c r="F1293" s="1">
        <v>0.21</v>
      </c>
      <c r="G1293" s="1">
        <v>17998.0</v>
      </c>
      <c r="H1293" s="1" t="s">
        <v>14</v>
      </c>
      <c r="I1293" s="4">
        <v>40148.0</v>
      </c>
      <c r="J1293" s="5">
        <v>0.5465277777777777</v>
      </c>
      <c r="K1293" s="1">
        <v>13.0</v>
      </c>
      <c r="L1293" s="1">
        <v>6.3</v>
      </c>
    </row>
    <row r="1294">
      <c r="A1294" s="1">
        <v>489562.0</v>
      </c>
      <c r="B1294" s="2" t="s">
        <v>1075</v>
      </c>
      <c r="C1294" s="1" t="s">
        <v>1076</v>
      </c>
      <c r="D1294" s="1">
        <v>2.0</v>
      </c>
      <c r="E1294" s="3">
        <v>40148.54652777778</v>
      </c>
      <c r="F1294" s="1">
        <v>2.95</v>
      </c>
      <c r="G1294" s="1">
        <v>17998.0</v>
      </c>
      <c r="H1294" s="1" t="s">
        <v>14</v>
      </c>
      <c r="I1294" s="4">
        <v>40148.0</v>
      </c>
      <c r="J1294" s="5">
        <v>0.5465277777777777</v>
      </c>
      <c r="K1294" s="1">
        <v>13.0</v>
      </c>
      <c r="L1294" s="1">
        <v>5.9</v>
      </c>
    </row>
    <row r="1295">
      <c r="A1295" s="1">
        <v>489562.0</v>
      </c>
      <c r="B1295" s="2" t="s">
        <v>1447</v>
      </c>
      <c r="C1295" s="1" t="s">
        <v>1448</v>
      </c>
      <c r="D1295" s="1">
        <v>2.0</v>
      </c>
      <c r="E1295" s="3">
        <v>40148.54652777778</v>
      </c>
      <c r="F1295" s="1">
        <v>1.25</v>
      </c>
      <c r="G1295" s="1">
        <v>17998.0</v>
      </c>
      <c r="H1295" s="1" t="s">
        <v>14</v>
      </c>
      <c r="I1295" s="4">
        <v>40148.0</v>
      </c>
      <c r="J1295" s="5">
        <v>0.5465277777777777</v>
      </c>
      <c r="K1295" s="1">
        <v>13.0</v>
      </c>
      <c r="L1295" s="1">
        <v>2.5</v>
      </c>
    </row>
    <row r="1296">
      <c r="A1296" s="1">
        <v>489562.0</v>
      </c>
      <c r="B1296" s="2" t="s">
        <v>1539</v>
      </c>
      <c r="C1296" s="1" t="s">
        <v>1540</v>
      </c>
      <c r="D1296" s="1">
        <v>1.0</v>
      </c>
      <c r="E1296" s="3">
        <v>40148.54652777778</v>
      </c>
      <c r="F1296" s="1">
        <v>4.65</v>
      </c>
      <c r="G1296" s="1">
        <v>17998.0</v>
      </c>
      <c r="H1296" s="1" t="s">
        <v>14</v>
      </c>
      <c r="I1296" s="4">
        <v>40148.0</v>
      </c>
      <c r="J1296" s="5">
        <v>0.5465277777777777</v>
      </c>
      <c r="K1296" s="1">
        <v>13.0</v>
      </c>
      <c r="L1296" s="1">
        <v>4.65</v>
      </c>
    </row>
    <row r="1297">
      <c r="A1297" s="1">
        <v>489562.0</v>
      </c>
      <c r="B1297" s="2" t="s">
        <v>1541</v>
      </c>
      <c r="C1297" s="1" t="s">
        <v>1542</v>
      </c>
      <c r="D1297" s="1">
        <v>1.0</v>
      </c>
      <c r="E1297" s="3">
        <v>40148.54652777778</v>
      </c>
      <c r="F1297" s="1">
        <v>9.95</v>
      </c>
      <c r="G1297" s="1">
        <v>17998.0</v>
      </c>
      <c r="H1297" s="1" t="s">
        <v>14</v>
      </c>
      <c r="I1297" s="4">
        <v>40148.0</v>
      </c>
      <c r="J1297" s="5">
        <v>0.5465277777777777</v>
      </c>
      <c r="K1297" s="1">
        <v>13.0</v>
      </c>
      <c r="L1297" s="1">
        <v>9.95</v>
      </c>
    </row>
    <row r="1298">
      <c r="A1298" s="1">
        <v>489562.0</v>
      </c>
      <c r="B1298" s="2" t="s">
        <v>39</v>
      </c>
      <c r="C1298" s="1" t="s">
        <v>40</v>
      </c>
      <c r="D1298" s="1">
        <v>1.0</v>
      </c>
      <c r="E1298" s="3">
        <v>40148.54652777778</v>
      </c>
      <c r="F1298" s="1">
        <v>5.95</v>
      </c>
      <c r="G1298" s="1">
        <v>17998.0</v>
      </c>
      <c r="H1298" s="1" t="s">
        <v>14</v>
      </c>
      <c r="I1298" s="4">
        <v>40148.0</v>
      </c>
      <c r="J1298" s="5">
        <v>0.5465277777777777</v>
      </c>
      <c r="K1298" s="1">
        <v>13.0</v>
      </c>
      <c r="L1298" s="1">
        <v>5.95</v>
      </c>
    </row>
    <row r="1299">
      <c r="A1299" s="1">
        <v>489562.0</v>
      </c>
      <c r="B1299" s="2" t="s">
        <v>1543</v>
      </c>
      <c r="C1299" s="1" t="s">
        <v>1544</v>
      </c>
      <c r="D1299" s="1">
        <v>1.0</v>
      </c>
      <c r="E1299" s="3">
        <v>40148.54652777778</v>
      </c>
      <c r="F1299" s="1">
        <v>12.75</v>
      </c>
      <c r="G1299" s="1">
        <v>17998.0</v>
      </c>
      <c r="H1299" s="1" t="s">
        <v>14</v>
      </c>
      <c r="I1299" s="4">
        <v>40148.0</v>
      </c>
      <c r="J1299" s="5">
        <v>0.5465277777777777</v>
      </c>
      <c r="K1299" s="1">
        <v>13.0</v>
      </c>
      <c r="L1299" s="1">
        <v>12.75</v>
      </c>
    </row>
    <row r="1300">
      <c r="A1300" s="1">
        <v>489562.0</v>
      </c>
      <c r="B1300" s="2" t="s">
        <v>75</v>
      </c>
      <c r="C1300" s="1" t="s">
        <v>76</v>
      </c>
      <c r="D1300" s="1">
        <v>1.0</v>
      </c>
      <c r="E1300" s="3">
        <v>40148.54652777778</v>
      </c>
      <c r="F1300" s="1">
        <v>2.1</v>
      </c>
      <c r="G1300" s="1">
        <v>17998.0</v>
      </c>
      <c r="H1300" s="1" t="s">
        <v>14</v>
      </c>
      <c r="I1300" s="4">
        <v>40148.0</v>
      </c>
      <c r="J1300" s="5">
        <v>0.5465277777777777</v>
      </c>
      <c r="K1300" s="1">
        <v>13.0</v>
      </c>
      <c r="L1300" s="1">
        <v>2.1</v>
      </c>
    </row>
    <row r="1301">
      <c r="A1301" s="1">
        <v>489562.0</v>
      </c>
      <c r="B1301" s="2" t="s">
        <v>47</v>
      </c>
      <c r="C1301" s="1" t="s">
        <v>48</v>
      </c>
      <c r="D1301" s="1">
        <v>1.0</v>
      </c>
      <c r="E1301" s="3">
        <v>40148.54652777778</v>
      </c>
      <c r="F1301" s="1">
        <v>1.45</v>
      </c>
      <c r="G1301" s="1">
        <v>17998.0</v>
      </c>
      <c r="H1301" s="1" t="s">
        <v>14</v>
      </c>
      <c r="I1301" s="4">
        <v>40148.0</v>
      </c>
      <c r="J1301" s="5">
        <v>0.5465277777777777</v>
      </c>
      <c r="K1301" s="1">
        <v>13.0</v>
      </c>
      <c r="L1301" s="1">
        <v>1.45</v>
      </c>
    </row>
    <row r="1302">
      <c r="A1302" s="1">
        <v>489562.0</v>
      </c>
      <c r="B1302" s="2" t="s">
        <v>1545</v>
      </c>
      <c r="C1302" s="1" t="s">
        <v>1546</v>
      </c>
      <c r="D1302" s="1">
        <v>1.0</v>
      </c>
      <c r="E1302" s="3">
        <v>40148.54652777778</v>
      </c>
      <c r="F1302" s="1">
        <v>6.35</v>
      </c>
      <c r="G1302" s="1">
        <v>17998.0</v>
      </c>
      <c r="H1302" s="1" t="s">
        <v>14</v>
      </c>
      <c r="I1302" s="4">
        <v>40148.0</v>
      </c>
      <c r="J1302" s="5">
        <v>0.5465277777777777</v>
      </c>
      <c r="K1302" s="1">
        <v>13.0</v>
      </c>
      <c r="L1302" s="1">
        <v>6.35</v>
      </c>
    </row>
    <row r="1303">
      <c r="A1303" s="1">
        <v>489562.0</v>
      </c>
      <c r="B1303" s="2" t="s">
        <v>297</v>
      </c>
      <c r="C1303" s="1" t="s">
        <v>298</v>
      </c>
      <c r="D1303" s="1">
        <v>2.0</v>
      </c>
      <c r="E1303" s="3">
        <v>40148.54652777778</v>
      </c>
      <c r="F1303" s="1">
        <v>1.95</v>
      </c>
      <c r="G1303" s="1">
        <v>17998.0</v>
      </c>
      <c r="H1303" s="1" t="s">
        <v>14</v>
      </c>
      <c r="I1303" s="4">
        <v>40148.0</v>
      </c>
      <c r="J1303" s="5">
        <v>0.5465277777777777</v>
      </c>
      <c r="K1303" s="1">
        <v>13.0</v>
      </c>
      <c r="L1303" s="1">
        <v>3.9</v>
      </c>
    </row>
    <row r="1304">
      <c r="A1304" s="1">
        <v>489562.0</v>
      </c>
      <c r="B1304" s="2" t="s">
        <v>269</v>
      </c>
      <c r="C1304" s="1" t="s">
        <v>270</v>
      </c>
      <c r="D1304" s="1">
        <v>2.0</v>
      </c>
      <c r="E1304" s="3">
        <v>40148.54652777778</v>
      </c>
      <c r="F1304" s="1">
        <v>1.95</v>
      </c>
      <c r="G1304" s="1">
        <v>17998.0</v>
      </c>
      <c r="H1304" s="1" t="s">
        <v>14</v>
      </c>
      <c r="I1304" s="4">
        <v>40148.0</v>
      </c>
      <c r="J1304" s="5">
        <v>0.5465277777777777</v>
      </c>
      <c r="K1304" s="1">
        <v>13.0</v>
      </c>
      <c r="L1304" s="1">
        <v>3.9</v>
      </c>
    </row>
    <row r="1305">
      <c r="A1305" s="1">
        <v>489562.0</v>
      </c>
      <c r="B1305" s="2" t="s">
        <v>158</v>
      </c>
      <c r="C1305" s="1" t="s">
        <v>159</v>
      </c>
      <c r="D1305" s="1">
        <v>1.0</v>
      </c>
      <c r="E1305" s="3">
        <v>40148.54652777778</v>
      </c>
      <c r="F1305" s="1">
        <v>4.95</v>
      </c>
      <c r="G1305" s="1">
        <v>17998.0</v>
      </c>
      <c r="H1305" s="1" t="s">
        <v>14</v>
      </c>
      <c r="I1305" s="4">
        <v>40148.0</v>
      </c>
      <c r="J1305" s="5">
        <v>0.5465277777777777</v>
      </c>
      <c r="K1305" s="1">
        <v>13.0</v>
      </c>
      <c r="L1305" s="1">
        <v>4.95</v>
      </c>
    </row>
    <row r="1306">
      <c r="A1306" s="1">
        <v>489562.0</v>
      </c>
      <c r="B1306" s="2" t="s">
        <v>1547</v>
      </c>
      <c r="C1306" s="1" t="s">
        <v>1548</v>
      </c>
      <c r="D1306" s="1">
        <v>1.0</v>
      </c>
      <c r="E1306" s="3">
        <v>40148.54652777778</v>
      </c>
      <c r="F1306" s="1">
        <v>3.25</v>
      </c>
      <c r="G1306" s="1">
        <v>17998.0</v>
      </c>
      <c r="H1306" s="1" t="s">
        <v>14</v>
      </c>
      <c r="I1306" s="4">
        <v>40148.0</v>
      </c>
      <c r="J1306" s="5">
        <v>0.5465277777777777</v>
      </c>
      <c r="K1306" s="1">
        <v>13.0</v>
      </c>
      <c r="L1306" s="1">
        <v>3.25</v>
      </c>
    </row>
    <row r="1307">
      <c r="A1307" s="1">
        <v>489562.0</v>
      </c>
      <c r="B1307" s="2" t="s">
        <v>605</v>
      </c>
      <c r="C1307" s="1" t="s">
        <v>606</v>
      </c>
      <c r="D1307" s="1">
        <v>1.0</v>
      </c>
      <c r="E1307" s="3">
        <v>40148.54652777778</v>
      </c>
      <c r="F1307" s="1">
        <v>5.95</v>
      </c>
      <c r="G1307" s="1">
        <v>17998.0</v>
      </c>
      <c r="H1307" s="1" t="s">
        <v>14</v>
      </c>
      <c r="I1307" s="4">
        <v>40148.0</v>
      </c>
      <c r="J1307" s="5">
        <v>0.5465277777777777</v>
      </c>
      <c r="K1307" s="1">
        <v>13.0</v>
      </c>
      <c r="L1307" s="1">
        <v>5.95</v>
      </c>
    </row>
    <row r="1308">
      <c r="A1308" s="1">
        <v>489562.0</v>
      </c>
      <c r="B1308" s="2" t="s">
        <v>1427</v>
      </c>
      <c r="C1308" s="1" t="s">
        <v>1428</v>
      </c>
      <c r="D1308" s="1">
        <v>1.0</v>
      </c>
      <c r="E1308" s="3">
        <v>40148.54652777778</v>
      </c>
      <c r="F1308" s="1">
        <v>12.75</v>
      </c>
      <c r="G1308" s="1">
        <v>17998.0</v>
      </c>
      <c r="H1308" s="1" t="s">
        <v>14</v>
      </c>
      <c r="I1308" s="4">
        <v>40148.0</v>
      </c>
      <c r="J1308" s="5">
        <v>0.5465277777777777</v>
      </c>
      <c r="K1308" s="1">
        <v>13.0</v>
      </c>
      <c r="L1308" s="1">
        <v>12.75</v>
      </c>
    </row>
    <row r="1309">
      <c r="A1309" s="1">
        <v>489562.0</v>
      </c>
      <c r="B1309" s="2" t="s">
        <v>627</v>
      </c>
      <c r="C1309" s="1" t="s">
        <v>628</v>
      </c>
      <c r="D1309" s="1">
        <v>1.0</v>
      </c>
      <c r="E1309" s="3">
        <v>40148.54652777778</v>
      </c>
      <c r="F1309" s="1">
        <v>3.95</v>
      </c>
      <c r="G1309" s="1">
        <v>17998.0</v>
      </c>
      <c r="H1309" s="1" t="s">
        <v>14</v>
      </c>
      <c r="I1309" s="4">
        <v>40148.0</v>
      </c>
      <c r="J1309" s="5">
        <v>0.5465277777777777</v>
      </c>
      <c r="K1309" s="1">
        <v>13.0</v>
      </c>
      <c r="L1309" s="1">
        <v>3.95</v>
      </c>
    </row>
    <row r="1310">
      <c r="A1310" s="1">
        <v>489562.0</v>
      </c>
      <c r="B1310" s="2" t="s">
        <v>1549</v>
      </c>
      <c r="C1310" s="1" t="s">
        <v>1550</v>
      </c>
      <c r="D1310" s="1">
        <v>1.0</v>
      </c>
      <c r="E1310" s="3">
        <v>40148.54652777778</v>
      </c>
      <c r="F1310" s="1">
        <v>12.75</v>
      </c>
      <c r="G1310" s="1">
        <v>17998.0</v>
      </c>
      <c r="H1310" s="1" t="s">
        <v>14</v>
      </c>
      <c r="I1310" s="4">
        <v>40148.0</v>
      </c>
      <c r="J1310" s="5">
        <v>0.5465277777777777</v>
      </c>
      <c r="K1310" s="1">
        <v>13.0</v>
      </c>
      <c r="L1310" s="1">
        <v>12.75</v>
      </c>
    </row>
    <row r="1311">
      <c r="A1311" s="1">
        <v>489562.0</v>
      </c>
      <c r="B1311" s="2" t="s">
        <v>1551</v>
      </c>
      <c r="C1311" s="1" t="s">
        <v>1552</v>
      </c>
      <c r="D1311" s="1">
        <v>1.0</v>
      </c>
      <c r="E1311" s="3">
        <v>40148.54652777778</v>
      </c>
      <c r="F1311" s="1">
        <v>45.95</v>
      </c>
      <c r="G1311" s="1">
        <v>17998.0</v>
      </c>
      <c r="H1311" s="1" t="s">
        <v>14</v>
      </c>
      <c r="I1311" s="4">
        <v>40148.0</v>
      </c>
      <c r="J1311" s="5">
        <v>0.5465277777777777</v>
      </c>
      <c r="K1311" s="1">
        <v>13.0</v>
      </c>
      <c r="L1311" s="1">
        <v>45.95</v>
      </c>
    </row>
    <row r="1312">
      <c r="A1312" s="1">
        <v>489562.0</v>
      </c>
      <c r="B1312" s="2" t="s">
        <v>1553</v>
      </c>
      <c r="C1312" s="1" t="s">
        <v>1554</v>
      </c>
      <c r="D1312" s="1">
        <v>1.0</v>
      </c>
      <c r="E1312" s="3">
        <v>40148.54652777778</v>
      </c>
      <c r="F1312" s="1">
        <v>5.95</v>
      </c>
      <c r="G1312" s="1">
        <v>17998.0</v>
      </c>
      <c r="H1312" s="1" t="s">
        <v>14</v>
      </c>
      <c r="I1312" s="4">
        <v>40148.0</v>
      </c>
      <c r="J1312" s="5">
        <v>0.5465277777777777</v>
      </c>
      <c r="K1312" s="1">
        <v>13.0</v>
      </c>
      <c r="L1312" s="1">
        <v>5.95</v>
      </c>
    </row>
    <row r="1313">
      <c r="A1313" s="1">
        <v>489562.0</v>
      </c>
      <c r="B1313" s="2" t="s">
        <v>1555</v>
      </c>
      <c r="C1313" s="1" t="s">
        <v>1556</v>
      </c>
      <c r="D1313" s="1">
        <v>1.0</v>
      </c>
      <c r="E1313" s="3">
        <v>40148.54652777778</v>
      </c>
      <c r="F1313" s="1">
        <v>5.95</v>
      </c>
      <c r="G1313" s="1">
        <v>17998.0</v>
      </c>
      <c r="H1313" s="1" t="s">
        <v>14</v>
      </c>
      <c r="I1313" s="4">
        <v>40148.0</v>
      </c>
      <c r="J1313" s="5">
        <v>0.5465277777777777</v>
      </c>
      <c r="K1313" s="1">
        <v>13.0</v>
      </c>
      <c r="L1313" s="1">
        <v>5.95</v>
      </c>
    </row>
    <row r="1314">
      <c r="A1314" s="1">
        <v>489562.0</v>
      </c>
      <c r="B1314" s="2" t="s">
        <v>1557</v>
      </c>
      <c r="C1314" s="1" t="s">
        <v>1558</v>
      </c>
      <c r="D1314" s="1">
        <v>1.0</v>
      </c>
      <c r="E1314" s="3">
        <v>40148.54652777778</v>
      </c>
      <c r="F1314" s="1">
        <v>3.75</v>
      </c>
      <c r="G1314" s="1">
        <v>17998.0</v>
      </c>
      <c r="H1314" s="1" t="s">
        <v>14</v>
      </c>
      <c r="I1314" s="4">
        <v>40148.0</v>
      </c>
      <c r="J1314" s="5">
        <v>0.5465277777777777</v>
      </c>
      <c r="K1314" s="1">
        <v>13.0</v>
      </c>
      <c r="L1314" s="1">
        <v>3.75</v>
      </c>
    </row>
    <row r="1315">
      <c r="A1315" s="1">
        <v>489562.0</v>
      </c>
      <c r="B1315" s="2" t="s">
        <v>1559</v>
      </c>
      <c r="C1315" s="1" t="s">
        <v>1560</v>
      </c>
      <c r="D1315" s="1">
        <v>2.0</v>
      </c>
      <c r="E1315" s="3">
        <v>40148.54652777778</v>
      </c>
      <c r="F1315" s="1">
        <v>5.95</v>
      </c>
      <c r="G1315" s="1">
        <v>17998.0</v>
      </c>
      <c r="H1315" s="1" t="s">
        <v>14</v>
      </c>
      <c r="I1315" s="4">
        <v>40148.0</v>
      </c>
      <c r="J1315" s="5">
        <v>0.5465277777777777</v>
      </c>
      <c r="K1315" s="1">
        <v>13.0</v>
      </c>
      <c r="L1315" s="1">
        <v>11.9</v>
      </c>
    </row>
    <row r="1316">
      <c r="A1316" s="1">
        <v>489562.0</v>
      </c>
      <c r="B1316" s="2" t="s">
        <v>1561</v>
      </c>
      <c r="C1316" s="1" t="s">
        <v>1562</v>
      </c>
      <c r="D1316" s="1">
        <v>24.0</v>
      </c>
      <c r="E1316" s="3">
        <v>40148.54652777778</v>
      </c>
      <c r="F1316" s="1">
        <v>0.42</v>
      </c>
      <c r="G1316" s="1">
        <v>17998.0</v>
      </c>
      <c r="H1316" s="1" t="s">
        <v>14</v>
      </c>
      <c r="I1316" s="4">
        <v>40148.0</v>
      </c>
      <c r="J1316" s="5">
        <v>0.5465277777777777</v>
      </c>
      <c r="K1316" s="1">
        <v>13.0</v>
      </c>
      <c r="L1316" s="1">
        <v>10.08</v>
      </c>
    </row>
    <row r="1317">
      <c r="A1317" s="1">
        <v>489562.0</v>
      </c>
      <c r="B1317" s="2" t="s">
        <v>1260</v>
      </c>
      <c r="C1317" s="1" t="s">
        <v>1261</v>
      </c>
      <c r="D1317" s="1">
        <v>1.0</v>
      </c>
      <c r="E1317" s="3">
        <v>40148.54652777778</v>
      </c>
      <c r="F1317" s="1">
        <v>0.42</v>
      </c>
      <c r="G1317" s="1">
        <v>17998.0</v>
      </c>
      <c r="H1317" s="1" t="s">
        <v>14</v>
      </c>
      <c r="I1317" s="4">
        <v>40148.0</v>
      </c>
      <c r="J1317" s="5">
        <v>0.5465277777777777</v>
      </c>
      <c r="K1317" s="1">
        <v>13.0</v>
      </c>
      <c r="L1317" s="1">
        <v>0.42</v>
      </c>
    </row>
    <row r="1318">
      <c r="A1318" s="1">
        <v>489562.0</v>
      </c>
      <c r="B1318" s="2" t="s">
        <v>1563</v>
      </c>
      <c r="C1318" s="1" t="s">
        <v>1564</v>
      </c>
      <c r="D1318" s="1">
        <v>1.0</v>
      </c>
      <c r="E1318" s="3">
        <v>40148.54652777778</v>
      </c>
      <c r="F1318" s="1">
        <v>2.1</v>
      </c>
      <c r="G1318" s="1">
        <v>17998.0</v>
      </c>
      <c r="H1318" s="1" t="s">
        <v>14</v>
      </c>
      <c r="I1318" s="4">
        <v>40148.0</v>
      </c>
      <c r="J1318" s="5">
        <v>0.5465277777777777</v>
      </c>
      <c r="K1318" s="1">
        <v>13.0</v>
      </c>
      <c r="L1318" s="1">
        <v>2.1</v>
      </c>
    </row>
    <row r="1319">
      <c r="A1319" s="1">
        <v>489562.0</v>
      </c>
      <c r="B1319" s="2" t="s">
        <v>1565</v>
      </c>
      <c r="C1319" s="1" t="s">
        <v>1566</v>
      </c>
      <c r="D1319" s="1">
        <v>1.0</v>
      </c>
      <c r="E1319" s="3">
        <v>40148.54652777778</v>
      </c>
      <c r="F1319" s="1">
        <v>0.65</v>
      </c>
      <c r="G1319" s="1">
        <v>17998.0</v>
      </c>
      <c r="H1319" s="1" t="s">
        <v>14</v>
      </c>
      <c r="I1319" s="4">
        <v>40148.0</v>
      </c>
      <c r="J1319" s="5">
        <v>0.5465277777777777</v>
      </c>
      <c r="K1319" s="1">
        <v>13.0</v>
      </c>
      <c r="L1319" s="1">
        <v>0.65</v>
      </c>
    </row>
    <row r="1320">
      <c r="A1320" s="1" t="s">
        <v>1567</v>
      </c>
      <c r="B1320" s="2" t="s">
        <v>1489</v>
      </c>
      <c r="C1320" s="1" t="s">
        <v>1490</v>
      </c>
      <c r="D1320" s="1">
        <v>-24.0</v>
      </c>
      <c r="E1320" s="3">
        <v>40148.54791666667</v>
      </c>
      <c r="F1320" s="1">
        <v>0.85</v>
      </c>
      <c r="G1320" s="1">
        <v>13526.0</v>
      </c>
      <c r="H1320" s="1" t="s">
        <v>14</v>
      </c>
      <c r="I1320" s="4">
        <v>40148.0</v>
      </c>
      <c r="J1320" s="5">
        <v>0.5479166666666667</v>
      </c>
      <c r="K1320" s="1">
        <v>13.0</v>
      </c>
      <c r="L1320" s="1">
        <v>-20.4</v>
      </c>
    </row>
    <row r="1321">
      <c r="A1321" s="1" t="s">
        <v>1567</v>
      </c>
      <c r="B1321" s="2" t="s">
        <v>1459</v>
      </c>
      <c r="C1321" s="1" t="s">
        <v>1460</v>
      </c>
      <c r="D1321" s="1">
        <v>-24.0</v>
      </c>
      <c r="E1321" s="3">
        <v>40148.54791666667</v>
      </c>
      <c r="F1321" s="1">
        <v>0.85</v>
      </c>
      <c r="G1321" s="1">
        <v>13526.0</v>
      </c>
      <c r="H1321" s="1" t="s">
        <v>14</v>
      </c>
      <c r="I1321" s="4">
        <v>40148.0</v>
      </c>
      <c r="J1321" s="5">
        <v>0.5479166666666667</v>
      </c>
      <c r="K1321" s="1">
        <v>13.0</v>
      </c>
      <c r="L1321" s="1">
        <v>-20.4</v>
      </c>
    </row>
    <row r="1322">
      <c r="A1322" s="1" t="s">
        <v>1567</v>
      </c>
      <c r="B1322" s="2" t="s">
        <v>1487</v>
      </c>
      <c r="C1322" s="1" t="s">
        <v>1488</v>
      </c>
      <c r="D1322" s="1">
        <v>-12.0</v>
      </c>
      <c r="E1322" s="3">
        <v>40148.54791666667</v>
      </c>
      <c r="F1322" s="1">
        <v>0.85</v>
      </c>
      <c r="G1322" s="1">
        <v>13526.0</v>
      </c>
      <c r="H1322" s="1" t="s">
        <v>14</v>
      </c>
      <c r="I1322" s="4">
        <v>40148.0</v>
      </c>
      <c r="J1322" s="5">
        <v>0.5479166666666667</v>
      </c>
      <c r="K1322" s="1">
        <v>13.0</v>
      </c>
      <c r="L1322" s="1">
        <v>-10.2</v>
      </c>
    </row>
    <row r="1323">
      <c r="A1323" s="1" t="s">
        <v>1567</v>
      </c>
      <c r="B1323" s="2" t="s">
        <v>1485</v>
      </c>
      <c r="C1323" s="1" t="s">
        <v>1486</v>
      </c>
      <c r="D1323" s="1">
        <v>-24.0</v>
      </c>
      <c r="E1323" s="3">
        <v>40148.54791666667</v>
      </c>
      <c r="F1323" s="1">
        <v>0.85</v>
      </c>
      <c r="G1323" s="1">
        <v>13526.0</v>
      </c>
      <c r="H1323" s="1" t="s">
        <v>14</v>
      </c>
      <c r="I1323" s="4">
        <v>40148.0</v>
      </c>
      <c r="J1323" s="5">
        <v>0.5479166666666667</v>
      </c>
      <c r="K1323" s="1">
        <v>13.0</v>
      </c>
      <c r="L1323" s="1">
        <v>-20.4</v>
      </c>
    </row>
    <row r="1324">
      <c r="A1324" s="1" t="s">
        <v>1567</v>
      </c>
      <c r="B1324" s="2" t="s">
        <v>1483</v>
      </c>
      <c r="C1324" s="1" t="s">
        <v>1484</v>
      </c>
      <c r="D1324" s="1">
        <v>-81.0</v>
      </c>
      <c r="E1324" s="3">
        <v>40148.54791666667</v>
      </c>
      <c r="F1324" s="1">
        <v>0.85</v>
      </c>
      <c r="G1324" s="1">
        <v>13526.0</v>
      </c>
      <c r="H1324" s="1" t="s">
        <v>14</v>
      </c>
      <c r="I1324" s="4">
        <v>40148.0</v>
      </c>
      <c r="J1324" s="5">
        <v>0.5479166666666667</v>
      </c>
      <c r="K1324" s="1">
        <v>13.0</v>
      </c>
      <c r="L1324" s="1">
        <v>-68.85</v>
      </c>
    </row>
    <row r="1325">
      <c r="A1325" s="1" t="s">
        <v>1567</v>
      </c>
      <c r="B1325" s="2" t="s">
        <v>1461</v>
      </c>
      <c r="C1325" s="1" t="s">
        <v>1462</v>
      </c>
      <c r="D1325" s="1">
        <v>-24.0</v>
      </c>
      <c r="E1325" s="3">
        <v>40148.54791666667</v>
      </c>
      <c r="F1325" s="1">
        <v>0.85</v>
      </c>
      <c r="G1325" s="1">
        <v>13526.0</v>
      </c>
      <c r="H1325" s="1" t="s">
        <v>14</v>
      </c>
      <c r="I1325" s="4">
        <v>40148.0</v>
      </c>
      <c r="J1325" s="5">
        <v>0.5479166666666667</v>
      </c>
      <c r="K1325" s="1">
        <v>13.0</v>
      </c>
      <c r="L1325" s="1">
        <v>-20.4</v>
      </c>
    </row>
    <row r="1326">
      <c r="A1326" s="1" t="s">
        <v>1567</v>
      </c>
      <c r="B1326" s="2" t="s">
        <v>1481</v>
      </c>
      <c r="C1326" s="1" t="s">
        <v>1482</v>
      </c>
      <c r="D1326" s="1">
        <v>-48.0</v>
      </c>
      <c r="E1326" s="3">
        <v>40148.54791666667</v>
      </c>
      <c r="F1326" s="1">
        <v>0.85</v>
      </c>
      <c r="G1326" s="1">
        <v>13526.0</v>
      </c>
      <c r="H1326" s="1" t="s">
        <v>14</v>
      </c>
      <c r="I1326" s="4">
        <v>40148.0</v>
      </c>
      <c r="J1326" s="5">
        <v>0.5479166666666667</v>
      </c>
      <c r="K1326" s="1">
        <v>13.0</v>
      </c>
      <c r="L1326" s="1">
        <v>-40.8</v>
      </c>
    </row>
    <row r="1327">
      <c r="A1327" s="1" t="s">
        <v>1567</v>
      </c>
      <c r="B1327" s="2" t="s">
        <v>1461</v>
      </c>
      <c r="C1327" s="1" t="s">
        <v>1462</v>
      </c>
      <c r="D1327" s="1">
        <v>-3.0</v>
      </c>
      <c r="E1327" s="3">
        <v>40148.54791666667</v>
      </c>
      <c r="F1327" s="1">
        <v>0.85</v>
      </c>
      <c r="G1327" s="1">
        <v>13526.0</v>
      </c>
      <c r="H1327" s="1" t="s">
        <v>14</v>
      </c>
      <c r="I1327" s="4">
        <v>40148.0</v>
      </c>
      <c r="J1327" s="5">
        <v>0.5479166666666667</v>
      </c>
      <c r="K1327" s="1">
        <v>13.0</v>
      </c>
      <c r="L1327" s="1">
        <v>-2.55</v>
      </c>
    </row>
    <row r="1328">
      <c r="A1328" s="1" t="s">
        <v>1567</v>
      </c>
      <c r="B1328" s="2" t="s">
        <v>1459</v>
      </c>
      <c r="C1328" s="1" t="s">
        <v>1460</v>
      </c>
      <c r="D1328" s="1">
        <v>-12.0</v>
      </c>
      <c r="E1328" s="3">
        <v>40148.54791666667</v>
      </c>
      <c r="F1328" s="1">
        <v>0.85</v>
      </c>
      <c r="G1328" s="1">
        <v>13526.0</v>
      </c>
      <c r="H1328" s="1" t="s">
        <v>14</v>
      </c>
      <c r="I1328" s="4">
        <v>40148.0</v>
      </c>
      <c r="J1328" s="5">
        <v>0.5479166666666667</v>
      </c>
      <c r="K1328" s="1">
        <v>13.0</v>
      </c>
      <c r="L1328" s="1">
        <v>-10.2</v>
      </c>
    </row>
    <row r="1329">
      <c r="A1329" s="1">
        <v>489564.0</v>
      </c>
      <c r="B1329" s="2" t="s">
        <v>1459</v>
      </c>
      <c r="C1329" s="1" t="s">
        <v>1460</v>
      </c>
      <c r="D1329" s="1">
        <v>36.0</v>
      </c>
      <c r="E1329" s="3">
        <v>40148.55069444444</v>
      </c>
      <c r="F1329" s="1">
        <v>0.85</v>
      </c>
      <c r="G1329" s="1">
        <v>13526.0</v>
      </c>
      <c r="H1329" s="1" t="s">
        <v>14</v>
      </c>
      <c r="I1329" s="4">
        <v>40148.0</v>
      </c>
      <c r="J1329" s="5">
        <v>0.5506944444444445</v>
      </c>
      <c r="K1329" s="1">
        <v>13.0</v>
      </c>
      <c r="L1329" s="1">
        <v>30.5999999999999</v>
      </c>
    </row>
    <row r="1330">
      <c r="A1330" s="1">
        <v>489564.0</v>
      </c>
      <c r="B1330" s="2" t="s">
        <v>1568</v>
      </c>
      <c r="C1330" s="1" t="s">
        <v>1569</v>
      </c>
      <c r="D1330" s="1">
        <v>12.0</v>
      </c>
      <c r="E1330" s="3">
        <v>40148.55069444444</v>
      </c>
      <c r="F1330" s="1">
        <v>2.1</v>
      </c>
      <c r="G1330" s="1">
        <v>13526.0</v>
      </c>
      <c r="H1330" s="1" t="s">
        <v>14</v>
      </c>
      <c r="I1330" s="4">
        <v>40148.0</v>
      </c>
      <c r="J1330" s="5">
        <v>0.5506944444444445</v>
      </c>
      <c r="K1330" s="1">
        <v>13.0</v>
      </c>
      <c r="L1330" s="1">
        <v>25.2</v>
      </c>
    </row>
    <row r="1331">
      <c r="A1331" s="1">
        <v>489564.0</v>
      </c>
      <c r="B1331" s="2" t="s">
        <v>1570</v>
      </c>
      <c r="C1331" s="1" t="s">
        <v>1571</v>
      </c>
      <c r="D1331" s="1">
        <v>12.0</v>
      </c>
      <c r="E1331" s="3">
        <v>40148.55069444444</v>
      </c>
      <c r="F1331" s="1">
        <v>2.1</v>
      </c>
      <c r="G1331" s="1">
        <v>13526.0</v>
      </c>
      <c r="H1331" s="1" t="s">
        <v>14</v>
      </c>
      <c r="I1331" s="4">
        <v>40148.0</v>
      </c>
      <c r="J1331" s="5">
        <v>0.5506944444444445</v>
      </c>
      <c r="K1331" s="1">
        <v>13.0</v>
      </c>
      <c r="L1331" s="1">
        <v>25.2</v>
      </c>
    </row>
    <row r="1332">
      <c r="A1332" s="1">
        <v>489564.0</v>
      </c>
      <c r="B1332" s="2" t="s">
        <v>1572</v>
      </c>
      <c r="C1332" s="1" t="s">
        <v>1573</v>
      </c>
      <c r="D1332" s="1">
        <v>2.0</v>
      </c>
      <c r="E1332" s="3">
        <v>40148.55069444444</v>
      </c>
      <c r="F1332" s="1">
        <v>1.25</v>
      </c>
      <c r="G1332" s="1">
        <v>13526.0</v>
      </c>
      <c r="H1332" s="1" t="s">
        <v>14</v>
      </c>
      <c r="I1332" s="4">
        <v>40148.0</v>
      </c>
      <c r="J1332" s="5">
        <v>0.5506944444444445</v>
      </c>
      <c r="K1332" s="1">
        <v>13.0</v>
      </c>
      <c r="L1332" s="1">
        <v>2.5</v>
      </c>
    </row>
    <row r="1333">
      <c r="A1333" s="1">
        <v>489564.0</v>
      </c>
      <c r="B1333" s="2" t="s">
        <v>1471</v>
      </c>
      <c r="C1333" s="1" t="s">
        <v>1472</v>
      </c>
      <c r="D1333" s="1">
        <v>12.0</v>
      </c>
      <c r="E1333" s="3">
        <v>40148.55069444444</v>
      </c>
      <c r="F1333" s="1">
        <v>2.1</v>
      </c>
      <c r="G1333" s="1">
        <v>13526.0</v>
      </c>
      <c r="H1333" s="1" t="s">
        <v>14</v>
      </c>
      <c r="I1333" s="4">
        <v>40148.0</v>
      </c>
      <c r="J1333" s="5">
        <v>0.5506944444444445</v>
      </c>
      <c r="K1333" s="1">
        <v>13.0</v>
      </c>
      <c r="L1333" s="1">
        <v>25.2</v>
      </c>
    </row>
    <row r="1334">
      <c r="A1334" s="1">
        <v>489564.0</v>
      </c>
      <c r="B1334" s="2" t="s">
        <v>1483</v>
      </c>
      <c r="C1334" s="1" t="s">
        <v>1484</v>
      </c>
      <c r="D1334" s="1">
        <v>81.0</v>
      </c>
      <c r="E1334" s="3">
        <v>40148.55069444444</v>
      </c>
      <c r="F1334" s="1">
        <v>0.85</v>
      </c>
      <c r="G1334" s="1">
        <v>13526.0</v>
      </c>
      <c r="H1334" s="1" t="s">
        <v>14</v>
      </c>
      <c r="I1334" s="4">
        <v>40148.0</v>
      </c>
      <c r="J1334" s="5">
        <v>0.5506944444444445</v>
      </c>
      <c r="K1334" s="1">
        <v>13.0</v>
      </c>
      <c r="L1334" s="1">
        <v>68.85</v>
      </c>
    </row>
    <row r="1335">
      <c r="A1335" s="1">
        <v>489564.0</v>
      </c>
      <c r="B1335" s="2" t="s">
        <v>1461</v>
      </c>
      <c r="C1335" s="1" t="s">
        <v>1462</v>
      </c>
      <c r="D1335" s="1">
        <v>24.0</v>
      </c>
      <c r="E1335" s="3">
        <v>40148.55069444444</v>
      </c>
      <c r="F1335" s="1">
        <v>0.85</v>
      </c>
      <c r="G1335" s="1">
        <v>13526.0</v>
      </c>
      <c r="H1335" s="1" t="s">
        <v>14</v>
      </c>
      <c r="I1335" s="4">
        <v>40148.0</v>
      </c>
      <c r="J1335" s="5">
        <v>0.5506944444444445</v>
      </c>
      <c r="K1335" s="1">
        <v>13.0</v>
      </c>
      <c r="L1335" s="1">
        <v>20.4</v>
      </c>
    </row>
    <row r="1336">
      <c r="A1336" s="1">
        <v>489564.0</v>
      </c>
      <c r="B1336" s="2" t="s">
        <v>1481</v>
      </c>
      <c r="C1336" s="1" t="s">
        <v>1482</v>
      </c>
      <c r="D1336" s="1">
        <v>48.0</v>
      </c>
      <c r="E1336" s="3">
        <v>40148.55069444444</v>
      </c>
      <c r="F1336" s="1">
        <v>0.85</v>
      </c>
      <c r="G1336" s="1">
        <v>13526.0</v>
      </c>
      <c r="H1336" s="1" t="s">
        <v>14</v>
      </c>
      <c r="I1336" s="4">
        <v>40148.0</v>
      </c>
      <c r="J1336" s="5">
        <v>0.5506944444444445</v>
      </c>
      <c r="K1336" s="1">
        <v>13.0</v>
      </c>
      <c r="L1336" s="1">
        <v>40.8</v>
      </c>
    </row>
    <row r="1337">
      <c r="A1337" s="1">
        <v>489564.0</v>
      </c>
      <c r="B1337" s="2" t="s">
        <v>1461</v>
      </c>
      <c r="C1337" s="1" t="s">
        <v>1462</v>
      </c>
      <c r="D1337" s="1">
        <v>3.0</v>
      </c>
      <c r="E1337" s="3">
        <v>40148.55069444444</v>
      </c>
      <c r="F1337" s="1">
        <v>0.85</v>
      </c>
      <c r="G1337" s="1">
        <v>13526.0</v>
      </c>
      <c r="H1337" s="1" t="s">
        <v>14</v>
      </c>
      <c r="I1337" s="4">
        <v>40148.0</v>
      </c>
      <c r="J1337" s="5">
        <v>0.5506944444444445</v>
      </c>
      <c r="K1337" s="1">
        <v>13.0</v>
      </c>
      <c r="L1337" s="1">
        <v>2.55</v>
      </c>
    </row>
    <row r="1338">
      <c r="A1338" s="1">
        <v>489564.0</v>
      </c>
      <c r="B1338" s="2" t="s">
        <v>1459</v>
      </c>
      <c r="C1338" s="1" t="s">
        <v>1460</v>
      </c>
      <c r="D1338" s="1">
        <v>12.0</v>
      </c>
      <c r="E1338" s="3">
        <v>40148.55069444444</v>
      </c>
      <c r="F1338" s="1">
        <v>0.85</v>
      </c>
      <c r="G1338" s="1">
        <v>13526.0</v>
      </c>
      <c r="H1338" s="1" t="s">
        <v>14</v>
      </c>
      <c r="I1338" s="4">
        <v>40148.0</v>
      </c>
      <c r="J1338" s="5">
        <v>0.5506944444444445</v>
      </c>
      <c r="K1338" s="1">
        <v>13.0</v>
      </c>
      <c r="L1338" s="1">
        <v>10.2</v>
      </c>
    </row>
    <row r="1339">
      <c r="A1339" s="1">
        <v>489564.0</v>
      </c>
      <c r="B1339" s="2" t="s">
        <v>1489</v>
      </c>
      <c r="C1339" s="1" t="s">
        <v>1490</v>
      </c>
      <c r="D1339" s="1">
        <v>24.0</v>
      </c>
      <c r="E1339" s="3">
        <v>40148.55069444444</v>
      </c>
      <c r="F1339" s="1">
        <v>0.85</v>
      </c>
      <c r="G1339" s="1">
        <v>13526.0</v>
      </c>
      <c r="H1339" s="1" t="s">
        <v>14</v>
      </c>
      <c r="I1339" s="4">
        <v>40148.0</v>
      </c>
      <c r="J1339" s="5">
        <v>0.5506944444444445</v>
      </c>
      <c r="K1339" s="1">
        <v>13.0</v>
      </c>
      <c r="L1339" s="1">
        <v>20.4</v>
      </c>
    </row>
    <row r="1340">
      <c r="A1340" s="1">
        <v>489564.0</v>
      </c>
      <c r="B1340" s="2" t="s">
        <v>1459</v>
      </c>
      <c r="C1340" s="1" t="s">
        <v>1460</v>
      </c>
      <c r="D1340" s="1">
        <v>24.0</v>
      </c>
      <c r="E1340" s="3">
        <v>40148.55069444444</v>
      </c>
      <c r="F1340" s="1">
        <v>0.85</v>
      </c>
      <c r="G1340" s="1">
        <v>13526.0</v>
      </c>
      <c r="H1340" s="1" t="s">
        <v>14</v>
      </c>
      <c r="I1340" s="4">
        <v>40148.0</v>
      </c>
      <c r="J1340" s="5">
        <v>0.5506944444444445</v>
      </c>
      <c r="K1340" s="1">
        <v>13.0</v>
      </c>
      <c r="L1340" s="1">
        <v>20.4</v>
      </c>
    </row>
    <row r="1341">
      <c r="A1341" s="1">
        <v>489564.0</v>
      </c>
      <c r="B1341" s="2" t="s">
        <v>1487</v>
      </c>
      <c r="C1341" s="1" t="s">
        <v>1488</v>
      </c>
      <c r="D1341" s="1">
        <v>12.0</v>
      </c>
      <c r="E1341" s="3">
        <v>40148.55069444444</v>
      </c>
      <c r="F1341" s="1">
        <v>0.85</v>
      </c>
      <c r="G1341" s="1">
        <v>13526.0</v>
      </c>
      <c r="H1341" s="1" t="s">
        <v>14</v>
      </c>
      <c r="I1341" s="4">
        <v>40148.0</v>
      </c>
      <c r="J1341" s="5">
        <v>0.5506944444444445</v>
      </c>
      <c r="K1341" s="1">
        <v>13.0</v>
      </c>
      <c r="L1341" s="1">
        <v>10.2</v>
      </c>
    </row>
    <row r="1342">
      <c r="A1342" s="1">
        <v>489564.0</v>
      </c>
      <c r="B1342" s="2" t="s">
        <v>1485</v>
      </c>
      <c r="C1342" s="1" t="s">
        <v>1486</v>
      </c>
      <c r="D1342" s="1">
        <v>24.0</v>
      </c>
      <c r="E1342" s="3">
        <v>40148.55069444444</v>
      </c>
      <c r="F1342" s="1">
        <v>0.85</v>
      </c>
      <c r="G1342" s="1">
        <v>13526.0</v>
      </c>
      <c r="H1342" s="1" t="s">
        <v>14</v>
      </c>
      <c r="I1342" s="4">
        <v>40148.0</v>
      </c>
      <c r="J1342" s="5">
        <v>0.5506944444444445</v>
      </c>
      <c r="K1342" s="1">
        <v>13.0</v>
      </c>
      <c r="L1342" s="1">
        <v>20.4</v>
      </c>
    </row>
    <row r="1343">
      <c r="A1343" s="1" t="s">
        <v>1574</v>
      </c>
      <c r="B1343" s="2" t="s">
        <v>1471</v>
      </c>
      <c r="C1343" s="1" t="s">
        <v>1472</v>
      </c>
      <c r="D1343" s="1">
        <v>-12.0</v>
      </c>
      <c r="E1343" s="3">
        <v>40148.55138888889</v>
      </c>
      <c r="F1343" s="1">
        <v>2.1</v>
      </c>
      <c r="G1343" s="1">
        <v>13526.0</v>
      </c>
      <c r="H1343" s="1" t="s">
        <v>14</v>
      </c>
      <c r="I1343" s="4">
        <v>40148.0</v>
      </c>
      <c r="J1343" s="5">
        <v>0.5513888888888889</v>
      </c>
      <c r="K1343" s="1">
        <v>13.0</v>
      </c>
      <c r="L1343" s="1">
        <v>-25.2</v>
      </c>
    </row>
    <row r="1344">
      <c r="A1344" s="1">
        <v>489566.0</v>
      </c>
      <c r="B1344" s="2" t="s">
        <v>1575</v>
      </c>
      <c r="C1344" s="1" t="s">
        <v>1576</v>
      </c>
      <c r="D1344" s="1">
        <v>6.0</v>
      </c>
      <c r="E1344" s="3">
        <v>40148.552777777775</v>
      </c>
      <c r="F1344" s="1">
        <v>6.35</v>
      </c>
      <c r="G1344" s="1">
        <v>17742.0</v>
      </c>
      <c r="H1344" s="1" t="s">
        <v>14</v>
      </c>
      <c r="I1344" s="4">
        <v>40148.0</v>
      </c>
      <c r="J1344" s="5">
        <v>0.5527777777777778</v>
      </c>
      <c r="K1344" s="1">
        <v>13.0</v>
      </c>
      <c r="L1344" s="1">
        <v>38.0999999999999</v>
      </c>
    </row>
    <row r="1345">
      <c r="A1345" s="1">
        <v>489566.0</v>
      </c>
      <c r="B1345" s="2" t="s">
        <v>410</v>
      </c>
      <c r="C1345" s="1" t="s">
        <v>411</v>
      </c>
      <c r="D1345" s="1">
        <v>3.0</v>
      </c>
      <c r="E1345" s="3">
        <v>40148.552777777775</v>
      </c>
      <c r="F1345" s="1">
        <v>5.95</v>
      </c>
      <c r="G1345" s="1">
        <v>17742.0</v>
      </c>
      <c r="H1345" s="1" t="s">
        <v>14</v>
      </c>
      <c r="I1345" s="4">
        <v>40148.0</v>
      </c>
      <c r="J1345" s="5">
        <v>0.5527777777777778</v>
      </c>
      <c r="K1345" s="1">
        <v>13.0</v>
      </c>
      <c r="L1345" s="1">
        <v>17.85</v>
      </c>
    </row>
    <row r="1346">
      <c r="A1346" s="1">
        <v>489566.0</v>
      </c>
      <c r="B1346" s="2" t="s">
        <v>1577</v>
      </c>
      <c r="C1346" s="1" t="s">
        <v>1578</v>
      </c>
      <c r="D1346" s="1">
        <v>2.0</v>
      </c>
      <c r="E1346" s="3">
        <v>40148.552777777775</v>
      </c>
      <c r="F1346" s="1">
        <v>8.5</v>
      </c>
      <c r="G1346" s="1">
        <v>17742.0</v>
      </c>
      <c r="H1346" s="1" t="s">
        <v>14</v>
      </c>
      <c r="I1346" s="4">
        <v>40148.0</v>
      </c>
      <c r="J1346" s="5">
        <v>0.5527777777777778</v>
      </c>
      <c r="K1346" s="1">
        <v>13.0</v>
      </c>
      <c r="L1346" s="1">
        <v>17.0</v>
      </c>
    </row>
    <row r="1347">
      <c r="A1347" s="1">
        <v>489566.0</v>
      </c>
      <c r="B1347" s="2" t="s">
        <v>678</v>
      </c>
      <c r="C1347" s="1" t="s">
        <v>679</v>
      </c>
      <c r="D1347" s="1">
        <v>4.0</v>
      </c>
      <c r="E1347" s="3">
        <v>40148.552777777775</v>
      </c>
      <c r="F1347" s="1">
        <v>12.75</v>
      </c>
      <c r="G1347" s="1">
        <v>17742.0</v>
      </c>
      <c r="H1347" s="1" t="s">
        <v>14</v>
      </c>
      <c r="I1347" s="4">
        <v>40148.0</v>
      </c>
      <c r="J1347" s="5">
        <v>0.5527777777777778</v>
      </c>
      <c r="K1347" s="1">
        <v>13.0</v>
      </c>
      <c r="L1347" s="1">
        <v>51.0</v>
      </c>
    </row>
    <row r="1348">
      <c r="A1348" s="1">
        <v>489566.0</v>
      </c>
      <c r="B1348" s="2" t="s">
        <v>1579</v>
      </c>
      <c r="C1348" s="1" t="s">
        <v>1580</v>
      </c>
      <c r="D1348" s="1">
        <v>2.0</v>
      </c>
      <c r="E1348" s="3">
        <v>40148.552777777775</v>
      </c>
      <c r="F1348" s="1">
        <v>18.95</v>
      </c>
      <c r="G1348" s="1">
        <v>17742.0</v>
      </c>
      <c r="H1348" s="1" t="s">
        <v>14</v>
      </c>
      <c r="I1348" s="4">
        <v>40148.0</v>
      </c>
      <c r="J1348" s="5">
        <v>0.5527777777777778</v>
      </c>
      <c r="K1348" s="1">
        <v>13.0</v>
      </c>
      <c r="L1348" s="1">
        <v>37.9</v>
      </c>
    </row>
    <row r="1349">
      <c r="A1349" s="1">
        <v>489566.0</v>
      </c>
      <c r="B1349" s="2" t="s">
        <v>263</v>
      </c>
      <c r="C1349" s="1" t="s">
        <v>264</v>
      </c>
      <c r="D1349" s="1">
        <v>2.0</v>
      </c>
      <c r="E1349" s="3">
        <v>40148.552777777775</v>
      </c>
      <c r="F1349" s="1">
        <v>12.75</v>
      </c>
      <c r="G1349" s="1">
        <v>17742.0</v>
      </c>
      <c r="H1349" s="1" t="s">
        <v>14</v>
      </c>
      <c r="I1349" s="4">
        <v>40148.0</v>
      </c>
      <c r="J1349" s="5">
        <v>0.5527777777777778</v>
      </c>
      <c r="K1349" s="1">
        <v>13.0</v>
      </c>
      <c r="L1349" s="1">
        <v>25.5</v>
      </c>
    </row>
    <row r="1350">
      <c r="A1350" s="1">
        <v>489566.0</v>
      </c>
      <c r="B1350" s="2" t="s">
        <v>1581</v>
      </c>
      <c r="C1350" s="1" t="s">
        <v>1582</v>
      </c>
      <c r="D1350" s="1">
        <v>8.0</v>
      </c>
      <c r="E1350" s="3">
        <v>40148.552777777775</v>
      </c>
      <c r="F1350" s="1">
        <v>1.95</v>
      </c>
      <c r="G1350" s="1">
        <v>17742.0</v>
      </c>
      <c r="H1350" s="1" t="s">
        <v>14</v>
      </c>
      <c r="I1350" s="4">
        <v>40148.0</v>
      </c>
      <c r="J1350" s="5">
        <v>0.5527777777777778</v>
      </c>
      <c r="K1350" s="1">
        <v>13.0</v>
      </c>
      <c r="L1350" s="1">
        <v>15.6</v>
      </c>
    </row>
    <row r="1351">
      <c r="A1351" s="1">
        <v>489566.0</v>
      </c>
      <c r="B1351" s="2" t="s">
        <v>522</v>
      </c>
      <c r="C1351" s="1" t="s">
        <v>523</v>
      </c>
      <c r="D1351" s="1">
        <v>8.0</v>
      </c>
      <c r="E1351" s="3">
        <v>40148.552777777775</v>
      </c>
      <c r="F1351" s="1">
        <v>1.95</v>
      </c>
      <c r="G1351" s="1">
        <v>17742.0</v>
      </c>
      <c r="H1351" s="1" t="s">
        <v>14</v>
      </c>
      <c r="I1351" s="4">
        <v>40148.0</v>
      </c>
      <c r="J1351" s="5">
        <v>0.5527777777777778</v>
      </c>
      <c r="K1351" s="1">
        <v>13.0</v>
      </c>
      <c r="L1351" s="1">
        <v>15.6</v>
      </c>
    </row>
    <row r="1352">
      <c r="A1352" s="1">
        <v>489567.0</v>
      </c>
      <c r="B1352" s="2" t="s">
        <v>1003</v>
      </c>
      <c r="C1352" s="1" t="s">
        <v>1004</v>
      </c>
      <c r="D1352" s="1">
        <v>2.0</v>
      </c>
      <c r="E1352" s="3">
        <v>40148.55486111111</v>
      </c>
      <c r="F1352" s="1">
        <v>16.95</v>
      </c>
      <c r="G1352" s="1">
        <v>15326.0</v>
      </c>
      <c r="H1352" s="1" t="s">
        <v>14</v>
      </c>
      <c r="I1352" s="4">
        <v>40148.0</v>
      </c>
      <c r="J1352" s="5">
        <v>0.5548611111111111</v>
      </c>
      <c r="K1352" s="1">
        <v>13.0</v>
      </c>
      <c r="L1352" s="1">
        <v>33.9</v>
      </c>
    </row>
    <row r="1353">
      <c r="A1353" s="1">
        <v>489567.0</v>
      </c>
      <c r="B1353" s="2" t="s">
        <v>696</v>
      </c>
      <c r="C1353" s="1" t="s">
        <v>697</v>
      </c>
      <c r="D1353" s="1">
        <v>4.0</v>
      </c>
      <c r="E1353" s="3">
        <v>40148.55486111111</v>
      </c>
      <c r="F1353" s="1">
        <v>3.45</v>
      </c>
      <c r="G1353" s="1">
        <v>15326.0</v>
      </c>
      <c r="H1353" s="1" t="s">
        <v>14</v>
      </c>
      <c r="I1353" s="4">
        <v>40148.0</v>
      </c>
      <c r="J1353" s="5">
        <v>0.5548611111111111</v>
      </c>
      <c r="K1353" s="1">
        <v>13.0</v>
      </c>
      <c r="L1353" s="1">
        <v>13.8</v>
      </c>
    </row>
    <row r="1354">
      <c r="A1354" s="1">
        <v>489567.0</v>
      </c>
      <c r="B1354" s="2" t="s">
        <v>238</v>
      </c>
      <c r="C1354" s="1" t="s">
        <v>239</v>
      </c>
      <c r="D1354" s="1">
        <v>6.0</v>
      </c>
      <c r="E1354" s="3">
        <v>40148.55486111111</v>
      </c>
      <c r="F1354" s="1">
        <v>2.55</v>
      </c>
      <c r="G1354" s="1">
        <v>15326.0</v>
      </c>
      <c r="H1354" s="1" t="s">
        <v>14</v>
      </c>
      <c r="I1354" s="4">
        <v>40148.0</v>
      </c>
      <c r="J1354" s="5">
        <v>0.5548611111111111</v>
      </c>
      <c r="K1354" s="1">
        <v>13.0</v>
      </c>
      <c r="L1354" s="1">
        <v>15.2999999999999</v>
      </c>
    </row>
    <row r="1355">
      <c r="A1355" s="1">
        <v>489567.0</v>
      </c>
      <c r="B1355" s="2" t="s">
        <v>611</v>
      </c>
      <c r="C1355" s="1" t="s">
        <v>612</v>
      </c>
      <c r="D1355" s="1">
        <v>6.0</v>
      </c>
      <c r="E1355" s="3">
        <v>40148.55486111111</v>
      </c>
      <c r="F1355" s="1">
        <v>2.1</v>
      </c>
      <c r="G1355" s="1">
        <v>15326.0</v>
      </c>
      <c r="H1355" s="1" t="s">
        <v>14</v>
      </c>
      <c r="I1355" s="4">
        <v>40148.0</v>
      </c>
      <c r="J1355" s="5">
        <v>0.5548611111111111</v>
      </c>
      <c r="K1355" s="1">
        <v>13.0</v>
      </c>
      <c r="L1355" s="1">
        <v>12.6</v>
      </c>
    </row>
    <row r="1356">
      <c r="A1356" s="1">
        <v>489567.0</v>
      </c>
      <c r="B1356" s="2" t="s">
        <v>1039</v>
      </c>
      <c r="C1356" s="1" t="s">
        <v>1040</v>
      </c>
      <c r="D1356" s="1">
        <v>6.0</v>
      </c>
      <c r="E1356" s="3">
        <v>40148.55486111111</v>
      </c>
      <c r="F1356" s="1">
        <v>2.95</v>
      </c>
      <c r="G1356" s="1">
        <v>15326.0</v>
      </c>
      <c r="H1356" s="1" t="s">
        <v>14</v>
      </c>
      <c r="I1356" s="4">
        <v>40148.0</v>
      </c>
      <c r="J1356" s="5">
        <v>0.5548611111111111</v>
      </c>
      <c r="K1356" s="1">
        <v>13.0</v>
      </c>
      <c r="L1356" s="1">
        <v>17.7</v>
      </c>
    </row>
    <row r="1357">
      <c r="A1357" s="1">
        <v>489567.0</v>
      </c>
      <c r="B1357" s="2" t="s">
        <v>190</v>
      </c>
      <c r="C1357" s="1" t="s">
        <v>191</v>
      </c>
      <c r="D1357" s="1">
        <v>4.0</v>
      </c>
      <c r="E1357" s="3">
        <v>40148.55486111111</v>
      </c>
      <c r="F1357" s="1">
        <v>3.75</v>
      </c>
      <c r="G1357" s="1">
        <v>15326.0</v>
      </c>
      <c r="H1357" s="1" t="s">
        <v>14</v>
      </c>
      <c r="I1357" s="4">
        <v>40148.0</v>
      </c>
      <c r="J1357" s="5">
        <v>0.5548611111111111</v>
      </c>
      <c r="K1357" s="1">
        <v>13.0</v>
      </c>
      <c r="L1357" s="1">
        <v>15.0</v>
      </c>
    </row>
    <row r="1358">
      <c r="A1358" s="1">
        <v>489567.0</v>
      </c>
      <c r="B1358" s="2" t="s">
        <v>674</v>
      </c>
      <c r="C1358" s="1" t="s">
        <v>675</v>
      </c>
      <c r="D1358" s="1">
        <v>12.0</v>
      </c>
      <c r="E1358" s="3">
        <v>40148.55486111111</v>
      </c>
      <c r="F1358" s="1">
        <v>1.45</v>
      </c>
      <c r="G1358" s="1">
        <v>15326.0</v>
      </c>
      <c r="H1358" s="1" t="s">
        <v>14</v>
      </c>
      <c r="I1358" s="4">
        <v>40148.0</v>
      </c>
      <c r="J1358" s="5">
        <v>0.5548611111111111</v>
      </c>
      <c r="K1358" s="1">
        <v>13.0</v>
      </c>
      <c r="L1358" s="1">
        <v>17.4</v>
      </c>
    </row>
    <row r="1359">
      <c r="A1359" s="1">
        <v>489567.0</v>
      </c>
      <c r="B1359" s="2" t="s">
        <v>1583</v>
      </c>
      <c r="C1359" s="1" t="s">
        <v>1584</v>
      </c>
      <c r="D1359" s="1">
        <v>6.0</v>
      </c>
      <c r="E1359" s="3">
        <v>40148.55486111111</v>
      </c>
      <c r="F1359" s="1">
        <v>1.25</v>
      </c>
      <c r="G1359" s="1">
        <v>15326.0</v>
      </c>
      <c r="H1359" s="1" t="s">
        <v>14</v>
      </c>
      <c r="I1359" s="4">
        <v>40148.0</v>
      </c>
      <c r="J1359" s="5">
        <v>0.5548611111111111</v>
      </c>
      <c r="K1359" s="1">
        <v>13.0</v>
      </c>
      <c r="L1359" s="1">
        <v>7.5</v>
      </c>
    </row>
    <row r="1360">
      <c r="A1360" s="1">
        <v>489567.0</v>
      </c>
      <c r="B1360" s="2" t="s">
        <v>660</v>
      </c>
      <c r="C1360" s="1" t="s">
        <v>661</v>
      </c>
      <c r="D1360" s="1">
        <v>2.0</v>
      </c>
      <c r="E1360" s="3">
        <v>40148.55486111111</v>
      </c>
      <c r="F1360" s="1">
        <v>6.75</v>
      </c>
      <c r="G1360" s="1">
        <v>15326.0</v>
      </c>
      <c r="H1360" s="1" t="s">
        <v>14</v>
      </c>
      <c r="I1360" s="4">
        <v>40148.0</v>
      </c>
      <c r="J1360" s="5">
        <v>0.5548611111111111</v>
      </c>
      <c r="K1360" s="1">
        <v>13.0</v>
      </c>
      <c r="L1360" s="1">
        <v>13.5</v>
      </c>
    </row>
    <row r="1361">
      <c r="A1361" s="1">
        <v>489567.0</v>
      </c>
      <c r="B1361" s="2" t="s">
        <v>845</v>
      </c>
      <c r="C1361" s="1" t="s">
        <v>846</v>
      </c>
      <c r="D1361" s="1">
        <v>24.0</v>
      </c>
      <c r="E1361" s="3">
        <v>40148.55486111111</v>
      </c>
      <c r="F1361" s="1">
        <v>0.55</v>
      </c>
      <c r="G1361" s="1">
        <v>15326.0</v>
      </c>
      <c r="H1361" s="1" t="s">
        <v>14</v>
      </c>
      <c r="I1361" s="4">
        <v>40148.0</v>
      </c>
      <c r="J1361" s="5">
        <v>0.5548611111111111</v>
      </c>
      <c r="K1361" s="1">
        <v>13.0</v>
      </c>
      <c r="L1361" s="1">
        <v>13.2</v>
      </c>
    </row>
    <row r="1362">
      <c r="A1362" s="1">
        <v>489567.0</v>
      </c>
      <c r="B1362" s="2" t="s">
        <v>1585</v>
      </c>
      <c r="C1362" s="1" t="s">
        <v>1586</v>
      </c>
      <c r="D1362" s="1">
        <v>24.0</v>
      </c>
      <c r="E1362" s="3">
        <v>40148.55486111111</v>
      </c>
      <c r="F1362" s="1">
        <v>0.55</v>
      </c>
      <c r="G1362" s="1">
        <v>15326.0</v>
      </c>
      <c r="H1362" s="1" t="s">
        <v>14</v>
      </c>
      <c r="I1362" s="4">
        <v>40148.0</v>
      </c>
      <c r="J1362" s="5">
        <v>0.5548611111111111</v>
      </c>
      <c r="K1362" s="1">
        <v>13.0</v>
      </c>
      <c r="L1362" s="1">
        <v>13.2</v>
      </c>
    </row>
    <row r="1363">
      <c r="A1363" s="1">
        <v>489567.0</v>
      </c>
      <c r="B1363" s="2" t="s">
        <v>1587</v>
      </c>
      <c r="C1363" s="1" t="s">
        <v>1588</v>
      </c>
      <c r="D1363" s="1">
        <v>24.0</v>
      </c>
      <c r="E1363" s="3">
        <v>40148.55486111111</v>
      </c>
      <c r="F1363" s="1">
        <v>0.55</v>
      </c>
      <c r="G1363" s="1">
        <v>15326.0</v>
      </c>
      <c r="H1363" s="1" t="s">
        <v>14</v>
      </c>
      <c r="I1363" s="4">
        <v>40148.0</v>
      </c>
      <c r="J1363" s="5">
        <v>0.5548611111111111</v>
      </c>
      <c r="K1363" s="1">
        <v>13.0</v>
      </c>
      <c r="L1363" s="1">
        <v>13.2</v>
      </c>
    </row>
    <row r="1364">
      <c r="A1364" s="1">
        <v>489567.0</v>
      </c>
      <c r="B1364" s="2" t="s">
        <v>174</v>
      </c>
      <c r="C1364" s="1" t="s">
        <v>175</v>
      </c>
      <c r="D1364" s="1">
        <v>12.0</v>
      </c>
      <c r="E1364" s="3">
        <v>40148.55486111111</v>
      </c>
      <c r="F1364" s="1">
        <v>0.65</v>
      </c>
      <c r="G1364" s="1">
        <v>15326.0</v>
      </c>
      <c r="H1364" s="1" t="s">
        <v>14</v>
      </c>
      <c r="I1364" s="4">
        <v>40148.0</v>
      </c>
      <c r="J1364" s="5">
        <v>0.5548611111111111</v>
      </c>
      <c r="K1364" s="1">
        <v>13.0</v>
      </c>
      <c r="L1364" s="1">
        <v>7.8</v>
      </c>
    </row>
    <row r="1365">
      <c r="A1365" s="1">
        <v>489567.0</v>
      </c>
      <c r="B1365" s="2" t="s">
        <v>1589</v>
      </c>
      <c r="C1365" s="1" t="s">
        <v>1590</v>
      </c>
      <c r="D1365" s="1">
        <v>6.0</v>
      </c>
      <c r="E1365" s="3">
        <v>40148.55486111111</v>
      </c>
      <c r="F1365" s="1">
        <v>2.95</v>
      </c>
      <c r="G1365" s="1">
        <v>15326.0</v>
      </c>
      <c r="H1365" s="1" t="s">
        <v>14</v>
      </c>
      <c r="I1365" s="4">
        <v>40148.0</v>
      </c>
      <c r="J1365" s="5">
        <v>0.5548611111111111</v>
      </c>
      <c r="K1365" s="1">
        <v>13.0</v>
      </c>
      <c r="L1365" s="1">
        <v>17.7</v>
      </c>
    </row>
    <row r="1366">
      <c r="A1366" s="1">
        <v>489567.0</v>
      </c>
      <c r="B1366" s="2" t="s">
        <v>444</v>
      </c>
      <c r="C1366" s="1" t="s">
        <v>445</v>
      </c>
      <c r="D1366" s="1">
        <v>4.0</v>
      </c>
      <c r="E1366" s="3">
        <v>40148.55486111111</v>
      </c>
      <c r="F1366" s="1">
        <v>4.95</v>
      </c>
      <c r="G1366" s="1">
        <v>15326.0</v>
      </c>
      <c r="H1366" s="1" t="s">
        <v>14</v>
      </c>
      <c r="I1366" s="4">
        <v>40148.0</v>
      </c>
      <c r="J1366" s="5">
        <v>0.5548611111111111</v>
      </c>
      <c r="K1366" s="1">
        <v>13.0</v>
      </c>
      <c r="L1366" s="1">
        <v>19.8</v>
      </c>
    </row>
    <row r="1367">
      <c r="A1367" s="1">
        <v>489567.0</v>
      </c>
      <c r="B1367" s="2" t="s">
        <v>1591</v>
      </c>
      <c r="C1367" s="1" t="s">
        <v>1592</v>
      </c>
      <c r="D1367" s="1">
        <v>2.0</v>
      </c>
      <c r="E1367" s="3">
        <v>40148.55486111111</v>
      </c>
      <c r="F1367" s="1">
        <v>5.95</v>
      </c>
      <c r="G1367" s="1">
        <v>15326.0</v>
      </c>
      <c r="H1367" s="1" t="s">
        <v>14</v>
      </c>
      <c r="I1367" s="4">
        <v>40148.0</v>
      </c>
      <c r="J1367" s="5">
        <v>0.5548611111111111</v>
      </c>
      <c r="K1367" s="1">
        <v>13.0</v>
      </c>
      <c r="L1367" s="1">
        <v>11.9</v>
      </c>
    </row>
    <row r="1368">
      <c r="A1368" s="1">
        <v>489567.0</v>
      </c>
      <c r="B1368" s="2" t="s">
        <v>1593</v>
      </c>
      <c r="C1368" s="1" t="s">
        <v>1594</v>
      </c>
      <c r="D1368" s="1">
        <v>1.0</v>
      </c>
      <c r="E1368" s="3">
        <v>40148.55486111111</v>
      </c>
      <c r="F1368" s="1">
        <v>9.95</v>
      </c>
      <c r="G1368" s="1">
        <v>15326.0</v>
      </c>
      <c r="H1368" s="1" t="s">
        <v>14</v>
      </c>
      <c r="I1368" s="4">
        <v>40148.0</v>
      </c>
      <c r="J1368" s="5">
        <v>0.5548611111111111</v>
      </c>
      <c r="K1368" s="1">
        <v>13.0</v>
      </c>
      <c r="L1368" s="1">
        <v>9.95</v>
      </c>
    </row>
    <row r="1369">
      <c r="A1369" s="1">
        <v>489567.0</v>
      </c>
      <c r="B1369" s="2" t="s">
        <v>1595</v>
      </c>
      <c r="C1369" s="1" t="s">
        <v>1596</v>
      </c>
      <c r="D1369" s="1">
        <v>1.0</v>
      </c>
      <c r="E1369" s="3">
        <v>40148.55486111111</v>
      </c>
      <c r="F1369" s="1">
        <v>29.95</v>
      </c>
      <c r="G1369" s="1">
        <v>15326.0</v>
      </c>
      <c r="H1369" s="1" t="s">
        <v>14</v>
      </c>
      <c r="I1369" s="4">
        <v>40148.0</v>
      </c>
      <c r="J1369" s="5">
        <v>0.5548611111111111</v>
      </c>
      <c r="K1369" s="1">
        <v>13.0</v>
      </c>
      <c r="L1369" s="1">
        <v>29.95</v>
      </c>
    </row>
    <row r="1370">
      <c r="A1370" s="1">
        <v>489567.0</v>
      </c>
      <c r="B1370" s="2" t="s">
        <v>1597</v>
      </c>
      <c r="C1370" s="1" t="s">
        <v>1598</v>
      </c>
      <c r="D1370" s="1">
        <v>2.0</v>
      </c>
      <c r="E1370" s="3">
        <v>40148.55486111111</v>
      </c>
      <c r="F1370" s="1">
        <v>6.75</v>
      </c>
      <c r="G1370" s="1">
        <v>15326.0</v>
      </c>
      <c r="H1370" s="1" t="s">
        <v>14</v>
      </c>
      <c r="I1370" s="4">
        <v>40148.0</v>
      </c>
      <c r="J1370" s="5">
        <v>0.5548611111111111</v>
      </c>
      <c r="K1370" s="1">
        <v>13.0</v>
      </c>
      <c r="L1370" s="1">
        <v>13.5</v>
      </c>
    </row>
    <row r="1371">
      <c r="A1371" s="1">
        <v>489567.0</v>
      </c>
      <c r="B1371" s="2" t="s">
        <v>1599</v>
      </c>
      <c r="C1371" s="1" t="s">
        <v>1600</v>
      </c>
      <c r="D1371" s="1">
        <v>2.0</v>
      </c>
      <c r="E1371" s="3">
        <v>40148.55486111111</v>
      </c>
      <c r="F1371" s="1">
        <v>5.45</v>
      </c>
      <c r="G1371" s="1">
        <v>15326.0</v>
      </c>
      <c r="H1371" s="1" t="s">
        <v>14</v>
      </c>
      <c r="I1371" s="4">
        <v>40148.0</v>
      </c>
      <c r="J1371" s="5">
        <v>0.5548611111111111</v>
      </c>
      <c r="K1371" s="1">
        <v>13.0</v>
      </c>
      <c r="L1371" s="1">
        <v>10.9</v>
      </c>
    </row>
    <row r="1372">
      <c r="A1372" s="1">
        <v>489569.0</v>
      </c>
      <c r="B1372" s="2" t="s">
        <v>1451</v>
      </c>
      <c r="C1372" s="1" t="s">
        <v>1452</v>
      </c>
      <c r="D1372" s="1">
        <v>1.0</v>
      </c>
      <c r="E1372" s="3">
        <v>40148.555555555555</v>
      </c>
      <c r="F1372" s="1">
        <v>7.95</v>
      </c>
      <c r="G1372" s="1">
        <v>14478.0</v>
      </c>
      <c r="H1372" s="1" t="s">
        <v>14</v>
      </c>
      <c r="I1372" s="4">
        <v>40148.0</v>
      </c>
      <c r="J1372" s="5">
        <v>0.5555555555555556</v>
      </c>
      <c r="K1372" s="1">
        <v>13.0</v>
      </c>
      <c r="L1372" s="1">
        <v>7.95</v>
      </c>
    </row>
    <row r="1373">
      <c r="A1373" s="1">
        <v>489569.0</v>
      </c>
      <c r="B1373" s="2" t="s">
        <v>1201</v>
      </c>
      <c r="C1373" s="1" t="s">
        <v>1202</v>
      </c>
      <c r="D1373" s="1">
        <v>6.0</v>
      </c>
      <c r="E1373" s="3">
        <v>40148.555555555555</v>
      </c>
      <c r="F1373" s="1">
        <v>1.25</v>
      </c>
      <c r="G1373" s="1">
        <v>14478.0</v>
      </c>
      <c r="H1373" s="1" t="s">
        <v>14</v>
      </c>
      <c r="I1373" s="4">
        <v>40148.0</v>
      </c>
      <c r="J1373" s="5">
        <v>0.5555555555555556</v>
      </c>
      <c r="K1373" s="1">
        <v>13.0</v>
      </c>
      <c r="L1373" s="1">
        <v>7.5</v>
      </c>
    </row>
    <row r="1374">
      <c r="A1374" s="1">
        <v>489569.0</v>
      </c>
      <c r="B1374" s="2" t="s">
        <v>1601</v>
      </c>
      <c r="C1374" s="1" t="s">
        <v>1602</v>
      </c>
      <c r="D1374" s="1">
        <v>1.0</v>
      </c>
      <c r="E1374" s="3">
        <v>40148.555555555555</v>
      </c>
      <c r="F1374" s="1">
        <v>8.95</v>
      </c>
      <c r="G1374" s="1">
        <v>14478.0</v>
      </c>
      <c r="H1374" s="1" t="s">
        <v>14</v>
      </c>
      <c r="I1374" s="4">
        <v>40148.0</v>
      </c>
      <c r="J1374" s="5">
        <v>0.5555555555555556</v>
      </c>
      <c r="K1374" s="1">
        <v>13.0</v>
      </c>
      <c r="L1374" s="1">
        <v>8.95</v>
      </c>
    </row>
    <row r="1375">
      <c r="A1375" s="1">
        <v>489569.0</v>
      </c>
      <c r="B1375" s="2" t="s">
        <v>285</v>
      </c>
      <c r="C1375" s="1" t="s">
        <v>286</v>
      </c>
      <c r="D1375" s="1">
        <v>24.0</v>
      </c>
      <c r="E1375" s="3">
        <v>40148.555555555555</v>
      </c>
      <c r="F1375" s="1">
        <v>1.25</v>
      </c>
      <c r="G1375" s="1">
        <v>14478.0</v>
      </c>
      <c r="H1375" s="1" t="s">
        <v>14</v>
      </c>
      <c r="I1375" s="4">
        <v>40148.0</v>
      </c>
      <c r="J1375" s="5">
        <v>0.5555555555555556</v>
      </c>
      <c r="K1375" s="1">
        <v>13.0</v>
      </c>
      <c r="L1375" s="1">
        <v>30.0</v>
      </c>
    </row>
    <row r="1376">
      <c r="A1376" s="1">
        <v>489569.0</v>
      </c>
      <c r="B1376" s="2" t="s">
        <v>283</v>
      </c>
      <c r="C1376" s="1" t="s">
        <v>284</v>
      </c>
      <c r="D1376" s="1">
        <v>5.0</v>
      </c>
      <c r="E1376" s="3">
        <v>40148.555555555555</v>
      </c>
      <c r="F1376" s="1">
        <v>2.95</v>
      </c>
      <c r="G1376" s="1">
        <v>14478.0</v>
      </c>
      <c r="H1376" s="1" t="s">
        <v>14</v>
      </c>
      <c r="I1376" s="4">
        <v>40148.0</v>
      </c>
      <c r="J1376" s="5">
        <v>0.5555555555555556</v>
      </c>
      <c r="K1376" s="1">
        <v>13.0</v>
      </c>
      <c r="L1376" s="1">
        <v>14.75</v>
      </c>
    </row>
    <row r="1377">
      <c r="A1377" s="1">
        <v>489569.0</v>
      </c>
      <c r="B1377" s="2" t="s">
        <v>1527</v>
      </c>
      <c r="C1377" s="1" t="s">
        <v>1528</v>
      </c>
      <c r="D1377" s="1">
        <v>36.0</v>
      </c>
      <c r="E1377" s="3">
        <v>40148.555555555555</v>
      </c>
      <c r="F1377" s="1">
        <v>0.85</v>
      </c>
      <c r="G1377" s="1">
        <v>14478.0</v>
      </c>
      <c r="H1377" s="1" t="s">
        <v>14</v>
      </c>
      <c r="I1377" s="4">
        <v>40148.0</v>
      </c>
      <c r="J1377" s="5">
        <v>0.5555555555555556</v>
      </c>
      <c r="K1377" s="1">
        <v>13.0</v>
      </c>
      <c r="L1377" s="1">
        <v>30.5999999999999</v>
      </c>
    </row>
    <row r="1378">
      <c r="A1378" s="1">
        <v>489569.0</v>
      </c>
      <c r="B1378" s="2" t="s">
        <v>277</v>
      </c>
      <c r="C1378" s="1" t="s">
        <v>278</v>
      </c>
      <c r="D1378" s="1">
        <v>12.0</v>
      </c>
      <c r="E1378" s="3">
        <v>40148.555555555555</v>
      </c>
      <c r="F1378" s="1">
        <v>1.25</v>
      </c>
      <c r="G1378" s="1">
        <v>14478.0</v>
      </c>
      <c r="H1378" s="1" t="s">
        <v>14</v>
      </c>
      <c r="I1378" s="4">
        <v>40148.0</v>
      </c>
      <c r="J1378" s="5">
        <v>0.5555555555555556</v>
      </c>
      <c r="K1378" s="1">
        <v>13.0</v>
      </c>
      <c r="L1378" s="1">
        <v>15.0</v>
      </c>
    </row>
    <row r="1379">
      <c r="A1379" s="1">
        <v>489569.0</v>
      </c>
      <c r="B1379" s="2" t="s">
        <v>446</v>
      </c>
      <c r="C1379" s="1" t="s">
        <v>447</v>
      </c>
      <c r="D1379" s="1">
        <v>1.0</v>
      </c>
      <c r="E1379" s="3">
        <v>40148.555555555555</v>
      </c>
      <c r="F1379" s="1">
        <v>9.95</v>
      </c>
      <c r="G1379" s="1">
        <v>14478.0</v>
      </c>
      <c r="H1379" s="1" t="s">
        <v>14</v>
      </c>
      <c r="I1379" s="4">
        <v>40148.0</v>
      </c>
      <c r="J1379" s="5">
        <v>0.5555555555555556</v>
      </c>
      <c r="K1379" s="1">
        <v>13.0</v>
      </c>
      <c r="L1379" s="1">
        <v>9.95</v>
      </c>
    </row>
    <row r="1380">
      <c r="A1380" s="1">
        <v>489569.0</v>
      </c>
      <c r="B1380" s="2" t="s">
        <v>1491</v>
      </c>
      <c r="C1380" s="1" t="s">
        <v>1492</v>
      </c>
      <c r="D1380" s="1">
        <v>36.0</v>
      </c>
      <c r="E1380" s="3">
        <v>40148.555555555555</v>
      </c>
      <c r="F1380" s="1">
        <v>0.42</v>
      </c>
      <c r="G1380" s="1">
        <v>14478.0</v>
      </c>
      <c r="H1380" s="1" t="s">
        <v>14</v>
      </c>
      <c r="I1380" s="4">
        <v>40148.0</v>
      </c>
      <c r="J1380" s="5">
        <v>0.5555555555555556</v>
      </c>
      <c r="K1380" s="1">
        <v>13.0</v>
      </c>
      <c r="L1380" s="1">
        <v>15.12</v>
      </c>
    </row>
    <row r="1381">
      <c r="A1381" s="1">
        <v>489569.0</v>
      </c>
      <c r="B1381" s="2" t="s">
        <v>744</v>
      </c>
      <c r="C1381" s="1" t="s">
        <v>745</v>
      </c>
      <c r="D1381" s="1">
        <v>48.0</v>
      </c>
      <c r="E1381" s="3">
        <v>40148.555555555555</v>
      </c>
      <c r="F1381" s="1">
        <v>0.42</v>
      </c>
      <c r="G1381" s="1">
        <v>14478.0</v>
      </c>
      <c r="H1381" s="1" t="s">
        <v>14</v>
      </c>
      <c r="I1381" s="4">
        <v>40148.0</v>
      </c>
      <c r="J1381" s="5">
        <v>0.5555555555555556</v>
      </c>
      <c r="K1381" s="1">
        <v>13.0</v>
      </c>
      <c r="L1381" s="1">
        <v>20.16</v>
      </c>
    </row>
    <row r="1382">
      <c r="A1382" s="1">
        <v>489569.0</v>
      </c>
      <c r="B1382" s="2" t="s">
        <v>1469</v>
      </c>
      <c r="C1382" s="1" t="s">
        <v>1470</v>
      </c>
      <c r="D1382" s="1">
        <v>36.0</v>
      </c>
      <c r="E1382" s="3">
        <v>40148.555555555555</v>
      </c>
      <c r="F1382" s="1">
        <v>0.42</v>
      </c>
      <c r="G1382" s="1">
        <v>14478.0</v>
      </c>
      <c r="H1382" s="1" t="s">
        <v>14</v>
      </c>
      <c r="I1382" s="4">
        <v>40148.0</v>
      </c>
      <c r="J1382" s="5">
        <v>0.5555555555555556</v>
      </c>
      <c r="K1382" s="1">
        <v>13.0</v>
      </c>
      <c r="L1382" s="1">
        <v>15.12</v>
      </c>
    </row>
    <row r="1383">
      <c r="A1383" s="1">
        <v>489569.0</v>
      </c>
      <c r="B1383" s="2" t="s">
        <v>746</v>
      </c>
      <c r="C1383" s="1" t="s">
        <v>747</v>
      </c>
      <c r="D1383" s="1">
        <v>48.0</v>
      </c>
      <c r="E1383" s="3">
        <v>40148.555555555555</v>
      </c>
      <c r="F1383" s="1">
        <v>0.42</v>
      </c>
      <c r="G1383" s="1">
        <v>14478.0</v>
      </c>
      <c r="H1383" s="1" t="s">
        <v>14</v>
      </c>
      <c r="I1383" s="4">
        <v>40148.0</v>
      </c>
      <c r="J1383" s="5">
        <v>0.5555555555555556</v>
      </c>
      <c r="K1383" s="1">
        <v>13.0</v>
      </c>
      <c r="L1383" s="1">
        <v>20.16</v>
      </c>
    </row>
    <row r="1384">
      <c r="A1384" s="1">
        <v>489569.0</v>
      </c>
      <c r="B1384" s="2" t="s">
        <v>1597</v>
      </c>
      <c r="C1384" s="1" t="s">
        <v>1598</v>
      </c>
      <c r="D1384" s="1">
        <v>2.0</v>
      </c>
      <c r="E1384" s="3">
        <v>40148.555555555555</v>
      </c>
      <c r="F1384" s="1">
        <v>6.75</v>
      </c>
      <c r="G1384" s="1">
        <v>14478.0</v>
      </c>
      <c r="H1384" s="1" t="s">
        <v>14</v>
      </c>
      <c r="I1384" s="4">
        <v>40148.0</v>
      </c>
      <c r="J1384" s="5">
        <v>0.5555555555555556</v>
      </c>
      <c r="K1384" s="1">
        <v>13.0</v>
      </c>
      <c r="L1384" s="1">
        <v>13.5</v>
      </c>
    </row>
    <row r="1385">
      <c r="A1385" s="1">
        <v>489569.0</v>
      </c>
      <c r="B1385" s="2" t="s">
        <v>710</v>
      </c>
      <c r="C1385" s="1" t="s">
        <v>711</v>
      </c>
      <c r="D1385" s="1">
        <v>6.0</v>
      </c>
      <c r="E1385" s="3">
        <v>40148.555555555555</v>
      </c>
      <c r="F1385" s="1">
        <v>1.25</v>
      </c>
      <c r="G1385" s="1">
        <v>14478.0</v>
      </c>
      <c r="H1385" s="1" t="s">
        <v>14</v>
      </c>
      <c r="I1385" s="4">
        <v>40148.0</v>
      </c>
      <c r="J1385" s="5">
        <v>0.5555555555555556</v>
      </c>
      <c r="K1385" s="1">
        <v>13.0</v>
      </c>
      <c r="L1385" s="1">
        <v>7.5</v>
      </c>
    </row>
    <row r="1386">
      <c r="A1386" s="1">
        <v>489569.0</v>
      </c>
      <c r="B1386" s="2" t="s">
        <v>1493</v>
      </c>
      <c r="C1386" s="1" t="s">
        <v>1494</v>
      </c>
      <c r="D1386" s="1">
        <v>36.0</v>
      </c>
      <c r="E1386" s="3">
        <v>40148.555555555555</v>
      </c>
      <c r="F1386" s="1">
        <v>0.42</v>
      </c>
      <c r="G1386" s="1">
        <v>14478.0</v>
      </c>
      <c r="H1386" s="1" t="s">
        <v>14</v>
      </c>
      <c r="I1386" s="4">
        <v>40148.0</v>
      </c>
      <c r="J1386" s="5">
        <v>0.5555555555555556</v>
      </c>
      <c r="K1386" s="1">
        <v>13.0</v>
      </c>
      <c r="L1386" s="1">
        <v>15.12</v>
      </c>
    </row>
    <row r="1387">
      <c r="A1387" s="1">
        <v>489569.0</v>
      </c>
      <c r="B1387" s="2" t="s">
        <v>1603</v>
      </c>
      <c r="C1387" s="1" t="s">
        <v>1604</v>
      </c>
      <c r="D1387" s="1">
        <v>12.0</v>
      </c>
      <c r="E1387" s="3">
        <v>40148.555555555555</v>
      </c>
      <c r="F1387" s="1">
        <v>3.75</v>
      </c>
      <c r="G1387" s="1">
        <v>14478.0</v>
      </c>
      <c r="H1387" s="1" t="s">
        <v>14</v>
      </c>
      <c r="I1387" s="4">
        <v>40148.0</v>
      </c>
      <c r="J1387" s="5">
        <v>0.5555555555555556</v>
      </c>
      <c r="K1387" s="1">
        <v>13.0</v>
      </c>
      <c r="L1387" s="1">
        <v>45.0</v>
      </c>
    </row>
    <row r="1388">
      <c r="A1388" s="1">
        <v>489569.0</v>
      </c>
      <c r="B1388" s="2" t="s">
        <v>422</v>
      </c>
      <c r="C1388" s="1" t="s">
        <v>423</v>
      </c>
      <c r="D1388" s="1">
        <v>1.0</v>
      </c>
      <c r="E1388" s="3">
        <v>40148.555555555555</v>
      </c>
      <c r="F1388" s="1">
        <v>4.95</v>
      </c>
      <c r="G1388" s="1">
        <v>14478.0</v>
      </c>
      <c r="H1388" s="1" t="s">
        <v>14</v>
      </c>
      <c r="I1388" s="4">
        <v>40148.0</v>
      </c>
      <c r="J1388" s="5">
        <v>0.5555555555555556</v>
      </c>
      <c r="K1388" s="1">
        <v>13.0</v>
      </c>
      <c r="L1388" s="1">
        <v>4.95</v>
      </c>
    </row>
    <row r="1389">
      <c r="A1389" s="1">
        <v>489569.0</v>
      </c>
      <c r="B1389" s="2" t="s">
        <v>975</v>
      </c>
      <c r="C1389" s="1" t="s">
        <v>976</v>
      </c>
      <c r="D1389" s="1">
        <v>1.0</v>
      </c>
      <c r="E1389" s="3">
        <v>40148.555555555555</v>
      </c>
      <c r="F1389" s="1">
        <v>0.95</v>
      </c>
      <c r="G1389" s="1">
        <v>14478.0</v>
      </c>
      <c r="H1389" s="1" t="s">
        <v>14</v>
      </c>
      <c r="I1389" s="4">
        <v>40148.0</v>
      </c>
      <c r="J1389" s="5">
        <v>0.5555555555555556</v>
      </c>
      <c r="K1389" s="1">
        <v>13.0</v>
      </c>
      <c r="L1389" s="1">
        <v>0.95</v>
      </c>
    </row>
    <row r="1390">
      <c r="A1390" s="1" t="s">
        <v>1605</v>
      </c>
      <c r="B1390" s="2" t="s">
        <v>55</v>
      </c>
      <c r="C1390" s="1" t="s">
        <v>56</v>
      </c>
      <c r="D1390" s="1">
        <v>-1.0</v>
      </c>
      <c r="E1390" s="3">
        <v>40148.555555555555</v>
      </c>
      <c r="F1390" s="1">
        <v>3.75</v>
      </c>
      <c r="G1390" s="1">
        <v>15005.0</v>
      </c>
      <c r="H1390" s="1" t="s">
        <v>14</v>
      </c>
      <c r="I1390" s="4">
        <v>40148.0</v>
      </c>
      <c r="J1390" s="5">
        <v>0.5555555555555556</v>
      </c>
      <c r="K1390" s="1">
        <v>13.0</v>
      </c>
      <c r="L1390" s="1">
        <v>-3.75</v>
      </c>
    </row>
    <row r="1391">
      <c r="A1391" s="1" t="s">
        <v>1605</v>
      </c>
      <c r="B1391" s="2" t="s">
        <v>410</v>
      </c>
      <c r="C1391" s="1" t="s">
        <v>411</v>
      </c>
      <c r="D1391" s="1">
        <v>-1.0</v>
      </c>
      <c r="E1391" s="3">
        <v>40148.555555555555</v>
      </c>
      <c r="F1391" s="1">
        <v>5.95</v>
      </c>
      <c r="G1391" s="1">
        <v>15005.0</v>
      </c>
      <c r="H1391" s="1" t="s">
        <v>14</v>
      </c>
      <c r="I1391" s="4">
        <v>40148.0</v>
      </c>
      <c r="J1391" s="5">
        <v>0.5555555555555556</v>
      </c>
      <c r="K1391" s="1">
        <v>13.0</v>
      </c>
      <c r="L1391" s="1">
        <v>-5.95</v>
      </c>
    </row>
    <row r="1392">
      <c r="A1392" s="1" t="s">
        <v>1605</v>
      </c>
      <c r="B1392" s="2" t="s">
        <v>156</v>
      </c>
      <c r="C1392" s="1" t="s">
        <v>157</v>
      </c>
      <c r="D1392" s="1">
        <v>-1.0</v>
      </c>
      <c r="E1392" s="3">
        <v>40148.555555555555</v>
      </c>
      <c r="F1392" s="1">
        <v>4.95</v>
      </c>
      <c r="G1392" s="1">
        <v>15005.0</v>
      </c>
      <c r="H1392" s="1" t="s">
        <v>14</v>
      </c>
      <c r="I1392" s="4">
        <v>40148.0</v>
      </c>
      <c r="J1392" s="5">
        <v>0.5555555555555556</v>
      </c>
      <c r="K1392" s="1">
        <v>13.0</v>
      </c>
      <c r="L1392" s="1">
        <v>-4.95</v>
      </c>
    </row>
    <row r="1393">
      <c r="A1393" s="1" t="s">
        <v>1605</v>
      </c>
      <c r="B1393" s="2" t="s">
        <v>1606</v>
      </c>
      <c r="C1393" s="1" t="s">
        <v>1607</v>
      </c>
      <c r="D1393" s="1">
        <v>-1.0</v>
      </c>
      <c r="E1393" s="3">
        <v>40148.555555555555</v>
      </c>
      <c r="F1393" s="1">
        <v>3.75</v>
      </c>
      <c r="G1393" s="1">
        <v>15005.0</v>
      </c>
      <c r="H1393" s="1" t="s">
        <v>14</v>
      </c>
      <c r="I1393" s="4">
        <v>40148.0</v>
      </c>
      <c r="J1393" s="5">
        <v>0.5555555555555556</v>
      </c>
      <c r="K1393" s="1">
        <v>13.0</v>
      </c>
      <c r="L1393" s="1">
        <v>-3.75</v>
      </c>
    </row>
    <row r="1394">
      <c r="A1394" s="1" t="s">
        <v>1608</v>
      </c>
      <c r="B1394" s="2" t="s">
        <v>17</v>
      </c>
      <c r="C1394" s="1" t="s">
        <v>18</v>
      </c>
      <c r="D1394" s="1">
        <v>-1.0</v>
      </c>
      <c r="E1394" s="3">
        <v>40148.561111111114</v>
      </c>
      <c r="F1394" s="1">
        <v>6.75</v>
      </c>
      <c r="G1394" s="1">
        <v>15967.0</v>
      </c>
      <c r="H1394" s="1" t="s">
        <v>14</v>
      </c>
      <c r="I1394" s="4">
        <v>40148.0</v>
      </c>
      <c r="J1394" s="5">
        <v>0.5611111111111111</v>
      </c>
      <c r="K1394" s="1">
        <v>13.0</v>
      </c>
      <c r="L1394" s="1">
        <v>-6.75</v>
      </c>
    </row>
    <row r="1395">
      <c r="A1395" s="1" t="s">
        <v>1608</v>
      </c>
      <c r="B1395" s="2" t="s">
        <v>883</v>
      </c>
      <c r="C1395" s="1" t="s">
        <v>884</v>
      </c>
      <c r="D1395" s="1">
        <v>-1.0</v>
      </c>
      <c r="E1395" s="3">
        <v>40148.561111111114</v>
      </c>
      <c r="F1395" s="1">
        <v>5.95</v>
      </c>
      <c r="G1395" s="1">
        <v>15967.0</v>
      </c>
      <c r="H1395" s="1" t="s">
        <v>14</v>
      </c>
      <c r="I1395" s="4">
        <v>40148.0</v>
      </c>
      <c r="J1395" s="5">
        <v>0.5611111111111111</v>
      </c>
      <c r="K1395" s="1">
        <v>13.0</v>
      </c>
      <c r="L1395" s="1">
        <v>-5.95</v>
      </c>
    </row>
    <row r="1396">
      <c r="A1396" s="1" t="s">
        <v>1608</v>
      </c>
      <c r="B1396" s="2" t="s">
        <v>1609</v>
      </c>
      <c r="C1396" s="1" t="s">
        <v>1610</v>
      </c>
      <c r="D1396" s="1">
        <v>-1.0</v>
      </c>
      <c r="E1396" s="3">
        <v>40148.561111111114</v>
      </c>
      <c r="F1396" s="1">
        <v>6.75</v>
      </c>
      <c r="G1396" s="1">
        <v>15967.0</v>
      </c>
      <c r="H1396" s="1" t="s">
        <v>14</v>
      </c>
      <c r="I1396" s="4">
        <v>40148.0</v>
      </c>
      <c r="J1396" s="5">
        <v>0.5611111111111111</v>
      </c>
      <c r="K1396" s="1">
        <v>13.0</v>
      </c>
      <c r="L1396" s="1">
        <v>-6.75</v>
      </c>
    </row>
    <row r="1397">
      <c r="A1397" s="1" t="s">
        <v>1608</v>
      </c>
      <c r="B1397" s="2" t="s">
        <v>1611</v>
      </c>
      <c r="C1397" s="1" t="s">
        <v>1612</v>
      </c>
      <c r="D1397" s="1">
        <v>-1.0</v>
      </c>
      <c r="E1397" s="3">
        <v>40148.561111111114</v>
      </c>
      <c r="F1397" s="1">
        <v>2.95</v>
      </c>
      <c r="G1397" s="1">
        <v>15967.0</v>
      </c>
      <c r="H1397" s="1" t="s">
        <v>14</v>
      </c>
      <c r="I1397" s="4">
        <v>40148.0</v>
      </c>
      <c r="J1397" s="5">
        <v>0.5611111111111111</v>
      </c>
      <c r="K1397" s="1">
        <v>13.0</v>
      </c>
      <c r="L1397" s="1">
        <v>-2.95</v>
      </c>
    </row>
    <row r="1398">
      <c r="A1398" s="1">
        <v>489571.0</v>
      </c>
      <c r="B1398" s="2" t="s">
        <v>1153</v>
      </c>
      <c r="C1398" s="1" t="s">
        <v>1154</v>
      </c>
      <c r="D1398" s="1">
        <v>2.0</v>
      </c>
      <c r="E1398" s="3">
        <v>40148.56180555555</v>
      </c>
      <c r="F1398" s="1">
        <v>3.95</v>
      </c>
      <c r="G1398" s="1">
        <v>15967.0</v>
      </c>
      <c r="H1398" s="1" t="s">
        <v>14</v>
      </c>
      <c r="I1398" s="4">
        <v>40148.0</v>
      </c>
      <c r="J1398" s="5">
        <v>0.5618055555555556</v>
      </c>
      <c r="K1398" s="1">
        <v>13.0</v>
      </c>
      <c r="L1398" s="1">
        <v>7.9</v>
      </c>
    </row>
    <row r="1399">
      <c r="A1399" s="1">
        <v>489571.0</v>
      </c>
      <c r="B1399" s="2" t="s">
        <v>1613</v>
      </c>
      <c r="C1399" s="1" t="s">
        <v>1614</v>
      </c>
      <c r="D1399" s="1">
        <v>1.0</v>
      </c>
      <c r="E1399" s="3">
        <v>40148.56180555555</v>
      </c>
      <c r="F1399" s="1">
        <v>4.25</v>
      </c>
      <c r="G1399" s="1">
        <v>15967.0</v>
      </c>
      <c r="H1399" s="1" t="s">
        <v>14</v>
      </c>
      <c r="I1399" s="4">
        <v>40148.0</v>
      </c>
      <c r="J1399" s="5">
        <v>0.5618055555555556</v>
      </c>
      <c r="K1399" s="1">
        <v>13.0</v>
      </c>
      <c r="L1399" s="1">
        <v>4.25</v>
      </c>
    </row>
    <row r="1400">
      <c r="A1400" s="1">
        <v>489571.0</v>
      </c>
      <c r="B1400" s="2" t="s">
        <v>456</v>
      </c>
      <c r="C1400" s="1" t="s">
        <v>457</v>
      </c>
      <c r="D1400" s="1">
        <v>1.0</v>
      </c>
      <c r="E1400" s="3">
        <v>40148.56180555555</v>
      </c>
      <c r="F1400" s="1">
        <v>3.75</v>
      </c>
      <c r="G1400" s="1">
        <v>15967.0</v>
      </c>
      <c r="H1400" s="1" t="s">
        <v>14</v>
      </c>
      <c r="I1400" s="4">
        <v>40148.0</v>
      </c>
      <c r="J1400" s="5">
        <v>0.5618055555555556</v>
      </c>
      <c r="K1400" s="1">
        <v>13.0</v>
      </c>
      <c r="L1400" s="1">
        <v>3.75</v>
      </c>
    </row>
    <row r="1401">
      <c r="A1401" s="1">
        <v>489571.0</v>
      </c>
      <c r="B1401" s="2" t="s">
        <v>1081</v>
      </c>
      <c r="C1401" s="1" t="s">
        <v>1082</v>
      </c>
      <c r="D1401" s="1">
        <v>1.0</v>
      </c>
      <c r="E1401" s="3">
        <v>40148.56180555555</v>
      </c>
      <c r="F1401" s="1">
        <v>0.65</v>
      </c>
      <c r="G1401" s="1">
        <v>15967.0</v>
      </c>
      <c r="H1401" s="1" t="s">
        <v>14</v>
      </c>
      <c r="I1401" s="4">
        <v>40148.0</v>
      </c>
      <c r="J1401" s="5">
        <v>0.5618055555555556</v>
      </c>
      <c r="K1401" s="1">
        <v>13.0</v>
      </c>
      <c r="L1401" s="1">
        <v>0.65</v>
      </c>
    </row>
    <row r="1402">
      <c r="A1402" s="1">
        <v>489571.0</v>
      </c>
      <c r="B1402" s="2" t="s">
        <v>17</v>
      </c>
      <c r="C1402" s="1" t="s">
        <v>18</v>
      </c>
      <c r="D1402" s="1">
        <v>1.0</v>
      </c>
      <c r="E1402" s="3">
        <v>40148.56180555555</v>
      </c>
      <c r="F1402" s="1">
        <v>6.75</v>
      </c>
      <c r="G1402" s="1">
        <v>15967.0</v>
      </c>
      <c r="H1402" s="1" t="s">
        <v>14</v>
      </c>
      <c r="I1402" s="4">
        <v>40148.0</v>
      </c>
      <c r="J1402" s="5">
        <v>0.5618055555555556</v>
      </c>
      <c r="K1402" s="1">
        <v>13.0</v>
      </c>
      <c r="L1402" s="1">
        <v>6.75</v>
      </c>
    </row>
    <row r="1403">
      <c r="A1403" s="1">
        <v>489571.0</v>
      </c>
      <c r="B1403" s="2" t="s">
        <v>1284</v>
      </c>
      <c r="C1403" s="1" t="s">
        <v>1285</v>
      </c>
      <c r="D1403" s="1">
        <v>2.0</v>
      </c>
      <c r="E1403" s="3">
        <v>40148.56180555555</v>
      </c>
      <c r="F1403" s="1">
        <v>1.95</v>
      </c>
      <c r="G1403" s="1">
        <v>15967.0</v>
      </c>
      <c r="H1403" s="1" t="s">
        <v>14</v>
      </c>
      <c r="I1403" s="4">
        <v>40148.0</v>
      </c>
      <c r="J1403" s="5">
        <v>0.5618055555555556</v>
      </c>
      <c r="K1403" s="1">
        <v>13.0</v>
      </c>
      <c r="L1403" s="1">
        <v>3.9</v>
      </c>
    </row>
    <row r="1404">
      <c r="A1404" s="1">
        <v>489571.0</v>
      </c>
      <c r="B1404" s="2" t="s">
        <v>1615</v>
      </c>
      <c r="C1404" s="1" t="s">
        <v>1616</v>
      </c>
      <c r="D1404" s="1">
        <v>5.0</v>
      </c>
      <c r="E1404" s="3">
        <v>40148.56180555555</v>
      </c>
      <c r="F1404" s="1">
        <v>2.95</v>
      </c>
      <c r="G1404" s="1">
        <v>15967.0</v>
      </c>
      <c r="H1404" s="1" t="s">
        <v>14</v>
      </c>
      <c r="I1404" s="4">
        <v>40148.0</v>
      </c>
      <c r="J1404" s="5">
        <v>0.5618055555555556</v>
      </c>
      <c r="K1404" s="1">
        <v>13.0</v>
      </c>
      <c r="L1404" s="1">
        <v>14.75</v>
      </c>
    </row>
    <row r="1405">
      <c r="A1405" s="1">
        <v>489571.0</v>
      </c>
      <c r="B1405" s="2" t="s">
        <v>49</v>
      </c>
      <c r="C1405" s="1" t="s">
        <v>50</v>
      </c>
      <c r="D1405" s="1">
        <v>4.0</v>
      </c>
      <c r="E1405" s="3">
        <v>40148.56180555555</v>
      </c>
      <c r="F1405" s="1">
        <v>1.65</v>
      </c>
      <c r="G1405" s="1">
        <v>15967.0</v>
      </c>
      <c r="H1405" s="1" t="s">
        <v>14</v>
      </c>
      <c r="I1405" s="4">
        <v>40148.0</v>
      </c>
      <c r="J1405" s="5">
        <v>0.5618055555555556</v>
      </c>
      <c r="K1405" s="1">
        <v>13.0</v>
      </c>
      <c r="L1405" s="1">
        <v>6.6</v>
      </c>
    </row>
    <row r="1406">
      <c r="A1406" s="1">
        <v>489571.0</v>
      </c>
      <c r="B1406" s="2" t="s">
        <v>1617</v>
      </c>
      <c r="C1406" s="1" t="s">
        <v>1618</v>
      </c>
      <c r="D1406" s="1">
        <v>8.0</v>
      </c>
      <c r="E1406" s="3">
        <v>40148.56180555555</v>
      </c>
      <c r="F1406" s="1">
        <v>1.25</v>
      </c>
      <c r="G1406" s="1">
        <v>15967.0</v>
      </c>
      <c r="H1406" s="1" t="s">
        <v>14</v>
      </c>
      <c r="I1406" s="4">
        <v>40148.0</v>
      </c>
      <c r="J1406" s="5">
        <v>0.5618055555555556</v>
      </c>
      <c r="K1406" s="1">
        <v>13.0</v>
      </c>
      <c r="L1406" s="1">
        <v>10.0</v>
      </c>
    </row>
    <row r="1407">
      <c r="A1407" s="1">
        <v>489571.0</v>
      </c>
      <c r="B1407" s="2" t="s">
        <v>1221</v>
      </c>
      <c r="C1407" s="1" t="s">
        <v>1222</v>
      </c>
      <c r="D1407" s="1">
        <v>1.0</v>
      </c>
      <c r="E1407" s="3">
        <v>40148.56180555555</v>
      </c>
      <c r="F1407" s="1">
        <v>0.21</v>
      </c>
      <c r="G1407" s="1">
        <v>15967.0</v>
      </c>
      <c r="H1407" s="1" t="s">
        <v>14</v>
      </c>
      <c r="I1407" s="4">
        <v>40148.0</v>
      </c>
      <c r="J1407" s="5">
        <v>0.5618055555555556</v>
      </c>
      <c r="K1407" s="1">
        <v>13.0</v>
      </c>
      <c r="L1407" s="1">
        <v>0.21</v>
      </c>
    </row>
    <row r="1408">
      <c r="A1408" s="1">
        <v>489571.0</v>
      </c>
      <c r="B1408" s="2" t="s">
        <v>690</v>
      </c>
      <c r="C1408" s="1" t="s">
        <v>691</v>
      </c>
      <c r="D1408" s="1">
        <v>2.0</v>
      </c>
      <c r="E1408" s="3">
        <v>40148.56180555555</v>
      </c>
      <c r="F1408" s="1">
        <v>1.25</v>
      </c>
      <c r="G1408" s="1">
        <v>15967.0</v>
      </c>
      <c r="H1408" s="1" t="s">
        <v>14</v>
      </c>
      <c r="I1408" s="4">
        <v>40148.0</v>
      </c>
      <c r="J1408" s="5">
        <v>0.5618055555555556</v>
      </c>
      <c r="K1408" s="1">
        <v>13.0</v>
      </c>
      <c r="L1408" s="1">
        <v>2.5</v>
      </c>
    </row>
    <row r="1409">
      <c r="A1409" s="1">
        <v>489571.0</v>
      </c>
      <c r="B1409" s="2" t="s">
        <v>1619</v>
      </c>
      <c r="C1409" s="1" t="s">
        <v>1620</v>
      </c>
      <c r="D1409" s="1">
        <v>1.0</v>
      </c>
      <c r="E1409" s="3">
        <v>40148.56180555555</v>
      </c>
      <c r="F1409" s="1">
        <v>2.95</v>
      </c>
      <c r="G1409" s="1">
        <v>15967.0</v>
      </c>
      <c r="H1409" s="1" t="s">
        <v>14</v>
      </c>
      <c r="I1409" s="4">
        <v>40148.0</v>
      </c>
      <c r="J1409" s="5">
        <v>0.5618055555555556</v>
      </c>
      <c r="K1409" s="1">
        <v>13.0</v>
      </c>
      <c r="L1409" s="1">
        <v>2.95</v>
      </c>
    </row>
    <row r="1410">
      <c r="A1410" s="1">
        <v>489571.0</v>
      </c>
      <c r="B1410" s="2" t="s">
        <v>1621</v>
      </c>
      <c r="C1410" s="1" t="s">
        <v>1622</v>
      </c>
      <c r="D1410" s="1">
        <v>2.0</v>
      </c>
      <c r="E1410" s="3">
        <v>40148.56180555555</v>
      </c>
      <c r="F1410" s="1">
        <v>12.75</v>
      </c>
      <c r="G1410" s="1">
        <v>15967.0</v>
      </c>
      <c r="H1410" s="1" t="s">
        <v>14</v>
      </c>
      <c r="I1410" s="4">
        <v>40148.0</v>
      </c>
      <c r="J1410" s="5">
        <v>0.5618055555555556</v>
      </c>
      <c r="K1410" s="1">
        <v>13.0</v>
      </c>
      <c r="L1410" s="1">
        <v>25.5</v>
      </c>
    </row>
    <row r="1411">
      <c r="A1411" s="1">
        <v>489571.0</v>
      </c>
      <c r="B1411" s="2" t="s">
        <v>370</v>
      </c>
      <c r="C1411" s="1" t="s">
        <v>371</v>
      </c>
      <c r="D1411" s="1">
        <v>1.0</v>
      </c>
      <c r="E1411" s="3">
        <v>40148.56180555555</v>
      </c>
      <c r="F1411" s="1">
        <v>2.95</v>
      </c>
      <c r="G1411" s="1">
        <v>15967.0</v>
      </c>
      <c r="H1411" s="1" t="s">
        <v>14</v>
      </c>
      <c r="I1411" s="4">
        <v>40148.0</v>
      </c>
      <c r="J1411" s="5">
        <v>0.5618055555555556</v>
      </c>
      <c r="K1411" s="1">
        <v>13.0</v>
      </c>
      <c r="L1411" s="1">
        <v>2.95</v>
      </c>
    </row>
    <row r="1412">
      <c r="A1412" s="1">
        <v>489571.0</v>
      </c>
      <c r="B1412" s="2" t="s">
        <v>111</v>
      </c>
      <c r="C1412" s="1" t="s">
        <v>112</v>
      </c>
      <c r="D1412" s="1">
        <v>1.0</v>
      </c>
      <c r="E1412" s="3">
        <v>40148.56180555555</v>
      </c>
      <c r="F1412" s="1">
        <v>2.95</v>
      </c>
      <c r="G1412" s="1">
        <v>15967.0</v>
      </c>
      <c r="H1412" s="1" t="s">
        <v>14</v>
      </c>
      <c r="I1412" s="4">
        <v>40148.0</v>
      </c>
      <c r="J1412" s="5">
        <v>0.5618055555555556</v>
      </c>
      <c r="K1412" s="1">
        <v>13.0</v>
      </c>
      <c r="L1412" s="1">
        <v>2.95</v>
      </c>
    </row>
    <row r="1413">
      <c r="A1413" s="1">
        <v>489571.0</v>
      </c>
      <c r="B1413" s="2" t="s">
        <v>109</v>
      </c>
      <c r="C1413" s="1" t="s">
        <v>110</v>
      </c>
      <c r="D1413" s="1">
        <v>1.0</v>
      </c>
      <c r="E1413" s="3">
        <v>40148.56180555555</v>
      </c>
      <c r="F1413" s="1">
        <v>2.95</v>
      </c>
      <c r="G1413" s="1">
        <v>15967.0</v>
      </c>
      <c r="H1413" s="1" t="s">
        <v>14</v>
      </c>
      <c r="I1413" s="4">
        <v>40148.0</v>
      </c>
      <c r="J1413" s="5">
        <v>0.5618055555555556</v>
      </c>
      <c r="K1413" s="1">
        <v>13.0</v>
      </c>
      <c r="L1413" s="1">
        <v>2.95</v>
      </c>
    </row>
    <row r="1414">
      <c r="A1414" s="1">
        <v>489571.0</v>
      </c>
      <c r="B1414" s="2" t="s">
        <v>63</v>
      </c>
      <c r="C1414" s="1" t="s">
        <v>64</v>
      </c>
      <c r="D1414" s="1">
        <v>1.0</v>
      </c>
      <c r="E1414" s="3">
        <v>40148.56180555555</v>
      </c>
      <c r="F1414" s="1">
        <v>2.1</v>
      </c>
      <c r="G1414" s="1">
        <v>15967.0</v>
      </c>
      <c r="H1414" s="1" t="s">
        <v>14</v>
      </c>
      <c r="I1414" s="4">
        <v>40148.0</v>
      </c>
      <c r="J1414" s="5">
        <v>0.5618055555555556</v>
      </c>
      <c r="K1414" s="1">
        <v>13.0</v>
      </c>
      <c r="L1414" s="1">
        <v>2.1</v>
      </c>
    </row>
    <row r="1415">
      <c r="A1415" s="1">
        <v>489571.0</v>
      </c>
      <c r="B1415" s="2" t="s">
        <v>454</v>
      </c>
      <c r="C1415" s="1" t="s">
        <v>455</v>
      </c>
      <c r="D1415" s="1">
        <v>1.0</v>
      </c>
      <c r="E1415" s="3">
        <v>40148.56180555555</v>
      </c>
      <c r="F1415" s="1">
        <v>3.45</v>
      </c>
      <c r="G1415" s="1">
        <v>15967.0</v>
      </c>
      <c r="H1415" s="1" t="s">
        <v>14</v>
      </c>
      <c r="I1415" s="4">
        <v>40148.0</v>
      </c>
      <c r="J1415" s="5">
        <v>0.5618055555555556</v>
      </c>
      <c r="K1415" s="1">
        <v>13.0</v>
      </c>
      <c r="L1415" s="1">
        <v>3.45</v>
      </c>
    </row>
    <row r="1416">
      <c r="A1416" s="1">
        <v>489571.0</v>
      </c>
      <c r="B1416" s="2" t="s">
        <v>508</v>
      </c>
      <c r="C1416" s="1" t="s">
        <v>509</v>
      </c>
      <c r="D1416" s="1">
        <v>1.0</v>
      </c>
      <c r="E1416" s="3">
        <v>40148.56180555555</v>
      </c>
      <c r="F1416" s="1">
        <v>3.75</v>
      </c>
      <c r="G1416" s="1">
        <v>15967.0</v>
      </c>
      <c r="H1416" s="1" t="s">
        <v>14</v>
      </c>
      <c r="I1416" s="4">
        <v>40148.0</v>
      </c>
      <c r="J1416" s="5">
        <v>0.5618055555555556</v>
      </c>
      <c r="K1416" s="1">
        <v>13.0</v>
      </c>
      <c r="L1416" s="1">
        <v>3.75</v>
      </c>
    </row>
    <row r="1417">
      <c r="A1417" s="1">
        <v>489571.0</v>
      </c>
      <c r="B1417" s="2" t="s">
        <v>1417</v>
      </c>
      <c r="C1417" s="1" t="s">
        <v>1418</v>
      </c>
      <c r="D1417" s="1">
        <v>2.0</v>
      </c>
      <c r="E1417" s="3">
        <v>40148.56180555555</v>
      </c>
      <c r="F1417" s="1">
        <v>8.5</v>
      </c>
      <c r="G1417" s="1">
        <v>15967.0</v>
      </c>
      <c r="H1417" s="1" t="s">
        <v>14</v>
      </c>
      <c r="I1417" s="4">
        <v>40148.0</v>
      </c>
      <c r="J1417" s="5">
        <v>0.5618055555555556</v>
      </c>
      <c r="K1417" s="1">
        <v>13.0</v>
      </c>
      <c r="L1417" s="1">
        <v>17.0</v>
      </c>
    </row>
    <row r="1418">
      <c r="A1418" s="1">
        <v>489571.0</v>
      </c>
      <c r="B1418" s="2" t="s">
        <v>202</v>
      </c>
      <c r="C1418" s="1" t="s">
        <v>203</v>
      </c>
      <c r="D1418" s="1">
        <v>1.0</v>
      </c>
      <c r="E1418" s="3">
        <v>40148.56180555555</v>
      </c>
      <c r="F1418" s="1">
        <v>1.25</v>
      </c>
      <c r="G1418" s="1">
        <v>15967.0</v>
      </c>
      <c r="H1418" s="1" t="s">
        <v>14</v>
      </c>
      <c r="I1418" s="4">
        <v>40148.0</v>
      </c>
      <c r="J1418" s="5">
        <v>0.5618055555555556</v>
      </c>
      <c r="K1418" s="1">
        <v>13.0</v>
      </c>
      <c r="L1418" s="1">
        <v>1.25</v>
      </c>
    </row>
    <row r="1419">
      <c r="A1419" s="1">
        <v>489571.0</v>
      </c>
      <c r="B1419" s="2" t="s">
        <v>754</v>
      </c>
      <c r="C1419" s="1" t="s">
        <v>755</v>
      </c>
      <c r="D1419" s="1">
        <v>1.0</v>
      </c>
      <c r="E1419" s="3">
        <v>40148.56180555555</v>
      </c>
      <c r="F1419" s="1">
        <v>2.55</v>
      </c>
      <c r="G1419" s="1">
        <v>15967.0</v>
      </c>
      <c r="H1419" s="1" t="s">
        <v>14</v>
      </c>
      <c r="I1419" s="4">
        <v>40148.0</v>
      </c>
      <c r="J1419" s="5">
        <v>0.5618055555555556</v>
      </c>
      <c r="K1419" s="1">
        <v>13.0</v>
      </c>
      <c r="L1419" s="1">
        <v>2.55</v>
      </c>
    </row>
    <row r="1420">
      <c r="A1420" s="1">
        <v>489571.0</v>
      </c>
      <c r="B1420" s="2" t="s">
        <v>1099</v>
      </c>
      <c r="C1420" s="1" t="s">
        <v>1100</v>
      </c>
      <c r="D1420" s="1">
        <v>1.0</v>
      </c>
      <c r="E1420" s="3">
        <v>40148.56180555555</v>
      </c>
      <c r="F1420" s="1">
        <v>4.95</v>
      </c>
      <c r="G1420" s="1">
        <v>15967.0</v>
      </c>
      <c r="H1420" s="1" t="s">
        <v>14</v>
      </c>
      <c r="I1420" s="4">
        <v>40148.0</v>
      </c>
      <c r="J1420" s="5">
        <v>0.5618055555555556</v>
      </c>
      <c r="K1420" s="1">
        <v>13.0</v>
      </c>
      <c r="L1420" s="1">
        <v>4.95</v>
      </c>
    </row>
    <row r="1421">
      <c r="A1421" s="1">
        <v>489571.0</v>
      </c>
      <c r="B1421" s="2" t="s">
        <v>156</v>
      </c>
      <c r="C1421" s="1" t="s">
        <v>157</v>
      </c>
      <c r="D1421" s="1">
        <v>1.0</v>
      </c>
      <c r="E1421" s="3">
        <v>40148.56180555555</v>
      </c>
      <c r="F1421" s="1">
        <v>4.95</v>
      </c>
      <c r="G1421" s="1">
        <v>15967.0</v>
      </c>
      <c r="H1421" s="1" t="s">
        <v>14</v>
      </c>
      <c r="I1421" s="4">
        <v>40148.0</v>
      </c>
      <c r="J1421" s="5">
        <v>0.5618055555555556</v>
      </c>
      <c r="K1421" s="1">
        <v>13.0</v>
      </c>
      <c r="L1421" s="1">
        <v>4.95</v>
      </c>
    </row>
    <row r="1422">
      <c r="A1422" s="1">
        <v>489571.0</v>
      </c>
      <c r="B1422" s="2" t="s">
        <v>1611</v>
      </c>
      <c r="C1422" s="1" t="s">
        <v>1612</v>
      </c>
      <c r="D1422" s="1">
        <v>1.0</v>
      </c>
      <c r="E1422" s="3">
        <v>40148.56180555555</v>
      </c>
      <c r="F1422" s="1">
        <v>2.95</v>
      </c>
      <c r="G1422" s="1">
        <v>15967.0</v>
      </c>
      <c r="H1422" s="1" t="s">
        <v>14</v>
      </c>
      <c r="I1422" s="4">
        <v>40148.0</v>
      </c>
      <c r="J1422" s="5">
        <v>0.5618055555555556</v>
      </c>
      <c r="K1422" s="1">
        <v>13.0</v>
      </c>
      <c r="L1422" s="1">
        <v>2.95</v>
      </c>
    </row>
    <row r="1423">
      <c r="A1423" s="1">
        <v>489571.0</v>
      </c>
      <c r="B1423" s="2" t="s">
        <v>1623</v>
      </c>
      <c r="C1423" s="1" t="s">
        <v>1624</v>
      </c>
      <c r="D1423" s="1">
        <v>2.0</v>
      </c>
      <c r="E1423" s="3">
        <v>40148.56180555555</v>
      </c>
      <c r="F1423" s="1">
        <v>2.95</v>
      </c>
      <c r="G1423" s="1">
        <v>15967.0</v>
      </c>
      <c r="H1423" s="1" t="s">
        <v>14</v>
      </c>
      <c r="I1423" s="4">
        <v>40148.0</v>
      </c>
      <c r="J1423" s="5">
        <v>0.5618055555555556</v>
      </c>
      <c r="K1423" s="1">
        <v>13.0</v>
      </c>
      <c r="L1423" s="1">
        <v>5.9</v>
      </c>
    </row>
    <row r="1424">
      <c r="A1424" s="1">
        <v>489571.0</v>
      </c>
      <c r="B1424" s="2" t="s">
        <v>1625</v>
      </c>
      <c r="C1424" s="1" t="s">
        <v>1626</v>
      </c>
      <c r="D1424" s="1">
        <v>1.0</v>
      </c>
      <c r="E1424" s="3">
        <v>40148.56180555555</v>
      </c>
      <c r="F1424" s="1">
        <v>2.95</v>
      </c>
      <c r="G1424" s="1">
        <v>15967.0</v>
      </c>
      <c r="H1424" s="1" t="s">
        <v>14</v>
      </c>
      <c r="I1424" s="4">
        <v>40148.0</v>
      </c>
      <c r="J1424" s="5">
        <v>0.5618055555555556</v>
      </c>
      <c r="K1424" s="1">
        <v>13.0</v>
      </c>
      <c r="L1424" s="1">
        <v>2.95</v>
      </c>
    </row>
    <row r="1425">
      <c r="A1425" s="1">
        <v>489571.0</v>
      </c>
      <c r="B1425" s="2" t="s">
        <v>1407</v>
      </c>
      <c r="C1425" s="1" t="s">
        <v>1408</v>
      </c>
      <c r="D1425" s="1">
        <v>1.0</v>
      </c>
      <c r="E1425" s="3">
        <v>40148.56180555555</v>
      </c>
      <c r="F1425" s="1">
        <v>2.95</v>
      </c>
      <c r="G1425" s="1">
        <v>15967.0</v>
      </c>
      <c r="H1425" s="1" t="s">
        <v>14</v>
      </c>
      <c r="I1425" s="4">
        <v>40148.0</v>
      </c>
      <c r="J1425" s="5">
        <v>0.5618055555555556</v>
      </c>
      <c r="K1425" s="1">
        <v>13.0</v>
      </c>
      <c r="L1425" s="1">
        <v>2.95</v>
      </c>
    </row>
    <row r="1426">
      <c r="A1426" s="1">
        <v>489571.0</v>
      </c>
      <c r="B1426" s="2" t="s">
        <v>1627</v>
      </c>
      <c r="C1426" s="1" t="s">
        <v>1628</v>
      </c>
      <c r="D1426" s="1">
        <v>1.0</v>
      </c>
      <c r="E1426" s="3">
        <v>40148.56180555555</v>
      </c>
      <c r="F1426" s="1">
        <v>2.55</v>
      </c>
      <c r="G1426" s="1">
        <v>15967.0</v>
      </c>
      <c r="H1426" s="1" t="s">
        <v>14</v>
      </c>
      <c r="I1426" s="4">
        <v>40148.0</v>
      </c>
      <c r="J1426" s="5">
        <v>0.5618055555555556</v>
      </c>
      <c r="K1426" s="1">
        <v>13.0</v>
      </c>
      <c r="L1426" s="1">
        <v>2.55</v>
      </c>
    </row>
    <row r="1427">
      <c r="A1427" s="1">
        <v>489571.0</v>
      </c>
      <c r="B1427" s="2" t="s">
        <v>1629</v>
      </c>
      <c r="C1427" s="1" t="s">
        <v>1630</v>
      </c>
      <c r="D1427" s="1">
        <v>1.0</v>
      </c>
      <c r="E1427" s="3">
        <v>40148.56180555555</v>
      </c>
      <c r="F1427" s="1">
        <v>0.85</v>
      </c>
      <c r="G1427" s="1">
        <v>15967.0</v>
      </c>
      <c r="H1427" s="1" t="s">
        <v>14</v>
      </c>
      <c r="I1427" s="4">
        <v>40148.0</v>
      </c>
      <c r="J1427" s="5">
        <v>0.5618055555555556</v>
      </c>
      <c r="K1427" s="1">
        <v>13.0</v>
      </c>
      <c r="L1427" s="1">
        <v>0.85</v>
      </c>
    </row>
    <row r="1428">
      <c r="A1428" s="1">
        <v>489572.0</v>
      </c>
      <c r="B1428" s="2" t="s">
        <v>1242</v>
      </c>
      <c r="C1428" s="1" t="s">
        <v>1243</v>
      </c>
      <c r="D1428" s="1">
        <v>5.0</v>
      </c>
      <c r="E1428" s="3">
        <v>40148.56180555555</v>
      </c>
      <c r="F1428" s="1">
        <v>1.65</v>
      </c>
      <c r="G1428" s="1">
        <v>17611.0</v>
      </c>
      <c r="H1428" s="1" t="s">
        <v>14</v>
      </c>
      <c r="I1428" s="4">
        <v>40148.0</v>
      </c>
      <c r="J1428" s="5">
        <v>0.5618055555555556</v>
      </c>
      <c r="K1428" s="1">
        <v>13.0</v>
      </c>
      <c r="L1428" s="1">
        <v>8.25</v>
      </c>
    </row>
    <row r="1429">
      <c r="A1429" s="1">
        <v>489572.0</v>
      </c>
      <c r="B1429" s="2" t="s">
        <v>1451</v>
      </c>
      <c r="C1429" s="1" t="s">
        <v>1452</v>
      </c>
      <c r="D1429" s="1">
        <v>1.0</v>
      </c>
      <c r="E1429" s="3">
        <v>40148.56180555555</v>
      </c>
      <c r="F1429" s="1">
        <v>7.95</v>
      </c>
      <c r="G1429" s="1">
        <v>17611.0</v>
      </c>
      <c r="H1429" s="1" t="s">
        <v>14</v>
      </c>
      <c r="I1429" s="4">
        <v>40148.0</v>
      </c>
      <c r="J1429" s="5">
        <v>0.5618055555555556</v>
      </c>
      <c r="K1429" s="1">
        <v>13.0</v>
      </c>
      <c r="L1429" s="1">
        <v>7.95</v>
      </c>
    </row>
    <row r="1430">
      <c r="A1430" s="1">
        <v>489572.0</v>
      </c>
      <c r="B1430" s="2" t="s">
        <v>658</v>
      </c>
      <c r="C1430" s="1" t="s">
        <v>659</v>
      </c>
      <c r="D1430" s="1">
        <v>2.0</v>
      </c>
      <c r="E1430" s="3">
        <v>40148.56180555555</v>
      </c>
      <c r="F1430" s="1">
        <v>6.75</v>
      </c>
      <c r="G1430" s="1">
        <v>17611.0</v>
      </c>
      <c r="H1430" s="1" t="s">
        <v>14</v>
      </c>
      <c r="I1430" s="4">
        <v>40148.0</v>
      </c>
      <c r="J1430" s="5">
        <v>0.5618055555555556</v>
      </c>
      <c r="K1430" s="1">
        <v>13.0</v>
      </c>
      <c r="L1430" s="1">
        <v>13.5</v>
      </c>
    </row>
    <row r="1431">
      <c r="A1431" s="1">
        <v>489572.0</v>
      </c>
      <c r="B1431" s="2" t="s">
        <v>766</v>
      </c>
      <c r="C1431" s="1" t="s">
        <v>767</v>
      </c>
      <c r="D1431" s="1">
        <v>2.0</v>
      </c>
      <c r="E1431" s="3">
        <v>40148.56180555555</v>
      </c>
      <c r="F1431" s="1">
        <v>6.75</v>
      </c>
      <c r="G1431" s="1">
        <v>17611.0</v>
      </c>
      <c r="H1431" s="1" t="s">
        <v>14</v>
      </c>
      <c r="I1431" s="4">
        <v>40148.0</v>
      </c>
      <c r="J1431" s="5">
        <v>0.5618055555555556</v>
      </c>
      <c r="K1431" s="1">
        <v>13.0</v>
      </c>
      <c r="L1431" s="1">
        <v>13.5</v>
      </c>
    </row>
    <row r="1432">
      <c r="A1432" s="1">
        <v>489572.0</v>
      </c>
      <c r="B1432" s="2" t="s">
        <v>37</v>
      </c>
      <c r="C1432" s="1" t="s">
        <v>38</v>
      </c>
      <c r="D1432" s="1">
        <v>2.0</v>
      </c>
      <c r="E1432" s="3">
        <v>40148.56180555555</v>
      </c>
      <c r="F1432" s="1">
        <v>6.75</v>
      </c>
      <c r="G1432" s="1">
        <v>17611.0</v>
      </c>
      <c r="H1432" s="1" t="s">
        <v>14</v>
      </c>
      <c r="I1432" s="4">
        <v>40148.0</v>
      </c>
      <c r="J1432" s="5">
        <v>0.5618055555555556</v>
      </c>
      <c r="K1432" s="1">
        <v>13.0</v>
      </c>
      <c r="L1432" s="1">
        <v>13.5</v>
      </c>
    </row>
    <row r="1433">
      <c r="A1433" s="1">
        <v>489572.0</v>
      </c>
      <c r="B1433" s="2" t="s">
        <v>1631</v>
      </c>
      <c r="C1433" s="1" t="s">
        <v>1632</v>
      </c>
      <c r="D1433" s="1">
        <v>1.0</v>
      </c>
      <c r="E1433" s="3">
        <v>40148.56180555555</v>
      </c>
      <c r="F1433" s="1">
        <v>6.75</v>
      </c>
      <c r="G1433" s="1">
        <v>17611.0</v>
      </c>
      <c r="H1433" s="1" t="s">
        <v>14</v>
      </c>
      <c r="I1433" s="4">
        <v>40148.0</v>
      </c>
      <c r="J1433" s="5">
        <v>0.5618055555555556</v>
      </c>
      <c r="K1433" s="1">
        <v>13.0</v>
      </c>
      <c r="L1433" s="1">
        <v>6.75</v>
      </c>
    </row>
    <row r="1434">
      <c r="A1434" s="1">
        <v>489572.0</v>
      </c>
      <c r="B1434" s="2" t="s">
        <v>1633</v>
      </c>
      <c r="C1434" s="1" t="s">
        <v>1634</v>
      </c>
      <c r="D1434" s="1">
        <v>1.0</v>
      </c>
      <c r="E1434" s="3">
        <v>40148.56180555555</v>
      </c>
      <c r="F1434" s="1">
        <v>6.75</v>
      </c>
      <c r="G1434" s="1">
        <v>17611.0</v>
      </c>
      <c r="H1434" s="1" t="s">
        <v>14</v>
      </c>
      <c r="I1434" s="4">
        <v>40148.0</v>
      </c>
      <c r="J1434" s="5">
        <v>0.5618055555555556</v>
      </c>
      <c r="K1434" s="1">
        <v>13.0</v>
      </c>
      <c r="L1434" s="1">
        <v>6.75</v>
      </c>
    </row>
    <row r="1435">
      <c r="A1435" s="1">
        <v>489572.0</v>
      </c>
      <c r="B1435" s="2" t="s">
        <v>1635</v>
      </c>
      <c r="C1435" s="1" t="s">
        <v>1636</v>
      </c>
      <c r="D1435" s="1">
        <v>2.0</v>
      </c>
      <c r="E1435" s="3">
        <v>40148.56180555555</v>
      </c>
      <c r="F1435" s="1">
        <v>2.55</v>
      </c>
      <c r="G1435" s="1">
        <v>17611.0</v>
      </c>
      <c r="H1435" s="1" t="s">
        <v>14</v>
      </c>
      <c r="I1435" s="4">
        <v>40148.0</v>
      </c>
      <c r="J1435" s="5">
        <v>0.5618055555555556</v>
      </c>
      <c r="K1435" s="1">
        <v>13.0</v>
      </c>
      <c r="L1435" s="1">
        <v>5.1</v>
      </c>
    </row>
    <row r="1436">
      <c r="A1436" s="1">
        <v>489572.0</v>
      </c>
      <c r="B1436" s="2" t="s">
        <v>1637</v>
      </c>
      <c r="C1436" s="1" t="s">
        <v>1638</v>
      </c>
      <c r="D1436" s="1">
        <v>2.0</v>
      </c>
      <c r="E1436" s="3">
        <v>40148.56180555555</v>
      </c>
      <c r="F1436" s="1">
        <v>2.55</v>
      </c>
      <c r="G1436" s="1">
        <v>17611.0</v>
      </c>
      <c r="H1436" s="1" t="s">
        <v>14</v>
      </c>
      <c r="I1436" s="4">
        <v>40148.0</v>
      </c>
      <c r="J1436" s="5">
        <v>0.5618055555555556</v>
      </c>
      <c r="K1436" s="1">
        <v>13.0</v>
      </c>
      <c r="L1436" s="1">
        <v>5.1</v>
      </c>
    </row>
    <row r="1437">
      <c r="A1437" s="1">
        <v>489572.0</v>
      </c>
      <c r="B1437" s="2" t="s">
        <v>406</v>
      </c>
      <c r="C1437" s="1" t="s">
        <v>407</v>
      </c>
      <c r="D1437" s="1">
        <v>2.0</v>
      </c>
      <c r="E1437" s="3">
        <v>40148.56180555555</v>
      </c>
      <c r="F1437" s="1">
        <v>2.95</v>
      </c>
      <c r="G1437" s="1">
        <v>17611.0</v>
      </c>
      <c r="H1437" s="1" t="s">
        <v>14</v>
      </c>
      <c r="I1437" s="4">
        <v>40148.0</v>
      </c>
      <c r="J1437" s="5">
        <v>0.5618055555555556</v>
      </c>
      <c r="K1437" s="1">
        <v>13.0</v>
      </c>
      <c r="L1437" s="1">
        <v>5.9</v>
      </c>
    </row>
    <row r="1438">
      <c r="A1438" s="1">
        <v>489572.0</v>
      </c>
      <c r="B1438" s="2" t="s">
        <v>1639</v>
      </c>
      <c r="C1438" s="1" t="s">
        <v>1640</v>
      </c>
      <c r="D1438" s="1">
        <v>12.0</v>
      </c>
      <c r="E1438" s="3">
        <v>40148.56180555555</v>
      </c>
      <c r="F1438" s="1">
        <v>0.42</v>
      </c>
      <c r="G1438" s="1">
        <v>17611.0</v>
      </c>
      <c r="H1438" s="1" t="s">
        <v>14</v>
      </c>
      <c r="I1438" s="4">
        <v>40148.0</v>
      </c>
      <c r="J1438" s="5">
        <v>0.5618055555555556</v>
      </c>
      <c r="K1438" s="1">
        <v>13.0</v>
      </c>
      <c r="L1438" s="1">
        <v>5.04</v>
      </c>
    </row>
    <row r="1439">
      <c r="A1439" s="1">
        <v>489572.0</v>
      </c>
      <c r="B1439" s="2" t="s">
        <v>1641</v>
      </c>
      <c r="C1439" s="1" t="s">
        <v>1642</v>
      </c>
      <c r="D1439" s="1">
        <v>12.0</v>
      </c>
      <c r="E1439" s="3">
        <v>40148.56180555555</v>
      </c>
      <c r="F1439" s="1">
        <v>0.42</v>
      </c>
      <c r="G1439" s="1">
        <v>17611.0</v>
      </c>
      <c r="H1439" s="1" t="s">
        <v>14</v>
      </c>
      <c r="I1439" s="4">
        <v>40148.0</v>
      </c>
      <c r="J1439" s="5">
        <v>0.5618055555555556</v>
      </c>
      <c r="K1439" s="1">
        <v>13.0</v>
      </c>
      <c r="L1439" s="1">
        <v>5.04</v>
      </c>
    </row>
    <row r="1440">
      <c r="A1440" s="1">
        <v>489572.0</v>
      </c>
      <c r="B1440" s="2" t="s">
        <v>212</v>
      </c>
      <c r="C1440" s="1" t="s">
        <v>213</v>
      </c>
      <c r="D1440" s="1">
        <v>12.0</v>
      </c>
      <c r="E1440" s="3">
        <v>40148.56180555555</v>
      </c>
      <c r="F1440" s="1">
        <v>0.42</v>
      </c>
      <c r="G1440" s="1">
        <v>17611.0</v>
      </c>
      <c r="H1440" s="1" t="s">
        <v>14</v>
      </c>
      <c r="I1440" s="4">
        <v>40148.0</v>
      </c>
      <c r="J1440" s="5">
        <v>0.5618055555555556</v>
      </c>
      <c r="K1440" s="1">
        <v>13.0</v>
      </c>
      <c r="L1440" s="1">
        <v>5.04</v>
      </c>
    </row>
    <row r="1441">
      <c r="A1441" s="1">
        <v>489572.0</v>
      </c>
      <c r="B1441" s="2" t="s">
        <v>1643</v>
      </c>
      <c r="C1441" s="1" t="s">
        <v>1644</v>
      </c>
      <c r="D1441" s="1">
        <v>12.0</v>
      </c>
      <c r="E1441" s="3">
        <v>40148.56180555555</v>
      </c>
      <c r="F1441" s="1">
        <v>0.42</v>
      </c>
      <c r="G1441" s="1">
        <v>17611.0</v>
      </c>
      <c r="H1441" s="1" t="s">
        <v>14</v>
      </c>
      <c r="I1441" s="4">
        <v>40148.0</v>
      </c>
      <c r="J1441" s="5">
        <v>0.5618055555555556</v>
      </c>
      <c r="K1441" s="1">
        <v>13.0</v>
      </c>
      <c r="L1441" s="1">
        <v>5.04</v>
      </c>
    </row>
    <row r="1442">
      <c r="A1442" s="1">
        <v>489572.0</v>
      </c>
      <c r="B1442" s="2" t="s">
        <v>1423</v>
      </c>
      <c r="C1442" s="1" t="s">
        <v>1424</v>
      </c>
      <c r="D1442" s="1">
        <v>2.0</v>
      </c>
      <c r="E1442" s="3">
        <v>40148.56180555555</v>
      </c>
      <c r="F1442" s="1">
        <v>2.55</v>
      </c>
      <c r="G1442" s="1">
        <v>17611.0</v>
      </c>
      <c r="H1442" s="1" t="s">
        <v>14</v>
      </c>
      <c r="I1442" s="4">
        <v>40148.0</v>
      </c>
      <c r="J1442" s="5">
        <v>0.5618055555555556</v>
      </c>
      <c r="K1442" s="1">
        <v>13.0</v>
      </c>
      <c r="L1442" s="1">
        <v>5.1</v>
      </c>
    </row>
    <row r="1443">
      <c r="A1443" s="1">
        <v>489572.0</v>
      </c>
      <c r="B1443" s="2" t="s">
        <v>67</v>
      </c>
      <c r="C1443" s="1" t="s">
        <v>68</v>
      </c>
      <c r="D1443" s="1">
        <v>2.0</v>
      </c>
      <c r="E1443" s="3">
        <v>40148.56180555555</v>
      </c>
      <c r="F1443" s="1">
        <v>2.95</v>
      </c>
      <c r="G1443" s="1">
        <v>17611.0</v>
      </c>
      <c r="H1443" s="1" t="s">
        <v>14</v>
      </c>
      <c r="I1443" s="4">
        <v>40148.0</v>
      </c>
      <c r="J1443" s="5">
        <v>0.5618055555555556</v>
      </c>
      <c r="K1443" s="1">
        <v>13.0</v>
      </c>
      <c r="L1443" s="1">
        <v>5.9</v>
      </c>
    </row>
    <row r="1444">
      <c r="A1444" s="1">
        <v>489572.0</v>
      </c>
      <c r="B1444" s="2" t="s">
        <v>1617</v>
      </c>
      <c r="C1444" s="1" t="s">
        <v>1618</v>
      </c>
      <c r="D1444" s="1">
        <v>5.0</v>
      </c>
      <c r="E1444" s="3">
        <v>40148.56180555555</v>
      </c>
      <c r="F1444" s="1">
        <v>1.25</v>
      </c>
      <c r="G1444" s="1">
        <v>17611.0</v>
      </c>
      <c r="H1444" s="1" t="s">
        <v>14</v>
      </c>
      <c r="I1444" s="4">
        <v>40148.0</v>
      </c>
      <c r="J1444" s="5">
        <v>0.5618055555555556</v>
      </c>
      <c r="K1444" s="1">
        <v>13.0</v>
      </c>
      <c r="L1444" s="1">
        <v>6.25</v>
      </c>
    </row>
    <row r="1445">
      <c r="A1445" s="1">
        <v>489572.0</v>
      </c>
      <c r="B1445" s="2" t="s">
        <v>1645</v>
      </c>
      <c r="C1445" s="1" t="s">
        <v>1646</v>
      </c>
      <c r="D1445" s="1">
        <v>2.0</v>
      </c>
      <c r="E1445" s="3">
        <v>40148.56180555555</v>
      </c>
      <c r="F1445" s="1">
        <v>3.75</v>
      </c>
      <c r="G1445" s="1">
        <v>17611.0</v>
      </c>
      <c r="H1445" s="1" t="s">
        <v>14</v>
      </c>
      <c r="I1445" s="4">
        <v>40148.0</v>
      </c>
      <c r="J1445" s="5">
        <v>0.5618055555555556</v>
      </c>
      <c r="K1445" s="1">
        <v>13.0</v>
      </c>
      <c r="L1445" s="1">
        <v>7.5</v>
      </c>
    </row>
    <row r="1446">
      <c r="A1446" s="1">
        <v>489572.0</v>
      </c>
      <c r="B1446" s="2" t="s">
        <v>295</v>
      </c>
      <c r="C1446" s="1" t="s">
        <v>296</v>
      </c>
      <c r="D1446" s="1">
        <v>2.0</v>
      </c>
      <c r="E1446" s="3">
        <v>40148.56180555555</v>
      </c>
      <c r="F1446" s="1">
        <v>1.95</v>
      </c>
      <c r="G1446" s="1">
        <v>17611.0</v>
      </c>
      <c r="H1446" s="1" t="s">
        <v>14</v>
      </c>
      <c r="I1446" s="4">
        <v>40148.0</v>
      </c>
      <c r="J1446" s="5">
        <v>0.5618055555555556</v>
      </c>
      <c r="K1446" s="1">
        <v>13.0</v>
      </c>
      <c r="L1446" s="1">
        <v>3.9</v>
      </c>
    </row>
    <row r="1447">
      <c r="A1447" s="1">
        <v>489572.0</v>
      </c>
      <c r="B1447" s="2" t="s">
        <v>1284</v>
      </c>
      <c r="C1447" s="1" t="s">
        <v>1285</v>
      </c>
      <c r="D1447" s="1">
        <v>2.0</v>
      </c>
      <c r="E1447" s="3">
        <v>40148.56180555555</v>
      </c>
      <c r="F1447" s="1">
        <v>1.95</v>
      </c>
      <c r="G1447" s="1">
        <v>17611.0</v>
      </c>
      <c r="H1447" s="1" t="s">
        <v>14</v>
      </c>
      <c r="I1447" s="4">
        <v>40148.0</v>
      </c>
      <c r="J1447" s="5">
        <v>0.5618055555555556</v>
      </c>
      <c r="K1447" s="1">
        <v>13.0</v>
      </c>
      <c r="L1447" s="1">
        <v>3.9</v>
      </c>
    </row>
    <row r="1448">
      <c r="A1448" s="1">
        <v>489572.0</v>
      </c>
      <c r="B1448" s="2" t="s">
        <v>801</v>
      </c>
      <c r="C1448" s="1" t="s">
        <v>802</v>
      </c>
      <c r="D1448" s="1">
        <v>2.0</v>
      </c>
      <c r="E1448" s="3">
        <v>40148.56180555555</v>
      </c>
      <c r="F1448" s="1">
        <v>0.85</v>
      </c>
      <c r="G1448" s="1">
        <v>17611.0</v>
      </c>
      <c r="H1448" s="1" t="s">
        <v>14</v>
      </c>
      <c r="I1448" s="4">
        <v>40148.0</v>
      </c>
      <c r="J1448" s="5">
        <v>0.5618055555555556</v>
      </c>
      <c r="K1448" s="1">
        <v>13.0</v>
      </c>
      <c r="L1448" s="1">
        <v>1.7</v>
      </c>
    </row>
    <row r="1449">
      <c r="A1449" s="1">
        <v>489572.0</v>
      </c>
      <c r="B1449" s="2" t="s">
        <v>1647</v>
      </c>
      <c r="C1449" s="1" t="s">
        <v>1648</v>
      </c>
      <c r="D1449" s="1">
        <v>1.0</v>
      </c>
      <c r="E1449" s="3">
        <v>40148.56180555555</v>
      </c>
      <c r="F1449" s="1">
        <v>3.75</v>
      </c>
      <c r="G1449" s="1">
        <v>17611.0</v>
      </c>
      <c r="H1449" s="1" t="s">
        <v>14</v>
      </c>
      <c r="I1449" s="4">
        <v>40148.0</v>
      </c>
      <c r="J1449" s="5">
        <v>0.5618055555555556</v>
      </c>
      <c r="K1449" s="1">
        <v>13.0</v>
      </c>
      <c r="L1449" s="1">
        <v>3.75</v>
      </c>
    </row>
    <row r="1450">
      <c r="A1450" s="1">
        <v>489572.0</v>
      </c>
      <c r="B1450" s="2" t="s">
        <v>1649</v>
      </c>
      <c r="C1450" s="1" t="s">
        <v>1650</v>
      </c>
      <c r="D1450" s="1">
        <v>1.0</v>
      </c>
      <c r="E1450" s="3">
        <v>40148.56180555555</v>
      </c>
      <c r="F1450" s="1">
        <v>3.75</v>
      </c>
      <c r="G1450" s="1">
        <v>17611.0</v>
      </c>
      <c r="H1450" s="1" t="s">
        <v>14</v>
      </c>
      <c r="I1450" s="4">
        <v>40148.0</v>
      </c>
      <c r="J1450" s="5">
        <v>0.5618055555555556</v>
      </c>
      <c r="K1450" s="1">
        <v>13.0</v>
      </c>
      <c r="L1450" s="1">
        <v>3.75</v>
      </c>
    </row>
    <row r="1451">
      <c r="A1451" s="1">
        <v>489572.0</v>
      </c>
      <c r="B1451" s="2" t="s">
        <v>1651</v>
      </c>
      <c r="C1451" s="1" t="s">
        <v>1652</v>
      </c>
      <c r="D1451" s="1">
        <v>1.0</v>
      </c>
      <c r="E1451" s="3">
        <v>40148.56180555555</v>
      </c>
      <c r="F1451" s="1">
        <v>3.75</v>
      </c>
      <c r="G1451" s="1">
        <v>17611.0</v>
      </c>
      <c r="H1451" s="1" t="s">
        <v>14</v>
      </c>
      <c r="I1451" s="4">
        <v>40148.0</v>
      </c>
      <c r="J1451" s="5">
        <v>0.5618055555555556</v>
      </c>
      <c r="K1451" s="1">
        <v>13.0</v>
      </c>
      <c r="L1451" s="1">
        <v>3.75</v>
      </c>
    </row>
    <row r="1452">
      <c r="A1452" s="1">
        <v>489572.0</v>
      </c>
      <c r="B1452" s="2" t="s">
        <v>548</v>
      </c>
      <c r="C1452" s="1" t="s">
        <v>549</v>
      </c>
      <c r="D1452" s="1">
        <v>1.0</v>
      </c>
      <c r="E1452" s="3">
        <v>40148.56180555555</v>
      </c>
      <c r="F1452" s="1">
        <v>3.75</v>
      </c>
      <c r="G1452" s="1">
        <v>17611.0</v>
      </c>
      <c r="H1452" s="1" t="s">
        <v>14</v>
      </c>
      <c r="I1452" s="4">
        <v>40148.0</v>
      </c>
      <c r="J1452" s="5">
        <v>0.5618055555555556</v>
      </c>
      <c r="K1452" s="1">
        <v>13.0</v>
      </c>
      <c r="L1452" s="1">
        <v>3.75</v>
      </c>
    </row>
    <row r="1453">
      <c r="A1453" s="1">
        <v>489572.0</v>
      </c>
      <c r="B1453" s="2" t="s">
        <v>502</v>
      </c>
      <c r="C1453" s="1" t="s">
        <v>503</v>
      </c>
      <c r="D1453" s="1">
        <v>1.0</v>
      </c>
      <c r="E1453" s="3">
        <v>40148.56180555555</v>
      </c>
      <c r="F1453" s="1">
        <v>3.75</v>
      </c>
      <c r="G1453" s="1">
        <v>17611.0</v>
      </c>
      <c r="H1453" s="1" t="s">
        <v>14</v>
      </c>
      <c r="I1453" s="4">
        <v>40148.0</v>
      </c>
      <c r="J1453" s="5">
        <v>0.5618055555555556</v>
      </c>
      <c r="K1453" s="1">
        <v>13.0</v>
      </c>
      <c r="L1453" s="1">
        <v>3.75</v>
      </c>
    </row>
    <row r="1454">
      <c r="A1454" s="1">
        <v>489572.0</v>
      </c>
      <c r="B1454" s="2" t="s">
        <v>1653</v>
      </c>
      <c r="C1454" s="1" t="s">
        <v>1654</v>
      </c>
      <c r="D1454" s="1">
        <v>1.0</v>
      </c>
      <c r="E1454" s="3">
        <v>40148.56180555555</v>
      </c>
      <c r="F1454" s="1">
        <v>3.75</v>
      </c>
      <c r="G1454" s="1">
        <v>17611.0</v>
      </c>
      <c r="H1454" s="1" t="s">
        <v>14</v>
      </c>
      <c r="I1454" s="4">
        <v>40148.0</v>
      </c>
      <c r="J1454" s="5">
        <v>0.5618055555555556</v>
      </c>
      <c r="K1454" s="1">
        <v>13.0</v>
      </c>
      <c r="L1454" s="1">
        <v>3.75</v>
      </c>
    </row>
    <row r="1455">
      <c r="A1455" s="1">
        <v>489572.0</v>
      </c>
      <c r="B1455" s="2" t="s">
        <v>164</v>
      </c>
      <c r="C1455" s="1" t="s">
        <v>165</v>
      </c>
      <c r="D1455" s="1">
        <v>1.0</v>
      </c>
      <c r="E1455" s="3">
        <v>40148.56180555555</v>
      </c>
      <c r="F1455" s="1">
        <v>5.95</v>
      </c>
      <c r="G1455" s="1">
        <v>17611.0</v>
      </c>
      <c r="H1455" s="1" t="s">
        <v>14</v>
      </c>
      <c r="I1455" s="4">
        <v>40148.0</v>
      </c>
      <c r="J1455" s="5">
        <v>0.5618055555555556</v>
      </c>
      <c r="K1455" s="1">
        <v>13.0</v>
      </c>
      <c r="L1455" s="1">
        <v>5.95</v>
      </c>
    </row>
    <row r="1456">
      <c r="A1456" s="1">
        <v>489572.0</v>
      </c>
      <c r="B1456" s="2" t="s">
        <v>603</v>
      </c>
      <c r="C1456" s="1" t="s">
        <v>604</v>
      </c>
      <c r="D1456" s="1">
        <v>1.0</v>
      </c>
      <c r="E1456" s="3">
        <v>40148.56180555555</v>
      </c>
      <c r="F1456" s="1">
        <v>5.95</v>
      </c>
      <c r="G1456" s="1">
        <v>17611.0</v>
      </c>
      <c r="H1456" s="1" t="s">
        <v>14</v>
      </c>
      <c r="I1456" s="4">
        <v>40148.0</v>
      </c>
      <c r="J1456" s="5">
        <v>0.5618055555555556</v>
      </c>
      <c r="K1456" s="1">
        <v>13.0</v>
      </c>
      <c r="L1456" s="1">
        <v>5.95</v>
      </c>
    </row>
    <row r="1457">
      <c r="A1457" s="1">
        <v>489572.0</v>
      </c>
      <c r="B1457" s="2" t="s">
        <v>162</v>
      </c>
      <c r="C1457" s="1" t="s">
        <v>163</v>
      </c>
      <c r="D1457" s="1">
        <v>1.0</v>
      </c>
      <c r="E1457" s="3">
        <v>40148.56180555555</v>
      </c>
      <c r="F1457" s="1">
        <v>5.95</v>
      </c>
      <c r="G1457" s="1">
        <v>17611.0</v>
      </c>
      <c r="H1457" s="1" t="s">
        <v>14</v>
      </c>
      <c r="I1457" s="4">
        <v>40148.0</v>
      </c>
      <c r="J1457" s="5">
        <v>0.5618055555555556</v>
      </c>
      <c r="K1457" s="1">
        <v>13.0</v>
      </c>
      <c r="L1457" s="1">
        <v>5.95</v>
      </c>
    </row>
    <row r="1458">
      <c r="A1458" s="1">
        <v>489572.0</v>
      </c>
      <c r="B1458" s="2" t="s">
        <v>605</v>
      </c>
      <c r="C1458" s="1" t="s">
        <v>606</v>
      </c>
      <c r="D1458" s="1">
        <v>1.0</v>
      </c>
      <c r="E1458" s="3">
        <v>40148.56180555555</v>
      </c>
      <c r="F1458" s="1">
        <v>5.95</v>
      </c>
      <c r="G1458" s="1">
        <v>17611.0</v>
      </c>
      <c r="H1458" s="1" t="s">
        <v>14</v>
      </c>
      <c r="I1458" s="4">
        <v>40148.0</v>
      </c>
      <c r="J1458" s="5">
        <v>0.5618055555555556</v>
      </c>
      <c r="K1458" s="1">
        <v>13.0</v>
      </c>
      <c r="L1458" s="1">
        <v>5.95</v>
      </c>
    </row>
    <row r="1459">
      <c r="A1459" s="1">
        <v>489572.0</v>
      </c>
      <c r="B1459" s="2" t="s">
        <v>478</v>
      </c>
      <c r="C1459" s="1" t="s">
        <v>479</v>
      </c>
      <c r="D1459" s="1">
        <v>6.0</v>
      </c>
      <c r="E1459" s="3">
        <v>40148.56180555555</v>
      </c>
      <c r="F1459" s="1">
        <v>2.55</v>
      </c>
      <c r="G1459" s="1">
        <v>17611.0</v>
      </c>
      <c r="H1459" s="1" t="s">
        <v>14</v>
      </c>
      <c r="I1459" s="4">
        <v>40148.0</v>
      </c>
      <c r="J1459" s="5">
        <v>0.5618055555555556</v>
      </c>
      <c r="K1459" s="1">
        <v>13.0</v>
      </c>
      <c r="L1459" s="1">
        <v>15.2999999999999</v>
      </c>
    </row>
    <row r="1460">
      <c r="A1460" s="1">
        <v>489572.0</v>
      </c>
      <c r="B1460" s="2" t="s">
        <v>335</v>
      </c>
      <c r="C1460" s="1" t="s">
        <v>336</v>
      </c>
      <c r="D1460" s="1">
        <v>6.0</v>
      </c>
      <c r="E1460" s="3">
        <v>40148.56180555555</v>
      </c>
      <c r="F1460" s="1">
        <v>1.25</v>
      </c>
      <c r="G1460" s="1">
        <v>17611.0</v>
      </c>
      <c r="H1460" s="1" t="s">
        <v>14</v>
      </c>
      <c r="I1460" s="4">
        <v>40148.0</v>
      </c>
      <c r="J1460" s="5">
        <v>0.5618055555555556</v>
      </c>
      <c r="K1460" s="1">
        <v>13.0</v>
      </c>
      <c r="L1460" s="1">
        <v>7.5</v>
      </c>
    </row>
    <row r="1461">
      <c r="A1461" s="1">
        <v>489572.0</v>
      </c>
      <c r="B1461" s="2" t="s">
        <v>1234</v>
      </c>
      <c r="C1461" s="1" t="s">
        <v>1235</v>
      </c>
      <c r="D1461" s="1">
        <v>6.0</v>
      </c>
      <c r="E1461" s="3">
        <v>40148.56180555555</v>
      </c>
      <c r="F1461" s="1">
        <v>1.25</v>
      </c>
      <c r="G1461" s="1">
        <v>17611.0</v>
      </c>
      <c r="H1461" s="1" t="s">
        <v>14</v>
      </c>
      <c r="I1461" s="4">
        <v>40148.0</v>
      </c>
      <c r="J1461" s="5">
        <v>0.5618055555555556</v>
      </c>
      <c r="K1461" s="1">
        <v>13.0</v>
      </c>
      <c r="L1461" s="1">
        <v>7.5</v>
      </c>
    </row>
    <row r="1462">
      <c r="A1462" s="1">
        <v>489572.0</v>
      </c>
      <c r="B1462" s="2" t="s">
        <v>975</v>
      </c>
      <c r="C1462" s="1" t="s">
        <v>976</v>
      </c>
      <c r="D1462" s="1">
        <v>1.0</v>
      </c>
      <c r="E1462" s="3">
        <v>40148.56180555555</v>
      </c>
      <c r="F1462" s="1">
        <v>0.95</v>
      </c>
      <c r="G1462" s="1">
        <v>17611.0</v>
      </c>
      <c r="H1462" s="1" t="s">
        <v>14</v>
      </c>
      <c r="I1462" s="4">
        <v>40148.0</v>
      </c>
      <c r="J1462" s="5">
        <v>0.5618055555555556</v>
      </c>
      <c r="K1462" s="1">
        <v>13.0</v>
      </c>
      <c r="L1462" s="1">
        <v>0.95</v>
      </c>
    </row>
    <row r="1463">
      <c r="A1463" s="1">
        <v>489572.0</v>
      </c>
      <c r="B1463" s="2" t="s">
        <v>277</v>
      </c>
      <c r="C1463" s="1" t="s">
        <v>278</v>
      </c>
      <c r="D1463" s="1">
        <v>6.0</v>
      </c>
      <c r="E1463" s="3">
        <v>40148.56180555555</v>
      </c>
      <c r="F1463" s="1">
        <v>1.25</v>
      </c>
      <c r="G1463" s="1">
        <v>17611.0</v>
      </c>
      <c r="H1463" s="1" t="s">
        <v>14</v>
      </c>
      <c r="I1463" s="4">
        <v>40148.0</v>
      </c>
      <c r="J1463" s="5">
        <v>0.5618055555555556</v>
      </c>
      <c r="K1463" s="1">
        <v>13.0</v>
      </c>
      <c r="L1463" s="1">
        <v>7.5</v>
      </c>
    </row>
    <row r="1464">
      <c r="A1464" s="1">
        <v>489572.0</v>
      </c>
      <c r="B1464" s="2" t="s">
        <v>1655</v>
      </c>
      <c r="C1464" s="1" t="s">
        <v>1656</v>
      </c>
      <c r="D1464" s="1">
        <v>4.0</v>
      </c>
      <c r="E1464" s="3">
        <v>40148.56180555555</v>
      </c>
      <c r="F1464" s="1">
        <v>2.1</v>
      </c>
      <c r="G1464" s="1">
        <v>17611.0</v>
      </c>
      <c r="H1464" s="1" t="s">
        <v>14</v>
      </c>
      <c r="I1464" s="4">
        <v>40148.0</v>
      </c>
      <c r="J1464" s="5">
        <v>0.5618055555555556</v>
      </c>
      <c r="K1464" s="1">
        <v>13.0</v>
      </c>
      <c r="L1464" s="1">
        <v>8.4</v>
      </c>
    </row>
    <row r="1465">
      <c r="A1465" s="1">
        <v>489572.0</v>
      </c>
      <c r="B1465" s="2" t="s">
        <v>1657</v>
      </c>
      <c r="C1465" s="1" t="s">
        <v>1658</v>
      </c>
      <c r="D1465" s="1">
        <v>6.0</v>
      </c>
      <c r="E1465" s="3">
        <v>40148.56180555555</v>
      </c>
      <c r="F1465" s="1">
        <v>1.69</v>
      </c>
      <c r="G1465" s="1">
        <v>17611.0</v>
      </c>
      <c r="H1465" s="1" t="s">
        <v>14</v>
      </c>
      <c r="I1465" s="4">
        <v>40148.0</v>
      </c>
      <c r="J1465" s="5">
        <v>0.5618055555555556</v>
      </c>
      <c r="K1465" s="1">
        <v>13.0</v>
      </c>
      <c r="L1465" s="1">
        <v>10.14</v>
      </c>
    </row>
    <row r="1466">
      <c r="A1466" s="1">
        <v>489572.0</v>
      </c>
      <c r="B1466" s="2" t="s">
        <v>1659</v>
      </c>
      <c r="C1466" s="1" t="s">
        <v>1660</v>
      </c>
      <c r="D1466" s="1">
        <v>1.0</v>
      </c>
      <c r="E1466" s="3">
        <v>40148.56180555555</v>
      </c>
      <c r="F1466" s="1">
        <v>1.25</v>
      </c>
      <c r="G1466" s="1">
        <v>17611.0</v>
      </c>
      <c r="H1466" s="1" t="s">
        <v>14</v>
      </c>
      <c r="I1466" s="4">
        <v>40148.0</v>
      </c>
      <c r="J1466" s="5">
        <v>0.5618055555555556</v>
      </c>
      <c r="K1466" s="1">
        <v>13.0</v>
      </c>
      <c r="L1466" s="1">
        <v>1.25</v>
      </c>
    </row>
    <row r="1467">
      <c r="A1467" s="1">
        <v>489572.0</v>
      </c>
      <c r="B1467" s="2" t="s">
        <v>783</v>
      </c>
      <c r="C1467" s="1" t="s">
        <v>784</v>
      </c>
      <c r="D1467" s="1">
        <v>5.0</v>
      </c>
      <c r="E1467" s="3">
        <v>40148.56180555555</v>
      </c>
      <c r="F1467" s="1">
        <v>1.25</v>
      </c>
      <c r="G1467" s="1">
        <v>17611.0</v>
      </c>
      <c r="H1467" s="1" t="s">
        <v>14</v>
      </c>
      <c r="I1467" s="4">
        <v>40148.0</v>
      </c>
      <c r="J1467" s="5">
        <v>0.5618055555555556</v>
      </c>
      <c r="K1467" s="1">
        <v>13.0</v>
      </c>
      <c r="L1467" s="1">
        <v>6.25</v>
      </c>
    </row>
    <row r="1468">
      <c r="A1468" s="1">
        <v>489572.0</v>
      </c>
      <c r="B1468" s="2" t="s">
        <v>1661</v>
      </c>
      <c r="C1468" s="1" t="s">
        <v>1662</v>
      </c>
      <c r="D1468" s="1">
        <v>3.0</v>
      </c>
      <c r="E1468" s="3">
        <v>40148.56180555555</v>
      </c>
      <c r="F1468" s="1">
        <v>1.25</v>
      </c>
      <c r="G1468" s="1">
        <v>17611.0</v>
      </c>
      <c r="H1468" s="1" t="s">
        <v>14</v>
      </c>
      <c r="I1468" s="4">
        <v>40148.0</v>
      </c>
      <c r="J1468" s="5">
        <v>0.5618055555555556</v>
      </c>
      <c r="K1468" s="1">
        <v>13.0</v>
      </c>
      <c r="L1468" s="1">
        <v>3.75</v>
      </c>
    </row>
    <row r="1469">
      <c r="A1469" s="1">
        <v>489572.0</v>
      </c>
      <c r="B1469" s="2" t="s">
        <v>1244</v>
      </c>
      <c r="C1469" s="1" t="s">
        <v>1245</v>
      </c>
      <c r="D1469" s="1">
        <v>5.0</v>
      </c>
      <c r="E1469" s="3">
        <v>40148.56180555555</v>
      </c>
      <c r="F1469" s="1">
        <v>1.65</v>
      </c>
      <c r="G1469" s="1">
        <v>17611.0</v>
      </c>
      <c r="H1469" s="1" t="s">
        <v>14</v>
      </c>
      <c r="I1469" s="4">
        <v>40148.0</v>
      </c>
      <c r="J1469" s="5">
        <v>0.5618055555555556</v>
      </c>
      <c r="K1469" s="1">
        <v>13.0</v>
      </c>
      <c r="L1469" s="1">
        <v>8.25</v>
      </c>
    </row>
    <row r="1470">
      <c r="A1470" s="1">
        <v>489572.0</v>
      </c>
      <c r="B1470" s="2" t="s">
        <v>668</v>
      </c>
      <c r="C1470" s="1" t="s">
        <v>669</v>
      </c>
      <c r="D1470" s="1">
        <v>5.0</v>
      </c>
      <c r="E1470" s="3">
        <v>40148.56180555555</v>
      </c>
      <c r="F1470" s="1">
        <v>1.65</v>
      </c>
      <c r="G1470" s="1">
        <v>17611.0</v>
      </c>
      <c r="H1470" s="1" t="s">
        <v>14</v>
      </c>
      <c r="I1470" s="4">
        <v>40148.0</v>
      </c>
      <c r="J1470" s="5">
        <v>0.5618055555555556</v>
      </c>
      <c r="K1470" s="1">
        <v>13.0</v>
      </c>
      <c r="L1470" s="1">
        <v>8.25</v>
      </c>
    </row>
    <row r="1471">
      <c r="A1471" s="1">
        <v>489572.0</v>
      </c>
      <c r="B1471" s="2" t="s">
        <v>670</v>
      </c>
      <c r="C1471" s="1" t="s">
        <v>671</v>
      </c>
      <c r="D1471" s="1">
        <v>5.0</v>
      </c>
      <c r="E1471" s="3">
        <v>40148.56180555555</v>
      </c>
      <c r="F1471" s="1">
        <v>1.65</v>
      </c>
      <c r="G1471" s="1">
        <v>17611.0</v>
      </c>
      <c r="H1471" s="1" t="s">
        <v>14</v>
      </c>
      <c r="I1471" s="4">
        <v>40148.0</v>
      </c>
      <c r="J1471" s="5">
        <v>0.5618055555555556</v>
      </c>
      <c r="K1471" s="1">
        <v>13.0</v>
      </c>
      <c r="L1471" s="1">
        <v>8.25</v>
      </c>
    </row>
    <row r="1472">
      <c r="A1472" s="1">
        <v>489572.0</v>
      </c>
      <c r="B1472" s="2" t="s">
        <v>1011</v>
      </c>
      <c r="C1472" s="1" t="s">
        <v>1012</v>
      </c>
      <c r="D1472" s="1">
        <v>2.0</v>
      </c>
      <c r="E1472" s="3">
        <v>40148.56180555555</v>
      </c>
      <c r="F1472" s="1">
        <v>3.75</v>
      </c>
      <c r="G1472" s="1">
        <v>17611.0</v>
      </c>
      <c r="H1472" s="1" t="s">
        <v>14</v>
      </c>
      <c r="I1472" s="4">
        <v>40148.0</v>
      </c>
      <c r="J1472" s="5">
        <v>0.5618055555555556</v>
      </c>
      <c r="K1472" s="1">
        <v>13.0</v>
      </c>
      <c r="L1472" s="1">
        <v>7.5</v>
      </c>
    </row>
    <row r="1473">
      <c r="A1473" s="1">
        <v>489572.0</v>
      </c>
      <c r="B1473" s="2" t="s">
        <v>1013</v>
      </c>
      <c r="C1473" s="1" t="s">
        <v>1014</v>
      </c>
      <c r="D1473" s="1">
        <v>2.0</v>
      </c>
      <c r="E1473" s="3">
        <v>40148.56180555555</v>
      </c>
      <c r="F1473" s="1">
        <v>4.95</v>
      </c>
      <c r="G1473" s="1">
        <v>17611.0</v>
      </c>
      <c r="H1473" s="1" t="s">
        <v>14</v>
      </c>
      <c r="I1473" s="4">
        <v>40148.0</v>
      </c>
      <c r="J1473" s="5">
        <v>0.5618055555555556</v>
      </c>
      <c r="K1473" s="1">
        <v>13.0</v>
      </c>
      <c r="L1473" s="1">
        <v>9.9</v>
      </c>
    </row>
    <row r="1474">
      <c r="A1474" s="1">
        <v>489572.0</v>
      </c>
      <c r="B1474" s="2" t="s">
        <v>1663</v>
      </c>
      <c r="C1474" s="1" t="s">
        <v>1664</v>
      </c>
      <c r="D1474" s="1">
        <v>2.0</v>
      </c>
      <c r="E1474" s="3">
        <v>40148.56180555555</v>
      </c>
      <c r="F1474" s="1">
        <v>6.95</v>
      </c>
      <c r="G1474" s="1">
        <v>17611.0</v>
      </c>
      <c r="H1474" s="1" t="s">
        <v>14</v>
      </c>
      <c r="I1474" s="4">
        <v>40148.0</v>
      </c>
      <c r="J1474" s="5">
        <v>0.5618055555555556</v>
      </c>
      <c r="K1474" s="1">
        <v>13.0</v>
      </c>
      <c r="L1474" s="1">
        <v>13.9</v>
      </c>
    </row>
    <row r="1475">
      <c r="A1475" s="1">
        <v>489572.0</v>
      </c>
      <c r="B1475" s="2" t="s">
        <v>1665</v>
      </c>
      <c r="C1475" s="1" t="s">
        <v>1666</v>
      </c>
      <c r="D1475" s="1">
        <v>1.0</v>
      </c>
      <c r="E1475" s="3">
        <v>40148.56180555555</v>
      </c>
      <c r="F1475" s="1">
        <v>2.95</v>
      </c>
      <c r="G1475" s="1">
        <v>17611.0</v>
      </c>
      <c r="H1475" s="1" t="s">
        <v>14</v>
      </c>
      <c r="I1475" s="4">
        <v>40148.0</v>
      </c>
      <c r="J1475" s="5">
        <v>0.5618055555555556</v>
      </c>
      <c r="K1475" s="1">
        <v>13.0</v>
      </c>
      <c r="L1475" s="1">
        <v>2.95</v>
      </c>
    </row>
    <row r="1476">
      <c r="A1476" s="1">
        <v>489572.0</v>
      </c>
      <c r="B1476" s="2" t="s">
        <v>1667</v>
      </c>
      <c r="C1476" s="1" t="s">
        <v>1668</v>
      </c>
      <c r="D1476" s="1">
        <v>12.0</v>
      </c>
      <c r="E1476" s="3">
        <v>40148.56180555555</v>
      </c>
      <c r="F1476" s="1">
        <v>0.85</v>
      </c>
      <c r="G1476" s="1">
        <v>17611.0</v>
      </c>
      <c r="H1476" s="1" t="s">
        <v>14</v>
      </c>
      <c r="I1476" s="4">
        <v>40148.0</v>
      </c>
      <c r="J1476" s="5">
        <v>0.5618055555555556</v>
      </c>
      <c r="K1476" s="1">
        <v>13.0</v>
      </c>
      <c r="L1476" s="1">
        <v>10.2</v>
      </c>
    </row>
    <row r="1477">
      <c r="A1477" s="1">
        <v>489572.0</v>
      </c>
      <c r="B1477" s="2" t="s">
        <v>1669</v>
      </c>
      <c r="C1477" s="1" t="s">
        <v>1670</v>
      </c>
      <c r="D1477" s="1">
        <v>1.0</v>
      </c>
      <c r="E1477" s="3">
        <v>40148.56180555555</v>
      </c>
      <c r="F1477" s="1">
        <v>2.95</v>
      </c>
      <c r="G1477" s="1">
        <v>17611.0</v>
      </c>
      <c r="H1477" s="1" t="s">
        <v>14</v>
      </c>
      <c r="I1477" s="4">
        <v>40148.0</v>
      </c>
      <c r="J1477" s="5">
        <v>0.5618055555555556</v>
      </c>
      <c r="K1477" s="1">
        <v>13.0</v>
      </c>
      <c r="L1477" s="1">
        <v>2.95</v>
      </c>
    </row>
    <row r="1478">
      <c r="A1478" s="1">
        <v>489572.0</v>
      </c>
      <c r="B1478" s="2" t="s">
        <v>1671</v>
      </c>
      <c r="C1478" s="1" t="s">
        <v>1672</v>
      </c>
      <c r="D1478" s="1">
        <v>1.0</v>
      </c>
      <c r="E1478" s="3">
        <v>40148.56180555555</v>
      </c>
      <c r="F1478" s="1">
        <v>2.95</v>
      </c>
      <c r="G1478" s="1">
        <v>17611.0</v>
      </c>
      <c r="H1478" s="1" t="s">
        <v>14</v>
      </c>
      <c r="I1478" s="4">
        <v>40148.0</v>
      </c>
      <c r="J1478" s="5">
        <v>0.5618055555555556</v>
      </c>
      <c r="K1478" s="1">
        <v>13.0</v>
      </c>
      <c r="L1478" s="1">
        <v>2.95</v>
      </c>
    </row>
    <row r="1479">
      <c r="A1479" s="1">
        <v>489572.0</v>
      </c>
      <c r="B1479" s="2" t="s">
        <v>1673</v>
      </c>
      <c r="C1479" s="1" t="s">
        <v>1674</v>
      </c>
      <c r="D1479" s="1">
        <v>1.0</v>
      </c>
      <c r="E1479" s="3">
        <v>40148.56180555555</v>
      </c>
      <c r="F1479" s="1">
        <v>2.95</v>
      </c>
      <c r="G1479" s="1">
        <v>17611.0</v>
      </c>
      <c r="H1479" s="1" t="s">
        <v>14</v>
      </c>
      <c r="I1479" s="4">
        <v>40148.0</v>
      </c>
      <c r="J1479" s="5">
        <v>0.5618055555555556</v>
      </c>
      <c r="K1479" s="1">
        <v>13.0</v>
      </c>
      <c r="L1479" s="1">
        <v>2.95</v>
      </c>
    </row>
    <row r="1480">
      <c r="A1480" s="1">
        <v>489572.0</v>
      </c>
      <c r="B1480" s="2" t="s">
        <v>495</v>
      </c>
      <c r="C1480" s="1" t="s">
        <v>496</v>
      </c>
      <c r="D1480" s="1">
        <v>2.0</v>
      </c>
      <c r="E1480" s="3">
        <v>40148.56180555555</v>
      </c>
      <c r="F1480" s="1">
        <v>4.25</v>
      </c>
      <c r="G1480" s="1">
        <v>17611.0</v>
      </c>
      <c r="H1480" s="1" t="s">
        <v>14</v>
      </c>
      <c r="I1480" s="4">
        <v>40148.0</v>
      </c>
      <c r="J1480" s="5">
        <v>0.5618055555555556</v>
      </c>
      <c r="K1480" s="1">
        <v>13.0</v>
      </c>
      <c r="L1480" s="1">
        <v>8.5</v>
      </c>
    </row>
    <row r="1481">
      <c r="A1481" s="1">
        <v>489572.0</v>
      </c>
      <c r="B1481" s="2" t="s">
        <v>1675</v>
      </c>
      <c r="C1481" s="1" t="s">
        <v>1676</v>
      </c>
      <c r="D1481" s="1">
        <v>2.0</v>
      </c>
      <c r="E1481" s="3">
        <v>40148.56180555555</v>
      </c>
      <c r="F1481" s="1">
        <v>2.95</v>
      </c>
      <c r="G1481" s="1">
        <v>17611.0</v>
      </c>
      <c r="H1481" s="1" t="s">
        <v>14</v>
      </c>
      <c r="I1481" s="4">
        <v>40148.0</v>
      </c>
      <c r="J1481" s="5">
        <v>0.5618055555555556</v>
      </c>
      <c r="K1481" s="1">
        <v>13.0</v>
      </c>
      <c r="L1481" s="1">
        <v>5.9</v>
      </c>
    </row>
    <row r="1482">
      <c r="A1482" s="1">
        <v>489572.0</v>
      </c>
      <c r="B1482" s="2" t="s">
        <v>1015</v>
      </c>
      <c r="C1482" s="1" t="s">
        <v>1016</v>
      </c>
      <c r="D1482" s="1">
        <v>2.0</v>
      </c>
      <c r="E1482" s="3">
        <v>40148.56180555555</v>
      </c>
      <c r="F1482" s="1">
        <v>2.1</v>
      </c>
      <c r="G1482" s="1">
        <v>17611.0</v>
      </c>
      <c r="H1482" s="1" t="s">
        <v>14</v>
      </c>
      <c r="I1482" s="4">
        <v>40148.0</v>
      </c>
      <c r="J1482" s="5">
        <v>0.5618055555555556</v>
      </c>
      <c r="K1482" s="1">
        <v>13.0</v>
      </c>
      <c r="L1482" s="1">
        <v>4.2</v>
      </c>
    </row>
    <row r="1483">
      <c r="A1483" s="1">
        <v>489572.0</v>
      </c>
      <c r="B1483" s="2" t="s">
        <v>1677</v>
      </c>
      <c r="C1483" s="1" t="s">
        <v>1678</v>
      </c>
      <c r="D1483" s="1">
        <v>2.0</v>
      </c>
      <c r="E1483" s="3">
        <v>40148.56180555555</v>
      </c>
      <c r="F1483" s="1">
        <v>2.1</v>
      </c>
      <c r="G1483" s="1">
        <v>17611.0</v>
      </c>
      <c r="H1483" s="1" t="s">
        <v>14</v>
      </c>
      <c r="I1483" s="4">
        <v>40148.0</v>
      </c>
      <c r="J1483" s="5">
        <v>0.5618055555555556</v>
      </c>
      <c r="K1483" s="1">
        <v>13.0</v>
      </c>
      <c r="L1483" s="1">
        <v>4.2</v>
      </c>
    </row>
    <row r="1484">
      <c r="A1484" s="1">
        <v>489572.0</v>
      </c>
      <c r="B1484" s="2" t="s">
        <v>1679</v>
      </c>
      <c r="C1484" s="1" t="s">
        <v>1680</v>
      </c>
      <c r="D1484" s="1">
        <v>2.0</v>
      </c>
      <c r="E1484" s="3">
        <v>40148.56180555555</v>
      </c>
      <c r="F1484" s="1">
        <v>2.95</v>
      </c>
      <c r="G1484" s="1">
        <v>17611.0</v>
      </c>
      <c r="H1484" s="1" t="s">
        <v>14</v>
      </c>
      <c r="I1484" s="4">
        <v>40148.0</v>
      </c>
      <c r="J1484" s="5">
        <v>0.5618055555555556</v>
      </c>
      <c r="K1484" s="1">
        <v>13.0</v>
      </c>
      <c r="L1484" s="1">
        <v>5.9</v>
      </c>
    </row>
    <row r="1485">
      <c r="A1485" s="1">
        <v>489572.0</v>
      </c>
      <c r="B1485" s="2" t="s">
        <v>1681</v>
      </c>
      <c r="C1485" s="1" t="s">
        <v>1682</v>
      </c>
      <c r="D1485" s="1">
        <v>2.0</v>
      </c>
      <c r="E1485" s="3">
        <v>40148.56180555555</v>
      </c>
      <c r="F1485" s="1">
        <v>2.95</v>
      </c>
      <c r="G1485" s="1">
        <v>17611.0</v>
      </c>
      <c r="H1485" s="1" t="s">
        <v>14</v>
      </c>
      <c r="I1485" s="4">
        <v>40148.0</v>
      </c>
      <c r="J1485" s="5">
        <v>0.5618055555555556</v>
      </c>
      <c r="K1485" s="1">
        <v>13.0</v>
      </c>
      <c r="L1485" s="1">
        <v>5.9</v>
      </c>
    </row>
    <row r="1486">
      <c r="A1486" s="1">
        <v>489572.0</v>
      </c>
      <c r="B1486" s="2" t="s">
        <v>1683</v>
      </c>
      <c r="C1486" s="1" t="s">
        <v>1684</v>
      </c>
      <c r="D1486" s="1">
        <v>2.0</v>
      </c>
      <c r="E1486" s="3">
        <v>40148.56180555555</v>
      </c>
      <c r="F1486" s="1">
        <v>2.95</v>
      </c>
      <c r="G1486" s="1">
        <v>17611.0</v>
      </c>
      <c r="H1486" s="1" t="s">
        <v>14</v>
      </c>
      <c r="I1486" s="4">
        <v>40148.0</v>
      </c>
      <c r="J1486" s="5">
        <v>0.5618055555555556</v>
      </c>
      <c r="K1486" s="1">
        <v>13.0</v>
      </c>
      <c r="L1486" s="1">
        <v>5.9</v>
      </c>
    </row>
    <row r="1487">
      <c r="A1487" s="1">
        <v>489573.0</v>
      </c>
      <c r="B1487" s="2" t="s">
        <v>192</v>
      </c>
      <c r="C1487" s="1" t="s">
        <v>193</v>
      </c>
      <c r="D1487" s="1">
        <v>3.0</v>
      </c>
      <c r="E1487" s="3">
        <v>40148.56180555555</v>
      </c>
      <c r="F1487" s="1">
        <v>6.75</v>
      </c>
      <c r="G1487" s="1">
        <v>15051.0</v>
      </c>
      <c r="H1487" s="1" t="s">
        <v>14</v>
      </c>
      <c r="I1487" s="4">
        <v>40148.0</v>
      </c>
      <c r="J1487" s="5">
        <v>0.5618055555555556</v>
      </c>
      <c r="K1487" s="1">
        <v>13.0</v>
      </c>
      <c r="L1487" s="1">
        <v>20.25</v>
      </c>
    </row>
    <row r="1488">
      <c r="A1488" s="1">
        <v>489573.0</v>
      </c>
      <c r="B1488" s="2" t="s">
        <v>285</v>
      </c>
      <c r="C1488" s="1" t="s">
        <v>286</v>
      </c>
      <c r="D1488" s="1">
        <v>24.0</v>
      </c>
      <c r="E1488" s="3">
        <v>40148.56180555555</v>
      </c>
      <c r="F1488" s="1">
        <v>1.25</v>
      </c>
      <c r="G1488" s="1">
        <v>15051.0</v>
      </c>
      <c r="H1488" s="1" t="s">
        <v>14</v>
      </c>
      <c r="I1488" s="4">
        <v>40148.0</v>
      </c>
      <c r="J1488" s="5">
        <v>0.5618055555555556</v>
      </c>
      <c r="K1488" s="1">
        <v>13.0</v>
      </c>
      <c r="L1488" s="1">
        <v>30.0</v>
      </c>
    </row>
    <row r="1489">
      <c r="A1489" s="1">
        <v>489573.0</v>
      </c>
      <c r="B1489" s="2" t="s">
        <v>1685</v>
      </c>
      <c r="C1489" s="1" t="s">
        <v>1686</v>
      </c>
      <c r="D1489" s="1">
        <v>12.0</v>
      </c>
      <c r="E1489" s="3">
        <v>40148.56180555555</v>
      </c>
      <c r="F1489" s="1">
        <v>0.42</v>
      </c>
      <c r="G1489" s="1">
        <v>15051.0</v>
      </c>
      <c r="H1489" s="1" t="s">
        <v>14</v>
      </c>
      <c r="I1489" s="4">
        <v>40148.0</v>
      </c>
      <c r="J1489" s="5">
        <v>0.5618055555555556</v>
      </c>
      <c r="K1489" s="1">
        <v>13.0</v>
      </c>
      <c r="L1489" s="1">
        <v>5.04</v>
      </c>
    </row>
    <row r="1490">
      <c r="A1490" s="1">
        <v>489573.0</v>
      </c>
      <c r="B1490" s="2" t="s">
        <v>1687</v>
      </c>
      <c r="C1490" s="1" t="s">
        <v>1688</v>
      </c>
      <c r="D1490" s="1">
        <v>1.0</v>
      </c>
      <c r="E1490" s="3">
        <v>40148.56180555555</v>
      </c>
      <c r="F1490" s="1">
        <v>2.95</v>
      </c>
      <c r="G1490" s="1">
        <v>15051.0</v>
      </c>
      <c r="H1490" s="1" t="s">
        <v>14</v>
      </c>
      <c r="I1490" s="4">
        <v>40148.0</v>
      </c>
      <c r="J1490" s="5">
        <v>0.5618055555555556</v>
      </c>
      <c r="K1490" s="1">
        <v>13.0</v>
      </c>
      <c r="L1490" s="1">
        <v>2.95</v>
      </c>
    </row>
    <row r="1491">
      <c r="A1491" s="1">
        <v>489573.0</v>
      </c>
      <c r="B1491" s="2" t="s">
        <v>1689</v>
      </c>
      <c r="C1491" s="1" t="s">
        <v>1690</v>
      </c>
      <c r="D1491" s="1">
        <v>12.0</v>
      </c>
      <c r="E1491" s="3">
        <v>40148.56180555555</v>
      </c>
      <c r="F1491" s="1">
        <v>0.42</v>
      </c>
      <c r="G1491" s="1">
        <v>15051.0</v>
      </c>
      <c r="H1491" s="1" t="s">
        <v>14</v>
      </c>
      <c r="I1491" s="4">
        <v>40148.0</v>
      </c>
      <c r="J1491" s="5">
        <v>0.5618055555555556</v>
      </c>
      <c r="K1491" s="1">
        <v>13.0</v>
      </c>
      <c r="L1491" s="1">
        <v>5.04</v>
      </c>
    </row>
    <row r="1492">
      <c r="A1492" s="1">
        <v>489573.0</v>
      </c>
      <c r="B1492" s="2" t="s">
        <v>1691</v>
      </c>
      <c r="C1492" s="1" t="s">
        <v>1692</v>
      </c>
      <c r="D1492" s="1">
        <v>12.0</v>
      </c>
      <c r="E1492" s="3">
        <v>40148.56180555555</v>
      </c>
      <c r="F1492" s="1">
        <v>1.25</v>
      </c>
      <c r="G1492" s="1">
        <v>15051.0</v>
      </c>
      <c r="H1492" s="1" t="s">
        <v>14</v>
      </c>
      <c r="I1492" s="4">
        <v>40148.0</v>
      </c>
      <c r="J1492" s="5">
        <v>0.5618055555555556</v>
      </c>
      <c r="K1492" s="1">
        <v>13.0</v>
      </c>
      <c r="L1492" s="1">
        <v>15.0</v>
      </c>
    </row>
    <row r="1493">
      <c r="A1493" s="1">
        <v>489573.0</v>
      </c>
      <c r="B1493" s="2" t="s">
        <v>609</v>
      </c>
      <c r="C1493" s="1" t="s">
        <v>610</v>
      </c>
      <c r="D1493" s="1">
        <v>6.0</v>
      </c>
      <c r="E1493" s="3">
        <v>40148.56180555555</v>
      </c>
      <c r="F1493" s="1">
        <v>1.65</v>
      </c>
      <c r="G1493" s="1">
        <v>15051.0</v>
      </c>
      <c r="H1493" s="1" t="s">
        <v>14</v>
      </c>
      <c r="I1493" s="4">
        <v>40148.0</v>
      </c>
      <c r="J1493" s="5">
        <v>0.5618055555555556</v>
      </c>
      <c r="K1493" s="1">
        <v>13.0</v>
      </c>
      <c r="L1493" s="1">
        <v>9.89999999999999</v>
      </c>
    </row>
    <row r="1494">
      <c r="A1494" s="1">
        <v>489573.0</v>
      </c>
      <c r="B1494" s="2" t="s">
        <v>51</v>
      </c>
      <c r="C1494" s="1" t="s">
        <v>52</v>
      </c>
      <c r="D1494" s="1">
        <v>24.0</v>
      </c>
      <c r="E1494" s="3">
        <v>40148.56180555555</v>
      </c>
      <c r="F1494" s="1">
        <v>1.65</v>
      </c>
      <c r="G1494" s="1">
        <v>15051.0</v>
      </c>
      <c r="H1494" s="1" t="s">
        <v>14</v>
      </c>
      <c r="I1494" s="4">
        <v>40148.0</v>
      </c>
      <c r="J1494" s="5">
        <v>0.5618055555555556</v>
      </c>
      <c r="K1494" s="1">
        <v>13.0</v>
      </c>
      <c r="L1494" s="1">
        <v>39.5999999999999</v>
      </c>
    </row>
    <row r="1495">
      <c r="A1495" s="1">
        <v>489573.0</v>
      </c>
      <c r="B1495" s="2" t="s">
        <v>115</v>
      </c>
      <c r="C1495" s="1" t="s">
        <v>116</v>
      </c>
      <c r="D1495" s="1">
        <v>3.0</v>
      </c>
      <c r="E1495" s="3">
        <v>40148.56180555555</v>
      </c>
      <c r="F1495" s="1">
        <v>3.75</v>
      </c>
      <c r="G1495" s="1">
        <v>15051.0</v>
      </c>
      <c r="H1495" s="1" t="s">
        <v>14</v>
      </c>
      <c r="I1495" s="4">
        <v>40148.0</v>
      </c>
      <c r="J1495" s="5">
        <v>0.5618055555555556</v>
      </c>
      <c r="K1495" s="1">
        <v>13.0</v>
      </c>
      <c r="L1495" s="1">
        <v>11.25</v>
      </c>
    </row>
    <row r="1496">
      <c r="A1496" s="1">
        <v>489573.0</v>
      </c>
      <c r="B1496" s="2" t="s">
        <v>226</v>
      </c>
      <c r="C1496" s="1" t="s">
        <v>227</v>
      </c>
      <c r="D1496" s="1">
        <v>4.0</v>
      </c>
      <c r="E1496" s="3">
        <v>40148.56180555555</v>
      </c>
      <c r="F1496" s="1">
        <v>3.75</v>
      </c>
      <c r="G1496" s="1">
        <v>15051.0</v>
      </c>
      <c r="H1496" s="1" t="s">
        <v>14</v>
      </c>
      <c r="I1496" s="4">
        <v>40148.0</v>
      </c>
      <c r="J1496" s="5">
        <v>0.5618055555555556</v>
      </c>
      <c r="K1496" s="1">
        <v>13.0</v>
      </c>
      <c r="L1496" s="1">
        <v>15.0</v>
      </c>
    </row>
    <row r="1497">
      <c r="A1497" s="1">
        <v>489573.0</v>
      </c>
      <c r="B1497" s="2" t="s">
        <v>41</v>
      </c>
      <c r="C1497" s="1" t="s">
        <v>42</v>
      </c>
      <c r="D1497" s="1">
        <v>5.0</v>
      </c>
      <c r="E1497" s="3">
        <v>40148.56180555555</v>
      </c>
      <c r="F1497" s="1">
        <v>5.95</v>
      </c>
      <c r="G1497" s="1">
        <v>15051.0</v>
      </c>
      <c r="H1497" s="1" t="s">
        <v>14</v>
      </c>
      <c r="I1497" s="4">
        <v>40148.0</v>
      </c>
      <c r="J1497" s="5">
        <v>0.5618055555555556</v>
      </c>
      <c r="K1497" s="1">
        <v>13.0</v>
      </c>
      <c r="L1497" s="1">
        <v>29.75</v>
      </c>
    </row>
    <row r="1498">
      <c r="A1498" s="1">
        <v>489573.0</v>
      </c>
      <c r="B1498" s="2" t="s">
        <v>1693</v>
      </c>
      <c r="C1498" s="1" t="s">
        <v>1694</v>
      </c>
      <c r="D1498" s="1">
        <v>12.0</v>
      </c>
      <c r="E1498" s="3">
        <v>40148.56180555555</v>
      </c>
      <c r="F1498" s="1">
        <v>0.85</v>
      </c>
      <c r="G1498" s="1">
        <v>15051.0</v>
      </c>
      <c r="H1498" s="1" t="s">
        <v>14</v>
      </c>
      <c r="I1498" s="4">
        <v>40148.0</v>
      </c>
      <c r="J1498" s="5">
        <v>0.5618055555555556</v>
      </c>
      <c r="K1498" s="1">
        <v>13.0</v>
      </c>
      <c r="L1498" s="1">
        <v>10.2</v>
      </c>
    </row>
    <row r="1499">
      <c r="A1499" s="1">
        <v>489573.0</v>
      </c>
      <c r="B1499" s="2" t="s">
        <v>1695</v>
      </c>
      <c r="C1499" s="1" t="s">
        <v>1696</v>
      </c>
      <c r="D1499" s="1">
        <v>1.0</v>
      </c>
      <c r="E1499" s="3">
        <v>40148.56180555555</v>
      </c>
      <c r="F1499" s="1">
        <v>3.75</v>
      </c>
      <c r="G1499" s="1">
        <v>15051.0</v>
      </c>
      <c r="H1499" s="1" t="s">
        <v>14</v>
      </c>
      <c r="I1499" s="4">
        <v>40148.0</v>
      </c>
      <c r="J1499" s="5">
        <v>0.5618055555555556</v>
      </c>
      <c r="K1499" s="1">
        <v>13.0</v>
      </c>
      <c r="L1499" s="1">
        <v>3.75</v>
      </c>
    </row>
    <row r="1500">
      <c r="A1500" s="1">
        <v>489573.0</v>
      </c>
      <c r="B1500" s="2" t="s">
        <v>335</v>
      </c>
      <c r="C1500" s="1" t="s">
        <v>336</v>
      </c>
      <c r="D1500" s="1">
        <v>30.0</v>
      </c>
      <c r="E1500" s="3">
        <v>40148.56180555555</v>
      </c>
      <c r="F1500" s="1">
        <v>1.25</v>
      </c>
      <c r="G1500" s="1">
        <v>15051.0</v>
      </c>
      <c r="H1500" s="1" t="s">
        <v>14</v>
      </c>
      <c r="I1500" s="4">
        <v>40148.0</v>
      </c>
      <c r="J1500" s="5">
        <v>0.5618055555555556</v>
      </c>
      <c r="K1500" s="1">
        <v>13.0</v>
      </c>
      <c r="L1500" s="1">
        <v>37.5</v>
      </c>
    </row>
    <row r="1501">
      <c r="A1501" s="1">
        <v>489573.0</v>
      </c>
      <c r="B1501" s="2" t="s">
        <v>1697</v>
      </c>
      <c r="C1501" s="1" t="s">
        <v>1698</v>
      </c>
      <c r="D1501" s="1">
        <v>1.0</v>
      </c>
      <c r="E1501" s="3">
        <v>40148.56180555555</v>
      </c>
      <c r="F1501" s="1">
        <v>1.25</v>
      </c>
      <c r="G1501" s="1">
        <v>15051.0</v>
      </c>
      <c r="H1501" s="1" t="s">
        <v>14</v>
      </c>
      <c r="I1501" s="4">
        <v>40148.0</v>
      </c>
      <c r="J1501" s="5">
        <v>0.5618055555555556</v>
      </c>
      <c r="K1501" s="1">
        <v>13.0</v>
      </c>
      <c r="L1501" s="1">
        <v>1.25</v>
      </c>
    </row>
    <row r="1502">
      <c r="A1502" s="1">
        <v>489573.0</v>
      </c>
      <c r="B1502" s="2" t="s">
        <v>754</v>
      </c>
      <c r="C1502" s="1" t="s">
        <v>755</v>
      </c>
      <c r="D1502" s="1">
        <v>12.0</v>
      </c>
      <c r="E1502" s="3">
        <v>40148.56180555555</v>
      </c>
      <c r="F1502" s="1">
        <v>2.55</v>
      </c>
      <c r="G1502" s="1">
        <v>15051.0</v>
      </c>
      <c r="H1502" s="1" t="s">
        <v>14</v>
      </c>
      <c r="I1502" s="4">
        <v>40148.0</v>
      </c>
      <c r="J1502" s="5">
        <v>0.5618055555555556</v>
      </c>
      <c r="K1502" s="1">
        <v>13.0</v>
      </c>
      <c r="L1502" s="1">
        <v>30.5999999999999</v>
      </c>
    </row>
    <row r="1503">
      <c r="A1503" s="1">
        <v>489573.0</v>
      </c>
      <c r="B1503" s="2" t="s">
        <v>993</v>
      </c>
      <c r="C1503" s="1" t="s">
        <v>994</v>
      </c>
      <c r="D1503" s="1">
        <v>12.0</v>
      </c>
      <c r="E1503" s="3">
        <v>40148.56180555555</v>
      </c>
      <c r="F1503" s="1">
        <v>0.42</v>
      </c>
      <c r="G1503" s="1">
        <v>15051.0</v>
      </c>
      <c r="H1503" s="1" t="s">
        <v>14</v>
      </c>
      <c r="I1503" s="4">
        <v>40148.0</v>
      </c>
      <c r="J1503" s="5">
        <v>0.5618055555555556</v>
      </c>
      <c r="K1503" s="1">
        <v>13.0</v>
      </c>
      <c r="L1503" s="1">
        <v>5.04</v>
      </c>
    </row>
    <row r="1504">
      <c r="A1504" s="1">
        <v>489573.0</v>
      </c>
      <c r="B1504" s="2" t="s">
        <v>995</v>
      </c>
      <c r="C1504" s="1" t="s">
        <v>996</v>
      </c>
      <c r="D1504" s="1">
        <v>4.0</v>
      </c>
      <c r="E1504" s="3">
        <v>40148.56180555555</v>
      </c>
      <c r="F1504" s="1">
        <v>3.75</v>
      </c>
      <c r="G1504" s="1">
        <v>15051.0</v>
      </c>
      <c r="H1504" s="1" t="s">
        <v>14</v>
      </c>
      <c r="I1504" s="4">
        <v>40148.0</v>
      </c>
      <c r="J1504" s="5">
        <v>0.5618055555555556</v>
      </c>
      <c r="K1504" s="1">
        <v>13.0</v>
      </c>
      <c r="L1504" s="1">
        <v>15.0</v>
      </c>
    </row>
    <row r="1505">
      <c r="A1505" s="1">
        <v>489573.0</v>
      </c>
      <c r="B1505" s="2" t="s">
        <v>1699</v>
      </c>
      <c r="C1505" s="1" t="s">
        <v>1700</v>
      </c>
      <c r="D1505" s="1">
        <v>1.0</v>
      </c>
      <c r="E1505" s="3">
        <v>40148.56180555555</v>
      </c>
      <c r="F1505" s="1">
        <v>2.55</v>
      </c>
      <c r="G1505" s="1">
        <v>15051.0</v>
      </c>
      <c r="H1505" s="1" t="s">
        <v>14</v>
      </c>
      <c r="I1505" s="4">
        <v>40148.0</v>
      </c>
      <c r="J1505" s="5">
        <v>0.5618055555555556</v>
      </c>
      <c r="K1505" s="1">
        <v>13.0</v>
      </c>
      <c r="L1505" s="1">
        <v>2.55</v>
      </c>
    </row>
    <row r="1506">
      <c r="A1506" s="1">
        <v>489573.0</v>
      </c>
      <c r="B1506" s="2" t="s">
        <v>997</v>
      </c>
      <c r="C1506" s="1" t="s">
        <v>998</v>
      </c>
      <c r="D1506" s="1">
        <v>4.0</v>
      </c>
      <c r="E1506" s="3">
        <v>40148.56180555555</v>
      </c>
      <c r="F1506" s="1">
        <v>3.75</v>
      </c>
      <c r="G1506" s="1">
        <v>15051.0</v>
      </c>
      <c r="H1506" s="1" t="s">
        <v>14</v>
      </c>
      <c r="I1506" s="4">
        <v>40148.0</v>
      </c>
      <c r="J1506" s="5">
        <v>0.5618055555555556</v>
      </c>
      <c r="K1506" s="1">
        <v>13.0</v>
      </c>
      <c r="L1506" s="1">
        <v>15.0</v>
      </c>
    </row>
    <row r="1507">
      <c r="A1507" s="1">
        <v>489573.0</v>
      </c>
      <c r="B1507" s="2" t="s">
        <v>578</v>
      </c>
      <c r="C1507" s="1" t="s">
        <v>579</v>
      </c>
      <c r="D1507" s="1">
        <v>4.0</v>
      </c>
      <c r="E1507" s="3">
        <v>40148.56180555555</v>
      </c>
      <c r="F1507" s="1">
        <v>3.75</v>
      </c>
      <c r="G1507" s="1">
        <v>15051.0</v>
      </c>
      <c r="H1507" s="1" t="s">
        <v>14</v>
      </c>
      <c r="I1507" s="4">
        <v>40148.0</v>
      </c>
      <c r="J1507" s="5">
        <v>0.5618055555555556</v>
      </c>
      <c r="K1507" s="1">
        <v>13.0</v>
      </c>
      <c r="L1507" s="1">
        <v>15.0</v>
      </c>
    </row>
    <row r="1508">
      <c r="A1508" s="1">
        <v>489573.0</v>
      </c>
      <c r="B1508" s="2" t="s">
        <v>474</v>
      </c>
      <c r="C1508" s="1" t="s">
        <v>475</v>
      </c>
      <c r="D1508" s="1">
        <v>4.0</v>
      </c>
      <c r="E1508" s="3">
        <v>40148.56180555555</v>
      </c>
      <c r="F1508" s="1">
        <v>3.75</v>
      </c>
      <c r="G1508" s="1">
        <v>15051.0</v>
      </c>
      <c r="H1508" s="1" t="s">
        <v>14</v>
      </c>
      <c r="I1508" s="4">
        <v>40148.0</v>
      </c>
      <c r="J1508" s="5">
        <v>0.5618055555555556</v>
      </c>
      <c r="K1508" s="1">
        <v>13.0</v>
      </c>
      <c r="L1508" s="1">
        <v>15.0</v>
      </c>
    </row>
    <row r="1509">
      <c r="A1509" s="1">
        <v>489573.0</v>
      </c>
      <c r="B1509" s="2" t="s">
        <v>1027</v>
      </c>
      <c r="C1509" s="1" t="s">
        <v>1028</v>
      </c>
      <c r="D1509" s="1">
        <v>11.0</v>
      </c>
      <c r="E1509" s="3">
        <v>40148.56180555555</v>
      </c>
      <c r="F1509" s="1">
        <v>2.95</v>
      </c>
      <c r="G1509" s="1">
        <v>15051.0</v>
      </c>
      <c r="H1509" s="1" t="s">
        <v>14</v>
      </c>
      <c r="I1509" s="4">
        <v>40148.0</v>
      </c>
      <c r="J1509" s="5">
        <v>0.5618055555555556</v>
      </c>
      <c r="K1509" s="1">
        <v>13.0</v>
      </c>
      <c r="L1509" s="1">
        <v>32.45</v>
      </c>
    </row>
    <row r="1510">
      <c r="A1510" s="1">
        <v>489573.0</v>
      </c>
      <c r="B1510" s="2" t="s">
        <v>158</v>
      </c>
      <c r="C1510" s="1" t="s">
        <v>159</v>
      </c>
      <c r="D1510" s="1">
        <v>3.0</v>
      </c>
      <c r="E1510" s="3">
        <v>40148.56180555555</v>
      </c>
      <c r="F1510" s="1">
        <v>4.95</v>
      </c>
      <c r="G1510" s="1">
        <v>15051.0</v>
      </c>
      <c r="H1510" s="1" t="s">
        <v>14</v>
      </c>
      <c r="I1510" s="4">
        <v>40148.0</v>
      </c>
      <c r="J1510" s="5">
        <v>0.5618055555555556</v>
      </c>
      <c r="K1510" s="1">
        <v>13.0</v>
      </c>
      <c r="L1510" s="1">
        <v>14.85</v>
      </c>
    </row>
    <row r="1511">
      <c r="A1511" s="1">
        <v>489573.0</v>
      </c>
      <c r="B1511" s="2" t="s">
        <v>1701</v>
      </c>
      <c r="C1511" s="1" t="s">
        <v>1702</v>
      </c>
      <c r="D1511" s="1">
        <v>7.0</v>
      </c>
      <c r="E1511" s="3">
        <v>40148.56180555555</v>
      </c>
      <c r="F1511" s="1">
        <v>6.95</v>
      </c>
      <c r="G1511" s="1">
        <v>15051.0</v>
      </c>
      <c r="H1511" s="1" t="s">
        <v>14</v>
      </c>
      <c r="I1511" s="4">
        <v>40148.0</v>
      </c>
      <c r="J1511" s="5">
        <v>0.5618055555555556</v>
      </c>
      <c r="K1511" s="1">
        <v>13.0</v>
      </c>
      <c r="L1511" s="1">
        <v>48.65</v>
      </c>
    </row>
    <row r="1512">
      <c r="A1512" s="1">
        <v>489573.0</v>
      </c>
      <c r="B1512" s="2" t="s">
        <v>607</v>
      </c>
      <c r="C1512" s="1" t="s">
        <v>608</v>
      </c>
      <c r="D1512" s="1">
        <v>60.0</v>
      </c>
      <c r="E1512" s="3">
        <v>40148.56180555555</v>
      </c>
      <c r="F1512" s="1">
        <v>0.65</v>
      </c>
      <c r="G1512" s="1">
        <v>15051.0</v>
      </c>
      <c r="H1512" s="1" t="s">
        <v>14</v>
      </c>
      <c r="I1512" s="4">
        <v>40148.0</v>
      </c>
      <c r="J1512" s="5">
        <v>0.5618055555555556</v>
      </c>
      <c r="K1512" s="1">
        <v>13.0</v>
      </c>
      <c r="L1512" s="1">
        <v>39.0</v>
      </c>
    </row>
    <row r="1513">
      <c r="A1513" s="1">
        <v>489573.0</v>
      </c>
      <c r="B1513" s="2" t="s">
        <v>1703</v>
      </c>
      <c r="C1513" s="1" t="s">
        <v>1704</v>
      </c>
      <c r="D1513" s="1">
        <v>6.0</v>
      </c>
      <c r="E1513" s="3">
        <v>40148.56180555555</v>
      </c>
      <c r="F1513" s="1">
        <v>2.55</v>
      </c>
      <c r="G1513" s="1">
        <v>15051.0</v>
      </c>
      <c r="H1513" s="1" t="s">
        <v>14</v>
      </c>
      <c r="I1513" s="4">
        <v>40148.0</v>
      </c>
      <c r="J1513" s="5">
        <v>0.5618055555555556</v>
      </c>
      <c r="K1513" s="1">
        <v>13.0</v>
      </c>
      <c r="L1513" s="1">
        <v>15.2999999999999</v>
      </c>
    </row>
    <row r="1514">
      <c r="A1514" s="1">
        <v>489573.0</v>
      </c>
      <c r="B1514" s="2" t="s">
        <v>261</v>
      </c>
      <c r="C1514" s="1" t="s">
        <v>262</v>
      </c>
      <c r="D1514" s="1">
        <v>6.0</v>
      </c>
      <c r="E1514" s="3">
        <v>40148.56180555555</v>
      </c>
      <c r="F1514" s="1">
        <v>2.55</v>
      </c>
      <c r="G1514" s="1">
        <v>15051.0</v>
      </c>
      <c r="H1514" s="1" t="s">
        <v>14</v>
      </c>
      <c r="I1514" s="4">
        <v>40148.0</v>
      </c>
      <c r="J1514" s="5">
        <v>0.5618055555555556</v>
      </c>
      <c r="K1514" s="1">
        <v>13.0</v>
      </c>
      <c r="L1514" s="1">
        <v>15.2999999999999</v>
      </c>
    </row>
    <row r="1515">
      <c r="A1515" s="1">
        <v>489573.0</v>
      </c>
      <c r="B1515" s="2" t="s">
        <v>696</v>
      </c>
      <c r="C1515" s="1" t="s">
        <v>697</v>
      </c>
      <c r="D1515" s="1">
        <v>12.0</v>
      </c>
      <c r="E1515" s="3">
        <v>40148.56180555555</v>
      </c>
      <c r="F1515" s="1">
        <v>3.45</v>
      </c>
      <c r="G1515" s="1">
        <v>15051.0</v>
      </c>
      <c r="H1515" s="1" t="s">
        <v>14</v>
      </c>
      <c r="I1515" s="4">
        <v>40148.0</v>
      </c>
      <c r="J1515" s="5">
        <v>0.5618055555555556</v>
      </c>
      <c r="K1515" s="1">
        <v>13.0</v>
      </c>
      <c r="L1515" s="1">
        <v>41.4</v>
      </c>
    </row>
    <row r="1516">
      <c r="A1516" s="1">
        <v>489573.0</v>
      </c>
      <c r="B1516" s="2" t="s">
        <v>1705</v>
      </c>
      <c r="C1516" s="1" t="s">
        <v>1706</v>
      </c>
      <c r="D1516" s="1">
        <v>4.0</v>
      </c>
      <c r="E1516" s="3">
        <v>40148.56180555555</v>
      </c>
      <c r="F1516" s="1">
        <v>4.95</v>
      </c>
      <c r="G1516" s="1">
        <v>15051.0</v>
      </c>
      <c r="H1516" s="1" t="s">
        <v>14</v>
      </c>
      <c r="I1516" s="4">
        <v>40148.0</v>
      </c>
      <c r="J1516" s="5">
        <v>0.5618055555555556</v>
      </c>
      <c r="K1516" s="1">
        <v>13.0</v>
      </c>
      <c r="L1516" s="1">
        <v>19.8</v>
      </c>
    </row>
    <row r="1517">
      <c r="A1517" s="1">
        <v>489573.0</v>
      </c>
      <c r="B1517" s="2" t="s">
        <v>710</v>
      </c>
      <c r="C1517" s="1" t="s">
        <v>711</v>
      </c>
      <c r="D1517" s="1">
        <v>3.0</v>
      </c>
      <c r="E1517" s="3">
        <v>40148.56180555555</v>
      </c>
      <c r="F1517" s="1">
        <v>1.25</v>
      </c>
      <c r="G1517" s="1">
        <v>15051.0</v>
      </c>
      <c r="H1517" s="1" t="s">
        <v>14</v>
      </c>
      <c r="I1517" s="4">
        <v>40148.0</v>
      </c>
      <c r="J1517" s="5">
        <v>0.5618055555555556</v>
      </c>
      <c r="K1517" s="1">
        <v>13.0</v>
      </c>
      <c r="L1517" s="1">
        <v>3.75</v>
      </c>
    </row>
    <row r="1518">
      <c r="A1518" s="1">
        <v>489573.0</v>
      </c>
      <c r="B1518" s="2" t="s">
        <v>156</v>
      </c>
      <c r="C1518" s="1" t="s">
        <v>157</v>
      </c>
      <c r="D1518" s="1">
        <v>3.0</v>
      </c>
      <c r="E1518" s="3">
        <v>40148.56180555555</v>
      </c>
      <c r="F1518" s="1">
        <v>4.95</v>
      </c>
      <c r="G1518" s="1">
        <v>15051.0</v>
      </c>
      <c r="H1518" s="1" t="s">
        <v>14</v>
      </c>
      <c r="I1518" s="4">
        <v>40148.0</v>
      </c>
      <c r="J1518" s="5">
        <v>0.5618055555555556</v>
      </c>
      <c r="K1518" s="1">
        <v>13.0</v>
      </c>
      <c r="L1518" s="1">
        <v>14.85</v>
      </c>
    </row>
    <row r="1519">
      <c r="A1519" s="1">
        <v>489572.0</v>
      </c>
      <c r="B1519" s="2" t="s">
        <v>1707</v>
      </c>
      <c r="C1519" s="1" t="s">
        <v>1708</v>
      </c>
      <c r="D1519" s="1">
        <v>2.0</v>
      </c>
      <c r="E1519" s="3">
        <v>40148.56180555555</v>
      </c>
      <c r="F1519" s="1">
        <v>2.95</v>
      </c>
      <c r="G1519" s="1">
        <v>17611.0</v>
      </c>
      <c r="H1519" s="1" t="s">
        <v>14</v>
      </c>
      <c r="I1519" s="4">
        <v>40148.0</v>
      </c>
      <c r="J1519" s="5">
        <v>0.5618055555555556</v>
      </c>
      <c r="K1519" s="1">
        <v>13.0</v>
      </c>
      <c r="L1519" s="1">
        <v>5.9</v>
      </c>
    </row>
    <row r="1520">
      <c r="A1520" s="1">
        <v>489572.0</v>
      </c>
      <c r="B1520" s="2" t="s">
        <v>1709</v>
      </c>
      <c r="C1520" s="1" t="s">
        <v>1710</v>
      </c>
      <c r="D1520" s="1">
        <v>2.0</v>
      </c>
      <c r="E1520" s="3">
        <v>40148.56180555555</v>
      </c>
      <c r="F1520" s="1">
        <v>3.75</v>
      </c>
      <c r="G1520" s="1">
        <v>17611.0</v>
      </c>
      <c r="H1520" s="1" t="s">
        <v>14</v>
      </c>
      <c r="I1520" s="4">
        <v>40148.0</v>
      </c>
      <c r="J1520" s="5">
        <v>0.5618055555555556</v>
      </c>
      <c r="K1520" s="1">
        <v>13.0</v>
      </c>
      <c r="L1520" s="1">
        <v>7.5</v>
      </c>
    </row>
    <row r="1521">
      <c r="A1521" s="1">
        <v>489572.0</v>
      </c>
      <c r="B1521" s="2" t="s">
        <v>1711</v>
      </c>
      <c r="C1521" s="1" t="s">
        <v>1712</v>
      </c>
      <c r="D1521" s="1">
        <v>2.0</v>
      </c>
      <c r="E1521" s="3">
        <v>40148.56180555555</v>
      </c>
      <c r="F1521" s="1">
        <v>7.95</v>
      </c>
      <c r="G1521" s="1">
        <v>17611.0</v>
      </c>
      <c r="H1521" s="1" t="s">
        <v>14</v>
      </c>
      <c r="I1521" s="4">
        <v>40148.0</v>
      </c>
      <c r="J1521" s="5">
        <v>0.5618055555555556</v>
      </c>
      <c r="K1521" s="1">
        <v>13.0</v>
      </c>
      <c r="L1521" s="1">
        <v>15.9</v>
      </c>
    </row>
    <row r="1522">
      <c r="A1522" s="1">
        <v>489572.0</v>
      </c>
      <c r="B1522" s="2" t="s">
        <v>1713</v>
      </c>
      <c r="C1522" s="1" t="s">
        <v>1714</v>
      </c>
      <c r="D1522" s="1">
        <v>2.0</v>
      </c>
      <c r="E1522" s="3">
        <v>40148.56180555555</v>
      </c>
      <c r="F1522" s="1">
        <v>4.95</v>
      </c>
      <c r="G1522" s="1">
        <v>17611.0</v>
      </c>
      <c r="H1522" s="1" t="s">
        <v>14</v>
      </c>
      <c r="I1522" s="4">
        <v>40148.0</v>
      </c>
      <c r="J1522" s="5">
        <v>0.5618055555555556</v>
      </c>
      <c r="K1522" s="1">
        <v>13.0</v>
      </c>
      <c r="L1522" s="1">
        <v>9.9</v>
      </c>
    </row>
    <row r="1523">
      <c r="A1523" s="1">
        <v>489572.0</v>
      </c>
      <c r="B1523" s="2" t="s">
        <v>77</v>
      </c>
      <c r="C1523" s="1" t="s">
        <v>78</v>
      </c>
      <c r="D1523" s="1">
        <v>2.0</v>
      </c>
      <c r="E1523" s="3">
        <v>40148.56180555555</v>
      </c>
      <c r="F1523" s="1">
        <v>2.1</v>
      </c>
      <c r="G1523" s="1">
        <v>17611.0</v>
      </c>
      <c r="H1523" s="1" t="s">
        <v>14</v>
      </c>
      <c r="I1523" s="4">
        <v>40148.0</v>
      </c>
      <c r="J1523" s="5">
        <v>0.5618055555555556</v>
      </c>
      <c r="K1523" s="1">
        <v>13.0</v>
      </c>
      <c r="L1523" s="1">
        <v>4.2</v>
      </c>
    </row>
    <row r="1524">
      <c r="A1524" s="1">
        <v>489572.0</v>
      </c>
      <c r="B1524" s="2" t="s">
        <v>47</v>
      </c>
      <c r="C1524" s="1" t="s">
        <v>48</v>
      </c>
      <c r="D1524" s="1">
        <v>2.0</v>
      </c>
      <c r="E1524" s="3">
        <v>40148.56180555555</v>
      </c>
      <c r="F1524" s="1">
        <v>1.45</v>
      </c>
      <c r="G1524" s="1">
        <v>17611.0</v>
      </c>
      <c r="H1524" s="1" t="s">
        <v>14</v>
      </c>
      <c r="I1524" s="4">
        <v>40148.0</v>
      </c>
      <c r="J1524" s="5">
        <v>0.5618055555555556</v>
      </c>
      <c r="K1524" s="1">
        <v>13.0</v>
      </c>
      <c r="L1524" s="1">
        <v>2.9</v>
      </c>
    </row>
    <row r="1525">
      <c r="A1525" s="1">
        <v>489572.0</v>
      </c>
      <c r="B1525" s="2" t="s">
        <v>170</v>
      </c>
      <c r="C1525" s="1" t="s">
        <v>171</v>
      </c>
      <c r="D1525" s="1">
        <v>1.0</v>
      </c>
      <c r="E1525" s="3">
        <v>40148.56180555555</v>
      </c>
      <c r="F1525" s="1">
        <v>1.95</v>
      </c>
      <c r="G1525" s="1">
        <v>17611.0</v>
      </c>
      <c r="H1525" s="1" t="s">
        <v>14</v>
      </c>
      <c r="I1525" s="4">
        <v>40148.0</v>
      </c>
      <c r="J1525" s="5">
        <v>0.5618055555555556</v>
      </c>
      <c r="K1525" s="1">
        <v>13.0</v>
      </c>
      <c r="L1525" s="1">
        <v>1.95</v>
      </c>
    </row>
    <row r="1526">
      <c r="A1526" s="1">
        <v>489572.0</v>
      </c>
      <c r="B1526" s="2" t="s">
        <v>466</v>
      </c>
      <c r="C1526" s="1" t="s">
        <v>467</v>
      </c>
      <c r="D1526" s="1">
        <v>2.0</v>
      </c>
      <c r="E1526" s="3">
        <v>40148.56180555555</v>
      </c>
      <c r="F1526" s="1">
        <v>1.95</v>
      </c>
      <c r="G1526" s="1">
        <v>17611.0</v>
      </c>
      <c r="H1526" s="1" t="s">
        <v>14</v>
      </c>
      <c r="I1526" s="4">
        <v>40148.0</v>
      </c>
      <c r="J1526" s="5">
        <v>0.5618055555555556</v>
      </c>
      <c r="K1526" s="1">
        <v>13.0</v>
      </c>
      <c r="L1526" s="1">
        <v>3.9</v>
      </c>
    </row>
    <row r="1527">
      <c r="A1527" s="1">
        <v>489572.0</v>
      </c>
      <c r="B1527" s="2" t="s">
        <v>1715</v>
      </c>
      <c r="C1527" s="1" t="s">
        <v>1716</v>
      </c>
      <c r="D1527" s="1">
        <v>2.0</v>
      </c>
      <c r="E1527" s="3">
        <v>40148.56180555555</v>
      </c>
      <c r="F1527" s="1">
        <v>1.45</v>
      </c>
      <c r="G1527" s="1">
        <v>17611.0</v>
      </c>
      <c r="H1527" s="1" t="s">
        <v>14</v>
      </c>
      <c r="I1527" s="4">
        <v>40148.0</v>
      </c>
      <c r="J1527" s="5">
        <v>0.5618055555555556</v>
      </c>
      <c r="K1527" s="1">
        <v>13.0</v>
      </c>
      <c r="L1527" s="1">
        <v>2.9</v>
      </c>
    </row>
    <row r="1528">
      <c r="A1528" s="1">
        <v>489572.0</v>
      </c>
      <c r="B1528" s="2" t="s">
        <v>1717</v>
      </c>
      <c r="C1528" s="1" t="s">
        <v>1718</v>
      </c>
      <c r="D1528" s="1">
        <v>2.0</v>
      </c>
      <c r="E1528" s="3">
        <v>40148.56180555555</v>
      </c>
      <c r="F1528" s="1">
        <v>1.45</v>
      </c>
      <c r="G1528" s="1">
        <v>17611.0</v>
      </c>
      <c r="H1528" s="1" t="s">
        <v>14</v>
      </c>
      <c r="I1528" s="4">
        <v>40148.0</v>
      </c>
      <c r="J1528" s="5">
        <v>0.5618055555555556</v>
      </c>
      <c r="K1528" s="1">
        <v>13.0</v>
      </c>
      <c r="L1528" s="1">
        <v>2.9</v>
      </c>
    </row>
    <row r="1529">
      <c r="A1529" s="1">
        <v>489572.0</v>
      </c>
      <c r="B1529" s="2" t="s">
        <v>1719</v>
      </c>
      <c r="C1529" s="1" t="s">
        <v>1720</v>
      </c>
      <c r="D1529" s="1">
        <v>2.0</v>
      </c>
      <c r="E1529" s="3">
        <v>40148.56180555555</v>
      </c>
      <c r="F1529" s="1">
        <v>1.45</v>
      </c>
      <c r="G1529" s="1">
        <v>17611.0</v>
      </c>
      <c r="H1529" s="1" t="s">
        <v>14</v>
      </c>
      <c r="I1529" s="4">
        <v>40148.0</v>
      </c>
      <c r="J1529" s="5">
        <v>0.5618055555555556</v>
      </c>
      <c r="K1529" s="1">
        <v>13.0</v>
      </c>
      <c r="L1529" s="1">
        <v>2.9</v>
      </c>
    </row>
    <row r="1530">
      <c r="A1530" s="1">
        <v>489572.0</v>
      </c>
      <c r="B1530" s="2" t="s">
        <v>706</v>
      </c>
      <c r="C1530" s="1" t="s">
        <v>707</v>
      </c>
      <c r="D1530" s="1">
        <v>2.0</v>
      </c>
      <c r="E1530" s="3">
        <v>40148.56180555555</v>
      </c>
      <c r="F1530" s="1">
        <v>1.95</v>
      </c>
      <c r="G1530" s="1">
        <v>17611.0</v>
      </c>
      <c r="H1530" s="1" t="s">
        <v>14</v>
      </c>
      <c r="I1530" s="4">
        <v>40148.0</v>
      </c>
      <c r="J1530" s="5">
        <v>0.5618055555555556</v>
      </c>
      <c r="K1530" s="1">
        <v>13.0</v>
      </c>
      <c r="L1530" s="1">
        <v>3.9</v>
      </c>
    </row>
    <row r="1531">
      <c r="A1531" s="1">
        <v>489572.0</v>
      </c>
      <c r="B1531" s="2" t="s">
        <v>708</v>
      </c>
      <c r="C1531" s="1" t="s">
        <v>709</v>
      </c>
      <c r="D1531" s="1">
        <v>2.0</v>
      </c>
      <c r="E1531" s="3">
        <v>40148.56180555555</v>
      </c>
      <c r="F1531" s="1">
        <v>1.95</v>
      </c>
      <c r="G1531" s="1">
        <v>17611.0</v>
      </c>
      <c r="H1531" s="1" t="s">
        <v>14</v>
      </c>
      <c r="I1531" s="4">
        <v>40148.0</v>
      </c>
      <c r="J1531" s="5">
        <v>0.5618055555555556</v>
      </c>
      <c r="K1531" s="1">
        <v>13.0</v>
      </c>
      <c r="L1531" s="1">
        <v>3.9</v>
      </c>
    </row>
    <row r="1532">
      <c r="A1532" s="1">
        <v>489572.0</v>
      </c>
      <c r="B1532" s="2" t="s">
        <v>1721</v>
      </c>
      <c r="C1532" s="1" t="s">
        <v>1722</v>
      </c>
      <c r="D1532" s="1">
        <v>4.0</v>
      </c>
      <c r="E1532" s="3">
        <v>40148.56180555555</v>
      </c>
      <c r="F1532" s="1">
        <v>1.25</v>
      </c>
      <c r="G1532" s="1">
        <v>17611.0</v>
      </c>
      <c r="H1532" s="1" t="s">
        <v>14</v>
      </c>
      <c r="I1532" s="4">
        <v>40148.0</v>
      </c>
      <c r="J1532" s="5">
        <v>0.5618055555555556</v>
      </c>
      <c r="K1532" s="1">
        <v>13.0</v>
      </c>
      <c r="L1532" s="1">
        <v>5.0</v>
      </c>
    </row>
    <row r="1533">
      <c r="A1533" s="1">
        <v>489572.0</v>
      </c>
      <c r="B1533" s="2" t="s">
        <v>1723</v>
      </c>
      <c r="C1533" s="1" t="s">
        <v>1724</v>
      </c>
      <c r="D1533" s="1">
        <v>4.0</v>
      </c>
      <c r="E1533" s="3">
        <v>40148.56180555555</v>
      </c>
      <c r="F1533" s="1">
        <v>1.65</v>
      </c>
      <c r="G1533" s="1">
        <v>17611.0</v>
      </c>
      <c r="H1533" s="1" t="s">
        <v>14</v>
      </c>
      <c r="I1533" s="4">
        <v>40148.0</v>
      </c>
      <c r="J1533" s="5">
        <v>0.5618055555555556</v>
      </c>
      <c r="K1533" s="1">
        <v>13.0</v>
      </c>
      <c r="L1533" s="1">
        <v>6.6</v>
      </c>
    </row>
    <row r="1534">
      <c r="A1534" s="1">
        <v>489572.0</v>
      </c>
      <c r="B1534" s="2" t="s">
        <v>1725</v>
      </c>
      <c r="C1534" s="1" t="s">
        <v>1726</v>
      </c>
      <c r="D1534" s="1">
        <v>2.0</v>
      </c>
      <c r="E1534" s="3">
        <v>40148.56180555555</v>
      </c>
      <c r="F1534" s="1">
        <v>1.25</v>
      </c>
      <c r="G1534" s="1">
        <v>17611.0</v>
      </c>
      <c r="H1534" s="1" t="s">
        <v>14</v>
      </c>
      <c r="I1534" s="4">
        <v>40148.0</v>
      </c>
      <c r="J1534" s="5">
        <v>0.5618055555555556</v>
      </c>
      <c r="K1534" s="1">
        <v>13.0</v>
      </c>
      <c r="L1534" s="1">
        <v>2.5</v>
      </c>
    </row>
    <row r="1535">
      <c r="A1535" s="1">
        <v>489572.0</v>
      </c>
      <c r="B1535" s="2" t="s">
        <v>1727</v>
      </c>
      <c r="C1535" s="1" t="s">
        <v>1728</v>
      </c>
      <c r="D1535" s="1">
        <v>2.0</v>
      </c>
      <c r="E1535" s="3">
        <v>40148.56180555555</v>
      </c>
      <c r="F1535" s="1">
        <v>1.25</v>
      </c>
      <c r="G1535" s="1">
        <v>17611.0</v>
      </c>
      <c r="H1535" s="1" t="s">
        <v>14</v>
      </c>
      <c r="I1535" s="4">
        <v>40148.0</v>
      </c>
      <c r="J1535" s="5">
        <v>0.5618055555555556</v>
      </c>
      <c r="K1535" s="1">
        <v>13.0</v>
      </c>
      <c r="L1535" s="1">
        <v>2.5</v>
      </c>
    </row>
    <row r="1536">
      <c r="A1536" s="1">
        <v>489572.0</v>
      </c>
      <c r="B1536" s="2" t="s">
        <v>1306</v>
      </c>
      <c r="C1536" s="1" t="s">
        <v>1307</v>
      </c>
      <c r="D1536" s="1">
        <v>2.0</v>
      </c>
      <c r="E1536" s="3">
        <v>40148.56180555555</v>
      </c>
      <c r="F1536" s="1">
        <v>1.25</v>
      </c>
      <c r="G1536" s="1">
        <v>17611.0</v>
      </c>
      <c r="H1536" s="1" t="s">
        <v>14</v>
      </c>
      <c r="I1536" s="4">
        <v>40148.0</v>
      </c>
      <c r="J1536" s="5">
        <v>0.5618055555555556</v>
      </c>
      <c r="K1536" s="1">
        <v>13.0</v>
      </c>
      <c r="L1536" s="1">
        <v>2.5</v>
      </c>
    </row>
    <row r="1537">
      <c r="A1537" s="1">
        <v>489572.0</v>
      </c>
      <c r="B1537" s="2" t="s">
        <v>1729</v>
      </c>
      <c r="C1537" s="1" t="s">
        <v>1730</v>
      </c>
      <c r="D1537" s="1">
        <v>2.0</v>
      </c>
      <c r="E1537" s="3">
        <v>40148.56180555555</v>
      </c>
      <c r="F1537" s="1">
        <v>1.25</v>
      </c>
      <c r="G1537" s="1">
        <v>17611.0</v>
      </c>
      <c r="H1537" s="1" t="s">
        <v>14</v>
      </c>
      <c r="I1537" s="4">
        <v>40148.0</v>
      </c>
      <c r="J1537" s="5">
        <v>0.5618055555555556</v>
      </c>
      <c r="K1537" s="1">
        <v>13.0</v>
      </c>
      <c r="L1537" s="1">
        <v>2.5</v>
      </c>
    </row>
    <row r="1538">
      <c r="A1538" s="1">
        <v>489572.0</v>
      </c>
      <c r="B1538" s="2" t="s">
        <v>1731</v>
      </c>
      <c r="C1538" s="1" t="s">
        <v>1732</v>
      </c>
      <c r="D1538" s="1">
        <v>12.0</v>
      </c>
      <c r="E1538" s="3">
        <v>40148.56180555555</v>
      </c>
      <c r="F1538" s="1">
        <v>0.29</v>
      </c>
      <c r="G1538" s="1">
        <v>17611.0</v>
      </c>
      <c r="H1538" s="1" t="s">
        <v>14</v>
      </c>
      <c r="I1538" s="4">
        <v>40148.0</v>
      </c>
      <c r="J1538" s="5">
        <v>0.5618055555555556</v>
      </c>
      <c r="K1538" s="1">
        <v>13.0</v>
      </c>
      <c r="L1538" s="1">
        <v>3.47999999999999</v>
      </c>
    </row>
    <row r="1539">
      <c r="A1539" s="1">
        <v>489572.0</v>
      </c>
      <c r="B1539" s="2" t="s">
        <v>979</v>
      </c>
      <c r="C1539" s="1" t="s">
        <v>980</v>
      </c>
      <c r="D1539" s="1">
        <v>12.0</v>
      </c>
      <c r="E1539" s="3">
        <v>40148.56180555555</v>
      </c>
      <c r="F1539" s="1">
        <v>0.29</v>
      </c>
      <c r="G1539" s="1">
        <v>17611.0</v>
      </c>
      <c r="H1539" s="1" t="s">
        <v>14</v>
      </c>
      <c r="I1539" s="4">
        <v>40148.0</v>
      </c>
      <c r="J1539" s="5">
        <v>0.5618055555555556</v>
      </c>
      <c r="K1539" s="1">
        <v>13.0</v>
      </c>
      <c r="L1539" s="1">
        <v>3.47999999999999</v>
      </c>
    </row>
    <row r="1540">
      <c r="A1540" s="1">
        <v>489572.0</v>
      </c>
      <c r="B1540" s="2" t="s">
        <v>981</v>
      </c>
      <c r="C1540" s="1" t="s">
        <v>982</v>
      </c>
      <c r="D1540" s="1">
        <v>12.0</v>
      </c>
      <c r="E1540" s="3">
        <v>40148.56180555555</v>
      </c>
      <c r="F1540" s="1">
        <v>0.29</v>
      </c>
      <c r="G1540" s="1">
        <v>17611.0</v>
      </c>
      <c r="H1540" s="1" t="s">
        <v>14</v>
      </c>
      <c r="I1540" s="4">
        <v>40148.0</v>
      </c>
      <c r="J1540" s="5">
        <v>0.5618055555555556</v>
      </c>
      <c r="K1540" s="1">
        <v>13.0</v>
      </c>
      <c r="L1540" s="1">
        <v>3.47999999999999</v>
      </c>
    </row>
    <row r="1541">
      <c r="A1541" s="1">
        <v>489572.0</v>
      </c>
      <c r="B1541" s="2" t="s">
        <v>1733</v>
      </c>
      <c r="C1541" s="1" t="s">
        <v>1734</v>
      </c>
      <c r="D1541" s="1">
        <v>3.0</v>
      </c>
      <c r="E1541" s="3">
        <v>40148.56180555555</v>
      </c>
      <c r="F1541" s="1">
        <v>4.95</v>
      </c>
      <c r="G1541" s="1">
        <v>17611.0</v>
      </c>
      <c r="H1541" s="1" t="s">
        <v>14</v>
      </c>
      <c r="I1541" s="4">
        <v>40148.0</v>
      </c>
      <c r="J1541" s="5">
        <v>0.5618055555555556</v>
      </c>
      <c r="K1541" s="1">
        <v>13.0</v>
      </c>
      <c r="L1541" s="1">
        <v>14.85</v>
      </c>
    </row>
    <row r="1542">
      <c r="A1542" s="1">
        <v>489572.0</v>
      </c>
      <c r="B1542" s="2" t="s">
        <v>374</v>
      </c>
      <c r="C1542" s="1" t="s">
        <v>375</v>
      </c>
      <c r="D1542" s="1">
        <v>3.0</v>
      </c>
      <c r="E1542" s="3">
        <v>40148.56180555555</v>
      </c>
      <c r="F1542" s="1">
        <v>5.95</v>
      </c>
      <c r="G1542" s="1">
        <v>17611.0</v>
      </c>
      <c r="H1542" s="1" t="s">
        <v>14</v>
      </c>
      <c r="I1542" s="4">
        <v>40148.0</v>
      </c>
      <c r="J1542" s="5">
        <v>0.5618055555555556</v>
      </c>
      <c r="K1542" s="1">
        <v>13.0</v>
      </c>
      <c r="L1542" s="1">
        <v>17.85</v>
      </c>
    </row>
    <row r="1543">
      <c r="A1543" s="1">
        <v>489574.0</v>
      </c>
      <c r="B1543" s="2" t="s">
        <v>1631</v>
      </c>
      <c r="C1543" s="1" t="s">
        <v>1632</v>
      </c>
      <c r="D1543" s="1">
        <v>2.0</v>
      </c>
      <c r="E1543" s="3">
        <v>40148.56319444445</v>
      </c>
      <c r="F1543" s="1">
        <v>6.75</v>
      </c>
      <c r="G1543" s="1">
        <v>13097.0</v>
      </c>
      <c r="H1543" s="1" t="s">
        <v>14</v>
      </c>
      <c r="I1543" s="4">
        <v>40148.0</v>
      </c>
      <c r="J1543" s="5">
        <v>0.5631944444444444</v>
      </c>
      <c r="K1543" s="1">
        <v>13.0</v>
      </c>
      <c r="L1543" s="1">
        <v>13.5</v>
      </c>
    </row>
    <row r="1544">
      <c r="A1544" s="1">
        <v>489574.0</v>
      </c>
      <c r="B1544" s="2" t="s">
        <v>658</v>
      </c>
      <c r="C1544" s="1" t="s">
        <v>659</v>
      </c>
      <c r="D1544" s="1">
        <v>1.0</v>
      </c>
      <c r="E1544" s="3">
        <v>40148.56319444445</v>
      </c>
      <c r="F1544" s="1">
        <v>6.75</v>
      </c>
      <c r="G1544" s="1">
        <v>13097.0</v>
      </c>
      <c r="H1544" s="1" t="s">
        <v>14</v>
      </c>
      <c r="I1544" s="4">
        <v>40148.0</v>
      </c>
      <c r="J1544" s="5">
        <v>0.5631944444444444</v>
      </c>
      <c r="K1544" s="1">
        <v>13.0</v>
      </c>
      <c r="L1544" s="1">
        <v>6.75</v>
      </c>
    </row>
    <row r="1545">
      <c r="A1545" s="1">
        <v>489574.0</v>
      </c>
      <c r="B1545" s="2" t="s">
        <v>440</v>
      </c>
      <c r="C1545" s="1" t="s">
        <v>441</v>
      </c>
      <c r="D1545" s="1">
        <v>1.0</v>
      </c>
      <c r="E1545" s="3">
        <v>40148.56319444445</v>
      </c>
      <c r="F1545" s="1">
        <v>6.75</v>
      </c>
      <c r="G1545" s="1">
        <v>13097.0</v>
      </c>
      <c r="H1545" s="1" t="s">
        <v>14</v>
      </c>
      <c r="I1545" s="4">
        <v>40148.0</v>
      </c>
      <c r="J1545" s="5">
        <v>0.5631944444444444</v>
      </c>
      <c r="K1545" s="1">
        <v>13.0</v>
      </c>
      <c r="L1545" s="1">
        <v>6.75</v>
      </c>
    </row>
    <row r="1546">
      <c r="A1546" s="1">
        <v>489574.0</v>
      </c>
      <c r="B1546" s="2" t="s">
        <v>1735</v>
      </c>
      <c r="C1546" s="1" t="s">
        <v>1736</v>
      </c>
      <c r="D1546" s="1">
        <v>1.0</v>
      </c>
      <c r="E1546" s="3">
        <v>40148.56319444445</v>
      </c>
      <c r="F1546" s="1">
        <v>2.95</v>
      </c>
      <c r="G1546" s="1">
        <v>13097.0</v>
      </c>
      <c r="H1546" s="1" t="s">
        <v>14</v>
      </c>
      <c r="I1546" s="4">
        <v>40148.0</v>
      </c>
      <c r="J1546" s="5">
        <v>0.5631944444444444</v>
      </c>
      <c r="K1546" s="1">
        <v>13.0</v>
      </c>
      <c r="L1546" s="1">
        <v>2.95</v>
      </c>
    </row>
    <row r="1547">
      <c r="A1547" s="1">
        <v>489574.0</v>
      </c>
      <c r="B1547" s="2" t="s">
        <v>1737</v>
      </c>
      <c r="C1547" s="1" t="s">
        <v>1738</v>
      </c>
      <c r="D1547" s="1">
        <v>1.0</v>
      </c>
      <c r="E1547" s="3">
        <v>40148.56319444445</v>
      </c>
      <c r="F1547" s="1">
        <v>1.65</v>
      </c>
      <c r="G1547" s="1">
        <v>13097.0</v>
      </c>
      <c r="H1547" s="1" t="s">
        <v>14</v>
      </c>
      <c r="I1547" s="4">
        <v>40148.0</v>
      </c>
      <c r="J1547" s="5">
        <v>0.5631944444444444</v>
      </c>
      <c r="K1547" s="1">
        <v>13.0</v>
      </c>
      <c r="L1547" s="1">
        <v>1.65</v>
      </c>
    </row>
    <row r="1548">
      <c r="A1548" s="1">
        <v>489574.0</v>
      </c>
      <c r="B1548" s="2" t="s">
        <v>1739</v>
      </c>
      <c r="C1548" s="1" t="s">
        <v>1740</v>
      </c>
      <c r="D1548" s="1">
        <v>10.0</v>
      </c>
      <c r="E1548" s="3">
        <v>40148.56319444445</v>
      </c>
      <c r="F1548" s="1">
        <v>1.95</v>
      </c>
      <c r="G1548" s="1">
        <v>13097.0</v>
      </c>
      <c r="H1548" s="1" t="s">
        <v>14</v>
      </c>
      <c r="I1548" s="4">
        <v>40148.0</v>
      </c>
      <c r="J1548" s="5">
        <v>0.5631944444444444</v>
      </c>
      <c r="K1548" s="1">
        <v>13.0</v>
      </c>
      <c r="L1548" s="1">
        <v>19.5</v>
      </c>
    </row>
    <row r="1549">
      <c r="A1549" s="1">
        <v>489574.0</v>
      </c>
      <c r="B1549" s="2" t="s">
        <v>1741</v>
      </c>
      <c r="C1549" s="1" t="s">
        <v>1742</v>
      </c>
      <c r="D1549" s="1">
        <v>10.0</v>
      </c>
      <c r="E1549" s="3">
        <v>40148.56319444445</v>
      </c>
      <c r="F1549" s="1">
        <v>1.95</v>
      </c>
      <c r="G1549" s="1">
        <v>13097.0</v>
      </c>
      <c r="H1549" s="1" t="s">
        <v>14</v>
      </c>
      <c r="I1549" s="4">
        <v>40148.0</v>
      </c>
      <c r="J1549" s="5">
        <v>0.5631944444444444</v>
      </c>
      <c r="K1549" s="1">
        <v>13.0</v>
      </c>
      <c r="L1549" s="1">
        <v>19.5</v>
      </c>
    </row>
    <row r="1550">
      <c r="A1550" s="1">
        <v>489574.0</v>
      </c>
      <c r="B1550" s="2" t="s">
        <v>164</v>
      </c>
      <c r="C1550" s="1" t="s">
        <v>165</v>
      </c>
      <c r="D1550" s="1">
        <v>2.0</v>
      </c>
      <c r="E1550" s="3">
        <v>40148.56319444445</v>
      </c>
      <c r="F1550" s="1">
        <v>5.95</v>
      </c>
      <c r="G1550" s="1">
        <v>13097.0</v>
      </c>
      <c r="H1550" s="1" t="s">
        <v>14</v>
      </c>
      <c r="I1550" s="4">
        <v>40148.0</v>
      </c>
      <c r="J1550" s="5">
        <v>0.5631944444444444</v>
      </c>
      <c r="K1550" s="1">
        <v>13.0</v>
      </c>
      <c r="L1550" s="1">
        <v>11.9</v>
      </c>
    </row>
    <row r="1551">
      <c r="A1551" s="1">
        <v>489574.0</v>
      </c>
      <c r="B1551" s="2" t="s">
        <v>605</v>
      </c>
      <c r="C1551" s="1" t="s">
        <v>606</v>
      </c>
      <c r="D1551" s="1">
        <v>2.0</v>
      </c>
      <c r="E1551" s="3">
        <v>40148.56319444445</v>
      </c>
      <c r="F1551" s="1">
        <v>5.95</v>
      </c>
      <c r="G1551" s="1">
        <v>13097.0</v>
      </c>
      <c r="H1551" s="1" t="s">
        <v>14</v>
      </c>
      <c r="I1551" s="4">
        <v>40148.0</v>
      </c>
      <c r="J1551" s="5">
        <v>0.5631944444444444</v>
      </c>
      <c r="K1551" s="1">
        <v>13.0</v>
      </c>
      <c r="L1551" s="1">
        <v>11.9</v>
      </c>
    </row>
    <row r="1552">
      <c r="A1552" s="1">
        <v>489574.0</v>
      </c>
      <c r="B1552" s="2" t="s">
        <v>603</v>
      </c>
      <c r="C1552" s="1" t="s">
        <v>604</v>
      </c>
      <c r="D1552" s="1">
        <v>2.0</v>
      </c>
      <c r="E1552" s="3">
        <v>40148.56319444445</v>
      </c>
      <c r="F1552" s="1">
        <v>5.95</v>
      </c>
      <c r="G1552" s="1">
        <v>13097.0</v>
      </c>
      <c r="H1552" s="1" t="s">
        <v>14</v>
      </c>
      <c r="I1552" s="4">
        <v>40148.0</v>
      </c>
      <c r="J1552" s="5">
        <v>0.5631944444444444</v>
      </c>
      <c r="K1552" s="1">
        <v>13.0</v>
      </c>
      <c r="L1552" s="1">
        <v>11.9</v>
      </c>
    </row>
    <row r="1553">
      <c r="A1553" s="1">
        <v>489574.0</v>
      </c>
      <c r="B1553" s="2" t="s">
        <v>162</v>
      </c>
      <c r="C1553" s="1" t="s">
        <v>163</v>
      </c>
      <c r="D1553" s="1">
        <v>2.0</v>
      </c>
      <c r="E1553" s="3">
        <v>40148.56319444445</v>
      </c>
      <c r="F1553" s="1">
        <v>5.95</v>
      </c>
      <c r="G1553" s="1">
        <v>13097.0</v>
      </c>
      <c r="H1553" s="1" t="s">
        <v>14</v>
      </c>
      <c r="I1553" s="4">
        <v>40148.0</v>
      </c>
      <c r="J1553" s="5">
        <v>0.5631944444444444</v>
      </c>
      <c r="K1553" s="1">
        <v>13.0</v>
      </c>
      <c r="L1553" s="1">
        <v>11.9</v>
      </c>
    </row>
    <row r="1554">
      <c r="A1554" s="1">
        <v>489574.0</v>
      </c>
      <c r="B1554" s="2" t="s">
        <v>228</v>
      </c>
      <c r="C1554" s="1" t="s">
        <v>229</v>
      </c>
      <c r="D1554" s="1">
        <v>10.0</v>
      </c>
      <c r="E1554" s="3">
        <v>40148.56319444445</v>
      </c>
      <c r="F1554" s="1">
        <v>1.25</v>
      </c>
      <c r="G1554" s="1">
        <v>13097.0</v>
      </c>
      <c r="H1554" s="1" t="s">
        <v>14</v>
      </c>
      <c r="I1554" s="4">
        <v>40148.0</v>
      </c>
      <c r="J1554" s="5">
        <v>0.5631944444444444</v>
      </c>
      <c r="K1554" s="1">
        <v>13.0</v>
      </c>
      <c r="L1554" s="1">
        <v>12.5</v>
      </c>
    </row>
    <row r="1555">
      <c r="A1555" s="1">
        <v>489574.0</v>
      </c>
      <c r="B1555" s="2" t="s">
        <v>1743</v>
      </c>
      <c r="C1555" s="1" t="s">
        <v>1744</v>
      </c>
      <c r="D1555" s="1">
        <v>12.0</v>
      </c>
      <c r="E1555" s="3">
        <v>40148.56319444445</v>
      </c>
      <c r="F1555" s="1">
        <v>0.85</v>
      </c>
      <c r="G1555" s="1">
        <v>13097.0</v>
      </c>
      <c r="H1555" s="1" t="s">
        <v>14</v>
      </c>
      <c r="I1555" s="4">
        <v>40148.0</v>
      </c>
      <c r="J1555" s="5">
        <v>0.5631944444444444</v>
      </c>
      <c r="K1555" s="1">
        <v>13.0</v>
      </c>
      <c r="L1555" s="1">
        <v>10.2</v>
      </c>
    </row>
    <row r="1556">
      <c r="A1556" s="1">
        <v>489574.0</v>
      </c>
      <c r="B1556" s="2" t="s">
        <v>1639</v>
      </c>
      <c r="C1556" s="1" t="s">
        <v>1640</v>
      </c>
      <c r="D1556" s="1">
        <v>24.0</v>
      </c>
      <c r="E1556" s="3">
        <v>40148.56319444445</v>
      </c>
      <c r="F1556" s="1">
        <v>0.42</v>
      </c>
      <c r="G1556" s="1">
        <v>13097.0</v>
      </c>
      <c r="H1556" s="1" t="s">
        <v>14</v>
      </c>
      <c r="I1556" s="4">
        <v>40148.0</v>
      </c>
      <c r="J1556" s="5">
        <v>0.5631944444444444</v>
      </c>
      <c r="K1556" s="1">
        <v>13.0</v>
      </c>
      <c r="L1556" s="1">
        <v>10.08</v>
      </c>
    </row>
    <row r="1557">
      <c r="A1557" s="1">
        <v>489574.0</v>
      </c>
      <c r="B1557" s="2" t="s">
        <v>940</v>
      </c>
      <c r="C1557" s="1" t="s">
        <v>941</v>
      </c>
      <c r="D1557" s="1">
        <v>24.0</v>
      </c>
      <c r="E1557" s="3">
        <v>40148.56319444445</v>
      </c>
      <c r="F1557" s="1">
        <v>0.42</v>
      </c>
      <c r="G1557" s="1">
        <v>13097.0</v>
      </c>
      <c r="H1557" s="1" t="s">
        <v>14</v>
      </c>
      <c r="I1557" s="4">
        <v>40148.0</v>
      </c>
      <c r="J1557" s="5">
        <v>0.5631944444444444</v>
      </c>
      <c r="K1557" s="1">
        <v>13.0</v>
      </c>
      <c r="L1557" s="1">
        <v>10.08</v>
      </c>
    </row>
    <row r="1558">
      <c r="A1558" s="1">
        <v>489574.0</v>
      </c>
      <c r="B1558" s="2" t="s">
        <v>1745</v>
      </c>
      <c r="C1558" s="1" t="s">
        <v>1746</v>
      </c>
      <c r="D1558" s="1">
        <v>3.0</v>
      </c>
      <c r="E1558" s="3">
        <v>40148.56319444445</v>
      </c>
      <c r="F1558" s="1">
        <v>4.25</v>
      </c>
      <c r="G1558" s="1">
        <v>13097.0</v>
      </c>
      <c r="H1558" s="1" t="s">
        <v>14</v>
      </c>
      <c r="I1558" s="4">
        <v>40148.0</v>
      </c>
      <c r="J1558" s="5">
        <v>0.5631944444444444</v>
      </c>
      <c r="K1558" s="1">
        <v>13.0</v>
      </c>
      <c r="L1558" s="1">
        <v>12.75</v>
      </c>
    </row>
    <row r="1559">
      <c r="A1559" s="1">
        <v>489574.0</v>
      </c>
      <c r="B1559" s="2" t="s">
        <v>1747</v>
      </c>
      <c r="C1559" s="1" t="s">
        <v>1748</v>
      </c>
      <c r="D1559" s="1">
        <v>4.0</v>
      </c>
      <c r="E1559" s="3">
        <v>40148.56319444445</v>
      </c>
      <c r="F1559" s="1">
        <v>3.75</v>
      </c>
      <c r="G1559" s="1">
        <v>13097.0</v>
      </c>
      <c r="H1559" s="1" t="s">
        <v>14</v>
      </c>
      <c r="I1559" s="4">
        <v>40148.0</v>
      </c>
      <c r="J1559" s="5">
        <v>0.5631944444444444</v>
      </c>
      <c r="K1559" s="1">
        <v>13.0</v>
      </c>
      <c r="L1559" s="1">
        <v>15.0</v>
      </c>
    </row>
    <row r="1560">
      <c r="A1560" s="1">
        <v>489574.0</v>
      </c>
      <c r="B1560" s="2" t="s">
        <v>1749</v>
      </c>
      <c r="C1560" s="1" t="s">
        <v>1750</v>
      </c>
      <c r="D1560" s="1">
        <v>2.0</v>
      </c>
      <c r="E1560" s="3">
        <v>40148.56319444445</v>
      </c>
      <c r="F1560" s="1">
        <v>0.21</v>
      </c>
      <c r="G1560" s="1">
        <v>13097.0</v>
      </c>
      <c r="H1560" s="1" t="s">
        <v>14</v>
      </c>
      <c r="I1560" s="4">
        <v>40148.0</v>
      </c>
      <c r="J1560" s="5">
        <v>0.5631944444444444</v>
      </c>
      <c r="K1560" s="1">
        <v>13.0</v>
      </c>
      <c r="L1560" s="1">
        <v>0.42</v>
      </c>
    </row>
    <row r="1561">
      <c r="A1561" s="1">
        <v>489574.0</v>
      </c>
      <c r="B1561" s="2" t="s">
        <v>1751</v>
      </c>
      <c r="C1561" s="1" t="s">
        <v>1752</v>
      </c>
      <c r="D1561" s="1">
        <v>2.0</v>
      </c>
      <c r="E1561" s="3">
        <v>40148.56319444445</v>
      </c>
      <c r="F1561" s="1">
        <v>2.95</v>
      </c>
      <c r="G1561" s="1">
        <v>13097.0</v>
      </c>
      <c r="H1561" s="1" t="s">
        <v>14</v>
      </c>
      <c r="I1561" s="4">
        <v>40148.0</v>
      </c>
      <c r="J1561" s="5">
        <v>0.5631944444444444</v>
      </c>
      <c r="K1561" s="1">
        <v>13.0</v>
      </c>
      <c r="L1561" s="1">
        <v>5.9</v>
      </c>
    </row>
    <row r="1562">
      <c r="A1562" s="1">
        <v>489574.0</v>
      </c>
      <c r="B1562" s="2" t="s">
        <v>1753</v>
      </c>
      <c r="C1562" s="1" t="s">
        <v>1754</v>
      </c>
      <c r="D1562" s="1">
        <v>2.0</v>
      </c>
      <c r="E1562" s="3">
        <v>40148.56319444445</v>
      </c>
      <c r="F1562" s="1">
        <v>2.1</v>
      </c>
      <c r="G1562" s="1">
        <v>13097.0</v>
      </c>
      <c r="H1562" s="1" t="s">
        <v>14</v>
      </c>
      <c r="I1562" s="4">
        <v>40148.0</v>
      </c>
      <c r="J1562" s="5">
        <v>0.5631944444444444</v>
      </c>
      <c r="K1562" s="1">
        <v>13.0</v>
      </c>
      <c r="L1562" s="1">
        <v>4.2</v>
      </c>
    </row>
    <row r="1563">
      <c r="A1563" s="1">
        <v>489574.0</v>
      </c>
      <c r="B1563" s="2" t="s">
        <v>289</v>
      </c>
      <c r="C1563" s="1" t="s">
        <v>290</v>
      </c>
      <c r="D1563" s="1">
        <v>5.0</v>
      </c>
      <c r="E1563" s="3">
        <v>40148.56319444445</v>
      </c>
      <c r="F1563" s="1">
        <v>2.95</v>
      </c>
      <c r="G1563" s="1">
        <v>13097.0</v>
      </c>
      <c r="H1563" s="1" t="s">
        <v>14</v>
      </c>
      <c r="I1563" s="4">
        <v>40148.0</v>
      </c>
      <c r="J1563" s="5">
        <v>0.5631944444444444</v>
      </c>
      <c r="K1563" s="1">
        <v>13.0</v>
      </c>
      <c r="L1563" s="1">
        <v>14.75</v>
      </c>
    </row>
    <row r="1564">
      <c r="A1564" s="1">
        <v>489574.0</v>
      </c>
      <c r="B1564" s="2" t="s">
        <v>279</v>
      </c>
      <c r="C1564" s="1" t="s">
        <v>280</v>
      </c>
      <c r="D1564" s="1">
        <v>2.0</v>
      </c>
      <c r="E1564" s="3">
        <v>40148.56319444445</v>
      </c>
      <c r="F1564" s="1">
        <v>5.95</v>
      </c>
      <c r="G1564" s="1">
        <v>13097.0</v>
      </c>
      <c r="H1564" s="1" t="s">
        <v>14</v>
      </c>
      <c r="I1564" s="4">
        <v>40148.0</v>
      </c>
      <c r="J1564" s="5">
        <v>0.5631944444444444</v>
      </c>
      <c r="K1564" s="1">
        <v>13.0</v>
      </c>
      <c r="L1564" s="1">
        <v>11.9</v>
      </c>
    </row>
    <row r="1565">
      <c r="A1565" s="1">
        <v>489574.0</v>
      </c>
      <c r="B1565" s="2" t="s">
        <v>1755</v>
      </c>
      <c r="C1565" s="1" t="s">
        <v>1756</v>
      </c>
      <c r="D1565" s="1">
        <v>1.0</v>
      </c>
      <c r="E1565" s="3">
        <v>40148.56319444445</v>
      </c>
      <c r="F1565" s="1">
        <v>2.95</v>
      </c>
      <c r="G1565" s="1">
        <v>13097.0</v>
      </c>
      <c r="H1565" s="1" t="s">
        <v>14</v>
      </c>
      <c r="I1565" s="4">
        <v>40148.0</v>
      </c>
      <c r="J1565" s="5">
        <v>0.5631944444444444</v>
      </c>
      <c r="K1565" s="1">
        <v>13.0</v>
      </c>
      <c r="L1565" s="1">
        <v>2.95</v>
      </c>
    </row>
    <row r="1566">
      <c r="A1566" s="1">
        <v>489574.0</v>
      </c>
      <c r="B1566" s="2" t="s">
        <v>1757</v>
      </c>
      <c r="C1566" s="1" t="s">
        <v>1758</v>
      </c>
      <c r="D1566" s="1">
        <v>3.0</v>
      </c>
      <c r="E1566" s="3">
        <v>40148.56319444445</v>
      </c>
      <c r="F1566" s="1">
        <v>1.25</v>
      </c>
      <c r="G1566" s="1">
        <v>13097.0</v>
      </c>
      <c r="H1566" s="1" t="s">
        <v>14</v>
      </c>
      <c r="I1566" s="4">
        <v>40148.0</v>
      </c>
      <c r="J1566" s="5">
        <v>0.5631944444444444</v>
      </c>
      <c r="K1566" s="1">
        <v>13.0</v>
      </c>
      <c r="L1566" s="1">
        <v>3.75</v>
      </c>
    </row>
    <row r="1567">
      <c r="A1567" s="1">
        <v>489574.0</v>
      </c>
      <c r="B1567" s="2" t="s">
        <v>1759</v>
      </c>
      <c r="C1567" s="1" t="s">
        <v>1760</v>
      </c>
      <c r="D1567" s="1">
        <v>1.0</v>
      </c>
      <c r="E1567" s="3">
        <v>40148.56319444445</v>
      </c>
      <c r="F1567" s="1">
        <v>1.95</v>
      </c>
      <c r="G1567" s="1">
        <v>13097.0</v>
      </c>
      <c r="H1567" s="1" t="s">
        <v>14</v>
      </c>
      <c r="I1567" s="4">
        <v>40148.0</v>
      </c>
      <c r="J1567" s="5">
        <v>0.5631944444444444</v>
      </c>
      <c r="K1567" s="1">
        <v>13.0</v>
      </c>
      <c r="L1567" s="1">
        <v>1.95</v>
      </c>
    </row>
    <row r="1568">
      <c r="A1568" s="1">
        <v>489574.0</v>
      </c>
      <c r="B1568" s="2" t="s">
        <v>1625</v>
      </c>
      <c r="C1568" s="1" t="s">
        <v>1626</v>
      </c>
      <c r="D1568" s="1">
        <v>3.0</v>
      </c>
      <c r="E1568" s="3">
        <v>40148.56319444445</v>
      </c>
      <c r="F1568" s="1">
        <v>2.95</v>
      </c>
      <c r="G1568" s="1">
        <v>13097.0</v>
      </c>
      <c r="H1568" s="1" t="s">
        <v>14</v>
      </c>
      <c r="I1568" s="4">
        <v>40148.0</v>
      </c>
      <c r="J1568" s="5">
        <v>0.5631944444444444</v>
      </c>
      <c r="K1568" s="1">
        <v>13.0</v>
      </c>
      <c r="L1568" s="1">
        <v>8.85</v>
      </c>
    </row>
    <row r="1569">
      <c r="A1569" s="1">
        <v>489574.0</v>
      </c>
      <c r="B1569" s="2" t="s">
        <v>1407</v>
      </c>
      <c r="C1569" s="1" t="s">
        <v>1408</v>
      </c>
      <c r="D1569" s="1">
        <v>3.0</v>
      </c>
      <c r="E1569" s="3">
        <v>40148.56319444445</v>
      </c>
      <c r="F1569" s="1">
        <v>2.95</v>
      </c>
      <c r="G1569" s="1">
        <v>13097.0</v>
      </c>
      <c r="H1569" s="1" t="s">
        <v>14</v>
      </c>
      <c r="I1569" s="4">
        <v>40148.0</v>
      </c>
      <c r="J1569" s="5">
        <v>0.5631944444444444</v>
      </c>
      <c r="K1569" s="1">
        <v>13.0</v>
      </c>
      <c r="L1569" s="1">
        <v>8.85</v>
      </c>
    </row>
    <row r="1570">
      <c r="A1570" s="1">
        <v>489574.0</v>
      </c>
      <c r="B1570" s="2" t="s">
        <v>1761</v>
      </c>
      <c r="C1570" s="1" t="s">
        <v>1762</v>
      </c>
      <c r="D1570" s="1">
        <v>3.0</v>
      </c>
      <c r="E1570" s="3">
        <v>40148.56319444445</v>
      </c>
      <c r="F1570" s="1">
        <v>2.1</v>
      </c>
      <c r="G1570" s="1">
        <v>13097.0</v>
      </c>
      <c r="H1570" s="1" t="s">
        <v>14</v>
      </c>
      <c r="I1570" s="4">
        <v>40148.0</v>
      </c>
      <c r="J1570" s="5">
        <v>0.5631944444444444</v>
      </c>
      <c r="K1570" s="1">
        <v>13.0</v>
      </c>
      <c r="L1570" s="1">
        <v>6.3</v>
      </c>
    </row>
    <row r="1571">
      <c r="A1571" s="1">
        <v>489574.0</v>
      </c>
      <c r="B1571" s="2" t="s">
        <v>1763</v>
      </c>
      <c r="C1571" s="1" t="s">
        <v>1764</v>
      </c>
      <c r="D1571" s="1">
        <v>4.0</v>
      </c>
      <c r="E1571" s="3">
        <v>40148.56319444445</v>
      </c>
      <c r="F1571" s="1">
        <v>1.25</v>
      </c>
      <c r="G1571" s="1">
        <v>13097.0</v>
      </c>
      <c r="H1571" s="1" t="s">
        <v>14</v>
      </c>
      <c r="I1571" s="4">
        <v>40148.0</v>
      </c>
      <c r="J1571" s="5">
        <v>0.5631944444444444</v>
      </c>
      <c r="K1571" s="1">
        <v>13.0</v>
      </c>
      <c r="L1571" s="1">
        <v>5.0</v>
      </c>
    </row>
    <row r="1572">
      <c r="A1572" s="1">
        <v>489574.0</v>
      </c>
      <c r="B1572" s="2" t="s">
        <v>156</v>
      </c>
      <c r="C1572" s="1" t="s">
        <v>157</v>
      </c>
      <c r="D1572" s="1">
        <v>4.0</v>
      </c>
      <c r="E1572" s="3">
        <v>40148.56319444445</v>
      </c>
      <c r="F1572" s="1">
        <v>4.95</v>
      </c>
      <c r="G1572" s="1">
        <v>13097.0</v>
      </c>
      <c r="H1572" s="1" t="s">
        <v>14</v>
      </c>
      <c r="I1572" s="4">
        <v>40148.0</v>
      </c>
      <c r="J1572" s="5">
        <v>0.5631944444444444</v>
      </c>
      <c r="K1572" s="1">
        <v>13.0</v>
      </c>
      <c r="L1572" s="1">
        <v>19.8</v>
      </c>
    </row>
    <row r="1573">
      <c r="A1573" s="1">
        <v>489574.0</v>
      </c>
      <c r="B1573" s="2" t="s">
        <v>710</v>
      </c>
      <c r="C1573" s="1" t="s">
        <v>711</v>
      </c>
      <c r="D1573" s="1">
        <v>6.0</v>
      </c>
      <c r="E1573" s="3">
        <v>40148.56319444445</v>
      </c>
      <c r="F1573" s="1">
        <v>1.25</v>
      </c>
      <c r="G1573" s="1">
        <v>13097.0</v>
      </c>
      <c r="H1573" s="1" t="s">
        <v>14</v>
      </c>
      <c r="I1573" s="4">
        <v>40148.0</v>
      </c>
      <c r="J1573" s="5">
        <v>0.5631944444444444</v>
      </c>
      <c r="K1573" s="1">
        <v>13.0</v>
      </c>
      <c r="L1573" s="1">
        <v>7.5</v>
      </c>
    </row>
    <row r="1574">
      <c r="A1574" s="1">
        <v>489574.0</v>
      </c>
      <c r="B1574" s="2" t="s">
        <v>528</v>
      </c>
      <c r="C1574" s="1" t="s">
        <v>529</v>
      </c>
      <c r="D1574" s="1">
        <v>2.0</v>
      </c>
      <c r="E1574" s="3">
        <v>40148.56319444445</v>
      </c>
      <c r="F1574" s="1">
        <v>2.1</v>
      </c>
      <c r="G1574" s="1">
        <v>13097.0</v>
      </c>
      <c r="H1574" s="1" t="s">
        <v>14</v>
      </c>
      <c r="I1574" s="4">
        <v>40148.0</v>
      </c>
      <c r="J1574" s="5">
        <v>0.5631944444444444</v>
      </c>
      <c r="K1574" s="1">
        <v>13.0</v>
      </c>
      <c r="L1574" s="1">
        <v>4.2</v>
      </c>
    </row>
    <row r="1575">
      <c r="A1575" s="1">
        <v>489574.0</v>
      </c>
      <c r="B1575" s="2" t="s">
        <v>1755</v>
      </c>
      <c r="C1575" s="1" t="s">
        <v>1756</v>
      </c>
      <c r="D1575" s="1">
        <v>2.0</v>
      </c>
      <c r="E1575" s="3">
        <v>40148.56319444445</v>
      </c>
      <c r="F1575" s="1">
        <v>2.95</v>
      </c>
      <c r="G1575" s="1">
        <v>13097.0</v>
      </c>
      <c r="H1575" s="1" t="s">
        <v>14</v>
      </c>
      <c r="I1575" s="4">
        <v>40148.0</v>
      </c>
      <c r="J1575" s="5">
        <v>0.5631944444444444</v>
      </c>
      <c r="K1575" s="1">
        <v>13.0</v>
      </c>
      <c r="L1575" s="1">
        <v>5.9</v>
      </c>
    </row>
    <row r="1576">
      <c r="A1576" s="1">
        <v>489574.0</v>
      </c>
      <c r="B1576" s="2" t="s">
        <v>728</v>
      </c>
      <c r="C1576" s="1" t="s">
        <v>729</v>
      </c>
      <c r="D1576" s="1">
        <v>2.0</v>
      </c>
      <c r="E1576" s="3">
        <v>40148.56319444445</v>
      </c>
      <c r="F1576" s="1">
        <v>4.95</v>
      </c>
      <c r="G1576" s="1">
        <v>13097.0</v>
      </c>
      <c r="H1576" s="1" t="s">
        <v>14</v>
      </c>
      <c r="I1576" s="4">
        <v>40148.0</v>
      </c>
      <c r="J1576" s="5">
        <v>0.5631944444444444</v>
      </c>
      <c r="K1576" s="1">
        <v>13.0</v>
      </c>
      <c r="L1576" s="1">
        <v>9.9</v>
      </c>
    </row>
    <row r="1577">
      <c r="A1577" s="1">
        <v>489574.0</v>
      </c>
      <c r="B1577" s="2" t="s">
        <v>1403</v>
      </c>
      <c r="C1577" s="1" t="s">
        <v>1404</v>
      </c>
      <c r="D1577" s="1">
        <v>1.0</v>
      </c>
      <c r="E1577" s="3">
        <v>40148.56319444445</v>
      </c>
      <c r="F1577" s="1">
        <v>4.95</v>
      </c>
      <c r="G1577" s="1">
        <v>13097.0</v>
      </c>
      <c r="H1577" s="1" t="s">
        <v>14</v>
      </c>
      <c r="I1577" s="4">
        <v>40148.0</v>
      </c>
      <c r="J1577" s="5">
        <v>0.5631944444444444</v>
      </c>
      <c r="K1577" s="1">
        <v>13.0</v>
      </c>
      <c r="L1577" s="1">
        <v>4.95</v>
      </c>
    </row>
    <row r="1578">
      <c r="A1578" s="1">
        <v>489574.0</v>
      </c>
      <c r="B1578" s="2" t="s">
        <v>1665</v>
      </c>
      <c r="C1578" s="1" t="s">
        <v>1666</v>
      </c>
      <c r="D1578" s="1">
        <v>1.0</v>
      </c>
      <c r="E1578" s="3">
        <v>40148.56319444445</v>
      </c>
      <c r="F1578" s="1">
        <v>2.95</v>
      </c>
      <c r="G1578" s="1">
        <v>13097.0</v>
      </c>
      <c r="H1578" s="1" t="s">
        <v>14</v>
      </c>
      <c r="I1578" s="4">
        <v>40148.0</v>
      </c>
      <c r="J1578" s="5">
        <v>0.5631944444444444</v>
      </c>
      <c r="K1578" s="1">
        <v>13.0</v>
      </c>
      <c r="L1578" s="1">
        <v>2.95</v>
      </c>
    </row>
    <row r="1579">
      <c r="A1579" s="1">
        <v>489574.0</v>
      </c>
      <c r="B1579" s="2" t="s">
        <v>1673</v>
      </c>
      <c r="C1579" s="1" t="s">
        <v>1674</v>
      </c>
      <c r="D1579" s="1">
        <v>1.0</v>
      </c>
      <c r="E1579" s="3">
        <v>40148.56319444445</v>
      </c>
      <c r="F1579" s="1">
        <v>2.95</v>
      </c>
      <c r="G1579" s="1">
        <v>13097.0</v>
      </c>
      <c r="H1579" s="1" t="s">
        <v>14</v>
      </c>
      <c r="I1579" s="4">
        <v>40148.0</v>
      </c>
      <c r="J1579" s="5">
        <v>0.5631944444444444</v>
      </c>
      <c r="K1579" s="1">
        <v>13.0</v>
      </c>
      <c r="L1579" s="1">
        <v>2.95</v>
      </c>
    </row>
    <row r="1580">
      <c r="A1580" s="1">
        <v>489574.0</v>
      </c>
      <c r="B1580" s="2" t="s">
        <v>1013</v>
      </c>
      <c r="C1580" s="1" t="s">
        <v>1014</v>
      </c>
      <c r="D1580" s="1">
        <v>3.0</v>
      </c>
      <c r="E1580" s="3">
        <v>40148.56319444445</v>
      </c>
      <c r="F1580" s="1">
        <v>4.95</v>
      </c>
      <c r="G1580" s="1">
        <v>13097.0</v>
      </c>
      <c r="H1580" s="1" t="s">
        <v>14</v>
      </c>
      <c r="I1580" s="4">
        <v>40148.0</v>
      </c>
      <c r="J1580" s="5">
        <v>0.5631944444444444</v>
      </c>
      <c r="K1580" s="1">
        <v>13.0</v>
      </c>
      <c r="L1580" s="1">
        <v>14.85</v>
      </c>
    </row>
    <row r="1581">
      <c r="A1581" s="1">
        <v>489574.0</v>
      </c>
      <c r="B1581" s="2" t="s">
        <v>1765</v>
      </c>
      <c r="C1581" s="1" t="s">
        <v>1766</v>
      </c>
      <c r="D1581" s="1">
        <v>1.0</v>
      </c>
      <c r="E1581" s="3">
        <v>40148.56319444445</v>
      </c>
      <c r="F1581" s="1">
        <v>5.95</v>
      </c>
      <c r="G1581" s="1">
        <v>13097.0</v>
      </c>
      <c r="H1581" s="1" t="s">
        <v>14</v>
      </c>
      <c r="I1581" s="4">
        <v>40148.0</v>
      </c>
      <c r="J1581" s="5">
        <v>0.5631944444444444</v>
      </c>
      <c r="K1581" s="1">
        <v>13.0</v>
      </c>
      <c r="L1581" s="1">
        <v>5.95</v>
      </c>
    </row>
    <row r="1582">
      <c r="A1582" s="1">
        <v>489574.0</v>
      </c>
      <c r="B1582" s="2" t="s">
        <v>1767</v>
      </c>
      <c r="C1582" s="1" t="s">
        <v>1768</v>
      </c>
      <c r="D1582" s="1">
        <v>1.0</v>
      </c>
      <c r="E1582" s="3">
        <v>40148.56319444445</v>
      </c>
      <c r="F1582" s="1">
        <v>5.95</v>
      </c>
      <c r="G1582" s="1">
        <v>13097.0</v>
      </c>
      <c r="H1582" s="1" t="s">
        <v>14</v>
      </c>
      <c r="I1582" s="4">
        <v>40148.0</v>
      </c>
      <c r="J1582" s="5">
        <v>0.5631944444444444</v>
      </c>
      <c r="K1582" s="1">
        <v>13.0</v>
      </c>
      <c r="L1582" s="1">
        <v>5.95</v>
      </c>
    </row>
    <row r="1583">
      <c r="A1583" s="1">
        <v>489574.0</v>
      </c>
      <c r="B1583" s="2" t="s">
        <v>442</v>
      </c>
      <c r="C1583" s="1" t="s">
        <v>443</v>
      </c>
      <c r="D1583" s="1">
        <v>2.0</v>
      </c>
      <c r="E1583" s="3">
        <v>40148.56319444445</v>
      </c>
      <c r="F1583" s="1">
        <v>2.95</v>
      </c>
      <c r="G1583" s="1">
        <v>13097.0</v>
      </c>
      <c r="H1583" s="1" t="s">
        <v>14</v>
      </c>
      <c r="I1583" s="4">
        <v>40148.0</v>
      </c>
      <c r="J1583" s="5">
        <v>0.5631944444444444</v>
      </c>
      <c r="K1583" s="1">
        <v>13.0</v>
      </c>
      <c r="L1583" s="1">
        <v>5.9</v>
      </c>
    </row>
    <row r="1584">
      <c r="A1584" s="1">
        <v>489574.0</v>
      </c>
      <c r="B1584" s="2" t="s">
        <v>452</v>
      </c>
      <c r="C1584" s="1" t="s">
        <v>453</v>
      </c>
      <c r="D1584" s="1">
        <v>3.0</v>
      </c>
      <c r="E1584" s="3">
        <v>40148.56319444445</v>
      </c>
      <c r="F1584" s="1">
        <v>2.95</v>
      </c>
      <c r="G1584" s="1">
        <v>13097.0</v>
      </c>
      <c r="H1584" s="1" t="s">
        <v>14</v>
      </c>
      <c r="I1584" s="4">
        <v>40148.0</v>
      </c>
      <c r="J1584" s="5">
        <v>0.5631944444444444</v>
      </c>
      <c r="K1584" s="1">
        <v>13.0</v>
      </c>
      <c r="L1584" s="1">
        <v>8.85</v>
      </c>
    </row>
    <row r="1585">
      <c r="A1585" s="1">
        <v>489574.0</v>
      </c>
      <c r="B1585" s="2" t="s">
        <v>664</v>
      </c>
      <c r="C1585" s="1" t="s">
        <v>665</v>
      </c>
      <c r="D1585" s="1">
        <v>2.0</v>
      </c>
      <c r="E1585" s="3">
        <v>40148.56319444445</v>
      </c>
      <c r="F1585" s="1">
        <v>4.95</v>
      </c>
      <c r="G1585" s="1">
        <v>13097.0</v>
      </c>
      <c r="H1585" s="1" t="s">
        <v>14</v>
      </c>
      <c r="I1585" s="4">
        <v>40148.0</v>
      </c>
      <c r="J1585" s="5">
        <v>0.5631944444444444</v>
      </c>
      <c r="K1585" s="1">
        <v>13.0</v>
      </c>
      <c r="L1585" s="1">
        <v>9.9</v>
      </c>
    </row>
    <row r="1586">
      <c r="A1586" s="1">
        <v>489574.0</v>
      </c>
      <c r="B1586" s="2" t="s">
        <v>1433</v>
      </c>
      <c r="C1586" s="1" t="s">
        <v>1434</v>
      </c>
      <c r="D1586" s="1">
        <v>25.0</v>
      </c>
      <c r="E1586" s="3">
        <v>40148.56319444445</v>
      </c>
      <c r="F1586" s="1">
        <v>0.42</v>
      </c>
      <c r="G1586" s="1">
        <v>13097.0</v>
      </c>
      <c r="H1586" s="1" t="s">
        <v>14</v>
      </c>
      <c r="I1586" s="4">
        <v>40148.0</v>
      </c>
      <c r="J1586" s="5">
        <v>0.5631944444444444</v>
      </c>
      <c r="K1586" s="1">
        <v>13.0</v>
      </c>
      <c r="L1586" s="1">
        <v>10.5</v>
      </c>
    </row>
    <row r="1587">
      <c r="A1587" s="1">
        <v>489574.0</v>
      </c>
      <c r="B1587" s="2" t="s">
        <v>1769</v>
      </c>
      <c r="C1587" s="1" t="s">
        <v>1770</v>
      </c>
      <c r="D1587" s="1">
        <v>2.0</v>
      </c>
      <c r="E1587" s="3">
        <v>40148.56319444445</v>
      </c>
      <c r="F1587" s="1">
        <v>8.5</v>
      </c>
      <c r="G1587" s="1">
        <v>13097.0</v>
      </c>
      <c r="H1587" s="1" t="s">
        <v>14</v>
      </c>
      <c r="I1587" s="4">
        <v>40148.0</v>
      </c>
      <c r="J1587" s="5">
        <v>0.5631944444444444</v>
      </c>
      <c r="K1587" s="1">
        <v>13.0</v>
      </c>
      <c r="L1587" s="1">
        <v>17.0</v>
      </c>
    </row>
    <row r="1588">
      <c r="A1588" s="1">
        <v>489574.0</v>
      </c>
      <c r="B1588" s="2" t="s">
        <v>1302</v>
      </c>
      <c r="C1588" s="1" t="s">
        <v>1303</v>
      </c>
      <c r="D1588" s="1">
        <v>4.0</v>
      </c>
      <c r="E1588" s="3">
        <v>40148.56319444445</v>
      </c>
      <c r="F1588" s="1">
        <v>1.65</v>
      </c>
      <c r="G1588" s="1">
        <v>13097.0</v>
      </c>
      <c r="H1588" s="1" t="s">
        <v>14</v>
      </c>
      <c r="I1588" s="4">
        <v>40148.0</v>
      </c>
      <c r="J1588" s="5">
        <v>0.5631944444444444</v>
      </c>
      <c r="K1588" s="1">
        <v>13.0</v>
      </c>
      <c r="L1588" s="1">
        <v>6.6</v>
      </c>
    </row>
    <row r="1589">
      <c r="A1589" s="1">
        <v>489574.0</v>
      </c>
      <c r="B1589" s="2" t="s">
        <v>1385</v>
      </c>
      <c r="C1589" s="1" t="s">
        <v>1386</v>
      </c>
      <c r="D1589" s="1">
        <v>6.0</v>
      </c>
      <c r="E1589" s="3">
        <v>40148.56319444445</v>
      </c>
      <c r="F1589" s="1">
        <v>3.25</v>
      </c>
      <c r="G1589" s="1">
        <v>13097.0</v>
      </c>
      <c r="H1589" s="1" t="s">
        <v>14</v>
      </c>
      <c r="I1589" s="4">
        <v>40148.0</v>
      </c>
      <c r="J1589" s="5">
        <v>0.5631944444444444</v>
      </c>
      <c r="K1589" s="1">
        <v>13.0</v>
      </c>
      <c r="L1589" s="1">
        <v>19.5</v>
      </c>
    </row>
    <row r="1590">
      <c r="A1590" s="1">
        <v>489574.0</v>
      </c>
      <c r="B1590" s="2" t="s">
        <v>712</v>
      </c>
      <c r="C1590" s="1" t="s">
        <v>713</v>
      </c>
      <c r="D1590" s="1">
        <v>6.0</v>
      </c>
      <c r="E1590" s="3">
        <v>40148.56319444445</v>
      </c>
      <c r="F1590" s="1">
        <v>1.25</v>
      </c>
      <c r="G1590" s="1">
        <v>13097.0</v>
      </c>
      <c r="H1590" s="1" t="s">
        <v>14</v>
      </c>
      <c r="I1590" s="4">
        <v>40148.0</v>
      </c>
      <c r="J1590" s="5">
        <v>0.5631944444444444</v>
      </c>
      <c r="K1590" s="1">
        <v>13.0</v>
      </c>
      <c r="L1590" s="1">
        <v>7.5</v>
      </c>
    </row>
    <row r="1591">
      <c r="A1591" s="1">
        <v>489574.0</v>
      </c>
      <c r="B1591" s="2" t="s">
        <v>1175</v>
      </c>
      <c r="C1591" s="1" t="s">
        <v>1176</v>
      </c>
      <c r="D1591" s="1">
        <v>4.0</v>
      </c>
      <c r="E1591" s="3">
        <v>40148.56319444445</v>
      </c>
      <c r="F1591" s="1">
        <v>0.85</v>
      </c>
      <c r="G1591" s="1">
        <v>13097.0</v>
      </c>
      <c r="H1591" s="1" t="s">
        <v>14</v>
      </c>
      <c r="I1591" s="4">
        <v>40148.0</v>
      </c>
      <c r="J1591" s="5">
        <v>0.5631944444444444</v>
      </c>
      <c r="K1591" s="1">
        <v>13.0</v>
      </c>
      <c r="L1591" s="1">
        <v>3.4</v>
      </c>
    </row>
    <row r="1592">
      <c r="A1592" s="1">
        <v>489574.0</v>
      </c>
      <c r="B1592" s="2" t="s">
        <v>1771</v>
      </c>
      <c r="C1592" s="1" t="s">
        <v>1772</v>
      </c>
      <c r="D1592" s="1">
        <v>4.0</v>
      </c>
      <c r="E1592" s="3">
        <v>40148.56319444445</v>
      </c>
      <c r="F1592" s="1">
        <v>0.85</v>
      </c>
      <c r="G1592" s="1">
        <v>13097.0</v>
      </c>
      <c r="H1592" s="1" t="s">
        <v>14</v>
      </c>
      <c r="I1592" s="4">
        <v>40148.0</v>
      </c>
      <c r="J1592" s="5">
        <v>0.5631944444444444</v>
      </c>
      <c r="K1592" s="1">
        <v>13.0</v>
      </c>
      <c r="L1592" s="1">
        <v>3.4</v>
      </c>
    </row>
    <row r="1593">
      <c r="A1593" s="1">
        <v>489574.0</v>
      </c>
      <c r="B1593" s="2" t="s">
        <v>1773</v>
      </c>
      <c r="C1593" s="1" t="s">
        <v>1774</v>
      </c>
      <c r="D1593" s="1">
        <v>4.0</v>
      </c>
      <c r="E1593" s="3">
        <v>40148.56319444445</v>
      </c>
      <c r="F1593" s="1">
        <v>0.85</v>
      </c>
      <c r="G1593" s="1">
        <v>13097.0</v>
      </c>
      <c r="H1593" s="1" t="s">
        <v>14</v>
      </c>
      <c r="I1593" s="4">
        <v>40148.0</v>
      </c>
      <c r="J1593" s="5">
        <v>0.5631944444444444</v>
      </c>
      <c r="K1593" s="1">
        <v>13.0</v>
      </c>
      <c r="L1593" s="1">
        <v>3.4</v>
      </c>
    </row>
    <row r="1594">
      <c r="A1594" s="1">
        <v>489574.0</v>
      </c>
      <c r="B1594" s="2" t="s">
        <v>1775</v>
      </c>
      <c r="C1594" s="1" t="s">
        <v>1776</v>
      </c>
      <c r="D1594" s="1">
        <v>10.0</v>
      </c>
      <c r="E1594" s="3">
        <v>40148.56319444445</v>
      </c>
      <c r="F1594" s="1">
        <v>0.42</v>
      </c>
      <c r="G1594" s="1">
        <v>13097.0</v>
      </c>
      <c r="H1594" s="1" t="s">
        <v>14</v>
      </c>
      <c r="I1594" s="4">
        <v>40148.0</v>
      </c>
      <c r="J1594" s="5">
        <v>0.5631944444444444</v>
      </c>
      <c r="K1594" s="1">
        <v>13.0</v>
      </c>
      <c r="L1594" s="1">
        <v>4.2</v>
      </c>
    </row>
    <row r="1595">
      <c r="A1595" s="1">
        <v>489574.0</v>
      </c>
      <c r="B1595" s="2" t="s">
        <v>222</v>
      </c>
      <c r="C1595" s="1" t="s">
        <v>223</v>
      </c>
      <c r="D1595" s="1">
        <v>10.0</v>
      </c>
      <c r="E1595" s="3">
        <v>40148.56319444445</v>
      </c>
      <c r="F1595" s="1">
        <v>0.42</v>
      </c>
      <c r="G1595" s="1">
        <v>13097.0</v>
      </c>
      <c r="H1595" s="1" t="s">
        <v>14</v>
      </c>
      <c r="I1595" s="4">
        <v>40148.0</v>
      </c>
      <c r="J1595" s="5">
        <v>0.5631944444444444</v>
      </c>
      <c r="K1595" s="1">
        <v>13.0</v>
      </c>
      <c r="L1595" s="1">
        <v>4.2</v>
      </c>
    </row>
    <row r="1596">
      <c r="A1596" s="1">
        <v>489574.0</v>
      </c>
      <c r="B1596" s="2" t="s">
        <v>1053</v>
      </c>
      <c r="C1596" s="1" t="s">
        <v>1054</v>
      </c>
      <c r="D1596" s="1">
        <v>10.0</v>
      </c>
      <c r="E1596" s="3">
        <v>40148.56319444445</v>
      </c>
      <c r="F1596" s="1">
        <v>0.42</v>
      </c>
      <c r="G1596" s="1">
        <v>13097.0</v>
      </c>
      <c r="H1596" s="1" t="s">
        <v>14</v>
      </c>
      <c r="I1596" s="4">
        <v>40148.0</v>
      </c>
      <c r="J1596" s="5">
        <v>0.5631944444444444</v>
      </c>
      <c r="K1596" s="1">
        <v>13.0</v>
      </c>
      <c r="L1596" s="1">
        <v>4.2</v>
      </c>
    </row>
    <row r="1597">
      <c r="A1597" s="1">
        <v>489574.0</v>
      </c>
      <c r="B1597" s="2" t="s">
        <v>510</v>
      </c>
      <c r="C1597" s="1" t="s">
        <v>511</v>
      </c>
      <c r="D1597" s="1">
        <v>10.0</v>
      </c>
      <c r="E1597" s="3">
        <v>40148.56319444445</v>
      </c>
      <c r="F1597" s="1">
        <v>1.25</v>
      </c>
      <c r="G1597" s="1">
        <v>13097.0</v>
      </c>
      <c r="H1597" s="1" t="s">
        <v>14</v>
      </c>
      <c r="I1597" s="4">
        <v>40148.0</v>
      </c>
      <c r="J1597" s="5">
        <v>0.5631944444444444</v>
      </c>
      <c r="K1597" s="1">
        <v>13.0</v>
      </c>
      <c r="L1597" s="1">
        <v>12.5</v>
      </c>
    </row>
    <row r="1598">
      <c r="A1598" s="1">
        <v>489574.0</v>
      </c>
      <c r="B1598" s="2" t="s">
        <v>748</v>
      </c>
      <c r="C1598" s="1" t="s">
        <v>749</v>
      </c>
      <c r="D1598" s="1">
        <v>12.0</v>
      </c>
      <c r="E1598" s="3">
        <v>40148.56319444445</v>
      </c>
      <c r="F1598" s="1">
        <v>1.25</v>
      </c>
      <c r="G1598" s="1">
        <v>13097.0</v>
      </c>
      <c r="H1598" s="1" t="s">
        <v>14</v>
      </c>
      <c r="I1598" s="4">
        <v>40148.0</v>
      </c>
      <c r="J1598" s="5">
        <v>0.5631944444444444</v>
      </c>
      <c r="K1598" s="1">
        <v>13.0</v>
      </c>
      <c r="L1598" s="1">
        <v>15.0</v>
      </c>
    </row>
    <row r="1599">
      <c r="A1599" s="1">
        <v>489574.0</v>
      </c>
      <c r="B1599" s="2" t="s">
        <v>1449</v>
      </c>
      <c r="C1599" s="1" t="s">
        <v>1450</v>
      </c>
      <c r="D1599" s="1">
        <v>3.0</v>
      </c>
      <c r="E1599" s="3">
        <v>40148.56319444445</v>
      </c>
      <c r="F1599" s="1">
        <v>1.25</v>
      </c>
      <c r="G1599" s="1">
        <v>13097.0</v>
      </c>
      <c r="H1599" s="1" t="s">
        <v>14</v>
      </c>
      <c r="I1599" s="4">
        <v>40148.0</v>
      </c>
      <c r="J1599" s="5">
        <v>0.5631944444444444</v>
      </c>
      <c r="K1599" s="1">
        <v>13.0</v>
      </c>
      <c r="L1599" s="1">
        <v>3.75</v>
      </c>
    </row>
    <row r="1600">
      <c r="A1600" s="1">
        <v>489574.0</v>
      </c>
      <c r="B1600" s="2" t="s">
        <v>480</v>
      </c>
      <c r="C1600" s="1" t="s">
        <v>481</v>
      </c>
      <c r="D1600" s="1">
        <v>1.0</v>
      </c>
      <c r="E1600" s="3">
        <v>40148.56319444445</v>
      </c>
      <c r="F1600" s="1">
        <v>1.25</v>
      </c>
      <c r="G1600" s="1">
        <v>13097.0</v>
      </c>
      <c r="H1600" s="1" t="s">
        <v>14</v>
      </c>
      <c r="I1600" s="4">
        <v>40148.0</v>
      </c>
      <c r="J1600" s="5">
        <v>0.5631944444444444</v>
      </c>
      <c r="K1600" s="1">
        <v>13.0</v>
      </c>
      <c r="L1600" s="1">
        <v>1.25</v>
      </c>
    </row>
    <row r="1601">
      <c r="A1601" s="1">
        <v>489574.0</v>
      </c>
      <c r="B1601" s="2" t="s">
        <v>21</v>
      </c>
      <c r="C1601" s="1" t="s">
        <v>22</v>
      </c>
      <c r="D1601" s="1">
        <v>4.0</v>
      </c>
      <c r="E1601" s="3">
        <v>40148.56319444445</v>
      </c>
      <c r="F1601" s="1">
        <v>1.25</v>
      </c>
      <c r="G1601" s="1">
        <v>13097.0</v>
      </c>
      <c r="H1601" s="1" t="s">
        <v>14</v>
      </c>
      <c r="I1601" s="4">
        <v>40148.0</v>
      </c>
      <c r="J1601" s="5">
        <v>0.5631944444444444</v>
      </c>
      <c r="K1601" s="1">
        <v>13.0</v>
      </c>
      <c r="L1601" s="1">
        <v>5.0</v>
      </c>
    </row>
    <row r="1602">
      <c r="A1602" s="1">
        <v>489574.0</v>
      </c>
      <c r="B1602" s="2" t="s">
        <v>774</v>
      </c>
      <c r="C1602" s="1" t="s">
        <v>695</v>
      </c>
      <c r="D1602" s="1">
        <v>10.0</v>
      </c>
      <c r="E1602" s="3">
        <v>40148.56319444445</v>
      </c>
      <c r="F1602" s="1">
        <v>1.25</v>
      </c>
      <c r="G1602" s="1">
        <v>13097.0</v>
      </c>
      <c r="H1602" s="1" t="s">
        <v>14</v>
      </c>
      <c r="I1602" s="4">
        <v>40148.0</v>
      </c>
      <c r="J1602" s="5">
        <v>0.5631944444444444</v>
      </c>
      <c r="K1602" s="1">
        <v>13.0</v>
      </c>
      <c r="L1602" s="1">
        <v>12.5</v>
      </c>
    </row>
    <row r="1603">
      <c r="A1603" s="1">
        <v>489574.0</v>
      </c>
      <c r="B1603" s="2" t="s">
        <v>170</v>
      </c>
      <c r="C1603" s="1" t="s">
        <v>171</v>
      </c>
      <c r="D1603" s="1">
        <v>2.0</v>
      </c>
      <c r="E1603" s="3">
        <v>40148.56319444445</v>
      </c>
      <c r="F1603" s="1">
        <v>1.95</v>
      </c>
      <c r="G1603" s="1">
        <v>13097.0</v>
      </c>
      <c r="H1603" s="1" t="s">
        <v>14</v>
      </c>
      <c r="I1603" s="4">
        <v>40148.0</v>
      </c>
      <c r="J1603" s="5">
        <v>0.5631944444444444</v>
      </c>
      <c r="K1603" s="1">
        <v>13.0</v>
      </c>
      <c r="L1603" s="1">
        <v>3.9</v>
      </c>
    </row>
    <row r="1604">
      <c r="A1604" s="1">
        <v>489574.0</v>
      </c>
      <c r="B1604" s="2" t="s">
        <v>226</v>
      </c>
      <c r="C1604" s="1" t="s">
        <v>227</v>
      </c>
      <c r="D1604" s="1">
        <v>3.0</v>
      </c>
      <c r="E1604" s="3">
        <v>40148.56319444445</v>
      </c>
      <c r="F1604" s="1">
        <v>3.75</v>
      </c>
      <c r="G1604" s="1">
        <v>13097.0</v>
      </c>
      <c r="H1604" s="1" t="s">
        <v>14</v>
      </c>
      <c r="I1604" s="4">
        <v>40148.0</v>
      </c>
      <c r="J1604" s="5">
        <v>0.5631944444444444</v>
      </c>
      <c r="K1604" s="1">
        <v>13.0</v>
      </c>
      <c r="L1604" s="1">
        <v>11.25</v>
      </c>
    </row>
    <row r="1605">
      <c r="A1605" s="1">
        <v>489574.0</v>
      </c>
      <c r="B1605" s="2" t="s">
        <v>564</v>
      </c>
      <c r="C1605" s="1" t="s">
        <v>565</v>
      </c>
      <c r="D1605" s="1">
        <v>3.0</v>
      </c>
      <c r="E1605" s="3">
        <v>40148.56319444445</v>
      </c>
      <c r="F1605" s="1">
        <v>3.75</v>
      </c>
      <c r="G1605" s="1">
        <v>13097.0</v>
      </c>
      <c r="H1605" s="1" t="s">
        <v>14</v>
      </c>
      <c r="I1605" s="4">
        <v>40148.0</v>
      </c>
      <c r="J1605" s="5">
        <v>0.5631944444444444</v>
      </c>
      <c r="K1605" s="1">
        <v>13.0</v>
      </c>
      <c r="L1605" s="1">
        <v>11.25</v>
      </c>
    </row>
    <row r="1606">
      <c r="A1606" s="1">
        <v>489574.0</v>
      </c>
      <c r="B1606" s="2" t="s">
        <v>115</v>
      </c>
      <c r="C1606" s="1" t="s">
        <v>116</v>
      </c>
      <c r="D1606" s="1">
        <v>3.0</v>
      </c>
      <c r="E1606" s="3">
        <v>40148.56319444445</v>
      </c>
      <c r="F1606" s="1">
        <v>3.75</v>
      </c>
      <c r="G1606" s="1">
        <v>13097.0</v>
      </c>
      <c r="H1606" s="1" t="s">
        <v>14</v>
      </c>
      <c r="I1606" s="4">
        <v>40148.0</v>
      </c>
      <c r="J1606" s="5">
        <v>0.5631944444444444</v>
      </c>
      <c r="K1606" s="1">
        <v>13.0</v>
      </c>
      <c r="L1606" s="1">
        <v>11.25</v>
      </c>
    </row>
    <row r="1607">
      <c r="A1607" s="1">
        <v>489575.0</v>
      </c>
      <c r="B1607" s="2" t="s">
        <v>1260</v>
      </c>
      <c r="C1607" s="1" t="s">
        <v>1261</v>
      </c>
      <c r="D1607" s="1">
        <v>96.0</v>
      </c>
      <c r="E1607" s="3">
        <v>40148.56736111111</v>
      </c>
      <c r="F1607" s="1">
        <v>0.19</v>
      </c>
      <c r="G1607" s="1">
        <v>13590.0</v>
      </c>
      <c r="H1607" s="1" t="s">
        <v>14</v>
      </c>
      <c r="I1607" s="4">
        <v>40148.0</v>
      </c>
      <c r="J1607" s="5">
        <v>0.5673611111111111</v>
      </c>
      <c r="K1607" s="1">
        <v>13.0</v>
      </c>
      <c r="L1607" s="1">
        <v>18.24</v>
      </c>
    </row>
    <row r="1608">
      <c r="A1608" s="1">
        <v>489575.0</v>
      </c>
      <c r="B1608" s="2" t="s">
        <v>156</v>
      </c>
      <c r="C1608" s="1" t="s">
        <v>157</v>
      </c>
      <c r="D1608" s="1">
        <v>3.0</v>
      </c>
      <c r="E1608" s="3">
        <v>40148.56736111111</v>
      </c>
      <c r="F1608" s="1">
        <v>4.95</v>
      </c>
      <c r="G1608" s="1">
        <v>13590.0</v>
      </c>
      <c r="H1608" s="1" t="s">
        <v>14</v>
      </c>
      <c r="I1608" s="4">
        <v>40148.0</v>
      </c>
      <c r="J1608" s="5">
        <v>0.5673611111111111</v>
      </c>
      <c r="K1608" s="1">
        <v>13.0</v>
      </c>
      <c r="L1608" s="1">
        <v>14.85</v>
      </c>
    </row>
    <row r="1609">
      <c r="A1609" s="1">
        <v>489575.0</v>
      </c>
      <c r="B1609" s="2" t="s">
        <v>238</v>
      </c>
      <c r="C1609" s="1" t="s">
        <v>239</v>
      </c>
      <c r="D1609" s="1">
        <v>6.0</v>
      </c>
      <c r="E1609" s="3">
        <v>40148.56736111111</v>
      </c>
      <c r="F1609" s="1">
        <v>2.55</v>
      </c>
      <c r="G1609" s="1">
        <v>13590.0</v>
      </c>
      <c r="H1609" s="1" t="s">
        <v>14</v>
      </c>
      <c r="I1609" s="4">
        <v>40148.0</v>
      </c>
      <c r="J1609" s="5">
        <v>0.5673611111111111</v>
      </c>
      <c r="K1609" s="1">
        <v>13.0</v>
      </c>
      <c r="L1609" s="1">
        <v>15.2999999999999</v>
      </c>
    </row>
    <row r="1610">
      <c r="A1610" s="1">
        <v>489575.0</v>
      </c>
      <c r="B1610" s="2" t="s">
        <v>21</v>
      </c>
      <c r="C1610" s="1" t="s">
        <v>22</v>
      </c>
      <c r="D1610" s="1">
        <v>12.0</v>
      </c>
      <c r="E1610" s="3">
        <v>40148.56736111111</v>
      </c>
      <c r="F1610" s="1">
        <v>1.25</v>
      </c>
      <c r="G1610" s="1">
        <v>13590.0</v>
      </c>
      <c r="H1610" s="1" t="s">
        <v>14</v>
      </c>
      <c r="I1610" s="4">
        <v>40148.0</v>
      </c>
      <c r="J1610" s="5">
        <v>0.5673611111111111</v>
      </c>
      <c r="K1610" s="1">
        <v>13.0</v>
      </c>
      <c r="L1610" s="1">
        <v>15.0</v>
      </c>
    </row>
    <row r="1611">
      <c r="A1611" s="1">
        <v>489575.0</v>
      </c>
      <c r="B1611" s="2" t="s">
        <v>1777</v>
      </c>
      <c r="C1611" s="1" t="s">
        <v>1778</v>
      </c>
      <c r="D1611" s="1">
        <v>12.0</v>
      </c>
      <c r="E1611" s="3">
        <v>40148.56736111111</v>
      </c>
      <c r="F1611" s="1">
        <v>1.65</v>
      </c>
      <c r="G1611" s="1">
        <v>13590.0</v>
      </c>
      <c r="H1611" s="1" t="s">
        <v>14</v>
      </c>
      <c r="I1611" s="4">
        <v>40148.0</v>
      </c>
      <c r="J1611" s="5">
        <v>0.5673611111111111</v>
      </c>
      <c r="K1611" s="1">
        <v>13.0</v>
      </c>
      <c r="L1611" s="1">
        <v>19.7999999999999</v>
      </c>
    </row>
    <row r="1612">
      <c r="A1612" s="1">
        <v>489575.0</v>
      </c>
      <c r="B1612" s="2" t="s">
        <v>556</v>
      </c>
      <c r="C1612" s="1" t="s">
        <v>557</v>
      </c>
      <c r="D1612" s="1">
        <v>6.0</v>
      </c>
      <c r="E1612" s="3">
        <v>40148.56736111111</v>
      </c>
      <c r="F1612" s="1">
        <v>3.75</v>
      </c>
      <c r="G1612" s="1">
        <v>13590.0</v>
      </c>
      <c r="H1612" s="1" t="s">
        <v>14</v>
      </c>
      <c r="I1612" s="4">
        <v>40148.0</v>
      </c>
      <c r="J1612" s="5">
        <v>0.5673611111111111</v>
      </c>
      <c r="K1612" s="1">
        <v>13.0</v>
      </c>
      <c r="L1612" s="1">
        <v>22.5</v>
      </c>
    </row>
    <row r="1613">
      <c r="A1613" s="1">
        <v>489575.0</v>
      </c>
      <c r="B1613" s="2" t="s">
        <v>578</v>
      </c>
      <c r="C1613" s="1" t="s">
        <v>579</v>
      </c>
      <c r="D1613" s="1">
        <v>6.0</v>
      </c>
      <c r="E1613" s="3">
        <v>40148.56736111111</v>
      </c>
      <c r="F1613" s="1">
        <v>3.75</v>
      </c>
      <c r="G1613" s="1">
        <v>13590.0</v>
      </c>
      <c r="H1613" s="1" t="s">
        <v>14</v>
      </c>
      <c r="I1613" s="4">
        <v>40148.0</v>
      </c>
      <c r="J1613" s="5">
        <v>0.5673611111111111</v>
      </c>
      <c r="K1613" s="1">
        <v>13.0</v>
      </c>
      <c r="L1613" s="1">
        <v>22.5</v>
      </c>
    </row>
    <row r="1614">
      <c r="A1614" s="1">
        <v>489575.0</v>
      </c>
      <c r="B1614" s="2" t="s">
        <v>522</v>
      </c>
      <c r="C1614" s="1" t="s">
        <v>523</v>
      </c>
      <c r="D1614" s="1">
        <v>8.0</v>
      </c>
      <c r="E1614" s="3">
        <v>40148.56736111111</v>
      </c>
      <c r="F1614" s="1">
        <v>1.95</v>
      </c>
      <c r="G1614" s="1">
        <v>13590.0</v>
      </c>
      <c r="H1614" s="1" t="s">
        <v>14</v>
      </c>
      <c r="I1614" s="4">
        <v>40148.0</v>
      </c>
      <c r="J1614" s="5">
        <v>0.5673611111111111</v>
      </c>
      <c r="K1614" s="1">
        <v>13.0</v>
      </c>
      <c r="L1614" s="1">
        <v>15.6</v>
      </c>
    </row>
    <row r="1615">
      <c r="A1615" s="1">
        <v>489575.0</v>
      </c>
      <c r="B1615" s="2" t="s">
        <v>1779</v>
      </c>
      <c r="C1615" s="1" t="s">
        <v>1780</v>
      </c>
      <c r="D1615" s="1">
        <v>8.0</v>
      </c>
      <c r="E1615" s="3">
        <v>40148.56736111111</v>
      </c>
      <c r="F1615" s="1">
        <v>1.95</v>
      </c>
      <c r="G1615" s="1">
        <v>13590.0</v>
      </c>
      <c r="H1615" s="1" t="s">
        <v>14</v>
      </c>
      <c r="I1615" s="4">
        <v>40148.0</v>
      </c>
      <c r="J1615" s="5">
        <v>0.5673611111111111</v>
      </c>
      <c r="K1615" s="1">
        <v>13.0</v>
      </c>
      <c r="L1615" s="1">
        <v>15.6</v>
      </c>
    </row>
    <row r="1616">
      <c r="A1616" s="1">
        <v>489575.0</v>
      </c>
      <c r="B1616" s="2" t="s">
        <v>797</v>
      </c>
      <c r="C1616" s="1" t="s">
        <v>798</v>
      </c>
      <c r="D1616" s="1">
        <v>6.0</v>
      </c>
      <c r="E1616" s="3">
        <v>40148.56736111111</v>
      </c>
      <c r="F1616" s="1">
        <v>2.1</v>
      </c>
      <c r="G1616" s="1">
        <v>13590.0</v>
      </c>
      <c r="H1616" s="1" t="s">
        <v>14</v>
      </c>
      <c r="I1616" s="4">
        <v>40148.0</v>
      </c>
      <c r="J1616" s="5">
        <v>0.5673611111111111</v>
      </c>
      <c r="K1616" s="1">
        <v>13.0</v>
      </c>
      <c r="L1616" s="1">
        <v>12.6</v>
      </c>
    </row>
    <row r="1617">
      <c r="A1617" s="1">
        <v>489575.0</v>
      </c>
      <c r="B1617" s="2" t="s">
        <v>1449</v>
      </c>
      <c r="C1617" s="1" t="s">
        <v>1450</v>
      </c>
      <c r="D1617" s="1">
        <v>12.0</v>
      </c>
      <c r="E1617" s="3">
        <v>40148.56736111111</v>
      </c>
      <c r="F1617" s="1">
        <v>1.25</v>
      </c>
      <c r="G1617" s="1">
        <v>13590.0</v>
      </c>
      <c r="H1617" s="1" t="s">
        <v>14</v>
      </c>
      <c r="I1617" s="4">
        <v>40148.0</v>
      </c>
      <c r="J1617" s="5">
        <v>0.5673611111111111</v>
      </c>
      <c r="K1617" s="1">
        <v>13.0</v>
      </c>
      <c r="L1617" s="1">
        <v>15.0</v>
      </c>
    </row>
    <row r="1618">
      <c r="A1618" s="1">
        <v>489575.0</v>
      </c>
      <c r="B1618" s="2" t="s">
        <v>23</v>
      </c>
      <c r="C1618" s="1" t="s">
        <v>24</v>
      </c>
      <c r="D1618" s="1">
        <v>12.0</v>
      </c>
      <c r="E1618" s="3">
        <v>40148.56736111111</v>
      </c>
      <c r="F1618" s="1">
        <v>1.65</v>
      </c>
      <c r="G1618" s="1">
        <v>13590.0</v>
      </c>
      <c r="H1618" s="1" t="s">
        <v>14</v>
      </c>
      <c r="I1618" s="4">
        <v>40148.0</v>
      </c>
      <c r="J1618" s="5">
        <v>0.5673611111111111</v>
      </c>
      <c r="K1618" s="1">
        <v>13.0</v>
      </c>
      <c r="L1618" s="1">
        <v>19.7999999999999</v>
      </c>
    </row>
    <row r="1619">
      <c r="A1619" s="1">
        <v>489575.0</v>
      </c>
      <c r="B1619" s="2" t="s">
        <v>1451</v>
      </c>
      <c r="C1619" s="1" t="s">
        <v>1452</v>
      </c>
      <c r="D1619" s="1">
        <v>1.0</v>
      </c>
      <c r="E1619" s="3">
        <v>40148.56736111111</v>
      </c>
      <c r="F1619" s="1">
        <v>7.95</v>
      </c>
      <c r="G1619" s="1">
        <v>13590.0</v>
      </c>
      <c r="H1619" s="1" t="s">
        <v>14</v>
      </c>
      <c r="I1619" s="4">
        <v>40148.0</v>
      </c>
      <c r="J1619" s="5">
        <v>0.5673611111111111</v>
      </c>
      <c r="K1619" s="1">
        <v>13.0</v>
      </c>
      <c r="L1619" s="1">
        <v>7.95</v>
      </c>
    </row>
    <row r="1620">
      <c r="A1620" s="1">
        <v>489575.0</v>
      </c>
      <c r="B1620" s="2" t="s">
        <v>764</v>
      </c>
      <c r="C1620" s="1" t="s">
        <v>765</v>
      </c>
      <c r="D1620" s="1">
        <v>2.0</v>
      </c>
      <c r="E1620" s="3">
        <v>40148.56736111111</v>
      </c>
      <c r="F1620" s="1">
        <v>6.75</v>
      </c>
      <c r="G1620" s="1">
        <v>13590.0</v>
      </c>
      <c r="H1620" s="1" t="s">
        <v>14</v>
      </c>
      <c r="I1620" s="4">
        <v>40148.0</v>
      </c>
      <c r="J1620" s="5">
        <v>0.5673611111111111</v>
      </c>
      <c r="K1620" s="1">
        <v>13.0</v>
      </c>
      <c r="L1620" s="1">
        <v>13.5</v>
      </c>
    </row>
    <row r="1621">
      <c r="A1621" s="1">
        <v>489575.0</v>
      </c>
      <c r="B1621" s="2" t="s">
        <v>1769</v>
      </c>
      <c r="C1621" s="1" t="s">
        <v>1770</v>
      </c>
      <c r="D1621" s="1">
        <v>2.0</v>
      </c>
      <c r="E1621" s="3">
        <v>40148.56736111111</v>
      </c>
      <c r="F1621" s="1">
        <v>8.5</v>
      </c>
      <c r="G1621" s="1">
        <v>13590.0</v>
      </c>
      <c r="H1621" s="1" t="s">
        <v>14</v>
      </c>
      <c r="I1621" s="4">
        <v>40148.0</v>
      </c>
      <c r="J1621" s="5">
        <v>0.5673611111111111</v>
      </c>
      <c r="K1621" s="1">
        <v>13.0</v>
      </c>
      <c r="L1621" s="1">
        <v>17.0</v>
      </c>
    </row>
    <row r="1622">
      <c r="A1622" s="1">
        <v>489575.0</v>
      </c>
      <c r="B1622" s="2" t="s">
        <v>253</v>
      </c>
      <c r="C1622" s="1" t="s">
        <v>254</v>
      </c>
      <c r="D1622" s="1">
        <v>48.0</v>
      </c>
      <c r="E1622" s="3">
        <v>40148.56736111111</v>
      </c>
      <c r="F1622" s="1">
        <v>0.38</v>
      </c>
      <c r="G1622" s="1">
        <v>13590.0</v>
      </c>
      <c r="H1622" s="1" t="s">
        <v>14</v>
      </c>
      <c r="I1622" s="4">
        <v>40148.0</v>
      </c>
      <c r="J1622" s="5">
        <v>0.5673611111111111</v>
      </c>
      <c r="K1622" s="1">
        <v>13.0</v>
      </c>
      <c r="L1622" s="1">
        <v>18.24</v>
      </c>
    </row>
    <row r="1623">
      <c r="A1623" s="1">
        <v>489575.0</v>
      </c>
      <c r="B1623" s="2" t="s">
        <v>178</v>
      </c>
      <c r="C1623" s="1" t="s">
        <v>179</v>
      </c>
      <c r="D1623" s="1">
        <v>12.0</v>
      </c>
      <c r="E1623" s="3">
        <v>40148.56736111111</v>
      </c>
      <c r="F1623" s="1">
        <v>1.65</v>
      </c>
      <c r="G1623" s="1">
        <v>13590.0</v>
      </c>
      <c r="H1623" s="1" t="s">
        <v>14</v>
      </c>
      <c r="I1623" s="4">
        <v>40148.0</v>
      </c>
      <c r="J1623" s="5">
        <v>0.5673611111111111</v>
      </c>
      <c r="K1623" s="1">
        <v>13.0</v>
      </c>
      <c r="L1623" s="1">
        <v>19.7999999999999</v>
      </c>
    </row>
    <row r="1624">
      <c r="A1624" s="1">
        <v>489575.0</v>
      </c>
      <c r="B1624" s="2" t="s">
        <v>368</v>
      </c>
      <c r="C1624" s="1" t="s">
        <v>369</v>
      </c>
      <c r="D1624" s="1">
        <v>24.0</v>
      </c>
      <c r="E1624" s="3">
        <v>40148.56736111111</v>
      </c>
      <c r="F1624" s="1">
        <v>0.55</v>
      </c>
      <c r="G1624" s="1">
        <v>13590.0</v>
      </c>
      <c r="H1624" s="1" t="s">
        <v>14</v>
      </c>
      <c r="I1624" s="4">
        <v>40148.0</v>
      </c>
      <c r="J1624" s="5">
        <v>0.5673611111111111</v>
      </c>
      <c r="K1624" s="1">
        <v>13.0</v>
      </c>
      <c r="L1624" s="1">
        <v>13.2</v>
      </c>
    </row>
    <row r="1625">
      <c r="A1625" s="1">
        <v>489575.0</v>
      </c>
      <c r="B1625" s="2" t="s">
        <v>1781</v>
      </c>
      <c r="C1625" s="1" t="s">
        <v>1782</v>
      </c>
      <c r="D1625" s="1">
        <v>6.0</v>
      </c>
      <c r="E1625" s="3">
        <v>40148.56736111111</v>
      </c>
      <c r="F1625" s="1">
        <v>2.95</v>
      </c>
      <c r="G1625" s="1">
        <v>13590.0</v>
      </c>
      <c r="H1625" s="1" t="s">
        <v>14</v>
      </c>
      <c r="I1625" s="4">
        <v>40148.0</v>
      </c>
      <c r="J1625" s="5">
        <v>0.5673611111111111</v>
      </c>
      <c r="K1625" s="1">
        <v>13.0</v>
      </c>
      <c r="L1625" s="1">
        <v>17.7</v>
      </c>
    </row>
    <row r="1626">
      <c r="A1626" s="1">
        <v>489575.0</v>
      </c>
      <c r="B1626" s="2" t="s">
        <v>1783</v>
      </c>
      <c r="C1626" s="1" t="s">
        <v>1784</v>
      </c>
      <c r="D1626" s="1">
        <v>6.0</v>
      </c>
      <c r="E1626" s="3">
        <v>40148.56736111111</v>
      </c>
      <c r="F1626" s="1">
        <v>2.95</v>
      </c>
      <c r="G1626" s="1">
        <v>13590.0</v>
      </c>
      <c r="H1626" s="1" t="s">
        <v>14</v>
      </c>
      <c r="I1626" s="4">
        <v>40148.0</v>
      </c>
      <c r="J1626" s="5">
        <v>0.5673611111111111</v>
      </c>
      <c r="K1626" s="1">
        <v>13.0</v>
      </c>
      <c r="L1626" s="1">
        <v>17.7</v>
      </c>
    </row>
    <row r="1627">
      <c r="A1627" s="1">
        <v>489575.0</v>
      </c>
      <c r="B1627" s="2" t="s">
        <v>452</v>
      </c>
      <c r="C1627" s="1" t="s">
        <v>453</v>
      </c>
      <c r="D1627" s="1">
        <v>6.0</v>
      </c>
      <c r="E1627" s="3">
        <v>40148.56736111111</v>
      </c>
      <c r="F1627" s="1">
        <v>2.95</v>
      </c>
      <c r="G1627" s="1">
        <v>13590.0</v>
      </c>
      <c r="H1627" s="1" t="s">
        <v>14</v>
      </c>
      <c r="I1627" s="4">
        <v>40148.0</v>
      </c>
      <c r="J1627" s="5">
        <v>0.5673611111111111</v>
      </c>
      <c r="K1627" s="1">
        <v>13.0</v>
      </c>
      <c r="L1627" s="1">
        <v>17.7</v>
      </c>
    </row>
    <row r="1628">
      <c r="A1628" s="1">
        <v>489575.0</v>
      </c>
      <c r="B1628" s="2" t="s">
        <v>442</v>
      </c>
      <c r="C1628" s="1" t="s">
        <v>443</v>
      </c>
      <c r="D1628" s="1">
        <v>6.0</v>
      </c>
      <c r="E1628" s="3">
        <v>40148.56736111111</v>
      </c>
      <c r="F1628" s="1">
        <v>2.95</v>
      </c>
      <c r="G1628" s="1">
        <v>13590.0</v>
      </c>
      <c r="H1628" s="1" t="s">
        <v>14</v>
      </c>
      <c r="I1628" s="4">
        <v>40148.0</v>
      </c>
      <c r="J1628" s="5">
        <v>0.5673611111111111</v>
      </c>
      <c r="K1628" s="1">
        <v>13.0</v>
      </c>
      <c r="L1628" s="1">
        <v>17.7</v>
      </c>
    </row>
    <row r="1629">
      <c r="A1629" s="1" t="s">
        <v>1785</v>
      </c>
      <c r="B1629" s="2" t="s">
        <v>1278</v>
      </c>
      <c r="C1629" s="1" t="s">
        <v>1279</v>
      </c>
      <c r="D1629" s="1">
        <v>-3.0</v>
      </c>
      <c r="E1629" s="3">
        <v>40148.56805555556</v>
      </c>
      <c r="F1629" s="1">
        <v>9.95</v>
      </c>
      <c r="G1629" s="1">
        <v>14030.0</v>
      </c>
      <c r="H1629" s="1" t="s">
        <v>14</v>
      </c>
      <c r="I1629" s="4">
        <v>40148.0</v>
      </c>
      <c r="J1629" s="5">
        <v>0.5680555555555555</v>
      </c>
      <c r="K1629" s="1">
        <v>13.0</v>
      </c>
      <c r="L1629" s="1">
        <v>-29.8499999999999</v>
      </c>
    </row>
    <row r="1630">
      <c r="A1630" s="1" t="s">
        <v>1785</v>
      </c>
      <c r="B1630" s="2" t="s">
        <v>738</v>
      </c>
      <c r="C1630" s="1" t="s">
        <v>739</v>
      </c>
      <c r="D1630" s="1">
        <v>-48.0</v>
      </c>
      <c r="E1630" s="3">
        <v>40148.56805555556</v>
      </c>
      <c r="F1630" s="1">
        <v>1.25</v>
      </c>
      <c r="G1630" s="1">
        <v>14030.0</v>
      </c>
      <c r="H1630" s="1" t="s">
        <v>14</v>
      </c>
      <c r="I1630" s="4">
        <v>40148.0</v>
      </c>
      <c r="J1630" s="5">
        <v>0.5680555555555555</v>
      </c>
      <c r="K1630" s="1">
        <v>13.0</v>
      </c>
      <c r="L1630" s="1">
        <v>-60.0</v>
      </c>
    </row>
    <row r="1631">
      <c r="A1631" s="1" t="s">
        <v>1785</v>
      </c>
      <c r="B1631" s="2" t="s">
        <v>1786</v>
      </c>
      <c r="C1631" s="1" t="s">
        <v>1787</v>
      </c>
      <c r="D1631" s="1">
        <v>-1.0</v>
      </c>
      <c r="E1631" s="3">
        <v>40148.56805555556</v>
      </c>
      <c r="F1631" s="1">
        <v>6.95</v>
      </c>
      <c r="G1631" s="1">
        <v>14030.0</v>
      </c>
      <c r="H1631" s="1" t="s">
        <v>14</v>
      </c>
      <c r="I1631" s="4">
        <v>40148.0</v>
      </c>
      <c r="J1631" s="5">
        <v>0.5680555555555555</v>
      </c>
      <c r="K1631" s="1">
        <v>13.0</v>
      </c>
      <c r="L1631" s="1">
        <v>-6.95</v>
      </c>
    </row>
    <row r="1632">
      <c r="A1632" s="1">
        <v>489576.0</v>
      </c>
      <c r="B1632" s="2" t="s">
        <v>827</v>
      </c>
      <c r="C1632" s="1" t="s">
        <v>828</v>
      </c>
      <c r="D1632" s="1">
        <v>5.0</v>
      </c>
      <c r="E1632" s="3">
        <v>40148.56805555556</v>
      </c>
      <c r="F1632" s="1">
        <v>1.25</v>
      </c>
      <c r="G1632" s="1">
        <v>15984.0</v>
      </c>
      <c r="H1632" s="1" t="s">
        <v>14</v>
      </c>
      <c r="I1632" s="4">
        <v>40148.0</v>
      </c>
      <c r="J1632" s="5">
        <v>0.5680555555555555</v>
      </c>
      <c r="K1632" s="1">
        <v>13.0</v>
      </c>
      <c r="L1632" s="1">
        <v>6.25</v>
      </c>
    </row>
    <row r="1633">
      <c r="A1633" s="1">
        <v>489576.0</v>
      </c>
      <c r="B1633" s="2" t="s">
        <v>825</v>
      </c>
      <c r="C1633" s="1" t="s">
        <v>826</v>
      </c>
      <c r="D1633" s="1">
        <v>17.0</v>
      </c>
      <c r="E1633" s="3">
        <v>40148.56805555556</v>
      </c>
      <c r="F1633" s="1">
        <v>1.25</v>
      </c>
      <c r="G1633" s="1">
        <v>15984.0</v>
      </c>
      <c r="H1633" s="1" t="s">
        <v>14</v>
      </c>
      <c r="I1633" s="4">
        <v>40148.0</v>
      </c>
      <c r="J1633" s="5">
        <v>0.5680555555555555</v>
      </c>
      <c r="K1633" s="1">
        <v>13.0</v>
      </c>
      <c r="L1633" s="1">
        <v>21.25</v>
      </c>
    </row>
    <row r="1634">
      <c r="A1634" s="1">
        <v>489576.0</v>
      </c>
      <c r="B1634" s="2" t="s">
        <v>1003</v>
      </c>
      <c r="C1634" s="1" t="s">
        <v>1004</v>
      </c>
      <c r="D1634" s="1">
        <v>1.0</v>
      </c>
      <c r="E1634" s="3">
        <v>40148.56805555556</v>
      </c>
      <c r="F1634" s="1">
        <v>16.95</v>
      </c>
      <c r="G1634" s="1">
        <v>15984.0</v>
      </c>
      <c r="H1634" s="1" t="s">
        <v>14</v>
      </c>
      <c r="I1634" s="4">
        <v>40148.0</v>
      </c>
      <c r="J1634" s="5">
        <v>0.5680555555555555</v>
      </c>
      <c r="K1634" s="1">
        <v>13.0</v>
      </c>
      <c r="L1634" s="1">
        <v>16.95</v>
      </c>
    </row>
    <row r="1635">
      <c r="A1635" s="1">
        <v>489576.0</v>
      </c>
      <c r="B1635" s="2" t="s">
        <v>680</v>
      </c>
      <c r="C1635" s="1" t="s">
        <v>681</v>
      </c>
      <c r="D1635" s="1">
        <v>8.0</v>
      </c>
      <c r="E1635" s="3">
        <v>40148.56805555556</v>
      </c>
      <c r="F1635" s="1">
        <v>2.55</v>
      </c>
      <c r="G1635" s="1">
        <v>15984.0</v>
      </c>
      <c r="H1635" s="1" t="s">
        <v>14</v>
      </c>
      <c r="I1635" s="4">
        <v>40148.0</v>
      </c>
      <c r="J1635" s="5">
        <v>0.5680555555555555</v>
      </c>
      <c r="K1635" s="1">
        <v>13.0</v>
      </c>
      <c r="L1635" s="1">
        <v>20.4</v>
      </c>
    </row>
    <row r="1636">
      <c r="A1636" s="1">
        <v>489576.0</v>
      </c>
      <c r="B1636" s="2" t="s">
        <v>1238</v>
      </c>
      <c r="C1636" s="1" t="s">
        <v>1239</v>
      </c>
      <c r="D1636" s="1">
        <v>24.0</v>
      </c>
      <c r="E1636" s="3">
        <v>40148.56805555556</v>
      </c>
      <c r="F1636" s="1">
        <v>0.42</v>
      </c>
      <c r="G1636" s="1">
        <v>15984.0</v>
      </c>
      <c r="H1636" s="1" t="s">
        <v>14</v>
      </c>
      <c r="I1636" s="4">
        <v>40148.0</v>
      </c>
      <c r="J1636" s="5">
        <v>0.5680555555555555</v>
      </c>
      <c r="K1636" s="1">
        <v>13.0</v>
      </c>
      <c r="L1636" s="1">
        <v>10.08</v>
      </c>
    </row>
    <row r="1637">
      <c r="A1637" s="1">
        <v>489576.0</v>
      </c>
      <c r="B1637" s="2" t="s">
        <v>690</v>
      </c>
      <c r="C1637" s="1" t="s">
        <v>691</v>
      </c>
      <c r="D1637" s="1">
        <v>12.0</v>
      </c>
      <c r="E1637" s="3">
        <v>40148.56805555556</v>
      </c>
      <c r="F1637" s="1">
        <v>1.25</v>
      </c>
      <c r="G1637" s="1">
        <v>15984.0</v>
      </c>
      <c r="H1637" s="1" t="s">
        <v>14</v>
      </c>
      <c r="I1637" s="4">
        <v>40148.0</v>
      </c>
      <c r="J1637" s="5">
        <v>0.5680555555555555</v>
      </c>
      <c r="K1637" s="1">
        <v>13.0</v>
      </c>
      <c r="L1637" s="1">
        <v>15.0</v>
      </c>
    </row>
    <row r="1638">
      <c r="A1638" s="1">
        <v>489576.0</v>
      </c>
      <c r="B1638" s="2" t="s">
        <v>12</v>
      </c>
      <c r="C1638" s="1" t="s">
        <v>13</v>
      </c>
      <c r="D1638" s="1">
        <v>5.0</v>
      </c>
      <c r="E1638" s="3">
        <v>40148.56805555556</v>
      </c>
      <c r="F1638" s="1">
        <v>7.95</v>
      </c>
      <c r="G1638" s="1">
        <v>15984.0</v>
      </c>
      <c r="H1638" s="1" t="s">
        <v>14</v>
      </c>
      <c r="I1638" s="4">
        <v>40148.0</v>
      </c>
      <c r="J1638" s="5">
        <v>0.5680555555555555</v>
      </c>
      <c r="K1638" s="1">
        <v>13.0</v>
      </c>
      <c r="L1638" s="1">
        <v>39.75</v>
      </c>
    </row>
    <row r="1639">
      <c r="A1639" s="1">
        <v>489576.0</v>
      </c>
      <c r="B1639" s="2" t="s">
        <v>1788</v>
      </c>
      <c r="C1639" s="1" t="s">
        <v>1789</v>
      </c>
      <c r="D1639" s="1">
        <v>24.0</v>
      </c>
      <c r="E1639" s="3">
        <v>40148.56805555556</v>
      </c>
      <c r="F1639" s="1">
        <v>0.85</v>
      </c>
      <c r="G1639" s="1">
        <v>15984.0</v>
      </c>
      <c r="H1639" s="1" t="s">
        <v>14</v>
      </c>
      <c r="I1639" s="4">
        <v>40148.0</v>
      </c>
      <c r="J1639" s="5">
        <v>0.5680555555555555</v>
      </c>
      <c r="K1639" s="1">
        <v>13.0</v>
      </c>
      <c r="L1639" s="1">
        <v>20.4</v>
      </c>
    </row>
    <row r="1640">
      <c r="A1640" s="1">
        <v>489576.0</v>
      </c>
      <c r="B1640" s="2" t="s">
        <v>283</v>
      </c>
      <c r="C1640" s="1" t="s">
        <v>284</v>
      </c>
      <c r="D1640" s="1">
        <v>10.0</v>
      </c>
      <c r="E1640" s="3">
        <v>40148.56805555556</v>
      </c>
      <c r="F1640" s="1">
        <v>2.95</v>
      </c>
      <c r="G1640" s="1">
        <v>15984.0</v>
      </c>
      <c r="H1640" s="1" t="s">
        <v>14</v>
      </c>
      <c r="I1640" s="4">
        <v>40148.0</v>
      </c>
      <c r="J1640" s="5">
        <v>0.5680555555555555</v>
      </c>
      <c r="K1640" s="1">
        <v>13.0</v>
      </c>
      <c r="L1640" s="1">
        <v>29.5</v>
      </c>
    </row>
    <row r="1641">
      <c r="A1641" s="1">
        <v>489576.0</v>
      </c>
      <c r="B1641" s="2" t="s">
        <v>49</v>
      </c>
      <c r="C1641" s="1" t="s">
        <v>50</v>
      </c>
      <c r="D1641" s="1">
        <v>12.0</v>
      </c>
      <c r="E1641" s="3">
        <v>40148.56805555556</v>
      </c>
      <c r="F1641" s="1">
        <v>1.65</v>
      </c>
      <c r="G1641" s="1">
        <v>15984.0</v>
      </c>
      <c r="H1641" s="1" t="s">
        <v>14</v>
      </c>
      <c r="I1641" s="4">
        <v>40148.0</v>
      </c>
      <c r="J1641" s="5">
        <v>0.5680555555555555</v>
      </c>
      <c r="K1641" s="1">
        <v>13.0</v>
      </c>
      <c r="L1641" s="1">
        <v>19.7999999999999</v>
      </c>
    </row>
    <row r="1642">
      <c r="A1642" s="1">
        <v>489576.0</v>
      </c>
      <c r="B1642" s="2" t="s">
        <v>1561</v>
      </c>
      <c r="C1642" s="1" t="s">
        <v>1562</v>
      </c>
      <c r="D1642" s="1">
        <v>24.0</v>
      </c>
      <c r="E1642" s="3">
        <v>40148.56805555556</v>
      </c>
      <c r="F1642" s="1">
        <v>0.42</v>
      </c>
      <c r="G1642" s="1">
        <v>15984.0</v>
      </c>
      <c r="H1642" s="1" t="s">
        <v>14</v>
      </c>
      <c r="I1642" s="4">
        <v>40148.0</v>
      </c>
      <c r="J1642" s="5">
        <v>0.5680555555555555</v>
      </c>
      <c r="K1642" s="1">
        <v>13.0</v>
      </c>
      <c r="L1642" s="1">
        <v>10.08</v>
      </c>
    </row>
    <row r="1643">
      <c r="A1643" s="1">
        <v>489576.0</v>
      </c>
      <c r="B1643" s="2" t="s">
        <v>269</v>
      </c>
      <c r="C1643" s="1" t="s">
        <v>270</v>
      </c>
      <c r="D1643" s="1">
        <v>3.0</v>
      </c>
      <c r="E1643" s="3">
        <v>40148.56805555556</v>
      </c>
      <c r="F1643" s="1">
        <v>1.95</v>
      </c>
      <c r="G1643" s="1">
        <v>15984.0</v>
      </c>
      <c r="H1643" s="1" t="s">
        <v>14</v>
      </c>
      <c r="I1643" s="4">
        <v>40148.0</v>
      </c>
      <c r="J1643" s="5">
        <v>0.5680555555555555</v>
      </c>
      <c r="K1643" s="1">
        <v>13.0</v>
      </c>
      <c r="L1643" s="1">
        <v>5.85</v>
      </c>
    </row>
    <row r="1644">
      <c r="A1644" s="1">
        <v>489576.0</v>
      </c>
      <c r="B1644" s="2" t="s">
        <v>1790</v>
      </c>
      <c r="C1644" s="1" t="s">
        <v>1791</v>
      </c>
      <c r="D1644" s="1">
        <v>3.0</v>
      </c>
      <c r="E1644" s="3">
        <v>40148.56805555556</v>
      </c>
      <c r="F1644" s="1">
        <v>1.95</v>
      </c>
      <c r="G1644" s="1">
        <v>15984.0</v>
      </c>
      <c r="H1644" s="1" t="s">
        <v>14</v>
      </c>
      <c r="I1644" s="4">
        <v>40148.0</v>
      </c>
      <c r="J1644" s="5">
        <v>0.5680555555555555</v>
      </c>
      <c r="K1644" s="1">
        <v>13.0</v>
      </c>
      <c r="L1644" s="1">
        <v>5.85</v>
      </c>
    </row>
    <row r="1645">
      <c r="A1645" s="1">
        <v>489576.0</v>
      </c>
      <c r="B1645" s="2" t="s">
        <v>295</v>
      </c>
      <c r="C1645" s="1" t="s">
        <v>296</v>
      </c>
      <c r="D1645" s="1">
        <v>5.0</v>
      </c>
      <c r="E1645" s="3">
        <v>40148.56805555556</v>
      </c>
      <c r="F1645" s="1">
        <v>1.95</v>
      </c>
      <c r="G1645" s="1">
        <v>15984.0</v>
      </c>
      <c r="H1645" s="1" t="s">
        <v>14</v>
      </c>
      <c r="I1645" s="4">
        <v>40148.0</v>
      </c>
      <c r="J1645" s="5">
        <v>0.5680555555555555</v>
      </c>
      <c r="K1645" s="1">
        <v>13.0</v>
      </c>
      <c r="L1645" s="1">
        <v>9.75</v>
      </c>
    </row>
    <row r="1646">
      <c r="A1646" s="1">
        <v>489576.0</v>
      </c>
      <c r="B1646" s="2" t="s">
        <v>196</v>
      </c>
      <c r="C1646" s="1" t="s">
        <v>197</v>
      </c>
      <c r="D1646" s="1">
        <v>6.0</v>
      </c>
      <c r="E1646" s="3">
        <v>40148.56805555556</v>
      </c>
      <c r="F1646" s="1">
        <v>2.95</v>
      </c>
      <c r="G1646" s="1">
        <v>15984.0</v>
      </c>
      <c r="H1646" s="1" t="s">
        <v>14</v>
      </c>
      <c r="I1646" s="4">
        <v>40148.0</v>
      </c>
      <c r="J1646" s="5">
        <v>0.5680555555555555</v>
      </c>
      <c r="K1646" s="1">
        <v>13.0</v>
      </c>
      <c r="L1646" s="1">
        <v>17.7</v>
      </c>
    </row>
    <row r="1647">
      <c r="A1647" s="1">
        <v>489576.0</v>
      </c>
      <c r="B1647" s="2" t="s">
        <v>696</v>
      </c>
      <c r="C1647" s="1" t="s">
        <v>697</v>
      </c>
      <c r="D1647" s="1">
        <v>18.0</v>
      </c>
      <c r="E1647" s="3">
        <v>40148.56805555556</v>
      </c>
      <c r="F1647" s="1">
        <v>3.45</v>
      </c>
      <c r="G1647" s="1">
        <v>15984.0</v>
      </c>
      <c r="H1647" s="1" t="s">
        <v>14</v>
      </c>
      <c r="I1647" s="4">
        <v>40148.0</v>
      </c>
      <c r="J1647" s="5">
        <v>0.5680555555555555</v>
      </c>
      <c r="K1647" s="1">
        <v>13.0</v>
      </c>
      <c r="L1647" s="1">
        <v>62.1</v>
      </c>
    </row>
    <row r="1648">
      <c r="A1648" s="1">
        <v>489576.0</v>
      </c>
      <c r="B1648" s="2" t="s">
        <v>89</v>
      </c>
      <c r="C1648" s="1" t="s">
        <v>90</v>
      </c>
      <c r="D1648" s="1">
        <v>1.0</v>
      </c>
      <c r="E1648" s="3">
        <v>40148.56805555556</v>
      </c>
      <c r="F1648" s="1">
        <v>8.95</v>
      </c>
      <c r="G1648" s="1">
        <v>15984.0</v>
      </c>
      <c r="H1648" s="1" t="s">
        <v>14</v>
      </c>
      <c r="I1648" s="4">
        <v>40148.0</v>
      </c>
      <c r="J1648" s="5">
        <v>0.5680555555555555</v>
      </c>
      <c r="K1648" s="1">
        <v>13.0</v>
      </c>
      <c r="L1648" s="1">
        <v>8.95</v>
      </c>
    </row>
    <row r="1649">
      <c r="A1649" s="1" t="s">
        <v>1792</v>
      </c>
      <c r="B1649" s="2" t="s">
        <v>442</v>
      </c>
      <c r="C1649" s="1" t="s">
        <v>443</v>
      </c>
      <c r="D1649" s="1">
        <v>-1.0</v>
      </c>
      <c r="E1649" s="3">
        <v>40148.569444444445</v>
      </c>
      <c r="F1649" s="1">
        <v>2.95</v>
      </c>
      <c r="G1649" s="1">
        <v>17091.0</v>
      </c>
      <c r="H1649" s="1" t="s">
        <v>14</v>
      </c>
      <c r="I1649" s="4">
        <v>40148.0</v>
      </c>
      <c r="J1649" s="5">
        <v>0.5694444444444444</v>
      </c>
      <c r="K1649" s="1">
        <v>13.0</v>
      </c>
      <c r="L1649" s="1">
        <v>-2.95</v>
      </c>
    </row>
    <row r="1650">
      <c r="A1650" s="1">
        <v>489579.0</v>
      </c>
      <c r="B1650" s="2" t="s">
        <v>1793</v>
      </c>
      <c r="C1650" s="1" t="s">
        <v>1794</v>
      </c>
      <c r="D1650" s="1">
        <v>2.0</v>
      </c>
      <c r="E1650" s="3">
        <v>40148.57013888889</v>
      </c>
      <c r="F1650" s="1">
        <v>4.25</v>
      </c>
      <c r="G1650" s="1">
        <v>16887.0</v>
      </c>
      <c r="H1650" s="1" t="s">
        <v>14</v>
      </c>
      <c r="I1650" s="4">
        <v>40148.0</v>
      </c>
      <c r="J1650" s="5">
        <v>0.5701388888888889</v>
      </c>
      <c r="K1650" s="1">
        <v>13.0</v>
      </c>
      <c r="L1650" s="1">
        <v>8.5</v>
      </c>
    </row>
    <row r="1651">
      <c r="A1651" s="1">
        <v>489579.0</v>
      </c>
      <c r="B1651" s="2" t="s">
        <v>1795</v>
      </c>
      <c r="C1651" s="1" t="s">
        <v>1796</v>
      </c>
      <c r="D1651" s="1">
        <v>1.0</v>
      </c>
      <c r="E1651" s="3">
        <v>40148.57013888889</v>
      </c>
      <c r="F1651" s="1">
        <v>4.95</v>
      </c>
      <c r="G1651" s="1">
        <v>16887.0</v>
      </c>
      <c r="H1651" s="1" t="s">
        <v>14</v>
      </c>
      <c r="I1651" s="4">
        <v>40148.0</v>
      </c>
      <c r="J1651" s="5">
        <v>0.5701388888888889</v>
      </c>
      <c r="K1651" s="1">
        <v>13.0</v>
      </c>
      <c r="L1651" s="1">
        <v>4.95</v>
      </c>
    </row>
    <row r="1652">
      <c r="A1652" s="1">
        <v>489579.0</v>
      </c>
      <c r="B1652" s="2" t="s">
        <v>1797</v>
      </c>
      <c r="C1652" s="1" t="s">
        <v>1798</v>
      </c>
      <c r="D1652" s="1">
        <v>1.0</v>
      </c>
      <c r="E1652" s="3">
        <v>40148.57013888889</v>
      </c>
      <c r="F1652" s="1">
        <v>4.95</v>
      </c>
      <c r="G1652" s="1">
        <v>16887.0</v>
      </c>
      <c r="H1652" s="1" t="s">
        <v>14</v>
      </c>
      <c r="I1652" s="4">
        <v>40148.0</v>
      </c>
      <c r="J1652" s="5">
        <v>0.5701388888888889</v>
      </c>
      <c r="K1652" s="1">
        <v>13.0</v>
      </c>
      <c r="L1652" s="1">
        <v>4.95</v>
      </c>
    </row>
    <row r="1653">
      <c r="A1653" s="1">
        <v>489579.0</v>
      </c>
      <c r="B1653" s="2" t="s">
        <v>414</v>
      </c>
      <c r="C1653" s="1" t="s">
        <v>415</v>
      </c>
      <c r="D1653" s="1">
        <v>9.0</v>
      </c>
      <c r="E1653" s="3">
        <v>40148.57013888889</v>
      </c>
      <c r="F1653" s="1">
        <v>1.49</v>
      </c>
      <c r="G1653" s="1">
        <v>16887.0</v>
      </c>
      <c r="H1653" s="1" t="s">
        <v>14</v>
      </c>
      <c r="I1653" s="4">
        <v>40148.0</v>
      </c>
      <c r="J1653" s="5">
        <v>0.5701388888888889</v>
      </c>
      <c r="K1653" s="1">
        <v>13.0</v>
      </c>
      <c r="L1653" s="1">
        <v>13.41</v>
      </c>
    </row>
    <row r="1654">
      <c r="A1654" s="1">
        <v>489579.0</v>
      </c>
      <c r="B1654" s="2" t="s">
        <v>662</v>
      </c>
      <c r="C1654" s="1" t="s">
        <v>663</v>
      </c>
      <c r="D1654" s="1">
        <v>9.0</v>
      </c>
      <c r="E1654" s="3">
        <v>40148.57013888889</v>
      </c>
      <c r="F1654" s="1">
        <v>1.45</v>
      </c>
      <c r="G1654" s="1">
        <v>16887.0</v>
      </c>
      <c r="H1654" s="1" t="s">
        <v>14</v>
      </c>
      <c r="I1654" s="4">
        <v>40148.0</v>
      </c>
      <c r="J1654" s="5">
        <v>0.5701388888888889</v>
      </c>
      <c r="K1654" s="1">
        <v>13.0</v>
      </c>
      <c r="L1654" s="1">
        <v>13.0499999999999</v>
      </c>
    </row>
    <row r="1655">
      <c r="A1655" s="1">
        <v>489579.0</v>
      </c>
      <c r="B1655" s="2" t="s">
        <v>1799</v>
      </c>
      <c r="C1655" s="1" t="s">
        <v>1800</v>
      </c>
      <c r="D1655" s="1">
        <v>1.0</v>
      </c>
      <c r="E1655" s="3">
        <v>40148.57013888889</v>
      </c>
      <c r="F1655" s="1">
        <v>4.95</v>
      </c>
      <c r="G1655" s="1">
        <v>16887.0</v>
      </c>
      <c r="H1655" s="1" t="s">
        <v>14</v>
      </c>
      <c r="I1655" s="4">
        <v>40148.0</v>
      </c>
      <c r="J1655" s="5">
        <v>0.5701388888888889</v>
      </c>
      <c r="K1655" s="1">
        <v>13.0</v>
      </c>
      <c r="L1655" s="1">
        <v>4.95</v>
      </c>
    </row>
    <row r="1656">
      <c r="A1656" s="1">
        <v>489579.0</v>
      </c>
      <c r="B1656" s="2" t="s">
        <v>789</v>
      </c>
      <c r="C1656" s="1" t="s">
        <v>790</v>
      </c>
      <c r="D1656" s="1">
        <v>2.0</v>
      </c>
      <c r="E1656" s="3">
        <v>40148.57013888889</v>
      </c>
      <c r="F1656" s="1">
        <v>1.25</v>
      </c>
      <c r="G1656" s="1">
        <v>16887.0</v>
      </c>
      <c r="H1656" s="1" t="s">
        <v>14</v>
      </c>
      <c r="I1656" s="4">
        <v>40148.0</v>
      </c>
      <c r="J1656" s="5">
        <v>0.5701388888888889</v>
      </c>
      <c r="K1656" s="1">
        <v>13.0</v>
      </c>
      <c r="L1656" s="1">
        <v>2.5</v>
      </c>
    </row>
    <row r="1657">
      <c r="A1657" s="1">
        <v>489579.0</v>
      </c>
      <c r="B1657" s="2" t="s">
        <v>592</v>
      </c>
      <c r="C1657" s="1" t="s">
        <v>593</v>
      </c>
      <c r="D1657" s="1">
        <v>4.0</v>
      </c>
      <c r="E1657" s="3">
        <v>40148.57013888889</v>
      </c>
      <c r="F1657" s="1">
        <v>1.69</v>
      </c>
      <c r="G1657" s="1">
        <v>16887.0</v>
      </c>
      <c r="H1657" s="1" t="s">
        <v>14</v>
      </c>
      <c r="I1657" s="4">
        <v>40148.0</v>
      </c>
      <c r="J1657" s="5">
        <v>0.5701388888888889</v>
      </c>
      <c r="K1657" s="1">
        <v>13.0</v>
      </c>
      <c r="L1657" s="1">
        <v>6.76</v>
      </c>
    </row>
    <row r="1658">
      <c r="A1658" s="1">
        <v>489579.0</v>
      </c>
      <c r="B1658" s="2" t="s">
        <v>1801</v>
      </c>
      <c r="C1658" s="1" t="s">
        <v>1802</v>
      </c>
      <c r="D1658" s="1">
        <v>4.0</v>
      </c>
      <c r="E1658" s="3">
        <v>40148.57013888889</v>
      </c>
      <c r="F1658" s="1">
        <v>1.69</v>
      </c>
      <c r="G1658" s="1">
        <v>16887.0</v>
      </c>
      <c r="H1658" s="1" t="s">
        <v>14</v>
      </c>
      <c r="I1658" s="4">
        <v>40148.0</v>
      </c>
      <c r="J1658" s="5">
        <v>0.5701388888888889</v>
      </c>
      <c r="K1658" s="1">
        <v>13.0</v>
      </c>
      <c r="L1658" s="1">
        <v>6.76</v>
      </c>
    </row>
    <row r="1659">
      <c r="A1659" s="1">
        <v>489579.0</v>
      </c>
      <c r="B1659" s="2" t="s">
        <v>240</v>
      </c>
      <c r="C1659" s="1" t="s">
        <v>241</v>
      </c>
      <c r="D1659" s="1">
        <v>4.0</v>
      </c>
      <c r="E1659" s="3">
        <v>40148.57013888889</v>
      </c>
      <c r="F1659" s="1">
        <v>2.95</v>
      </c>
      <c r="G1659" s="1">
        <v>16887.0</v>
      </c>
      <c r="H1659" s="1" t="s">
        <v>14</v>
      </c>
      <c r="I1659" s="4">
        <v>40148.0</v>
      </c>
      <c r="J1659" s="5">
        <v>0.5701388888888889</v>
      </c>
      <c r="K1659" s="1">
        <v>13.0</v>
      </c>
      <c r="L1659" s="1">
        <v>11.8</v>
      </c>
    </row>
    <row r="1660">
      <c r="A1660" s="1">
        <v>489579.0</v>
      </c>
      <c r="B1660" s="2" t="s">
        <v>1803</v>
      </c>
      <c r="C1660" s="1" t="s">
        <v>1804</v>
      </c>
      <c r="D1660" s="1">
        <v>4.0</v>
      </c>
      <c r="E1660" s="3">
        <v>40148.57013888889</v>
      </c>
      <c r="F1660" s="1">
        <v>2.1</v>
      </c>
      <c r="G1660" s="1">
        <v>16887.0</v>
      </c>
      <c r="H1660" s="1" t="s">
        <v>14</v>
      </c>
      <c r="I1660" s="4">
        <v>40148.0</v>
      </c>
      <c r="J1660" s="5">
        <v>0.5701388888888889</v>
      </c>
      <c r="K1660" s="1">
        <v>13.0</v>
      </c>
      <c r="L1660" s="1">
        <v>8.4</v>
      </c>
    </row>
    <row r="1661">
      <c r="A1661" s="1">
        <v>489579.0</v>
      </c>
      <c r="B1661" s="2" t="s">
        <v>1045</v>
      </c>
      <c r="C1661" s="1" t="s">
        <v>1046</v>
      </c>
      <c r="D1661" s="1">
        <v>3.0</v>
      </c>
      <c r="E1661" s="3">
        <v>40148.57013888889</v>
      </c>
      <c r="F1661" s="1">
        <v>1.69</v>
      </c>
      <c r="G1661" s="1">
        <v>16887.0</v>
      </c>
      <c r="H1661" s="1" t="s">
        <v>14</v>
      </c>
      <c r="I1661" s="4">
        <v>40148.0</v>
      </c>
      <c r="J1661" s="5">
        <v>0.5701388888888889</v>
      </c>
      <c r="K1661" s="1">
        <v>13.0</v>
      </c>
      <c r="L1661" s="1">
        <v>5.07</v>
      </c>
    </row>
    <row r="1662">
      <c r="A1662" s="1">
        <v>489579.0</v>
      </c>
      <c r="B1662" s="2" t="s">
        <v>1805</v>
      </c>
      <c r="C1662" s="1" t="s">
        <v>1806</v>
      </c>
      <c r="D1662" s="1">
        <v>2.0</v>
      </c>
      <c r="E1662" s="3">
        <v>40148.57013888889</v>
      </c>
      <c r="F1662" s="1">
        <v>2.1</v>
      </c>
      <c r="G1662" s="1">
        <v>16887.0</v>
      </c>
      <c r="H1662" s="1" t="s">
        <v>14</v>
      </c>
      <c r="I1662" s="4">
        <v>40148.0</v>
      </c>
      <c r="J1662" s="5">
        <v>0.5701388888888889</v>
      </c>
      <c r="K1662" s="1">
        <v>13.0</v>
      </c>
      <c r="L1662" s="1">
        <v>4.2</v>
      </c>
    </row>
    <row r="1663">
      <c r="A1663" s="1">
        <v>489579.0</v>
      </c>
      <c r="B1663" s="2" t="s">
        <v>1807</v>
      </c>
      <c r="C1663" s="1" t="s">
        <v>1808</v>
      </c>
      <c r="D1663" s="1">
        <v>3.0</v>
      </c>
      <c r="E1663" s="3">
        <v>40148.57013888889</v>
      </c>
      <c r="F1663" s="1">
        <v>2.95</v>
      </c>
      <c r="G1663" s="1">
        <v>16887.0</v>
      </c>
      <c r="H1663" s="1" t="s">
        <v>14</v>
      </c>
      <c r="I1663" s="4">
        <v>40148.0</v>
      </c>
      <c r="J1663" s="5">
        <v>0.5701388888888889</v>
      </c>
      <c r="K1663" s="1">
        <v>13.0</v>
      </c>
      <c r="L1663" s="1">
        <v>8.85</v>
      </c>
    </row>
    <row r="1664">
      <c r="A1664" s="1">
        <v>489579.0</v>
      </c>
      <c r="B1664" s="2" t="s">
        <v>1809</v>
      </c>
      <c r="C1664" s="1" t="s">
        <v>1810</v>
      </c>
      <c r="D1664" s="1">
        <v>3.0</v>
      </c>
      <c r="E1664" s="3">
        <v>40148.57013888889</v>
      </c>
      <c r="F1664" s="1">
        <v>2.95</v>
      </c>
      <c r="G1664" s="1">
        <v>16887.0</v>
      </c>
      <c r="H1664" s="1" t="s">
        <v>14</v>
      </c>
      <c r="I1664" s="4">
        <v>40148.0</v>
      </c>
      <c r="J1664" s="5">
        <v>0.5701388888888889</v>
      </c>
      <c r="K1664" s="1">
        <v>13.0</v>
      </c>
      <c r="L1664" s="1">
        <v>8.85</v>
      </c>
    </row>
    <row r="1665">
      <c r="A1665" s="1">
        <v>489579.0</v>
      </c>
      <c r="B1665" s="2" t="s">
        <v>1811</v>
      </c>
      <c r="C1665" s="1" t="s">
        <v>1812</v>
      </c>
      <c r="D1665" s="1">
        <v>2.0</v>
      </c>
      <c r="E1665" s="3">
        <v>40148.57013888889</v>
      </c>
      <c r="F1665" s="1">
        <v>2.95</v>
      </c>
      <c r="G1665" s="1">
        <v>16887.0</v>
      </c>
      <c r="H1665" s="1" t="s">
        <v>14</v>
      </c>
      <c r="I1665" s="4">
        <v>40148.0</v>
      </c>
      <c r="J1665" s="5">
        <v>0.5701388888888889</v>
      </c>
      <c r="K1665" s="1">
        <v>13.0</v>
      </c>
      <c r="L1665" s="1">
        <v>5.9</v>
      </c>
    </row>
    <row r="1666">
      <c r="A1666" s="1">
        <v>489579.0</v>
      </c>
      <c r="B1666" s="2" t="s">
        <v>958</v>
      </c>
      <c r="C1666" s="1" t="s">
        <v>959</v>
      </c>
      <c r="D1666" s="1">
        <v>25.0</v>
      </c>
      <c r="E1666" s="3">
        <v>40148.57013888889</v>
      </c>
      <c r="F1666" s="1">
        <v>0.42</v>
      </c>
      <c r="G1666" s="1">
        <v>16887.0</v>
      </c>
      <c r="H1666" s="1" t="s">
        <v>14</v>
      </c>
      <c r="I1666" s="4">
        <v>40148.0</v>
      </c>
      <c r="J1666" s="5">
        <v>0.5701388888888889</v>
      </c>
      <c r="K1666" s="1">
        <v>13.0</v>
      </c>
      <c r="L1666" s="1">
        <v>10.5</v>
      </c>
    </row>
    <row r="1667">
      <c r="A1667" s="1">
        <v>489579.0</v>
      </c>
      <c r="B1667" s="2" t="s">
        <v>1813</v>
      </c>
      <c r="C1667" s="1" t="s">
        <v>1814</v>
      </c>
      <c r="D1667" s="1">
        <v>25.0</v>
      </c>
      <c r="E1667" s="3">
        <v>40148.57013888889</v>
      </c>
      <c r="F1667" s="1">
        <v>0.42</v>
      </c>
      <c r="G1667" s="1">
        <v>16887.0</v>
      </c>
      <c r="H1667" s="1" t="s">
        <v>14</v>
      </c>
      <c r="I1667" s="4">
        <v>40148.0</v>
      </c>
      <c r="J1667" s="5">
        <v>0.5701388888888889</v>
      </c>
      <c r="K1667" s="1">
        <v>13.0</v>
      </c>
      <c r="L1667" s="1">
        <v>10.5</v>
      </c>
    </row>
    <row r="1668">
      <c r="A1668" s="1">
        <v>489579.0</v>
      </c>
      <c r="B1668" s="2" t="s">
        <v>847</v>
      </c>
      <c r="C1668" s="1" t="s">
        <v>848</v>
      </c>
      <c r="D1668" s="1">
        <v>25.0</v>
      </c>
      <c r="E1668" s="3">
        <v>40148.57013888889</v>
      </c>
      <c r="F1668" s="1">
        <v>0.42</v>
      </c>
      <c r="G1668" s="1">
        <v>16887.0</v>
      </c>
      <c r="H1668" s="1" t="s">
        <v>14</v>
      </c>
      <c r="I1668" s="4">
        <v>40148.0</v>
      </c>
      <c r="J1668" s="5">
        <v>0.5701388888888889</v>
      </c>
      <c r="K1668" s="1">
        <v>13.0</v>
      </c>
      <c r="L1668" s="1">
        <v>10.5</v>
      </c>
    </row>
    <row r="1669">
      <c r="A1669" s="1">
        <v>489579.0</v>
      </c>
      <c r="B1669" s="2" t="s">
        <v>1815</v>
      </c>
      <c r="C1669" s="1" t="s">
        <v>1816</v>
      </c>
      <c r="D1669" s="1">
        <v>1.0</v>
      </c>
      <c r="E1669" s="3">
        <v>40148.57013888889</v>
      </c>
      <c r="F1669" s="1">
        <v>4.95</v>
      </c>
      <c r="G1669" s="1">
        <v>16887.0</v>
      </c>
      <c r="H1669" s="1" t="s">
        <v>14</v>
      </c>
      <c r="I1669" s="4">
        <v>40148.0</v>
      </c>
      <c r="J1669" s="5">
        <v>0.5701388888888889</v>
      </c>
      <c r="K1669" s="1">
        <v>13.0</v>
      </c>
      <c r="L1669" s="1">
        <v>4.95</v>
      </c>
    </row>
    <row r="1670">
      <c r="A1670" s="1">
        <v>489579.0</v>
      </c>
      <c r="B1670" s="2" t="s">
        <v>1817</v>
      </c>
      <c r="C1670" s="1" t="s">
        <v>1818</v>
      </c>
      <c r="D1670" s="1">
        <v>1.0</v>
      </c>
      <c r="E1670" s="3">
        <v>40148.57013888889</v>
      </c>
      <c r="F1670" s="1">
        <v>1.49</v>
      </c>
      <c r="G1670" s="1">
        <v>16887.0</v>
      </c>
      <c r="H1670" s="1" t="s">
        <v>14</v>
      </c>
      <c r="I1670" s="4">
        <v>40148.0</v>
      </c>
      <c r="J1670" s="5">
        <v>0.5701388888888889</v>
      </c>
      <c r="K1670" s="1">
        <v>13.0</v>
      </c>
      <c r="L1670" s="1">
        <v>1.49</v>
      </c>
    </row>
    <row r="1671">
      <c r="A1671" s="1">
        <v>489579.0</v>
      </c>
      <c r="B1671" s="2" t="s">
        <v>920</v>
      </c>
      <c r="C1671" s="1" t="s">
        <v>921</v>
      </c>
      <c r="D1671" s="1">
        <v>4.0</v>
      </c>
      <c r="E1671" s="3">
        <v>40148.57013888889</v>
      </c>
      <c r="F1671" s="1">
        <v>1.25</v>
      </c>
      <c r="G1671" s="1">
        <v>16887.0</v>
      </c>
      <c r="H1671" s="1" t="s">
        <v>14</v>
      </c>
      <c r="I1671" s="4">
        <v>40148.0</v>
      </c>
      <c r="J1671" s="5">
        <v>0.5701388888888889</v>
      </c>
      <c r="K1671" s="1">
        <v>13.0</v>
      </c>
      <c r="L1671" s="1">
        <v>5.0</v>
      </c>
    </row>
    <row r="1672">
      <c r="A1672" s="1">
        <v>489579.0</v>
      </c>
      <c r="B1672" s="2" t="s">
        <v>918</v>
      </c>
      <c r="C1672" s="1" t="s">
        <v>919</v>
      </c>
      <c r="D1672" s="1">
        <v>4.0</v>
      </c>
      <c r="E1672" s="3">
        <v>40148.57013888889</v>
      </c>
      <c r="F1672" s="1">
        <v>1.25</v>
      </c>
      <c r="G1672" s="1">
        <v>16887.0</v>
      </c>
      <c r="H1672" s="1" t="s">
        <v>14</v>
      </c>
      <c r="I1672" s="4">
        <v>40148.0</v>
      </c>
      <c r="J1672" s="5">
        <v>0.5701388888888889</v>
      </c>
      <c r="K1672" s="1">
        <v>13.0</v>
      </c>
      <c r="L1672" s="1">
        <v>5.0</v>
      </c>
    </row>
    <row r="1673">
      <c r="A1673" s="1">
        <v>489579.0</v>
      </c>
      <c r="B1673" s="2" t="s">
        <v>1819</v>
      </c>
      <c r="C1673" s="1" t="s">
        <v>1820</v>
      </c>
      <c r="D1673" s="1">
        <v>1.0</v>
      </c>
      <c r="E1673" s="3">
        <v>40148.57013888889</v>
      </c>
      <c r="F1673" s="1">
        <v>7.95</v>
      </c>
      <c r="G1673" s="1">
        <v>16887.0</v>
      </c>
      <c r="H1673" s="1" t="s">
        <v>14</v>
      </c>
      <c r="I1673" s="4">
        <v>40148.0</v>
      </c>
      <c r="J1673" s="5">
        <v>0.5701388888888889</v>
      </c>
      <c r="K1673" s="1">
        <v>13.0</v>
      </c>
      <c r="L1673" s="1">
        <v>7.95</v>
      </c>
    </row>
    <row r="1674">
      <c r="A1674" s="1">
        <v>489579.0</v>
      </c>
      <c r="B1674" s="2" t="s">
        <v>1240</v>
      </c>
      <c r="C1674" s="1" t="s">
        <v>1241</v>
      </c>
      <c r="D1674" s="1">
        <v>4.0</v>
      </c>
      <c r="E1674" s="3">
        <v>40148.57013888889</v>
      </c>
      <c r="F1674" s="1">
        <v>2.1</v>
      </c>
      <c r="G1674" s="1">
        <v>16887.0</v>
      </c>
      <c r="H1674" s="1" t="s">
        <v>14</v>
      </c>
      <c r="I1674" s="4">
        <v>40148.0</v>
      </c>
      <c r="J1674" s="5">
        <v>0.5701388888888889</v>
      </c>
      <c r="K1674" s="1">
        <v>13.0</v>
      </c>
      <c r="L1674" s="1">
        <v>8.4</v>
      </c>
    </row>
    <row r="1675">
      <c r="A1675" s="1">
        <v>489579.0</v>
      </c>
      <c r="B1675" s="2" t="s">
        <v>311</v>
      </c>
      <c r="C1675" s="1" t="s">
        <v>312</v>
      </c>
      <c r="D1675" s="1">
        <v>1.0</v>
      </c>
      <c r="E1675" s="3">
        <v>40148.57013888889</v>
      </c>
      <c r="F1675" s="1">
        <v>9.95</v>
      </c>
      <c r="G1675" s="1">
        <v>16887.0</v>
      </c>
      <c r="H1675" s="1" t="s">
        <v>14</v>
      </c>
      <c r="I1675" s="4">
        <v>40148.0</v>
      </c>
      <c r="J1675" s="5">
        <v>0.5701388888888889</v>
      </c>
      <c r="K1675" s="1">
        <v>13.0</v>
      </c>
      <c r="L1675" s="1">
        <v>9.95</v>
      </c>
    </row>
    <row r="1676">
      <c r="A1676" s="1">
        <v>489579.0</v>
      </c>
      <c r="B1676" s="2" t="s">
        <v>1606</v>
      </c>
      <c r="C1676" s="1" t="s">
        <v>1607</v>
      </c>
      <c r="D1676" s="1">
        <v>1.0</v>
      </c>
      <c r="E1676" s="3">
        <v>40148.57013888889</v>
      </c>
      <c r="F1676" s="1">
        <v>3.75</v>
      </c>
      <c r="G1676" s="1">
        <v>16887.0</v>
      </c>
      <c r="H1676" s="1" t="s">
        <v>14</v>
      </c>
      <c r="I1676" s="4">
        <v>40148.0</v>
      </c>
      <c r="J1676" s="5">
        <v>0.5701388888888889</v>
      </c>
      <c r="K1676" s="1">
        <v>13.0</v>
      </c>
      <c r="L1676" s="1">
        <v>3.75</v>
      </c>
    </row>
    <row r="1677">
      <c r="A1677" s="1">
        <v>489579.0</v>
      </c>
      <c r="B1677" s="2" t="s">
        <v>815</v>
      </c>
      <c r="C1677" s="1" t="s">
        <v>816</v>
      </c>
      <c r="D1677" s="1">
        <v>4.0</v>
      </c>
      <c r="E1677" s="3">
        <v>40148.57013888889</v>
      </c>
      <c r="F1677" s="1">
        <v>0.85</v>
      </c>
      <c r="G1677" s="1">
        <v>16887.0</v>
      </c>
      <c r="H1677" s="1" t="s">
        <v>14</v>
      </c>
      <c r="I1677" s="4">
        <v>40148.0</v>
      </c>
      <c r="J1677" s="5">
        <v>0.5701388888888889</v>
      </c>
      <c r="K1677" s="1">
        <v>13.0</v>
      </c>
      <c r="L1677" s="1">
        <v>3.4</v>
      </c>
    </row>
    <row r="1678">
      <c r="A1678" s="1">
        <v>489579.0</v>
      </c>
      <c r="B1678" s="2" t="s">
        <v>813</v>
      </c>
      <c r="C1678" s="1" t="s">
        <v>814</v>
      </c>
      <c r="D1678" s="1">
        <v>2.0</v>
      </c>
      <c r="E1678" s="3">
        <v>40148.57013888889</v>
      </c>
      <c r="F1678" s="1">
        <v>0.85</v>
      </c>
      <c r="G1678" s="1">
        <v>16887.0</v>
      </c>
      <c r="H1678" s="1" t="s">
        <v>14</v>
      </c>
      <c r="I1678" s="4">
        <v>40148.0</v>
      </c>
      <c r="J1678" s="5">
        <v>0.5701388888888889</v>
      </c>
      <c r="K1678" s="1">
        <v>13.0</v>
      </c>
      <c r="L1678" s="1">
        <v>1.7</v>
      </c>
    </row>
    <row r="1679">
      <c r="A1679" s="1">
        <v>489579.0</v>
      </c>
      <c r="B1679" s="2" t="s">
        <v>817</v>
      </c>
      <c r="C1679" s="1" t="s">
        <v>818</v>
      </c>
      <c r="D1679" s="1">
        <v>4.0</v>
      </c>
      <c r="E1679" s="3">
        <v>40148.57013888889</v>
      </c>
      <c r="F1679" s="1">
        <v>0.85</v>
      </c>
      <c r="G1679" s="1">
        <v>16887.0</v>
      </c>
      <c r="H1679" s="1" t="s">
        <v>14</v>
      </c>
      <c r="I1679" s="4">
        <v>40148.0</v>
      </c>
      <c r="J1679" s="5">
        <v>0.5701388888888889</v>
      </c>
      <c r="K1679" s="1">
        <v>13.0</v>
      </c>
      <c r="L1679" s="1">
        <v>3.4</v>
      </c>
    </row>
    <row r="1680">
      <c r="A1680" s="1">
        <v>489579.0</v>
      </c>
      <c r="B1680" s="2" t="s">
        <v>777</v>
      </c>
      <c r="C1680" s="1" t="s">
        <v>778</v>
      </c>
      <c r="D1680" s="1">
        <v>4.0</v>
      </c>
      <c r="E1680" s="3">
        <v>40148.57013888889</v>
      </c>
      <c r="F1680" s="1">
        <v>1.25</v>
      </c>
      <c r="G1680" s="1">
        <v>16887.0</v>
      </c>
      <c r="H1680" s="1" t="s">
        <v>14</v>
      </c>
      <c r="I1680" s="4">
        <v>40148.0</v>
      </c>
      <c r="J1680" s="5">
        <v>0.5701388888888889</v>
      </c>
      <c r="K1680" s="1">
        <v>13.0</v>
      </c>
      <c r="L1680" s="1">
        <v>5.0</v>
      </c>
    </row>
    <row r="1681">
      <c r="A1681" s="1">
        <v>489579.0</v>
      </c>
      <c r="B1681" s="2" t="s">
        <v>594</v>
      </c>
      <c r="C1681" s="1" t="s">
        <v>595</v>
      </c>
      <c r="D1681" s="1">
        <v>4.0</v>
      </c>
      <c r="E1681" s="3">
        <v>40148.57013888889</v>
      </c>
      <c r="F1681" s="1">
        <v>1.25</v>
      </c>
      <c r="G1681" s="1">
        <v>16887.0</v>
      </c>
      <c r="H1681" s="1" t="s">
        <v>14</v>
      </c>
      <c r="I1681" s="4">
        <v>40148.0</v>
      </c>
      <c r="J1681" s="5">
        <v>0.5701388888888889</v>
      </c>
      <c r="K1681" s="1">
        <v>13.0</v>
      </c>
      <c r="L1681" s="1">
        <v>5.0</v>
      </c>
    </row>
    <row r="1682">
      <c r="A1682" s="1">
        <v>489579.0</v>
      </c>
      <c r="B1682" s="2" t="s">
        <v>1731</v>
      </c>
      <c r="C1682" s="1" t="s">
        <v>1732</v>
      </c>
      <c r="D1682" s="1">
        <v>12.0</v>
      </c>
      <c r="E1682" s="3">
        <v>40148.57013888889</v>
      </c>
      <c r="F1682" s="1">
        <v>0.29</v>
      </c>
      <c r="G1682" s="1">
        <v>16887.0</v>
      </c>
      <c r="H1682" s="1" t="s">
        <v>14</v>
      </c>
      <c r="I1682" s="4">
        <v>40148.0</v>
      </c>
      <c r="J1682" s="5">
        <v>0.5701388888888889</v>
      </c>
      <c r="K1682" s="1">
        <v>13.0</v>
      </c>
      <c r="L1682" s="1">
        <v>3.47999999999999</v>
      </c>
    </row>
    <row r="1683">
      <c r="A1683" s="1">
        <v>489579.0</v>
      </c>
      <c r="B1683" s="2" t="s">
        <v>975</v>
      </c>
      <c r="C1683" s="1" t="s">
        <v>976</v>
      </c>
      <c r="D1683" s="1">
        <v>1.0</v>
      </c>
      <c r="E1683" s="3">
        <v>40148.57013888889</v>
      </c>
      <c r="F1683" s="1">
        <v>0.95</v>
      </c>
      <c r="G1683" s="1">
        <v>16887.0</v>
      </c>
      <c r="H1683" s="1" t="s">
        <v>14</v>
      </c>
      <c r="I1683" s="4">
        <v>40148.0</v>
      </c>
      <c r="J1683" s="5">
        <v>0.5701388888888889</v>
      </c>
      <c r="K1683" s="1">
        <v>13.0</v>
      </c>
      <c r="L1683" s="1">
        <v>0.95</v>
      </c>
    </row>
    <row r="1684">
      <c r="A1684" s="1">
        <v>489580.0</v>
      </c>
      <c r="B1684" s="2" t="s">
        <v>21</v>
      </c>
      <c r="C1684" s="1" t="s">
        <v>22</v>
      </c>
      <c r="D1684" s="1">
        <v>24.0</v>
      </c>
      <c r="E1684" s="3">
        <v>40148.57152777778</v>
      </c>
      <c r="F1684" s="1">
        <v>1.25</v>
      </c>
      <c r="G1684" s="1">
        <v>12921.0</v>
      </c>
      <c r="H1684" s="1" t="s">
        <v>14</v>
      </c>
      <c r="I1684" s="4">
        <v>40148.0</v>
      </c>
      <c r="J1684" s="5">
        <v>0.5715277777777777</v>
      </c>
      <c r="K1684" s="1">
        <v>13.0</v>
      </c>
      <c r="L1684" s="1">
        <v>30.0</v>
      </c>
    </row>
    <row r="1685">
      <c r="A1685" s="1">
        <v>489580.0</v>
      </c>
      <c r="B1685" s="2" t="s">
        <v>480</v>
      </c>
      <c r="C1685" s="1" t="s">
        <v>481</v>
      </c>
      <c r="D1685" s="1">
        <v>24.0</v>
      </c>
      <c r="E1685" s="3">
        <v>40148.57152777778</v>
      </c>
      <c r="F1685" s="1">
        <v>1.25</v>
      </c>
      <c r="G1685" s="1">
        <v>12921.0</v>
      </c>
      <c r="H1685" s="1" t="s">
        <v>14</v>
      </c>
      <c r="I1685" s="4">
        <v>40148.0</v>
      </c>
      <c r="J1685" s="5">
        <v>0.5715277777777777</v>
      </c>
      <c r="K1685" s="1">
        <v>13.0</v>
      </c>
      <c r="L1685" s="1">
        <v>30.0</v>
      </c>
    </row>
    <row r="1686">
      <c r="A1686" s="1">
        <v>489580.0</v>
      </c>
      <c r="B1686" s="2" t="s">
        <v>1821</v>
      </c>
      <c r="C1686" s="1" t="s">
        <v>1822</v>
      </c>
      <c r="D1686" s="1">
        <v>24.0</v>
      </c>
      <c r="E1686" s="3">
        <v>40148.57152777778</v>
      </c>
      <c r="F1686" s="1">
        <v>0.55</v>
      </c>
      <c r="G1686" s="1">
        <v>12921.0</v>
      </c>
      <c r="H1686" s="1" t="s">
        <v>14</v>
      </c>
      <c r="I1686" s="4">
        <v>40148.0</v>
      </c>
      <c r="J1686" s="5">
        <v>0.5715277777777777</v>
      </c>
      <c r="K1686" s="1">
        <v>13.0</v>
      </c>
      <c r="L1686" s="1">
        <v>13.2</v>
      </c>
    </row>
    <row r="1687">
      <c r="A1687" s="1">
        <v>489580.0</v>
      </c>
      <c r="B1687" s="2" t="s">
        <v>1823</v>
      </c>
      <c r="C1687" s="1" t="s">
        <v>1824</v>
      </c>
      <c r="D1687" s="1">
        <v>24.0</v>
      </c>
      <c r="E1687" s="3">
        <v>40148.57152777778</v>
      </c>
      <c r="F1687" s="1">
        <v>0.55</v>
      </c>
      <c r="G1687" s="1">
        <v>12921.0</v>
      </c>
      <c r="H1687" s="1" t="s">
        <v>14</v>
      </c>
      <c r="I1687" s="4">
        <v>40148.0</v>
      </c>
      <c r="J1687" s="5">
        <v>0.5715277777777777</v>
      </c>
      <c r="K1687" s="1">
        <v>13.0</v>
      </c>
      <c r="L1687" s="1">
        <v>13.2</v>
      </c>
    </row>
    <row r="1688">
      <c r="A1688" s="1">
        <v>489580.0</v>
      </c>
      <c r="B1688" s="2" t="s">
        <v>366</v>
      </c>
      <c r="C1688" s="1" t="s">
        <v>367</v>
      </c>
      <c r="D1688" s="1">
        <v>24.0</v>
      </c>
      <c r="E1688" s="3">
        <v>40148.57152777778</v>
      </c>
      <c r="F1688" s="1">
        <v>0.55</v>
      </c>
      <c r="G1688" s="1">
        <v>12921.0</v>
      </c>
      <c r="H1688" s="1" t="s">
        <v>14</v>
      </c>
      <c r="I1688" s="4">
        <v>40148.0</v>
      </c>
      <c r="J1688" s="5">
        <v>0.5715277777777777</v>
      </c>
      <c r="K1688" s="1">
        <v>13.0</v>
      </c>
      <c r="L1688" s="1">
        <v>13.2</v>
      </c>
    </row>
    <row r="1689">
      <c r="A1689" s="1">
        <v>489580.0</v>
      </c>
      <c r="B1689" s="2" t="s">
        <v>412</v>
      </c>
      <c r="C1689" s="1" t="s">
        <v>413</v>
      </c>
      <c r="D1689" s="1">
        <v>24.0</v>
      </c>
      <c r="E1689" s="3">
        <v>40148.57152777778</v>
      </c>
      <c r="F1689" s="1">
        <v>0.55</v>
      </c>
      <c r="G1689" s="1">
        <v>12921.0</v>
      </c>
      <c r="H1689" s="1" t="s">
        <v>14</v>
      </c>
      <c r="I1689" s="4">
        <v>40148.0</v>
      </c>
      <c r="J1689" s="5">
        <v>0.5715277777777777</v>
      </c>
      <c r="K1689" s="1">
        <v>13.0</v>
      </c>
      <c r="L1689" s="1">
        <v>13.2</v>
      </c>
    </row>
    <row r="1690">
      <c r="A1690" s="1">
        <v>489580.0</v>
      </c>
      <c r="B1690" s="2" t="s">
        <v>368</v>
      </c>
      <c r="C1690" s="1" t="s">
        <v>369</v>
      </c>
      <c r="D1690" s="1">
        <v>24.0</v>
      </c>
      <c r="E1690" s="3">
        <v>40148.57152777778</v>
      </c>
      <c r="F1690" s="1">
        <v>0.55</v>
      </c>
      <c r="G1690" s="1">
        <v>12921.0</v>
      </c>
      <c r="H1690" s="1" t="s">
        <v>14</v>
      </c>
      <c r="I1690" s="4">
        <v>40148.0</v>
      </c>
      <c r="J1690" s="5">
        <v>0.5715277777777777</v>
      </c>
      <c r="K1690" s="1">
        <v>13.0</v>
      </c>
      <c r="L1690" s="1">
        <v>13.2</v>
      </c>
    </row>
    <row r="1691">
      <c r="A1691" s="1">
        <v>489580.0</v>
      </c>
      <c r="B1691" s="2" t="s">
        <v>414</v>
      </c>
      <c r="C1691" s="1" t="s">
        <v>415</v>
      </c>
      <c r="D1691" s="1">
        <v>108.0</v>
      </c>
      <c r="E1691" s="3">
        <v>40148.57152777778</v>
      </c>
      <c r="F1691" s="1">
        <v>1.25</v>
      </c>
      <c r="G1691" s="1">
        <v>12921.0</v>
      </c>
      <c r="H1691" s="1" t="s">
        <v>14</v>
      </c>
      <c r="I1691" s="4">
        <v>40148.0</v>
      </c>
      <c r="J1691" s="5">
        <v>0.5715277777777777</v>
      </c>
      <c r="K1691" s="1">
        <v>13.0</v>
      </c>
      <c r="L1691" s="1">
        <v>135.0</v>
      </c>
    </row>
    <row r="1692">
      <c r="A1692" s="1" t="s">
        <v>1825</v>
      </c>
      <c r="B1692" s="2" t="s">
        <v>1826</v>
      </c>
      <c r="C1692" s="1" t="s">
        <v>1827</v>
      </c>
      <c r="D1692" s="1">
        <v>-1.0</v>
      </c>
      <c r="E1692" s="3">
        <v>40148.57430555556</v>
      </c>
      <c r="F1692" s="1">
        <v>4.25</v>
      </c>
      <c r="G1692" s="1">
        <v>14621.0</v>
      </c>
      <c r="H1692" s="1" t="s">
        <v>14</v>
      </c>
      <c r="I1692" s="4">
        <v>40148.0</v>
      </c>
      <c r="J1692" s="5">
        <v>0.5743055555555555</v>
      </c>
      <c r="K1692" s="1">
        <v>13.0</v>
      </c>
      <c r="L1692" s="1">
        <v>-4.25</v>
      </c>
    </row>
    <row r="1693">
      <c r="A1693" s="1" t="s">
        <v>1825</v>
      </c>
      <c r="B1693" s="2" t="s">
        <v>1828</v>
      </c>
      <c r="C1693" s="1" t="s">
        <v>1829</v>
      </c>
      <c r="D1693" s="1">
        <v>-1.0</v>
      </c>
      <c r="E1693" s="3">
        <v>40148.57430555556</v>
      </c>
      <c r="F1693" s="1">
        <v>4.25</v>
      </c>
      <c r="G1693" s="1">
        <v>14621.0</v>
      </c>
      <c r="H1693" s="1" t="s">
        <v>14</v>
      </c>
      <c r="I1693" s="4">
        <v>40148.0</v>
      </c>
      <c r="J1693" s="5">
        <v>0.5743055555555555</v>
      </c>
      <c r="K1693" s="1">
        <v>13.0</v>
      </c>
      <c r="L1693" s="1">
        <v>-4.25</v>
      </c>
    </row>
    <row r="1694">
      <c r="A1694" s="1" t="s">
        <v>1825</v>
      </c>
      <c r="B1694" s="2" t="s">
        <v>964</v>
      </c>
      <c r="C1694" s="1" t="s">
        <v>965</v>
      </c>
      <c r="D1694" s="1">
        <v>-2.0</v>
      </c>
      <c r="E1694" s="3">
        <v>40148.57430555556</v>
      </c>
      <c r="F1694" s="1">
        <v>4.25</v>
      </c>
      <c r="G1694" s="1">
        <v>14621.0</v>
      </c>
      <c r="H1694" s="1" t="s">
        <v>14</v>
      </c>
      <c r="I1694" s="4">
        <v>40148.0</v>
      </c>
      <c r="J1694" s="5">
        <v>0.5743055555555555</v>
      </c>
      <c r="K1694" s="1">
        <v>13.0</v>
      </c>
      <c r="L1694" s="1">
        <v>-8.5</v>
      </c>
    </row>
    <row r="1695">
      <c r="A1695" s="1" t="s">
        <v>1825</v>
      </c>
      <c r="B1695" s="2" t="s">
        <v>1545</v>
      </c>
      <c r="C1695" s="1" t="s">
        <v>1546</v>
      </c>
      <c r="D1695" s="1">
        <v>-1.0</v>
      </c>
      <c r="E1695" s="3">
        <v>40148.57430555556</v>
      </c>
      <c r="F1695" s="1">
        <v>6.35</v>
      </c>
      <c r="G1695" s="1">
        <v>14621.0</v>
      </c>
      <c r="H1695" s="1" t="s">
        <v>14</v>
      </c>
      <c r="I1695" s="4">
        <v>40148.0</v>
      </c>
      <c r="J1695" s="5">
        <v>0.5743055555555555</v>
      </c>
      <c r="K1695" s="1">
        <v>13.0</v>
      </c>
      <c r="L1695" s="1">
        <v>-6.35</v>
      </c>
    </row>
    <row r="1696">
      <c r="A1696" s="1">
        <v>489582.0</v>
      </c>
      <c r="B1696" s="2" t="s">
        <v>1830</v>
      </c>
      <c r="C1696" s="1" t="s">
        <v>1831</v>
      </c>
      <c r="D1696" s="1">
        <v>10.0</v>
      </c>
      <c r="E1696" s="3">
        <v>40148.57430555556</v>
      </c>
      <c r="F1696" s="1">
        <v>2.95</v>
      </c>
      <c r="G1696" s="1">
        <v>14543.0</v>
      </c>
      <c r="H1696" s="1" t="s">
        <v>14</v>
      </c>
      <c r="I1696" s="4">
        <v>40148.0</v>
      </c>
      <c r="J1696" s="5">
        <v>0.5743055555555555</v>
      </c>
      <c r="K1696" s="1">
        <v>13.0</v>
      </c>
      <c r="L1696" s="1">
        <v>29.5</v>
      </c>
    </row>
    <row r="1697">
      <c r="A1697" s="1">
        <v>489582.0</v>
      </c>
      <c r="B1697" s="2" t="s">
        <v>89</v>
      </c>
      <c r="C1697" s="1" t="s">
        <v>90</v>
      </c>
      <c r="D1697" s="1">
        <v>2.0</v>
      </c>
      <c r="E1697" s="3">
        <v>40148.57430555556</v>
      </c>
      <c r="F1697" s="1">
        <v>8.95</v>
      </c>
      <c r="G1697" s="1">
        <v>14543.0</v>
      </c>
      <c r="H1697" s="1" t="s">
        <v>14</v>
      </c>
      <c r="I1697" s="4">
        <v>40148.0</v>
      </c>
      <c r="J1697" s="5">
        <v>0.5743055555555555</v>
      </c>
      <c r="K1697" s="1">
        <v>13.0</v>
      </c>
      <c r="L1697" s="1">
        <v>17.9</v>
      </c>
    </row>
    <row r="1698">
      <c r="A1698" s="1">
        <v>489582.0</v>
      </c>
      <c r="B1698" s="2" t="s">
        <v>1832</v>
      </c>
      <c r="C1698" s="1" t="s">
        <v>1833</v>
      </c>
      <c r="D1698" s="1">
        <v>72.0</v>
      </c>
      <c r="E1698" s="3">
        <v>40148.57430555556</v>
      </c>
      <c r="F1698" s="1">
        <v>0.95</v>
      </c>
      <c r="G1698" s="1">
        <v>14543.0</v>
      </c>
      <c r="H1698" s="1" t="s">
        <v>14</v>
      </c>
      <c r="I1698" s="4">
        <v>40148.0</v>
      </c>
      <c r="J1698" s="5">
        <v>0.5743055555555555</v>
      </c>
      <c r="K1698" s="1">
        <v>13.0</v>
      </c>
      <c r="L1698" s="1">
        <v>68.3999999999999</v>
      </c>
    </row>
    <row r="1699">
      <c r="A1699" s="1">
        <v>489582.0</v>
      </c>
      <c r="B1699" s="2" t="s">
        <v>1834</v>
      </c>
      <c r="C1699" s="1" t="s">
        <v>1835</v>
      </c>
      <c r="D1699" s="1">
        <v>1.0</v>
      </c>
      <c r="E1699" s="3">
        <v>40148.57430555556</v>
      </c>
      <c r="F1699" s="1">
        <v>14.95</v>
      </c>
      <c r="G1699" s="1">
        <v>14543.0</v>
      </c>
      <c r="H1699" s="1" t="s">
        <v>14</v>
      </c>
      <c r="I1699" s="4">
        <v>40148.0</v>
      </c>
      <c r="J1699" s="5">
        <v>0.5743055555555555</v>
      </c>
      <c r="K1699" s="1">
        <v>13.0</v>
      </c>
      <c r="L1699" s="1">
        <v>14.95</v>
      </c>
    </row>
    <row r="1700">
      <c r="A1700" s="1">
        <v>489582.0</v>
      </c>
      <c r="B1700" s="2" t="s">
        <v>1543</v>
      </c>
      <c r="C1700" s="1" t="s">
        <v>1544</v>
      </c>
      <c r="D1700" s="1">
        <v>2.0</v>
      </c>
      <c r="E1700" s="3">
        <v>40148.57430555556</v>
      </c>
      <c r="F1700" s="1">
        <v>12.75</v>
      </c>
      <c r="G1700" s="1">
        <v>14543.0</v>
      </c>
      <c r="H1700" s="1" t="s">
        <v>14</v>
      </c>
      <c r="I1700" s="4">
        <v>40148.0</v>
      </c>
      <c r="J1700" s="5">
        <v>0.5743055555555555</v>
      </c>
      <c r="K1700" s="1">
        <v>13.0</v>
      </c>
      <c r="L1700" s="1">
        <v>25.5</v>
      </c>
    </row>
    <row r="1701">
      <c r="A1701" s="1">
        <v>489582.0</v>
      </c>
      <c r="B1701" s="2" t="s">
        <v>12</v>
      </c>
      <c r="C1701" s="1" t="s">
        <v>13</v>
      </c>
      <c r="D1701" s="1">
        <v>2.0</v>
      </c>
      <c r="E1701" s="3">
        <v>40148.57430555556</v>
      </c>
      <c r="F1701" s="1">
        <v>7.95</v>
      </c>
      <c r="G1701" s="1">
        <v>14543.0</v>
      </c>
      <c r="H1701" s="1" t="s">
        <v>14</v>
      </c>
      <c r="I1701" s="4">
        <v>40148.0</v>
      </c>
      <c r="J1701" s="5">
        <v>0.5743055555555555</v>
      </c>
      <c r="K1701" s="1">
        <v>13.0</v>
      </c>
      <c r="L1701" s="1">
        <v>15.9</v>
      </c>
    </row>
    <row r="1702">
      <c r="A1702" s="1">
        <v>489582.0</v>
      </c>
      <c r="B1702" s="2" t="s">
        <v>1836</v>
      </c>
      <c r="C1702" s="1" t="s">
        <v>1837</v>
      </c>
      <c r="D1702" s="1">
        <v>12.0</v>
      </c>
      <c r="E1702" s="3">
        <v>40148.57430555556</v>
      </c>
      <c r="F1702" s="1">
        <v>4.25</v>
      </c>
      <c r="G1702" s="1">
        <v>14543.0</v>
      </c>
      <c r="H1702" s="1" t="s">
        <v>14</v>
      </c>
      <c r="I1702" s="4">
        <v>40148.0</v>
      </c>
      <c r="J1702" s="5">
        <v>0.5743055555555555</v>
      </c>
      <c r="K1702" s="1">
        <v>13.0</v>
      </c>
      <c r="L1702" s="1">
        <v>51.0</v>
      </c>
    </row>
    <row r="1703">
      <c r="A1703" s="1">
        <v>489582.0</v>
      </c>
      <c r="B1703" s="2" t="s">
        <v>1838</v>
      </c>
      <c r="C1703" s="1" t="s">
        <v>1839</v>
      </c>
      <c r="D1703" s="1">
        <v>18.0</v>
      </c>
      <c r="E1703" s="3">
        <v>40148.57430555556</v>
      </c>
      <c r="F1703" s="1">
        <v>2.95</v>
      </c>
      <c r="G1703" s="1">
        <v>14543.0</v>
      </c>
      <c r="H1703" s="1" t="s">
        <v>14</v>
      </c>
      <c r="I1703" s="4">
        <v>40148.0</v>
      </c>
      <c r="J1703" s="5">
        <v>0.5743055555555555</v>
      </c>
      <c r="K1703" s="1">
        <v>13.0</v>
      </c>
      <c r="L1703" s="1">
        <v>53.1</v>
      </c>
    </row>
    <row r="1704">
      <c r="A1704" s="1">
        <v>489582.0</v>
      </c>
      <c r="B1704" s="2" t="s">
        <v>1840</v>
      </c>
      <c r="C1704" s="1" t="s">
        <v>1841</v>
      </c>
      <c r="D1704" s="1">
        <v>6.0</v>
      </c>
      <c r="E1704" s="3">
        <v>40148.57430555556</v>
      </c>
      <c r="F1704" s="1">
        <v>2.95</v>
      </c>
      <c r="G1704" s="1">
        <v>14543.0</v>
      </c>
      <c r="H1704" s="1" t="s">
        <v>14</v>
      </c>
      <c r="I1704" s="4">
        <v>40148.0</v>
      </c>
      <c r="J1704" s="5">
        <v>0.5743055555555555</v>
      </c>
      <c r="K1704" s="1">
        <v>13.0</v>
      </c>
      <c r="L1704" s="1">
        <v>17.7</v>
      </c>
    </row>
    <row r="1705">
      <c r="A1705" s="1">
        <v>489581.0</v>
      </c>
      <c r="B1705" s="2" t="s">
        <v>1842</v>
      </c>
      <c r="C1705" s="1" t="s">
        <v>1843</v>
      </c>
      <c r="D1705" s="1">
        <v>1.0</v>
      </c>
      <c r="E1705" s="3">
        <v>40148.57430555556</v>
      </c>
      <c r="F1705" s="1">
        <v>4.95</v>
      </c>
      <c r="G1705" s="1">
        <v>15945.0</v>
      </c>
      <c r="H1705" s="1" t="s">
        <v>14</v>
      </c>
      <c r="I1705" s="4">
        <v>40148.0</v>
      </c>
      <c r="J1705" s="5">
        <v>0.5743055555555555</v>
      </c>
      <c r="K1705" s="1">
        <v>13.0</v>
      </c>
      <c r="L1705" s="1">
        <v>4.95</v>
      </c>
    </row>
    <row r="1706">
      <c r="A1706" s="1">
        <v>489581.0</v>
      </c>
      <c r="B1706" s="2" t="s">
        <v>1844</v>
      </c>
      <c r="C1706" s="1" t="s">
        <v>1845</v>
      </c>
      <c r="D1706" s="1">
        <v>1.0</v>
      </c>
      <c r="E1706" s="3">
        <v>40148.57430555556</v>
      </c>
      <c r="F1706" s="1">
        <v>1.65</v>
      </c>
      <c r="G1706" s="1">
        <v>15945.0</v>
      </c>
      <c r="H1706" s="1" t="s">
        <v>14</v>
      </c>
      <c r="I1706" s="4">
        <v>40148.0</v>
      </c>
      <c r="J1706" s="5">
        <v>0.5743055555555555</v>
      </c>
      <c r="K1706" s="1">
        <v>13.0</v>
      </c>
      <c r="L1706" s="1">
        <v>1.65</v>
      </c>
    </row>
    <row r="1707">
      <c r="A1707" s="1">
        <v>489581.0</v>
      </c>
      <c r="B1707" s="2" t="s">
        <v>1846</v>
      </c>
      <c r="C1707" s="1" t="s">
        <v>1847</v>
      </c>
      <c r="D1707" s="1">
        <v>8.0</v>
      </c>
      <c r="E1707" s="3">
        <v>40148.57430555556</v>
      </c>
      <c r="F1707" s="1">
        <v>0.65</v>
      </c>
      <c r="G1707" s="1">
        <v>15945.0</v>
      </c>
      <c r="H1707" s="1" t="s">
        <v>14</v>
      </c>
      <c r="I1707" s="4">
        <v>40148.0</v>
      </c>
      <c r="J1707" s="5">
        <v>0.5743055555555555</v>
      </c>
      <c r="K1707" s="1">
        <v>13.0</v>
      </c>
      <c r="L1707" s="1">
        <v>5.2</v>
      </c>
    </row>
    <row r="1708">
      <c r="A1708" s="1">
        <v>489581.0</v>
      </c>
      <c r="B1708" s="2" t="s">
        <v>291</v>
      </c>
      <c r="C1708" s="1" t="s">
        <v>292</v>
      </c>
      <c r="D1708" s="1">
        <v>1.0</v>
      </c>
      <c r="E1708" s="3">
        <v>40148.57430555556</v>
      </c>
      <c r="F1708" s="1">
        <v>3.95</v>
      </c>
      <c r="G1708" s="1">
        <v>15945.0</v>
      </c>
      <c r="H1708" s="1" t="s">
        <v>14</v>
      </c>
      <c r="I1708" s="4">
        <v>40148.0</v>
      </c>
      <c r="J1708" s="5">
        <v>0.5743055555555555</v>
      </c>
      <c r="K1708" s="1">
        <v>13.0</v>
      </c>
      <c r="L1708" s="1">
        <v>3.95</v>
      </c>
    </row>
    <row r="1709">
      <c r="A1709" s="1">
        <v>489581.0</v>
      </c>
      <c r="B1709" s="2" t="s">
        <v>1240</v>
      </c>
      <c r="C1709" s="1" t="s">
        <v>1241</v>
      </c>
      <c r="D1709" s="1">
        <v>1.0</v>
      </c>
      <c r="E1709" s="3">
        <v>40148.57430555556</v>
      </c>
      <c r="F1709" s="1">
        <v>2.1</v>
      </c>
      <c r="G1709" s="1">
        <v>15945.0</v>
      </c>
      <c r="H1709" s="1" t="s">
        <v>14</v>
      </c>
      <c r="I1709" s="4">
        <v>40148.0</v>
      </c>
      <c r="J1709" s="5">
        <v>0.5743055555555555</v>
      </c>
      <c r="K1709" s="1">
        <v>13.0</v>
      </c>
      <c r="L1709" s="1">
        <v>2.1</v>
      </c>
    </row>
    <row r="1710">
      <c r="A1710" s="1">
        <v>489581.0</v>
      </c>
      <c r="B1710" s="2" t="s">
        <v>1848</v>
      </c>
      <c r="C1710" s="1" t="s">
        <v>1849</v>
      </c>
      <c r="D1710" s="1">
        <v>1.0</v>
      </c>
      <c r="E1710" s="3">
        <v>40148.57430555556</v>
      </c>
      <c r="F1710" s="1">
        <v>0.42</v>
      </c>
      <c r="G1710" s="1">
        <v>15945.0</v>
      </c>
      <c r="H1710" s="1" t="s">
        <v>14</v>
      </c>
      <c r="I1710" s="4">
        <v>40148.0</v>
      </c>
      <c r="J1710" s="5">
        <v>0.5743055555555555</v>
      </c>
      <c r="K1710" s="1">
        <v>13.0</v>
      </c>
      <c r="L1710" s="1">
        <v>0.42</v>
      </c>
    </row>
    <row r="1711">
      <c r="A1711" s="1">
        <v>489581.0</v>
      </c>
      <c r="B1711" s="2" t="s">
        <v>1850</v>
      </c>
      <c r="C1711" s="1" t="s">
        <v>1851</v>
      </c>
      <c r="D1711" s="1">
        <v>12.0</v>
      </c>
      <c r="E1711" s="3">
        <v>40148.57430555556</v>
      </c>
      <c r="F1711" s="1">
        <v>0.85</v>
      </c>
      <c r="G1711" s="1">
        <v>15945.0</v>
      </c>
      <c r="H1711" s="1" t="s">
        <v>14</v>
      </c>
      <c r="I1711" s="4">
        <v>40148.0</v>
      </c>
      <c r="J1711" s="5">
        <v>0.5743055555555555</v>
      </c>
      <c r="K1711" s="1">
        <v>13.0</v>
      </c>
      <c r="L1711" s="1">
        <v>10.2</v>
      </c>
    </row>
    <row r="1712">
      <c r="A1712" s="1">
        <v>489581.0</v>
      </c>
      <c r="B1712" s="2" t="s">
        <v>1852</v>
      </c>
      <c r="C1712" s="1" t="s">
        <v>1853</v>
      </c>
      <c r="D1712" s="1">
        <v>64.0</v>
      </c>
      <c r="E1712" s="3">
        <v>40148.57430555556</v>
      </c>
      <c r="F1712" s="1">
        <v>0.42</v>
      </c>
      <c r="G1712" s="1">
        <v>15945.0</v>
      </c>
      <c r="H1712" s="1" t="s">
        <v>14</v>
      </c>
      <c r="I1712" s="4">
        <v>40148.0</v>
      </c>
      <c r="J1712" s="5">
        <v>0.5743055555555555</v>
      </c>
      <c r="K1712" s="1">
        <v>13.0</v>
      </c>
      <c r="L1712" s="1">
        <v>26.88</v>
      </c>
    </row>
    <row r="1713">
      <c r="A1713" s="1">
        <v>489581.0</v>
      </c>
      <c r="B1713" s="2" t="s">
        <v>1854</v>
      </c>
      <c r="C1713" s="1" t="s">
        <v>1855</v>
      </c>
      <c r="D1713" s="1">
        <v>36.0</v>
      </c>
      <c r="E1713" s="3">
        <v>40148.57430555556</v>
      </c>
      <c r="F1713" s="1">
        <v>0.38</v>
      </c>
      <c r="G1713" s="1">
        <v>15945.0</v>
      </c>
      <c r="H1713" s="1" t="s">
        <v>14</v>
      </c>
      <c r="I1713" s="4">
        <v>40148.0</v>
      </c>
      <c r="J1713" s="5">
        <v>0.5743055555555555</v>
      </c>
      <c r="K1713" s="1">
        <v>13.0</v>
      </c>
      <c r="L1713" s="1">
        <v>13.68</v>
      </c>
    </row>
    <row r="1714">
      <c r="A1714" s="1">
        <v>489581.0</v>
      </c>
      <c r="B1714" s="2" t="s">
        <v>1856</v>
      </c>
      <c r="C1714" s="1" t="s">
        <v>1857</v>
      </c>
      <c r="D1714" s="1">
        <v>12.0</v>
      </c>
      <c r="E1714" s="3">
        <v>40148.57430555556</v>
      </c>
      <c r="F1714" s="1">
        <v>4.65</v>
      </c>
      <c r="G1714" s="1">
        <v>15945.0</v>
      </c>
      <c r="H1714" s="1" t="s">
        <v>14</v>
      </c>
      <c r="I1714" s="4">
        <v>40148.0</v>
      </c>
      <c r="J1714" s="5">
        <v>0.5743055555555555</v>
      </c>
      <c r="K1714" s="1">
        <v>13.0</v>
      </c>
      <c r="L1714" s="1">
        <v>55.8</v>
      </c>
    </row>
    <row r="1715">
      <c r="A1715" s="1">
        <v>489584.0</v>
      </c>
      <c r="B1715" s="2" t="s">
        <v>1858</v>
      </c>
      <c r="C1715" s="1" t="s">
        <v>1859</v>
      </c>
      <c r="D1715" s="1">
        <v>1.0</v>
      </c>
      <c r="E1715" s="3">
        <v>40148.575</v>
      </c>
      <c r="F1715" s="1">
        <v>21.95</v>
      </c>
      <c r="G1715" s="1">
        <v>18037.0</v>
      </c>
      <c r="H1715" s="1" t="s">
        <v>14</v>
      </c>
      <c r="I1715" s="4">
        <v>40148.0</v>
      </c>
      <c r="J1715" s="5">
        <v>0.575</v>
      </c>
      <c r="K1715" s="1">
        <v>13.0</v>
      </c>
      <c r="L1715" s="1">
        <v>21.95</v>
      </c>
    </row>
    <row r="1716">
      <c r="A1716" s="1">
        <v>489585.0</v>
      </c>
      <c r="B1716" s="2" t="s">
        <v>899</v>
      </c>
      <c r="C1716" s="1" t="s">
        <v>900</v>
      </c>
      <c r="D1716" s="1">
        <v>24.0</v>
      </c>
      <c r="E1716" s="3">
        <v>40148.575694444444</v>
      </c>
      <c r="F1716" s="1">
        <v>0.85</v>
      </c>
      <c r="G1716" s="1">
        <v>15662.0</v>
      </c>
      <c r="H1716" s="1" t="s">
        <v>14</v>
      </c>
      <c r="I1716" s="4">
        <v>40148.0</v>
      </c>
      <c r="J1716" s="5">
        <v>0.5756944444444444</v>
      </c>
      <c r="K1716" s="1">
        <v>13.0</v>
      </c>
      <c r="L1716" s="1">
        <v>20.4</v>
      </c>
    </row>
    <row r="1717">
      <c r="A1717" s="1">
        <v>489585.0</v>
      </c>
      <c r="B1717" s="2" t="s">
        <v>617</v>
      </c>
      <c r="C1717" s="1" t="s">
        <v>618</v>
      </c>
      <c r="D1717" s="1">
        <v>24.0</v>
      </c>
      <c r="E1717" s="3">
        <v>40148.575694444444</v>
      </c>
      <c r="F1717" s="1">
        <v>1.69</v>
      </c>
      <c r="G1717" s="1">
        <v>15662.0</v>
      </c>
      <c r="H1717" s="1" t="s">
        <v>14</v>
      </c>
      <c r="I1717" s="4">
        <v>40148.0</v>
      </c>
      <c r="J1717" s="5">
        <v>0.5756944444444444</v>
      </c>
      <c r="K1717" s="1">
        <v>13.0</v>
      </c>
      <c r="L1717" s="1">
        <v>40.56</v>
      </c>
    </row>
    <row r="1718">
      <c r="A1718" s="1">
        <v>489585.0</v>
      </c>
      <c r="B1718" s="2" t="s">
        <v>43</v>
      </c>
      <c r="C1718" s="1" t="s">
        <v>44</v>
      </c>
      <c r="D1718" s="1">
        <v>16.0</v>
      </c>
      <c r="E1718" s="3">
        <v>40148.575694444444</v>
      </c>
      <c r="F1718" s="1">
        <v>1.69</v>
      </c>
      <c r="G1718" s="1">
        <v>15662.0</v>
      </c>
      <c r="H1718" s="1" t="s">
        <v>14</v>
      </c>
      <c r="I1718" s="4">
        <v>40148.0</v>
      </c>
      <c r="J1718" s="5">
        <v>0.5756944444444444</v>
      </c>
      <c r="K1718" s="1">
        <v>13.0</v>
      </c>
      <c r="L1718" s="1">
        <v>27.04</v>
      </c>
    </row>
    <row r="1719">
      <c r="A1719" s="1">
        <v>489585.0</v>
      </c>
      <c r="B1719" s="2" t="s">
        <v>39</v>
      </c>
      <c r="C1719" s="1" t="s">
        <v>40</v>
      </c>
      <c r="D1719" s="1">
        <v>3.0</v>
      </c>
      <c r="E1719" s="3">
        <v>40148.575694444444</v>
      </c>
      <c r="F1719" s="1">
        <v>5.95</v>
      </c>
      <c r="G1719" s="1">
        <v>15662.0</v>
      </c>
      <c r="H1719" s="1" t="s">
        <v>14</v>
      </c>
      <c r="I1719" s="4">
        <v>40148.0</v>
      </c>
      <c r="J1719" s="5">
        <v>0.5756944444444444</v>
      </c>
      <c r="K1719" s="1">
        <v>13.0</v>
      </c>
      <c r="L1719" s="1">
        <v>17.85</v>
      </c>
    </row>
    <row r="1720">
      <c r="A1720" s="1">
        <v>489586.0</v>
      </c>
      <c r="B1720" s="2" t="s">
        <v>1379</v>
      </c>
      <c r="C1720" s="1" t="s">
        <v>1380</v>
      </c>
      <c r="D1720" s="1">
        <v>36.0</v>
      </c>
      <c r="E1720" s="3">
        <v>40148.57638888889</v>
      </c>
      <c r="F1720" s="1">
        <v>2.95</v>
      </c>
      <c r="G1720" s="1">
        <v>15380.0</v>
      </c>
      <c r="H1720" s="1" t="s">
        <v>14</v>
      </c>
      <c r="I1720" s="4">
        <v>40148.0</v>
      </c>
      <c r="J1720" s="5">
        <v>0.5763888888888888</v>
      </c>
      <c r="K1720" s="1">
        <v>13.0</v>
      </c>
      <c r="L1720" s="1">
        <v>106.2</v>
      </c>
    </row>
    <row r="1721">
      <c r="A1721" s="1">
        <v>489586.0</v>
      </c>
      <c r="B1721" s="2" t="s">
        <v>1860</v>
      </c>
      <c r="C1721" s="1" t="s">
        <v>1861</v>
      </c>
      <c r="D1721" s="1">
        <v>24.0</v>
      </c>
      <c r="E1721" s="3">
        <v>40148.57638888889</v>
      </c>
      <c r="F1721" s="1">
        <v>1.95</v>
      </c>
      <c r="G1721" s="1">
        <v>15380.0</v>
      </c>
      <c r="H1721" s="1" t="s">
        <v>14</v>
      </c>
      <c r="I1721" s="4">
        <v>40148.0</v>
      </c>
      <c r="J1721" s="5">
        <v>0.5763888888888888</v>
      </c>
      <c r="K1721" s="1">
        <v>13.0</v>
      </c>
      <c r="L1721" s="1">
        <v>46.8</v>
      </c>
    </row>
    <row r="1722">
      <c r="A1722" s="1">
        <v>489586.0</v>
      </c>
      <c r="B1722" s="2" t="s">
        <v>1793</v>
      </c>
      <c r="C1722" s="1" t="s">
        <v>1794</v>
      </c>
      <c r="D1722" s="1">
        <v>18.0</v>
      </c>
      <c r="E1722" s="3">
        <v>40148.57638888889</v>
      </c>
      <c r="F1722" s="1">
        <v>3.39</v>
      </c>
      <c r="G1722" s="1">
        <v>15380.0</v>
      </c>
      <c r="H1722" s="1" t="s">
        <v>14</v>
      </c>
      <c r="I1722" s="4">
        <v>40148.0</v>
      </c>
      <c r="J1722" s="5">
        <v>0.5763888888888888</v>
      </c>
      <c r="K1722" s="1">
        <v>13.0</v>
      </c>
      <c r="L1722" s="1">
        <v>61.02</v>
      </c>
    </row>
    <row r="1723">
      <c r="A1723" s="1">
        <v>489586.0</v>
      </c>
      <c r="B1723" s="2" t="s">
        <v>1862</v>
      </c>
      <c r="C1723" s="1" t="s">
        <v>1863</v>
      </c>
      <c r="D1723" s="1">
        <v>8.0</v>
      </c>
      <c r="E1723" s="3">
        <v>40148.57638888889</v>
      </c>
      <c r="F1723" s="1">
        <v>2.1</v>
      </c>
      <c r="G1723" s="1">
        <v>15380.0</v>
      </c>
      <c r="H1723" s="1" t="s">
        <v>14</v>
      </c>
      <c r="I1723" s="4">
        <v>40148.0</v>
      </c>
      <c r="J1723" s="5">
        <v>0.5763888888888888</v>
      </c>
      <c r="K1723" s="1">
        <v>13.0</v>
      </c>
      <c r="L1723" s="1">
        <v>16.8</v>
      </c>
    </row>
    <row r="1724">
      <c r="A1724" s="1">
        <v>489586.0</v>
      </c>
      <c r="B1724" s="2" t="s">
        <v>1864</v>
      </c>
      <c r="C1724" s="1" t="s">
        <v>1865</v>
      </c>
      <c r="D1724" s="1">
        <v>8.0</v>
      </c>
      <c r="E1724" s="3">
        <v>40148.57638888889</v>
      </c>
      <c r="F1724" s="1">
        <v>1.95</v>
      </c>
      <c r="G1724" s="1">
        <v>15380.0</v>
      </c>
      <c r="H1724" s="1" t="s">
        <v>14</v>
      </c>
      <c r="I1724" s="4">
        <v>40148.0</v>
      </c>
      <c r="J1724" s="5">
        <v>0.5763888888888888</v>
      </c>
      <c r="K1724" s="1">
        <v>13.0</v>
      </c>
      <c r="L1724" s="1">
        <v>15.6</v>
      </c>
    </row>
    <row r="1725">
      <c r="A1725" s="1">
        <v>489586.0</v>
      </c>
      <c r="B1725" s="2" t="s">
        <v>331</v>
      </c>
      <c r="C1725" s="1" t="s">
        <v>332</v>
      </c>
      <c r="D1725" s="1">
        <v>4.0</v>
      </c>
      <c r="E1725" s="3">
        <v>40148.57638888889</v>
      </c>
      <c r="F1725" s="1">
        <v>4.25</v>
      </c>
      <c r="G1725" s="1">
        <v>15380.0</v>
      </c>
      <c r="H1725" s="1" t="s">
        <v>14</v>
      </c>
      <c r="I1725" s="4">
        <v>40148.0</v>
      </c>
      <c r="J1725" s="5">
        <v>0.5763888888888888</v>
      </c>
      <c r="K1725" s="1">
        <v>13.0</v>
      </c>
      <c r="L1725" s="1">
        <v>17.0</v>
      </c>
    </row>
    <row r="1726">
      <c r="A1726" s="1" t="s">
        <v>1866</v>
      </c>
      <c r="B1726" s="2" t="s">
        <v>742</v>
      </c>
      <c r="C1726" s="1" t="s">
        <v>743</v>
      </c>
      <c r="D1726" s="1">
        <v>-5.0</v>
      </c>
      <c r="E1726" s="3">
        <v>40148.57777777778</v>
      </c>
      <c r="F1726" s="1">
        <v>0.85</v>
      </c>
      <c r="G1726" s="1">
        <v>16422.0</v>
      </c>
      <c r="H1726" s="1" t="s">
        <v>14</v>
      </c>
      <c r="I1726" s="4">
        <v>40148.0</v>
      </c>
      <c r="J1726" s="5">
        <v>0.5777777777777777</v>
      </c>
      <c r="K1726" s="1">
        <v>13.0</v>
      </c>
      <c r="L1726" s="1">
        <v>-4.25</v>
      </c>
    </row>
    <row r="1727">
      <c r="A1727" s="1" t="s">
        <v>1867</v>
      </c>
      <c r="B1727" s="2" t="s">
        <v>15</v>
      </c>
      <c r="C1727" s="1" t="s">
        <v>16</v>
      </c>
      <c r="D1727" s="1">
        <v>-2.0</v>
      </c>
      <c r="E1727" s="3">
        <v>40148.584027777775</v>
      </c>
      <c r="F1727" s="1">
        <v>6.75</v>
      </c>
      <c r="G1727" s="1">
        <v>13711.0</v>
      </c>
      <c r="H1727" s="1" t="s">
        <v>14</v>
      </c>
      <c r="I1727" s="4">
        <v>40148.0</v>
      </c>
      <c r="J1727" s="5">
        <v>0.5840277777777778</v>
      </c>
      <c r="K1727" s="1">
        <v>14.0</v>
      </c>
      <c r="L1727" s="1">
        <v>-13.5</v>
      </c>
    </row>
    <row r="1728">
      <c r="A1728" s="1" t="s">
        <v>1867</v>
      </c>
      <c r="B1728" s="2" t="s">
        <v>1868</v>
      </c>
      <c r="C1728" s="1" t="s">
        <v>1869</v>
      </c>
      <c r="D1728" s="1">
        <v>-2.0</v>
      </c>
      <c r="E1728" s="3">
        <v>40148.584027777775</v>
      </c>
      <c r="F1728" s="1">
        <v>6.75</v>
      </c>
      <c r="G1728" s="1">
        <v>13711.0</v>
      </c>
      <c r="H1728" s="1" t="s">
        <v>14</v>
      </c>
      <c r="I1728" s="4">
        <v>40148.0</v>
      </c>
      <c r="J1728" s="5">
        <v>0.5840277777777778</v>
      </c>
      <c r="K1728" s="1">
        <v>14.0</v>
      </c>
      <c r="L1728" s="1">
        <v>-13.5</v>
      </c>
    </row>
    <row r="1729">
      <c r="A1729" s="1" t="s">
        <v>1867</v>
      </c>
      <c r="B1729" s="2" t="s">
        <v>1870</v>
      </c>
      <c r="C1729" s="1" t="s">
        <v>1871</v>
      </c>
      <c r="D1729" s="1">
        <v>-1.0</v>
      </c>
      <c r="E1729" s="3">
        <v>40148.584027777775</v>
      </c>
      <c r="F1729" s="1">
        <v>9.95</v>
      </c>
      <c r="G1729" s="1">
        <v>13711.0</v>
      </c>
      <c r="H1729" s="1" t="s">
        <v>14</v>
      </c>
      <c r="I1729" s="4">
        <v>40148.0</v>
      </c>
      <c r="J1729" s="5">
        <v>0.5840277777777778</v>
      </c>
      <c r="K1729" s="1">
        <v>14.0</v>
      </c>
      <c r="L1729" s="1">
        <v>-9.95</v>
      </c>
    </row>
    <row r="1730">
      <c r="A1730" s="1" t="s">
        <v>1872</v>
      </c>
      <c r="B1730" s="2" t="s">
        <v>873</v>
      </c>
      <c r="C1730" s="1" t="s">
        <v>874</v>
      </c>
      <c r="D1730" s="1">
        <v>-1.0</v>
      </c>
      <c r="E1730" s="3">
        <v>40148.58472222222</v>
      </c>
      <c r="F1730" s="1">
        <v>2.55</v>
      </c>
      <c r="G1730" s="1">
        <v>16150.0</v>
      </c>
      <c r="H1730" s="1" t="s">
        <v>14</v>
      </c>
      <c r="I1730" s="4">
        <v>40148.0</v>
      </c>
      <c r="J1730" s="5">
        <v>0.5847222222222223</v>
      </c>
      <c r="K1730" s="1">
        <v>14.0</v>
      </c>
      <c r="L1730" s="1">
        <v>-2.55</v>
      </c>
    </row>
    <row r="1731">
      <c r="A1731" s="1" t="s">
        <v>1872</v>
      </c>
      <c r="B1731" s="2" t="s">
        <v>877</v>
      </c>
      <c r="C1731" s="1" t="s">
        <v>878</v>
      </c>
      <c r="D1731" s="1">
        <v>-1.0</v>
      </c>
      <c r="E1731" s="3">
        <v>40148.58472222222</v>
      </c>
      <c r="F1731" s="1">
        <v>3.75</v>
      </c>
      <c r="G1731" s="1">
        <v>16150.0</v>
      </c>
      <c r="H1731" s="1" t="s">
        <v>14</v>
      </c>
      <c r="I1731" s="4">
        <v>40148.0</v>
      </c>
      <c r="J1731" s="5">
        <v>0.5847222222222223</v>
      </c>
      <c r="K1731" s="1">
        <v>14.0</v>
      </c>
      <c r="L1731" s="1">
        <v>-3.75</v>
      </c>
    </row>
    <row r="1732">
      <c r="A1732" s="1">
        <v>489590.0</v>
      </c>
      <c r="B1732" s="2" t="s">
        <v>275</v>
      </c>
      <c r="C1732" s="1" t="s">
        <v>276</v>
      </c>
      <c r="D1732" s="1">
        <v>12.0</v>
      </c>
      <c r="E1732" s="3">
        <v>40148.59305555555</v>
      </c>
      <c r="F1732" s="1">
        <v>2.95</v>
      </c>
      <c r="G1732" s="1">
        <v>13110.0</v>
      </c>
      <c r="H1732" s="1" t="s">
        <v>14</v>
      </c>
      <c r="I1732" s="4">
        <v>40148.0</v>
      </c>
      <c r="J1732" s="5">
        <v>0.5930555555555556</v>
      </c>
      <c r="K1732" s="1">
        <v>14.0</v>
      </c>
      <c r="L1732" s="1">
        <v>35.4</v>
      </c>
    </row>
    <row r="1733">
      <c r="A1733" s="1">
        <v>489590.0</v>
      </c>
      <c r="B1733" s="2" t="s">
        <v>196</v>
      </c>
      <c r="C1733" s="1" t="s">
        <v>197</v>
      </c>
      <c r="D1733" s="1">
        <v>6.0</v>
      </c>
      <c r="E1733" s="3">
        <v>40148.59305555555</v>
      </c>
      <c r="F1733" s="1">
        <v>2.95</v>
      </c>
      <c r="G1733" s="1">
        <v>13110.0</v>
      </c>
      <c r="H1733" s="1" t="s">
        <v>14</v>
      </c>
      <c r="I1733" s="4">
        <v>40148.0</v>
      </c>
      <c r="J1733" s="5">
        <v>0.5930555555555556</v>
      </c>
      <c r="K1733" s="1">
        <v>14.0</v>
      </c>
      <c r="L1733" s="1">
        <v>17.7</v>
      </c>
    </row>
    <row r="1734">
      <c r="A1734" s="1">
        <v>489590.0</v>
      </c>
      <c r="B1734" s="2" t="s">
        <v>696</v>
      </c>
      <c r="C1734" s="1" t="s">
        <v>697</v>
      </c>
      <c r="D1734" s="1">
        <v>7.0</v>
      </c>
      <c r="E1734" s="3">
        <v>40148.59305555555</v>
      </c>
      <c r="F1734" s="1">
        <v>3.45</v>
      </c>
      <c r="G1734" s="1">
        <v>13110.0</v>
      </c>
      <c r="H1734" s="1" t="s">
        <v>14</v>
      </c>
      <c r="I1734" s="4">
        <v>40148.0</v>
      </c>
      <c r="J1734" s="5">
        <v>0.5930555555555556</v>
      </c>
      <c r="K1734" s="1">
        <v>14.0</v>
      </c>
      <c r="L1734" s="1">
        <v>24.15</v>
      </c>
    </row>
    <row r="1735">
      <c r="A1735" s="1">
        <v>489590.0</v>
      </c>
      <c r="B1735" s="2" t="s">
        <v>1873</v>
      </c>
      <c r="C1735" s="1" t="s">
        <v>1874</v>
      </c>
      <c r="D1735" s="1">
        <v>1.0</v>
      </c>
      <c r="E1735" s="3">
        <v>40148.59305555555</v>
      </c>
      <c r="F1735" s="1">
        <v>1.65</v>
      </c>
      <c r="G1735" s="1">
        <v>13110.0</v>
      </c>
      <c r="H1735" s="1" t="s">
        <v>14</v>
      </c>
      <c r="I1735" s="4">
        <v>40148.0</v>
      </c>
      <c r="J1735" s="5">
        <v>0.5930555555555556</v>
      </c>
      <c r="K1735" s="1">
        <v>14.0</v>
      </c>
      <c r="L1735" s="1">
        <v>1.65</v>
      </c>
    </row>
    <row r="1736">
      <c r="A1736" s="1">
        <v>489590.0</v>
      </c>
      <c r="B1736" s="2" t="s">
        <v>283</v>
      </c>
      <c r="C1736" s="1" t="s">
        <v>284</v>
      </c>
      <c r="D1736" s="1">
        <v>2.0</v>
      </c>
      <c r="E1736" s="3">
        <v>40148.59305555555</v>
      </c>
      <c r="F1736" s="1">
        <v>2.95</v>
      </c>
      <c r="G1736" s="1">
        <v>13110.0</v>
      </c>
      <c r="H1736" s="1" t="s">
        <v>14</v>
      </c>
      <c r="I1736" s="4">
        <v>40148.0</v>
      </c>
      <c r="J1736" s="5">
        <v>0.5930555555555556</v>
      </c>
      <c r="K1736" s="1">
        <v>14.0</v>
      </c>
      <c r="L1736" s="1">
        <v>5.9</v>
      </c>
    </row>
    <row r="1737">
      <c r="A1737" s="1">
        <v>489590.0</v>
      </c>
      <c r="B1737" s="2" t="s">
        <v>1875</v>
      </c>
      <c r="C1737" s="1" t="s">
        <v>1876</v>
      </c>
      <c r="D1737" s="1">
        <v>2.0</v>
      </c>
      <c r="E1737" s="3">
        <v>40148.59305555555</v>
      </c>
      <c r="F1737" s="1">
        <v>0.85</v>
      </c>
      <c r="G1737" s="1">
        <v>13110.0</v>
      </c>
      <c r="H1737" s="1" t="s">
        <v>14</v>
      </c>
      <c r="I1737" s="4">
        <v>40148.0</v>
      </c>
      <c r="J1737" s="5">
        <v>0.5930555555555556</v>
      </c>
      <c r="K1737" s="1">
        <v>14.0</v>
      </c>
      <c r="L1737" s="1">
        <v>1.7</v>
      </c>
    </row>
    <row r="1738">
      <c r="A1738" s="1">
        <v>489590.0</v>
      </c>
      <c r="B1738" s="2" t="s">
        <v>1877</v>
      </c>
      <c r="C1738" s="1" t="s">
        <v>1878</v>
      </c>
      <c r="D1738" s="1">
        <v>1.0</v>
      </c>
      <c r="E1738" s="3">
        <v>40148.59305555555</v>
      </c>
      <c r="F1738" s="1">
        <v>1.65</v>
      </c>
      <c r="G1738" s="1">
        <v>13110.0</v>
      </c>
      <c r="H1738" s="1" t="s">
        <v>14</v>
      </c>
      <c r="I1738" s="4">
        <v>40148.0</v>
      </c>
      <c r="J1738" s="5">
        <v>0.5930555555555556</v>
      </c>
      <c r="K1738" s="1">
        <v>14.0</v>
      </c>
      <c r="L1738" s="1">
        <v>1.65</v>
      </c>
    </row>
    <row r="1739">
      <c r="A1739" s="1">
        <v>489590.0</v>
      </c>
      <c r="B1739" s="2" t="s">
        <v>506</v>
      </c>
      <c r="C1739" s="1" t="s">
        <v>507</v>
      </c>
      <c r="D1739" s="1">
        <v>1.0</v>
      </c>
      <c r="E1739" s="3">
        <v>40148.59305555555</v>
      </c>
      <c r="F1739" s="1">
        <v>8.5</v>
      </c>
      <c r="G1739" s="1">
        <v>13110.0</v>
      </c>
      <c r="H1739" s="1" t="s">
        <v>14</v>
      </c>
      <c r="I1739" s="4">
        <v>40148.0</v>
      </c>
      <c r="J1739" s="5">
        <v>0.5930555555555556</v>
      </c>
      <c r="K1739" s="1">
        <v>14.0</v>
      </c>
      <c r="L1739" s="1">
        <v>8.5</v>
      </c>
    </row>
    <row r="1740">
      <c r="A1740" s="1">
        <v>489590.0</v>
      </c>
      <c r="B1740" s="2" t="s">
        <v>1879</v>
      </c>
      <c r="C1740" s="1" t="s">
        <v>1880</v>
      </c>
      <c r="D1740" s="1">
        <v>2.0</v>
      </c>
      <c r="E1740" s="3">
        <v>40148.59305555555</v>
      </c>
      <c r="F1740" s="1">
        <v>7.95</v>
      </c>
      <c r="G1740" s="1">
        <v>13110.0</v>
      </c>
      <c r="H1740" s="1" t="s">
        <v>14</v>
      </c>
      <c r="I1740" s="4">
        <v>40148.0</v>
      </c>
      <c r="J1740" s="5">
        <v>0.5930555555555556</v>
      </c>
      <c r="K1740" s="1">
        <v>14.0</v>
      </c>
      <c r="L1740" s="1">
        <v>15.9</v>
      </c>
    </row>
    <row r="1741">
      <c r="A1741" s="1">
        <v>489590.0</v>
      </c>
      <c r="B1741" s="2" t="s">
        <v>1027</v>
      </c>
      <c r="C1741" s="1" t="s">
        <v>1028</v>
      </c>
      <c r="D1741" s="1">
        <v>2.0</v>
      </c>
      <c r="E1741" s="3">
        <v>40148.59305555555</v>
      </c>
      <c r="F1741" s="1">
        <v>2.95</v>
      </c>
      <c r="G1741" s="1">
        <v>13110.0</v>
      </c>
      <c r="H1741" s="1" t="s">
        <v>14</v>
      </c>
      <c r="I1741" s="4">
        <v>40148.0</v>
      </c>
      <c r="J1741" s="5">
        <v>0.5930555555555556</v>
      </c>
      <c r="K1741" s="1">
        <v>14.0</v>
      </c>
      <c r="L1741" s="1">
        <v>5.9</v>
      </c>
    </row>
    <row r="1742">
      <c r="A1742" s="1">
        <v>489590.0</v>
      </c>
      <c r="B1742" s="2" t="s">
        <v>1881</v>
      </c>
      <c r="C1742" s="1" t="s">
        <v>1882</v>
      </c>
      <c r="D1742" s="1">
        <v>2.0</v>
      </c>
      <c r="E1742" s="3">
        <v>40148.59305555555</v>
      </c>
      <c r="F1742" s="1">
        <v>4.25</v>
      </c>
      <c r="G1742" s="1">
        <v>13110.0</v>
      </c>
      <c r="H1742" s="1" t="s">
        <v>14</v>
      </c>
      <c r="I1742" s="4">
        <v>40148.0</v>
      </c>
      <c r="J1742" s="5">
        <v>0.5930555555555556</v>
      </c>
      <c r="K1742" s="1">
        <v>14.0</v>
      </c>
      <c r="L1742" s="1">
        <v>8.5</v>
      </c>
    </row>
    <row r="1743">
      <c r="A1743" s="1">
        <v>489590.0</v>
      </c>
      <c r="B1743" s="2" t="s">
        <v>1793</v>
      </c>
      <c r="C1743" s="1" t="s">
        <v>1794</v>
      </c>
      <c r="D1743" s="1">
        <v>2.0</v>
      </c>
      <c r="E1743" s="3">
        <v>40148.59305555555</v>
      </c>
      <c r="F1743" s="1">
        <v>4.25</v>
      </c>
      <c r="G1743" s="1">
        <v>13110.0</v>
      </c>
      <c r="H1743" s="1" t="s">
        <v>14</v>
      </c>
      <c r="I1743" s="4">
        <v>40148.0</v>
      </c>
      <c r="J1743" s="5">
        <v>0.5930555555555556</v>
      </c>
      <c r="K1743" s="1">
        <v>14.0</v>
      </c>
      <c r="L1743" s="1">
        <v>8.5</v>
      </c>
    </row>
    <row r="1744">
      <c r="A1744" s="1">
        <v>489590.0</v>
      </c>
      <c r="B1744" s="2" t="s">
        <v>1379</v>
      </c>
      <c r="C1744" s="1" t="s">
        <v>1380</v>
      </c>
      <c r="D1744" s="1">
        <v>2.0</v>
      </c>
      <c r="E1744" s="3">
        <v>40148.59305555555</v>
      </c>
      <c r="F1744" s="1">
        <v>3.49</v>
      </c>
      <c r="G1744" s="1">
        <v>13110.0</v>
      </c>
      <c r="H1744" s="1" t="s">
        <v>14</v>
      </c>
      <c r="I1744" s="4">
        <v>40148.0</v>
      </c>
      <c r="J1744" s="5">
        <v>0.5930555555555556</v>
      </c>
      <c r="K1744" s="1">
        <v>14.0</v>
      </c>
      <c r="L1744" s="1">
        <v>6.98</v>
      </c>
    </row>
    <row r="1745">
      <c r="A1745" s="1">
        <v>489590.0</v>
      </c>
      <c r="B1745" s="2" t="s">
        <v>89</v>
      </c>
      <c r="C1745" s="1" t="s">
        <v>90</v>
      </c>
      <c r="D1745" s="1">
        <v>2.0</v>
      </c>
      <c r="E1745" s="3">
        <v>40148.59305555555</v>
      </c>
      <c r="F1745" s="1">
        <v>8.95</v>
      </c>
      <c r="G1745" s="1">
        <v>13110.0</v>
      </c>
      <c r="H1745" s="1" t="s">
        <v>14</v>
      </c>
      <c r="I1745" s="4">
        <v>40148.0</v>
      </c>
      <c r="J1745" s="5">
        <v>0.5930555555555556</v>
      </c>
      <c r="K1745" s="1">
        <v>14.0</v>
      </c>
      <c r="L1745" s="1">
        <v>17.9</v>
      </c>
    </row>
    <row r="1746">
      <c r="A1746" s="1">
        <v>489590.0</v>
      </c>
      <c r="B1746" s="2" t="s">
        <v>1603</v>
      </c>
      <c r="C1746" s="1" t="s">
        <v>1604</v>
      </c>
      <c r="D1746" s="1">
        <v>12.0</v>
      </c>
      <c r="E1746" s="3">
        <v>40148.59305555555</v>
      </c>
      <c r="F1746" s="1">
        <v>3.75</v>
      </c>
      <c r="G1746" s="1">
        <v>13110.0</v>
      </c>
      <c r="H1746" s="1" t="s">
        <v>14</v>
      </c>
      <c r="I1746" s="4">
        <v>40148.0</v>
      </c>
      <c r="J1746" s="5">
        <v>0.5930555555555556</v>
      </c>
      <c r="K1746" s="1">
        <v>14.0</v>
      </c>
      <c r="L1746" s="1">
        <v>45.0</v>
      </c>
    </row>
    <row r="1747">
      <c r="A1747" s="1">
        <v>489590.0</v>
      </c>
      <c r="B1747" s="2" t="s">
        <v>1883</v>
      </c>
      <c r="C1747" s="1" t="s">
        <v>1884</v>
      </c>
      <c r="D1747" s="1">
        <v>2.0</v>
      </c>
      <c r="E1747" s="3">
        <v>40148.59305555555</v>
      </c>
      <c r="F1747" s="1">
        <v>12.75</v>
      </c>
      <c r="G1747" s="1">
        <v>13110.0</v>
      </c>
      <c r="H1747" s="1" t="s">
        <v>14</v>
      </c>
      <c r="I1747" s="4">
        <v>40148.0</v>
      </c>
      <c r="J1747" s="5">
        <v>0.5930555555555556</v>
      </c>
      <c r="K1747" s="1">
        <v>14.0</v>
      </c>
      <c r="L1747" s="1">
        <v>25.5</v>
      </c>
    </row>
    <row r="1748">
      <c r="A1748" s="1">
        <v>489590.0</v>
      </c>
      <c r="B1748" s="2" t="s">
        <v>51</v>
      </c>
      <c r="C1748" s="1" t="s">
        <v>52</v>
      </c>
      <c r="D1748" s="1">
        <v>12.0</v>
      </c>
      <c r="E1748" s="3">
        <v>40148.59305555555</v>
      </c>
      <c r="F1748" s="1">
        <v>1.65</v>
      </c>
      <c r="G1748" s="1">
        <v>13110.0</v>
      </c>
      <c r="H1748" s="1" t="s">
        <v>14</v>
      </c>
      <c r="I1748" s="4">
        <v>40148.0</v>
      </c>
      <c r="J1748" s="5">
        <v>0.5930555555555556</v>
      </c>
      <c r="K1748" s="1">
        <v>14.0</v>
      </c>
      <c r="L1748" s="1">
        <v>19.7999999999999</v>
      </c>
    </row>
    <row r="1749">
      <c r="A1749" s="1">
        <v>489590.0</v>
      </c>
      <c r="B1749" s="2" t="s">
        <v>39</v>
      </c>
      <c r="C1749" s="1" t="s">
        <v>40</v>
      </c>
      <c r="D1749" s="1">
        <v>6.0</v>
      </c>
      <c r="E1749" s="3">
        <v>40148.59305555555</v>
      </c>
      <c r="F1749" s="1">
        <v>5.95</v>
      </c>
      <c r="G1749" s="1">
        <v>13110.0</v>
      </c>
      <c r="H1749" s="1" t="s">
        <v>14</v>
      </c>
      <c r="I1749" s="4">
        <v>40148.0</v>
      </c>
      <c r="J1749" s="5">
        <v>0.5930555555555556</v>
      </c>
      <c r="K1749" s="1">
        <v>14.0</v>
      </c>
      <c r="L1749" s="1">
        <v>35.7</v>
      </c>
    </row>
    <row r="1750">
      <c r="A1750" s="1">
        <v>489590.0</v>
      </c>
      <c r="B1750" s="2" t="s">
        <v>1733</v>
      </c>
      <c r="C1750" s="1" t="s">
        <v>1734</v>
      </c>
      <c r="D1750" s="1">
        <v>1.0</v>
      </c>
      <c r="E1750" s="3">
        <v>40148.59305555555</v>
      </c>
      <c r="F1750" s="1">
        <v>4.95</v>
      </c>
      <c r="G1750" s="1">
        <v>13110.0</v>
      </c>
      <c r="H1750" s="1" t="s">
        <v>14</v>
      </c>
      <c r="I1750" s="4">
        <v>40148.0</v>
      </c>
      <c r="J1750" s="5">
        <v>0.5930555555555556</v>
      </c>
      <c r="K1750" s="1">
        <v>14.0</v>
      </c>
      <c r="L1750" s="1">
        <v>4.95</v>
      </c>
    </row>
    <row r="1751">
      <c r="A1751" s="1">
        <v>489590.0</v>
      </c>
      <c r="B1751" s="2" t="s">
        <v>374</v>
      </c>
      <c r="C1751" s="1" t="s">
        <v>375</v>
      </c>
      <c r="D1751" s="1">
        <v>1.0</v>
      </c>
      <c r="E1751" s="3">
        <v>40148.59305555555</v>
      </c>
      <c r="F1751" s="1">
        <v>5.95</v>
      </c>
      <c r="G1751" s="1">
        <v>13110.0</v>
      </c>
      <c r="H1751" s="1" t="s">
        <v>14</v>
      </c>
      <c r="I1751" s="4">
        <v>40148.0</v>
      </c>
      <c r="J1751" s="5">
        <v>0.5930555555555556</v>
      </c>
      <c r="K1751" s="1">
        <v>14.0</v>
      </c>
      <c r="L1751" s="1">
        <v>5.95</v>
      </c>
    </row>
    <row r="1752">
      <c r="A1752" s="1">
        <v>489590.0</v>
      </c>
      <c r="B1752" s="2" t="s">
        <v>65</v>
      </c>
      <c r="C1752" s="1" t="s">
        <v>66</v>
      </c>
      <c r="D1752" s="1">
        <v>2.0</v>
      </c>
      <c r="E1752" s="3">
        <v>40148.59305555555</v>
      </c>
      <c r="F1752" s="1">
        <v>5.95</v>
      </c>
      <c r="G1752" s="1">
        <v>13110.0</v>
      </c>
      <c r="H1752" s="1" t="s">
        <v>14</v>
      </c>
      <c r="I1752" s="4">
        <v>40148.0</v>
      </c>
      <c r="J1752" s="5">
        <v>0.5930555555555556</v>
      </c>
      <c r="K1752" s="1">
        <v>14.0</v>
      </c>
      <c r="L1752" s="1">
        <v>11.9</v>
      </c>
    </row>
    <row r="1753">
      <c r="A1753" s="1">
        <v>489590.0</v>
      </c>
      <c r="B1753" s="2" t="s">
        <v>1870</v>
      </c>
      <c r="C1753" s="1" t="s">
        <v>1871</v>
      </c>
      <c r="D1753" s="1">
        <v>2.0</v>
      </c>
      <c r="E1753" s="3">
        <v>40148.59305555555</v>
      </c>
      <c r="F1753" s="1">
        <v>9.95</v>
      </c>
      <c r="G1753" s="1">
        <v>13110.0</v>
      </c>
      <c r="H1753" s="1" t="s">
        <v>14</v>
      </c>
      <c r="I1753" s="4">
        <v>40148.0</v>
      </c>
      <c r="J1753" s="5">
        <v>0.5930555555555556</v>
      </c>
      <c r="K1753" s="1">
        <v>14.0</v>
      </c>
      <c r="L1753" s="1">
        <v>19.9</v>
      </c>
    </row>
    <row r="1754">
      <c r="A1754" s="1">
        <v>489590.0</v>
      </c>
      <c r="B1754" s="2" t="s">
        <v>766</v>
      </c>
      <c r="C1754" s="1" t="s">
        <v>767</v>
      </c>
      <c r="D1754" s="1">
        <v>1.0</v>
      </c>
      <c r="E1754" s="3">
        <v>40148.59305555555</v>
      </c>
      <c r="F1754" s="1">
        <v>6.75</v>
      </c>
      <c r="G1754" s="1">
        <v>13110.0</v>
      </c>
      <c r="H1754" s="1" t="s">
        <v>14</v>
      </c>
      <c r="I1754" s="4">
        <v>40148.0</v>
      </c>
      <c r="J1754" s="5">
        <v>0.5930555555555556</v>
      </c>
      <c r="K1754" s="1">
        <v>14.0</v>
      </c>
      <c r="L1754" s="1">
        <v>6.75</v>
      </c>
    </row>
    <row r="1755">
      <c r="A1755" s="1">
        <v>489590.0</v>
      </c>
      <c r="B1755" s="2" t="s">
        <v>768</v>
      </c>
      <c r="C1755" s="1" t="s">
        <v>769</v>
      </c>
      <c r="D1755" s="1">
        <v>1.0</v>
      </c>
      <c r="E1755" s="3">
        <v>40148.59305555555</v>
      </c>
      <c r="F1755" s="1">
        <v>6.75</v>
      </c>
      <c r="G1755" s="1">
        <v>13110.0</v>
      </c>
      <c r="H1755" s="1" t="s">
        <v>14</v>
      </c>
      <c r="I1755" s="4">
        <v>40148.0</v>
      </c>
      <c r="J1755" s="5">
        <v>0.5930555555555556</v>
      </c>
      <c r="K1755" s="1">
        <v>14.0</v>
      </c>
      <c r="L1755" s="1">
        <v>6.75</v>
      </c>
    </row>
    <row r="1756">
      <c r="A1756" s="1">
        <v>489590.0</v>
      </c>
      <c r="B1756" s="2" t="s">
        <v>37</v>
      </c>
      <c r="C1756" s="1" t="s">
        <v>38</v>
      </c>
      <c r="D1756" s="1">
        <v>1.0</v>
      </c>
      <c r="E1756" s="3">
        <v>40148.59305555555</v>
      </c>
      <c r="F1756" s="1">
        <v>6.75</v>
      </c>
      <c r="G1756" s="1">
        <v>13110.0</v>
      </c>
      <c r="H1756" s="1" t="s">
        <v>14</v>
      </c>
      <c r="I1756" s="4">
        <v>40148.0</v>
      </c>
      <c r="J1756" s="5">
        <v>0.5930555555555556</v>
      </c>
      <c r="K1756" s="1">
        <v>14.0</v>
      </c>
      <c r="L1756" s="1">
        <v>6.75</v>
      </c>
    </row>
    <row r="1757">
      <c r="A1757" s="1">
        <v>489590.0</v>
      </c>
      <c r="B1757" s="2" t="s">
        <v>1885</v>
      </c>
      <c r="C1757" s="1" t="s">
        <v>1886</v>
      </c>
      <c r="D1757" s="1">
        <v>1.0</v>
      </c>
      <c r="E1757" s="3">
        <v>40148.59305555555</v>
      </c>
      <c r="F1757" s="1">
        <v>6.75</v>
      </c>
      <c r="G1757" s="1">
        <v>13110.0</v>
      </c>
      <c r="H1757" s="1" t="s">
        <v>14</v>
      </c>
      <c r="I1757" s="4">
        <v>40148.0</v>
      </c>
      <c r="J1757" s="5">
        <v>0.5930555555555556</v>
      </c>
      <c r="K1757" s="1">
        <v>14.0</v>
      </c>
      <c r="L1757" s="1">
        <v>6.75</v>
      </c>
    </row>
    <row r="1758">
      <c r="A1758" s="1">
        <v>489590.0</v>
      </c>
      <c r="B1758" s="2" t="s">
        <v>1887</v>
      </c>
      <c r="C1758" s="1" t="s">
        <v>1888</v>
      </c>
      <c r="D1758" s="1">
        <v>1.0</v>
      </c>
      <c r="E1758" s="3">
        <v>40148.59305555555</v>
      </c>
      <c r="F1758" s="1">
        <v>6.75</v>
      </c>
      <c r="G1758" s="1">
        <v>13110.0</v>
      </c>
      <c r="H1758" s="1" t="s">
        <v>14</v>
      </c>
      <c r="I1758" s="4">
        <v>40148.0</v>
      </c>
      <c r="J1758" s="5">
        <v>0.5930555555555556</v>
      </c>
      <c r="K1758" s="1">
        <v>14.0</v>
      </c>
      <c r="L1758" s="1">
        <v>6.75</v>
      </c>
    </row>
    <row r="1759">
      <c r="A1759" s="1" t="s">
        <v>1889</v>
      </c>
      <c r="B1759" s="2" t="s">
        <v>1890</v>
      </c>
      <c r="C1759" s="1" t="s">
        <v>1891</v>
      </c>
      <c r="D1759" s="1">
        <v>-3.0</v>
      </c>
      <c r="E1759" s="3">
        <v>40148.595138888886</v>
      </c>
      <c r="F1759" s="1">
        <v>5.45</v>
      </c>
      <c r="G1759" s="1">
        <v>12921.0</v>
      </c>
      <c r="H1759" s="1" t="s">
        <v>14</v>
      </c>
      <c r="I1759" s="4">
        <v>40148.0</v>
      </c>
      <c r="J1759" s="5">
        <v>0.5951388888888889</v>
      </c>
      <c r="K1759" s="1">
        <v>14.0</v>
      </c>
      <c r="L1759" s="1">
        <v>-16.35</v>
      </c>
    </row>
    <row r="1760">
      <c r="A1760" s="1">
        <v>489593.0</v>
      </c>
      <c r="B1760" s="2" t="s">
        <v>768</v>
      </c>
      <c r="C1760" s="1" t="s">
        <v>769</v>
      </c>
      <c r="D1760" s="1">
        <v>3.0</v>
      </c>
      <c r="E1760" s="3">
        <v>40148.59652777778</v>
      </c>
      <c r="F1760" s="1">
        <v>6.75</v>
      </c>
      <c r="G1760" s="1">
        <v>12836.0</v>
      </c>
      <c r="H1760" s="1" t="s">
        <v>14</v>
      </c>
      <c r="I1760" s="4">
        <v>40148.0</v>
      </c>
      <c r="J1760" s="5">
        <v>0.5965277777777778</v>
      </c>
      <c r="K1760" s="1">
        <v>14.0</v>
      </c>
      <c r="L1760" s="1">
        <v>20.25</v>
      </c>
    </row>
    <row r="1761">
      <c r="A1761" s="1">
        <v>489593.0</v>
      </c>
      <c r="B1761" s="2" t="s">
        <v>63</v>
      </c>
      <c r="C1761" s="1" t="s">
        <v>64</v>
      </c>
      <c r="D1761" s="1">
        <v>12.0</v>
      </c>
      <c r="E1761" s="3">
        <v>40148.59652777778</v>
      </c>
      <c r="F1761" s="1">
        <v>2.1</v>
      </c>
      <c r="G1761" s="1">
        <v>12836.0</v>
      </c>
      <c r="H1761" s="1" t="s">
        <v>14</v>
      </c>
      <c r="I1761" s="4">
        <v>40148.0</v>
      </c>
      <c r="J1761" s="5">
        <v>0.5965277777777778</v>
      </c>
      <c r="K1761" s="1">
        <v>14.0</v>
      </c>
      <c r="L1761" s="1">
        <v>25.2</v>
      </c>
    </row>
    <row r="1762">
      <c r="A1762" s="1">
        <v>489593.0</v>
      </c>
      <c r="B1762" s="2" t="s">
        <v>1595</v>
      </c>
      <c r="C1762" s="1" t="s">
        <v>1596</v>
      </c>
      <c r="D1762" s="1">
        <v>1.0</v>
      </c>
      <c r="E1762" s="3">
        <v>40148.59652777778</v>
      </c>
      <c r="F1762" s="1">
        <v>29.95</v>
      </c>
      <c r="G1762" s="1">
        <v>12836.0</v>
      </c>
      <c r="H1762" s="1" t="s">
        <v>14</v>
      </c>
      <c r="I1762" s="4">
        <v>40148.0</v>
      </c>
      <c r="J1762" s="5">
        <v>0.5965277777777778</v>
      </c>
      <c r="K1762" s="1">
        <v>14.0</v>
      </c>
      <c r="L1762" s="1">
        <v>29.95</v>
      </c>
    </row>
    <row r="1763">
      <c r="A1763" s="1">
        <v>489593.0</v>
      </c>
      <c r="B1763" s="2" t="s">
        <v>43</v>
      </c>
      <c r="C1763" s="1" t="s">
        <v>44</v>
      </c>
      <c r="D1763" s="1">
        <v>8.0</v>
      </c>
      <c r="E1763" s="3">
        <v>40148.59652777778</v>
      </c>
      <c r="F1763" s="1">
        <v>1.69</v>
      </c>
      <c r="G1763" s="1">
        <v>12836.0</v>
      </c>
      <c r="H1763" s="1" t="s">
        <v>14</v>
      </c>
      <c r="I1763" s="4">
        <v>40148.0</v>
      </c>
      <c r="J1763" s="5">
        <v>0.5965277777777778</v>
      </c>
      <c r="K1763" s="1">
        <v>14.0</v>
      </c>
      <c r="L1763" s="1">
        <v>13.52</v>
      </c>
    </row>
    <row r="1764">
      <c r="A1764" s="1">
        <v>489593.0</v>
      </c>
      <c r="B1764" s="2" t="s">
        <v>1579</v>
      </c>
      <c r="C1764" s="1" t="s">
        <v>1580</v>
      </c>
      <c r="D1764" s="1">
        <v>1.0</v>
      </c>
      <c r="E1764" s="3">
        <v>40148.59652777778</v>
      </c>
      <c r="F1764" s="1">
        <v>18.95</v>
      </c>
      <c r="G1764" s="1">
        <v>12836.0</v>
      </c>
      <c r="H1764" s="1" t="s">
        <v>14</v>
      </c>
      <c r="I1764" s="4">
        <v>40148.0</v>
      </c>
      <c r="J1764" s="5">
        <v>0.5965277777777778</v>
      </c>
      <c r="K1764" s="1">
        <v>14.0</v>
      </c>
      <c r="L1764" s="1">
        <v>18.95</v>
      </c>
    </row>
    <row r="1765">
      <c r="A1765" s="1">
        <v>489593.0</v>
      </c>
      <c r="B1765" s="2" t="s">
        <v>696</v>
      </c>
      <c r="C1765" s="1" t="s">
        <v>697</v>
      </c>
      <c r="D1765" s="1">
        <v>3.0</v>
      </c>
      <c r="E1765" s="3">
        <v>40148.59652777778</v>
      </c>
      <c r="F1765" s="1">
        <v>3.45</v>
      </c>
      <c r="G1765" s="1">
        <v>12836.0</v>
      </c>
      <c r="H1765" s="1" t="s">
        <v>14</v>
      </c>
      <c r="I1765" s="4">
        <v>40148.0</v>
      </c>
      <c r="J1765" s="5">
        <v>0.5965277777777778</v>
      </c>
      <c r="K1765" s="1">
        <v>14.0</v>
      </c>
      <c r="L1765" s="1">
        <v>10.35</v>
      </c>
    </row>
    <row r="1766">
      <c r="A1766" s="1">
        <v>489593.0</v>
      </c>
      <c r="B1766" s="2" t="s">
        <v>117</v>
      </c>
      <c r="C1766" s="1" t="s">
        <v>118</v>
      </c>
      <c r="D1766" s="1">
        <v>2.0</v>
      </c>
      <c r="E1766" s="3">
        <v>40148.59652777778</v>
      </c>
      <c r="F1766" s="1">
        <v>4.95</v>
      </c>
      <c r="G1766" s="1">
        <v>12836.0</v>
      </c>
      <c r="H1766" s="1" t="s">
        <v>14</v>
      </c>
      <c r="I1766" s="4">
        <v>40148.0</v>
      </c>
      <c r="J1766" s="5">
        <v>0.5965277777777778</v>
      </c>
      <c r="K1766" s="1">
        <v>14.0</v>
      </c>
      <c r="L1766" s="1">
        <v>9.9</v>
      </c>
    </row>
    <row r="1767">
      <c r="A1767" s="1">
        <v>489593.0</v>
      </c>
      <c r="B1767" s="2" t="s">
        <v>1039</v>
      </c>
      <c r="C1767" s="1" t="s">
        <v>1040</v>
      </c>
      <c r="D1767" s="1">
        <v>2.0</v>
      </c>
      <c r="E1767" s="3">
        <v>40148.59652777778</v>
      </c>
      <c r="F1767" s="1">
        <v>2.95</v>
      </c>
      <c r="G1767" s="1">
        <v>12836.0</v>
      </c>
      <c r="H1767" s="1" t="s">
        <v>14</v>
      </c>
      <c r="I1767" s="4">
        <v>40148.0</v>
      </c>
      <c r="J1767" s="5">
        <v>0.5965277777777778</v>
      </c>
      <c r="K1767" s="1">
        <v>14.0</v>
      </c>
      <c r="L1767" s="1">
        <v>5.9</v>
      </c>
    </row>
    <row r="1768">
      <c r="A1768" s="1">
        <v>489593.0</v>
      </c>
      <c r="B1768" s="2" t="s">
        <v>380</v>
      </c>
      <c r="C1768" s="1" t="s">
        <v>381</v>
      </c>
      <c r="D1768" s="1">
        <v>4.0</v>
      </c>
      <c r="E1768" s="3">
        <v>40148.59652777778</v>
      </c>
      <c r="F1768" s="1">
        <v>6.75</v>
      </c>
      <c r="G1768" s="1">
        <v>12836.0</v>
      </c>
      <c r="H1768" s="1" t="s">
        <v>14</v>
      </c>
      <c r="I1768" s="4">
        <v>40148.0</v>
      </c>
      <c r="J1768" s="5">
        <v>0.5965277777777778</v>
      </c>
      <c r="K1768" s="1">
        <v>14.0</v>
      </c>
      <c r="L1768" s="1">
        <v>27.0</v>
      </c>
    </row>
    <row r="1769">
      <c r="A1769" s="1">
        <v>489593.0</v>
      </c>
      <c r="B1769" s="2" t="s">
        <v>17</v>
      </c>
      <c r="C1769" s="1" t="s">
        <v>18</v>
      </c>
      <c r="D1769" s="1">
        <v>6.0</v>
      </c>
      <c r="E1769" s="3">
        <v>40148.59652777778</v>
      </c>
      <c r="F1769" s="1">
        <v>6.75</v>
      </c>
      <c r="G1769" s="1">
        <v>12836.0</v>
      </c>
      <c r="H1769" s="1" t="s">
        <v>14</v>
      </c>
      <c r="I1769" s="4">
        <v>40148.0</v>
      </c>
      <c r="J1769" s="5">
        <v>0.5965277777777778</v>
      </c>
      <c r="K1769" s="1">
        <v>14.0</v>
      </c>
      <c r="L1769" s="1">
        <v>40.5</v>
      </c>
    </row>
    <row r="1770">
      <c r="A1770" s="1">
        <v>489593.0</v>
      </c>
      <c r="B1770" s="2" t="s">
        <v>1278</v>
      </c>
      <c r="C1770" s="1" t="s">
        <v>1279</v>
      </c>
      <c r="D1770" s="1">
        <v>4.0</v>
      </c>
      <c r="E1770" s="3">
        <v>40148.59652777778</v>
      </c>
      <c r="F1770" s="1">
        <v>10.75</v>
      </c>
      <c r="G1770" s="1">
        <v>12836.0</v>
      </c>
      <c r="H1770" s="1" t="s">
        <v>14</v>
      </c>
      <c r="I1770" s="4">
        <v>40148.0</v>
      </c>
      <c r="J1770" s="5">
        <v>0.5965277777777778</v>
      </c>
      <c r="K1770" s="1">
        <v>14.0</v>
      </c>
      <c r="L1770" s="1">
        <v>43.0</v>
      </c>
    </row>
    <row r="1771">
      <c r="A1771" s="1">
        <v>489593.0</v>
      </c>
      <c r="B1771" s="2" t="s">
        <v>283</v>
      </c>
      <c r="C1771" s="1" t="s">
        <v>284</v>
      </c>
      <c r="D1771" s="1">
        <v>4.0</v>
      </c>
      <c r="E1771" s="3">
        <v>40148.59652777778</v>
      </c>
      <c r="F1771" s="1">
        <v>2.95</v>
      </c>
      <c r="G1771" s="1">
        <v>12836.0</v>
      </c>
      <c r="H1771" s="1" t="s">
        <v>14</v>
      </c>
      <c r="I1771" s="4">
        <v>40148.0</v>
      </c>
      <c r="J1771" s="5">
        <v>0.5965277777777778</v>
      </c>
      <c r="K1771" s="1">
        <v>14.0</v>
      </c>
      <c r="L1771" s="1">
        <v>11.8</v>
      </c>
    </row>
    <row r="1772">
      <c r="A1772" s="1">
        <v>489593.0</v>
      </c>
      <c r="B1772" s="2" t="s">
        <v>1175</v>
      </c>
      <c r="C1772" s="1" t="s">
        <v>1176</v>
      </c>
      <c r="D1772" s="1">
        <v>1.0</v>
      </c>
      <c r="E1772" s="3">
        <v>40148.59652777778</v>
      </c>
      <c r="F1772" s="1">
        <v>0.85</v>
      </c>
      <c r="G1772" s="1">
        <v>12836.0</v>
      </c>
      <c r="H1772" s="1" t="s">
        <v>14</v>
      </c>
      <c r="I1772" s="4">
        <v>40148.0</v>
      </c>
      <c r="J1772" s="5">
        <v>0.5965277777777778</v>
      </c>
      <c r="K1772" s="1">
        <v>14.0</v>
      </c>
      <c r="L1772" s="1">
        <v>0.85</v>
      </c>
    </row>
    <row r="1773">
      <c r="A1773" s="1">
        <v>489593.0</v>
      </c>
      <c r="B1773" s="2" t="s">
        <v>1892</v>
      </c>
      <c r="C1773" s="1" t="s">
        <v>1893</v>
      </c>
      <c r="D1773" s="1">
        <v>2.0</v>
      </c>
      <c r="E1773" s="3">
        <v>40148.59652777778</v>
      </c>
      <c r="F1773" s="1">
        <v>7.95</v>
      </c>
      <c r="G1773" s="1">
        <v>12836.0</v>
      </c>
      <c r="H1773" s="1" t="s">
        <v>14</v>
      </c>
      <c r="I1773" s="4">
        <v>40148.0</v>
      </c>
      <c r="J1773" s="5">
        <v>0.5965277777777778</v>
      </c>
      <c r="K1773" s="1">
        <v>14.0</v>
      </c>
      <c r="L1773" s="1">
        <v>15.9</v>
      </c>
    </row>
    <row r="1774">
      <c r="A1774" s="1">
        <v>489593.0</v>
      </c>
      <c r="B1774" s="2" t="s">
        <v>1894</v>
      </c>
      <c r="C1774" s="1" t="s">
        <v>1895</v>
      </c>
      <c r="D1774" s="1">
        <v>1.0</v>
      </c>
      <c r="E1774" s="3">
        <v>40148.59652777778</v>
      </c>
      <c r="F1774" s="1">
        <v>29.95</v>
      </c>
      <c r="G1774" s="1">
        <v>12836.0</v>
      </c>
      <c r="H1774" s="1" t="s">
        <v>14</v>
      </c>
      <c r="I1774" s="4">
        <v>40148.0</v>
      </c>
      <c r="J1774" s="5">
        <v>0.5965277777777778</v>
      </c>
      <c r="K1774" s="1">
        <v>14.0</v>
      </c>
      <c r="L1774" s="1">
        <v>29.95</v>
      </c>
    </row>
    <row r="1775">
      <c r="A1775" s="1">
        <v>489593.0</v>
      </c>
      <c r="B1775" s="2" t="s">
        <v>1896</v>
      </c>
      <c r="C1775" s="1" t="s">
        <v>1897</v>
      </c>
      <c r="D1775" s="1">
        <v>1.0</v>
      </c>
      <c r="E1775" s="3">
        <v>40148.59652777778</v>
      </c>
      <c r="F1775" s="1">
        <v>7.95</v>
      </c>
      <c r="G1775" s="1">
        <v>12836.0</v>
      </c>
      <c r="H1775" s="1" t="s">
        <v>14</v>
      </c>
      <c r="I1775" s="4">
        <v>40148.0</v>
      </c>
      <c r="J1775" s="5">
        <v>0.5965277777777778</v>
      </c>
      <c r="K1775" s="1">
        <v>14.0</v>
      </c>
      <c r="L1775" s="1">
        <v>7.95</v>
      </c>
    </row>
    <row r="1776">
      <c r="A1776" s="1">
        <v>489593.0</v>
      </c>
      <c r="B1776" s="2" t="s">
        <v>1834</v>
      </c>
      <c r="C1776" s="1" t="s">
        <v>1835</v>
      </c>
      <c r="D1776" s="1">
        <v>1.0</v>
      </c>
      <c r="E1776" s="3">
        <v>40148.59652777778</v>
      </c>
      <c r="F1776" s="1">
        <v>14.95</v>
      </c>
      <c r="G1776" s="1">
        <v>12836.0</v>
      </c>
      <c r="H1776" s="1" t="s">
        <v>14</v>
      </c>
      <c r="I1776" s="4">
        <v>40148.0</v>
      </c>
      <c r="J1776" s="5">
        <v>0.5965277777777778</v>
      </c>
      <c r="K1776" s="1">
        <v>14.0</v>
      </c>
      <c r="L1776" s="1">
        <v>14.95</v>
      </c>
    </row>
    <row r="1777">
      <c r="A1777" s="1">
        <v>489593.0</v>
      </c>
      <c r="B1777" s="2" t="s">
        <v>1898</v>
      </c>
      <c r="C1777" s="1" t="s">
        <v>1899</v>
      </c>
      <c r="D1777" s="1">
        <v>2.0</v>
      </c>
      <c r="E1777" s="3">
        <v>40148.59652777778</v>
      </c>
      <c r="F1777" s="1">
        <v>8.5</v>
      </c>
      <c r="G1777" s="1">
        <v>12836.0</v>
      </c>
      <c r="H1777" s="1" t="s">
        <v>14</v>
      </c>
      <c r="I1777" s="4">
        <v>40148.0</v>
      </c>
      <c r="J1777" s="5">
        <v>0.5965277777777778</v>
      </c>
      <c r="K1777" s="1">
        <v>14.0</v>
      </c>
      <c r="L1777" s="1">
        <v>17.0</v>
      </c>
    </row>
    <row r="1778">
      <c r="A1778" s="1">
        <v>489593.0</v>
      </c>
      <c r="B1778" s="2" t="s">
        <v>466</v>
      </c>
      <c r="C1778" s="1" t="s">
        <v>467</v>
      </c>
      <c r="D1778" s="1">
        <v>4.0</v>
      </c>
      <c r="E1778" s="3">
        <v>40148.59652777778</v>
      </c>
      <c r="F1778" s="1">
        <v>1.95</v>
      </c>
      <c r="G1778" s="1">
        <v>12836.0</v>
      </c>
      <c r="H1778" s="1" t="s">
        <v>14</v>
      </c>
      <c r="I1778" s="4">
        <v>40148.0</v>
      </c>
      <c r="J1778" s="5">
        <v>0.5965277777777778</v>
      </c>
      <c r="K1778" s="1">
        <v>14.0</v>
      </c>
      <c r="L1778" s="1">
        <v>7.8</v>
      </c>
    </row>
    <row r="1779">
      <c r="A1779" s="1">
        <v>489593.0</v>
      </c>
      <c r="B1779" s="2" t="s">
        <v>170</v>
      </c>
      <c r="C1779" s="1" t="s">
        <v>171</v>
      </c>
      <c r="D1779" s="1">
        <v>4.0</v>
      </c>
      <c r="E1779" s="3">
        <v>40148.59652777778</v>
      </c>
      <c r="F1779" s="1">
        <v>1.95</v>
      </c>
      <c r="G1779" s="1">
        <v>12836.0</v>
      </c>
      <c r="H1779" s="1" t="s">
        <v>14</v>
      </c>
      <c r="I1779" s="4">
        <v>40148.0</v>
      </c>
      <c r="J1779" s="5">
        <v>0.5965277777777778</v>
      </c>
      <c r="K1779" s="1">
        <v>14.0</v>
      </c>
      <c r="L1779" s="1">
        <v>7.8</v>
      </c>
    </row>
    <row r="1780">
      <c r="A1780" s="1">
        <v>489593.0</v>
      </c>
      <c r="B1780" s="2" t="s">
        <v>370</v>
      </c>
      <c r="C1780" s="1" t="s">
        <v>371</v>
      </c>
      <c r="D1780" s="1">
        <v>2.0</v>
      </c>
      <c r="E1780" s="3">
        <v>40148.59652777778</v>
      </c>
      <c r="F1780" s="1">
        <v>2.95</v>
      </c>
      <c r="G1780" s="1">
        <v>12836.0</v>
      </c>
      <c r="H1780" s="1" t="s">
        <v>14</v>
      </c>
      <c r="I1780" s="4">
        <v>40148.0</v>
      </c>
      <c r="J1780" s="5">
        <v>0.5965277777777778</v>
      </c>
      <c r="K1780" s="1">
        <v>14.0</v>
      </c>
      <c r="L1780" s="1">
        <v>5.9</v>
      </c>
    </row>
    <row r="1781">
      <c r="A1781" s="1">
        <v>489593.0</v>
      </c>
      <c r="B1781" s="2" t="s">
        <v>111</v>
      </c>
      <c r="C1781" s="1" t="s">
        <v>112</v>
      </c>
      <c r="D1781" s="1">
        <v>2.0</v>
      </c>
      <c r="E1781" s="3">
        <v>40148.59652777778</v>
      </c>
      <c r="F1781" s="1">
        <v>2.95</v>
      </c>
      <c r="G1781" s="1">
        <v>12836.0</v>
      </c>
      <c r="H1781" s="1" t="s">
        <v>14</v>
      </c>
      <c r="I1781" s="4">
        <v>40148.0</v>
      </c>
      <c r="J1781" s="5">
        <v>0.5965277777777778</v>
      </c>
      <c r="K1781" s="1">
        <v>14.0</v>
      </c>
      <c r="L1781" s="1">
        <v>5.9</v>
      </c>
    </row>
    <row r="1782">
      <c r="A1782" s="1">
        <v>489593.0</v>
      </c>
      <c r="B1782" s="2" t="s">
        <v>31</v>
      </c>
      <c r="C1782" s="1" t="s">
        <v>32</v>
      </c>
      <c r="D1782" s="1">
        <v>3.0</v>
      </c>
      <c r="E1782" s="3">
        <v>40148.59652777778</v>
      </c>
      <c r="F1782" s="1">
        <v>3.75</v>
      </c>
      <c r="G1782" s="1">
        <v>12836.0</v>
      </c>
      <c r="H1782" s="1" t="s">
        <v>14</v>
      </c>
      <c r="I1782" s="4">
        <v>40148.0</v>
      </c>
      <c r="J1782" s="5">
        <v>0.5965277777777778</v>
      </c>
      <c r="K1782" s="1">
        <v>14.0</v>
      </c>
      <c r="L1782" s="1">
        <v>11.25</v>
      </c>
    </row>
    <row r="1783">
      <c r="A1783" s="1">
        <v>489593.0</v>
      </c>
      <c r="B1783" s="2" t="s">
        <v>224</v>
      </c>
      <c r="C1783" s="1" t="s">
        <v>225</v>
      </c>
      <c r="D1783" s="1">
        <v>6.0</v>
      </c>
      <c r="E1783" s="3">
        <v>40148.59652777778</v>
      </c>
      <c r="F1783" s="1">
        <v>0.85</v>
      </c>
      <c r="G1783" s="1">
        <v>12836.0</v>
      </c>
      <c r="H1783" s="1" t="s">
        <v>14</v>
      </c>
      <c r="I1783" s="4">
        <v>40148.0</v>
      </c>
      <c r="J1783" s="5">
        <v>0.5965277777777778</v>
      </c>
      <c r="K1783" s="1">
        <v>14.0</v>
      </c>
      <c r="L1783" s="1">
        <v>5.1</v>
      </c>
    </row>
    <row r="1784">
      <c r="A1784" s="1">
        <v>489593.0</v>
      </c>
      <c r="B1784" s="2" t="s">
        <v>510</v>
      </c>
      <c r="C1784" s="1" t="s">
        <v>511</v>
      </c>
      <c r="D1784" s="1">
        <v>3.0</v>
      </c>
      <c r="E1784" s="3">
        <v>40148.59652777778</v>
      </c>
      <c r="F1784" s="1">
        <v>1.25</v>
      </c>
      <c r="G1784" s="1">
        <v>12836.0</v>
      </c>
      <c r="H1784" s="1" t="s">
        <v>14</v>
      </c>
      <c r="I1784" s="4">
        <v>40148.0</v>
      </c>
      <c r="J1784" s="5">
        <v>0.5965277777777778</v>
      </c>
      <c r="K1784" s="1">
        <v>14.0</v>
      </c>
      <c r="L1784" s="1">
        <v>3.75</v>
      </c>
    </row>
    <row r="1785">
      <c r="A1785" s="1">
        <v>489593.0</v>
      </c>
      <c r="B1785" s="2" t="s">
        <v>971</v>
      </c>
      <c r="C1785" s="1" t="s">
        <v>972</v>
      </c>
      <c r="D1785" s="1">
        <v>2.0</v>
      </c>
      <c r="E1785" s="3">
        <v>40148.59652777778</v>
      </c>
      <c r="F1785" s="1">
        <v>1.25</v>
      </c>
      <c r="G1785" s="1">
        <v>12836.0</v>
      </c>
      <c r="H1785" s="1" t="s">
        <v>14</v>
      </c>
      <c r="I1785" s="4">
        <v>40148.0</v>
      </c>
      <c r="J1785" s="5">
        <v>0.5965277777777778</v>
      </c>
      <c r="K1785" s="1">
        <v>14.0</v>
      </c>
      <c r="L1785" s="1">
        <v>2.5</v>
      </c>
    </row>
    <row r="1786">
      <c r="A1786" s="1">
        <v>489593.0</v>
      </c>
      <c r="B1786" s="2" t="s">
        <v>1087</v>
      </c>
      <c r="C1786" s="1" t="s">
        <v>1088</v>
      </c>
      <c r="D1786" s="1">
        <v>3.0</v>
      </c>
      <c r="E1786" s="3">
        <v>40148.59652777778</v>
      </c>
      <c r="F1786" s="1">
        <v>1.95</v>
      </c>
      <c r="G1786" s="1">
        <v>12836.0</v>
      </c>
      <c r="H1786" s="1" t="s">
        <v>14</v>
      </c>
      <c r="I1786" s="4">
        <v>40148.0</v>
      </c>
      <c r="J1786" s="5">
        <v>0.5965277777777778</v>
      </c>
      <c r="K1786" s="1">
        <v>14.0</v>
      </c>
      <c r="L1786" s="1">
        <v>5.85</v>
      </c>
    </row>
    <row r="1787">
      <c r="A1787" s="1">
        <v>489593.0</v>
      </c>
      <c r="B1787" s="2" t="s">
        <v>176</v>
      </c>
      <c r="C1787" s="1" t="s">
        <v>177</v>
      </c>
      <c r="D1787" s="1">
        <v>5.0</v>
      </c>
      <c r="E1787" s="3">
        <v>40148.59652777778</v>
      </c>
      <c r="F1787" s="1">
        <v>0.85</v>
      </c>
      <c r="G1787" s="1">
        <v>12836.0</v>
      </c>
      <c r="H1787" s="1" t="s">
        <v>14</v>
      </c>
      <c r="I1787" s="4">
        <v>40148.0</v>
      </c>
      <c r="J1787" s="5">
        <v>0.5965277777777778</v>
      </c>
      <c r="K1787" s="1">
        <v>14.0</v>
      </c>
      <c r="L1787" s="1">
        <v>4.25</v>
      </c>
    </row>
    <row r="1788">
      <c r="A1788" s="1">
        <v>489593.0</v>
      </c>
      <c r="B1788" s="2" t="s">
        <v>1795</v>
      </c>
      <c r="C1788" s="1" t="s">
        <v>1796</v>
      </c>
      <c r="D1788" s="1">
        <v>1.0</v>
      </c>
      <c r="E1788" s="3">
        <v>40148.59652777778</v>
      </c>
      <c r="F1788" s="1">
        <v>4.95</v>
      </c>
      <c r="G1788" s="1">
        <v>12836.0</v>
      </c>
      <c r="H1788" s="1" t="s">
        <v>14</v>
      </c>
      <c r="I1788" s="4">
        <v>40148.0</v>
      </c>
      <c r="J1788" s="5">
        <v>0.5965277777777778</v>
      </c>
      <c r="K1788" s="1">
        <v>14.0</v>
      </c>
      <c r="L1788" s="1">
        <v>4.95</v>
      </c>
    </row>
    <row r="1789">
      <c r="A1789" s="1" t="s">
        <v>1900</v>
      </c>
      <c r="B1789" s="2" t="s">
        <v>476</v>
      </c>
      <c r="C1789" s="1" t="s">
        <v>477</v>
      </c>
      <c r="D1789" s="1">
        <v>-2.0</v>
      </c>
      <c r="E1789" s="3">
        <v>40148.59652777778</v>
      </c>
      <c r="F1789" s="1">
        <v>2.55</v>
      </c>
      <c r="G1789" s="1">
        <v>18287.0</v>
      </c>
      <c r="H1789" s="1" t="s">
        <v>14</v>
      </c>
      <c r="I1789" s="4">
        <v>40148.0</v>
      </c>
      <c r="J1789" s="5">
        <v>0.5965277777777778</v>
      </c>
      <c r="K1789" s="1">
        <v>14.0</v>
      </c>
      <c r="L1789" s="1">
        <v>-5.1</v>
      </c>
    </row>
    <row r="1790">
      <c r="A1790" s="1">
        <v>489594.0</v>
      </c>
      <c r="B1790" s="2" t="s">
        <v>750</v>
      </c>
      <c r="C1790" s="1" t="s">
        <v>751</v>
      </c>
      <c r="D1790" s="1">
        <v>1.0</v>
      </c>
      <c r="E1790" s="3">
        <v>40148.59652777778</v>
      </c>
      <c r="F1790" s="1">
        <v>4.95</v>
      </c>
      <c r="G1790" s="1">
        <v>15005.0</v>
      </c>
      <c r="H1790" s="1" t="s">
        <v>14</v>
      </c>
      <c r="I1790" s="4">
        <v>40148.0</v>
      </c>
      <c r="J1790" s="5">
        <v>0.5965277777777778</v>
      </c>
      <c r="K1790" s="1">
        <v>14.0</v>
      </c>
      <c r="L1790" s="1">
        <v>4.95</v>
      </c>
    </row>
    <row r="1791">
      <c r="A1791" s="1">
        <v>489594.0</v>
      </c>
      <c r="B1791" s="2" t="s">
        <v>444</v>
      </c>
      <c r="C1791" s="1" t="s">
        <v>445</v>
      </c>
      <c r="D1791" s="1">
        <v>1.0</v>
      </c>
      <c r="E1791" s="3">
        <v>40148.59652777778</v>
      </c>
      <c r="F1791" s="1">
        <v>4.95</v>
      </c>
      <c r="G1791" s="1">
        <v>15005.0</v>
      </c>
      <c r="H1791" s="1" t="s">
        <v>14</v>
      </c>
      <c r="I1791" s="4">
        <v>40148.0</v>
      </c>
      <c r="J1791" s="5">
        <v>0.5965277777777778</v>
      </c>
      <c r="K1791" s="1">
        <v>14.0</v>
      </c>
      <c r="L1791" s="1">
        <v>4.95</v>
      </c>
    </row>
    <row r="1792">
      <c r="A1792" s="1">
        <v>489594.0</v>
      </c>
      <c r="B1792" s="2" t="s">
        <v>1901</v>
      </c>
      <c r="C1792" s="1" t="s">
        <v>1902</v>
      </c>
      <c r="D1792" s="1">
        <v>4.0</v>
      </c>
      <c r="E1792" s="3">
        <v>40148.59652777778</v>
      </c>
      <c r="F1792" s="1">
        <v>2.1</v>
      </c>
      <c r="G1792" s="1">
        <v>15005.0</v>
      </c>
      <c r="H1792" s="1" t="s">
        <v>14</v>
      </c>
      <c r="I1792" s="4">
        <v>40148.0</v>
      </c>
      <c r="J1792" s="5">
        <v>0.5965277777777778</v>
      </c>
      <c r="K1792" s="1">
        <v>14.0</v>
      </c>
      <c r="L1792" s="1">
        <v>8.4</v>
      </c>
    </row>
    <row r="1793">
      <c r="A1793" s="1">
        <v>489594.0</v>
      </c>
      <c r="B1793" s="2" t="s">
        <v>1903</v>
      </c>
      <c r="C1793" s="1" t="s">
        <v>1904</v>
      </c>
      <c r="D1793" s="1">
        <v>7.0</v>
      </c>
      <c r="E1793" s="3">
        <v>40148.59652777778</v>
      </c>
      <c r="F1793" s="1">
        <v>1.25</v>
      </c>
      <c r="G1793" s="1">
        <v>15005.0</v>
      </c>
      <c r="H1793" s="1" t="s">
        <v>14</v>
      </c>
      <c r="I1793" s="4">
        <v>40148.0</v>
      </c>
      <c r="J1793" s="5">
        <v>0.5965277777777778</v>
      </c>
      <c r="K1793" s="1">
        <v>14.0</v>
      </c>
      <c r="L1793" s="1">
        <v>8.75</v>
      </c>
    </row>
    <row r="1794">
      <c r="A1794" s="1">
        <v>489594.0</v>
      </c>
      <c r="B1794" s="2" t="s">
        <v>1397</v>
      </c>
      <c r="C1794" s="1" t="s">
        <v>1398</v>
      </c>
      <c r="D1794" s="1">
        <v>3.0</v>
      </c>
      <c r="E1794" s="3">
        <v>40148.59652777778</v>
      </c>
      <c r="F1794" s="1">
        <v>1.25</v>
      </c>
      <c r="G1794" s="1">
        <v>15005.0</v>
      </c>
      <c r="H1794" s="1" t="s">
        <v>14</v>
      </c>
      <c r="I1794" s="4">
        <v>40148.0</v>
      </c>
      <c r="J1794" s="5">
        <v>0.5965277777777778</v>
      </c>
      <c r="K1794" s="1">
        <v>14.0</v>
      </c>
      <c r="L1794" s="1">
        <v>3.75</v>
      </c>
    </row>
    <row r="1795">
      <c r="A1795" s="1">
        <v>489594.0</v>
      </c>
      <c r="B1795" s="2" t="s">
        <v>779</v>
      </c>
      <c r="C1795" s="1" t="s">
        <v>780</v>
      </c>
      <c r="D1795" s="1">
        <v>6.0</v>
      </c>
      <c r="E1795" s="3">
        <v>40148.59652777778</v>
      </c>
      <c r="F1795" s="1">
        <v>1.25</v>
      </c>
      <c r="G1795" s="1">
        <v>15005.0</v>
      </c>
      <c r="H1795" s="1" t="s">
        <v>14</v>
      </c>
      <c r="I1795" s="4">
        <v>40148.0</v>
      </c>
      <c r="J1795" s="5">
        <v>0.5965277777777778</v>
      </c>
      <c r="K1795" s="1">
        <v>14.0</v>
      </c>
      <c r="L1795" s="1">
        <v>7.5</v>
      </c>
    </row>
    <row r="1796">
      <c r="A1796" s="1">
        <v>489594.0</v>
      </c>
      <c r="B1796" s="2" t="s">
        <v>594</v>
      </c>
      <c r="C1796" s="1" t="s">
        <v>595</v>
      </c>
      <c r="D1796" s="1">
        <v>4.0</v>
      </c>
      <c r="E1796" s="3">
        <v>40148.59652777778</v>
      </c>
      <c r="F1796" s="1">
        <v>1.25</v>
      </c>
      <c r="G1796" s="1">
        <v>15005.0</v>
      </c>
      <c r="H1796" s="1" t="s">
        <v>14</v>
      </c>
      <c r="I1796" s="4">
        <v>40148.0</v>
      </c>
      <c r="J1796" s="5">
        <v>0.5965277777777778</v>
      </c>
      <c r="K1796" s="1">
        <v>14.0</v>
      </c>
      <c r="L1796" s="1">
        <v>5.0</v>
      </c>
    </row>
    <row r="1797">
      <c r="A1797" s="1">
        <v>489594.0</v>
      </c>
      <c r="B1797" s="2" t="s">
        <v>1905</v>
      </c>
      <c r="C1797" s="1" t="s">
        <v>1906</v>
      </c>
      <c r="D1797" s="1">
        <v>5.0</v>
      </c>
      <c r="E1797" s="3">
        <v>40148.59652777778</v>
      </c>
      <c r="F1797" s="1">
        <v>1.25</v>
      </c>
      <c r="G1797" s="1">
        <v>15005.0</v>
      </c>
      <c r="H1797" s="1" t="s">
        <v>14</v>
      </c>
      <c r="I1797" s="4">
        <v>40148.0</v>
      </c>
      <c r="J1797" s="5">
        <v>0.5965277777777778</v>
      </c>
      <c r="K1797" s="1">
        <v>14.0</v>
      </c>
      <c r="L1797" s="1">
        <v>6.25</v>
      </c>
    </row>
    <row r="1798">
      <c r="A1798" s="1">
        <v>489594.0</v>
      </c>
      <c r="B1798" s="2" t="s">
        <v>1907</v>
      </c>
      <c r="C1798" s="1" t="s">
        <v>1908</v>
      </c>
      <c r="D1798" s="1">
        <v>5.0</v>
      </c>
      <c r="E1798" s="3">
        <v>40148.59652777778</v>
      </c>
      <c r="F1798" s="1">
        <v>1.25</v>
      </c>
      <c r="G1798" s="1">
        <v>15005.0</v>
      </c>
      <c r="H1798" s="1" t="s">
        <v>14</v>
      </c>
      <c r="I1798" s="4">
        <v>40148.0</v>
      </c>
      <c r="J1798" s="5">
        <v>0.5965277777777778</v>
      </c>
      <c r="K1798" s="1">
        <v>14.0</v>
      </c>
      <c r="L1798" s="1">
        <v>6.25</v>
      </c>
    </row>
    <row r="1799">
      <c r="A1799" s="1">
        <v>489594.0</v>
      </c>
      <c r="B1799" s="2" t="s">
        <v>1081</v>
      </c>
      <c r="C1799" s="1" t="s">
        <v>1082</v>
      </c>
      <c r="D1799" s="1">
        <v>4.0</v>
      </c>
      <c r="E1799" s="3">
        <v>40148.59652777778</v>
      </c>
      <c r="F1799" s="1">
        <v>0.65</v>
      </c>
      <c r="G1799" s="1">
        <v>15005.0</v>
      </c>
      <c r="H1799" s="1" t="s">
        <v>14</v>
      </c>
      <c r="I1799" s="4">
        <v>40148.0</v>
      </c>
      <c r="J1799" s="5">
        <v>0.5965277777777778</v>
      </c>
      <c r="K1799" s="1">
        <v>14.0</v>
      </c>
      <c r="L1799" s="1">
        <v>2.6</v>
      </c>
    </row>
    <row r="1800">
      <c r="A1800" s="1">
        <v>489594.0</v>
      </c>
      <c r="B1800" s="2" t="s">
        <v>574</v>
      </c>
      <c r="C1800" s="1" t="s">
        <v>575</v>
      </c>
      <c r="D1800" s="1">
        <v>2.0</v>
      </c>
      <c r="E1800" s="3">
        <v>40148.59652777778</v>
      </c>
      <c r="F1800" s="1">
        <v>1.95</v>
      </c>
      <c r="G1800" s="1">
        <v>15005.0</v>
      </c>
      <c r="H1800" s="1" t="s">
        <v>14</v>
      </c>
      <c r="I1800" s="4">
        <v>40148.0</v>
      </c>
      <c r="J1800" s="5">
        <v>0.5965277777777778</v>
      </c>
      <c r="K1800" s="1">
        <v>14.0</v>
      </c>
      <c r="L1800" s="1">
        <v>3.9</v>
      </c>
    </row>
    <row r="1801">
      <c r="A1801" s="1">
        <v>489594.0</v>
      </c>
      <c r="B1801" s="2" t="s">
        <v>1284</v>
      </c>
      <c r="C1801" s="1" t="s">
        <v>1285</v>
      </c>
      <c r="D1801" s="1">
        <v>2.0</v>
      </c>
      <c r="E1801" s="3">
        <v>40148.59652777778</v>
      </c>
      <c r="F1801" s="1">
        <v>1.95</v>
      </c>
      <c r="G1801" s="1">
        <v>15005.0</v>
      </c>
      <c r="H1801" s="1" t="s">
        <v>14</v>
      </c>
      <c r="I1801" s="4">
        <v>40148.0</v>
      </c>
      <c r="J1801" s="5">
        <v>0.5965277777777778</v>
      </c>
      <c r="K1801" s="1">
        <v>14.0</v>
      </c>
      <c r="L1801" s="1">
        <v>3.9</v>
      </c>
    </row>
    <row r="1802">
      <c r="A1802" s="1">
        <v>489594.0</v>
      </c>
      <c r="B1802" s="2" t="s">
        <v>269</v>
      </c>
      <c r="C1802" s="1" t="s">
        <v>270</v>
      </c>
      <c r="D1802" s="1">
        <v>2.0</v>
      </c>
      <c r="E1802" s="3">
        <v>40148.59652777778</v>
      </c>
      <c r="F1802" s="1">
        <v>1.95</v>
      </c>
      <c r="G1802" s="1">
        <v>15005.0</v>
      </c>
      <c r="H1802" s="1" t="s">
        <v>14</v>
      </c>
      <c r="I1802" s="4">
        <v>40148.0</v>
      </c>
      <c r="J1802" s="5">
        <v>0.5965277777777778</v>
      </c>
      <c r="K1802" s="1">
        <v>14.0</v>
      </c>
      <c r="L1802" s="1">
        <v>3.9</v>
      </c>
    </row>
    <row r="1803">
      <c r="A1803" s="1">
        <v>489594.0</v>
      </c>
      <c r="B1803" s="2" t="s">
        <v>1909</v>
      </c>
      <c r="C1803" s="1" t="s">
        <v>1910</v>
      </c>
      <c r="D1803" s="1">
        <v>3.0</v>
      </c>
      <c r="E1803" s="3">
        <v>40148.59652777778</v>
      </c>
      <c r="F1803" s="1">
        <v>1.49</v>
      </c>
      <c r="G1803" s="1">
        <v>15005.0</v>
      </c>
      <c r="H1803" s="1" t="s">
        <v>14</v>
      </c>
      <c r="I1803" s="4">
        <v>40148.0</v>
      </c>
      <c r="J1803" s="5">
        <v>0.5965277777777778</v>
      </c>
      <c r="K1803" s="1">
        <v>14.0</v>
      </c>
      <c r="L1803" s="1">
        <v>4.47</v>
      </c>
    </row>
    <row r="1804">
      <c r="A1804" s="1">
        <v>489594.0</v>
      </c>
      <c r="B1804" s="2" t="s">
        <v>1300</v>
      </c>
      <c r="C1804" s="1" t="s">
        <v>1301</v>
      </c>
      <c r="D1804" s="1">
        <v>3.0</v>
      </c>
      <c r="E1804" s="3">
        <v>40148.59652777778</v>
      </c>
      <c r="F1804" s="1">
        <v>1.95</v>
      </c>
      <c r="G1804" s="1">
        <v>15005.0</v>
      </c>
      <c r="H1804" s="1" t="s">
        <v>14</v>
      </c>
      <c r="I1804" s="4">
        <v>40148.0</v>
      </c>
      <c r="J1804" s="5">
        <v>0.5965277777777778</v>
      </c>
      <c r="K1804" s="1">
        <v>14.0</v>
      </c>
      <c r="L1804" s="1">
        <v>5.85</v>
      </c>
    </row>
    <row r="1805">
      <c r="A1805" s="1">
        <v>489594.0</v>
      </c>
      <c r="B1805" s="2" t="s">
        <v>1911</v>
      </c>
      <c r="C1805" s="1" t="s">
        <v>1912</v>
      </c>
      <c r="D1805" s="1">
        <v>2.0</v>
      </c>
      <c r="E1805" s="3">
        <v>40148.59652777778</v>
      </c>
      <c r="F1805" s="1">
        <v>1.49</v>
      </c>
      <c r="G1805" s="1">
        <v>15005.0</v>
      </c>
      <c r="H1805" s="1" t="s">
        <v>14</v>
      </c>
      <c r="I1805" s="4">
        <v>40148.0</v>
      </c>
      <c r="J1805" s="5">
        <v>0.5965277777777778</v>
      </c>
      <c r="K1805" s="1">
        <v>14.0</v>
      </c>
      <c r="L1805" s="1">
        <v>2.98</v>
      </c>
    </row>
    <row r="1806">
      <c r="A1806" s="1">
        <v>489594.0</v>
      </c>
      <c r="B1806" s="2" t="s">
        <v>1913</v>
      </c>
      <c r="C1806" s="1" t="s">
        <v>1914</v>
      </c>
      <c r="D1806" s="1">
        <v>2.0</v>
      </c>
      <c r="E1806" s="3">
        <v>40148.59652777778</v>
      </c>
      <c r="F1806" s="1">
        <v>1.65</v>
      </c>
      <c r="G1806" s="1">
        <v>15005.0</v>
      </c>
      <c r="H1806" s="1" t="s">
        <v>14</v>
      </c>
      <c r="I1806" s="4">
        <v>40148.0</v>
      </c>
      <c r="J1806" s="5">
        <v>0.5965277777777778</v>
      </c>
      <c r="K1806" s="1">
        <v>14.0</v>
      </c>
      <c r="L1806" s="1">
        <v>3.3</v>
      </c>
    </row>
    <row r="1807">
      <c r="A1807" s="1">
        <v>489594.0</v>
      </c>
      <c r="B1807" s="2" t="s">
        <v>1915</v>
      </c>
      <c r="C1807" s="1" t="s">
        <v>1916</v>
      </c>
      <c r="D1807" s="1">
        <v>1.0</v>
      </c>
      <c r="E1807" s="3">
        <v>40148.59652777778</v>
      </c>
      <c r="F1807" s="1">
        <v>2.95</v>
      </c>
      <c r="G1807" s="1">
        <v>15005.0</v>
      </c>
      <c r="H1807" s="1" t="s">
        <v>14</v>
      </c>
      <c r="I1807" s="4">
        <v>40148.0</v>
      </c>
      <c r="J1807" s="5">
        <v>0.5965277777777778</v>
      </c>
      <c r="K1807" s="1">
        <v>14.0</v>
      </c>
      <c r="L1807" s="1">
        <v>2.95</v>
      </c>
    </row>
    <row r="1808">
      <c r="A1808" s="1">
        <v>489594.0</v>
      </c>
      <c r="B1808" s="2" t="s">
        <v>1917</v>
      </c>
      <c r="C1808" s="1" t="s">
        <v>1918</v>
      </c>
      <c r="D1808" s="1">
        <v>8.0</v>
      </c>
      <c r="E1808" s="3">
        <v>40148.59652777778</v>
      </c>
      <c r="F1808" s="1">
        <v>1.25</v>
      </c>
      <c r="G1808" s="1">
        <v>15005.0</v>
      </c>
      <c r="H1808" s="1" t="s">
        <v>14</v>
      </c>
      <c r="I1808" s="4">
        <v>40148.0</v>
      </c>
      <c r="J1808" s="5">
        <v>0.5965277777777778</v>
      </c>
      <c r="K1808" s="1">
        <v>14.0</v>
      </c>
      <c r="L1808" s="1">
        <v>10.0</v>
      </c>
    </row>
    <row r="1809">
      <c r="A1809" s="1">
        <v>489594.0</v>
      </c>
      <c r="B1809" s="2" t="s">
        <v>21</v>
      </c>
      <c r="C1809" s="1" t="s">
        <v>22</v>
      </c>
      <c r="D1809" s="1">
        <v>12.0</v>
      </c>
      <c r="E1809" s="3">
        <v>40148.59652777778</v>
      </c>
      <c r="F1809" s="1">
        <v>1.25</v>
      </c>
      <c r="G1809" s="1">
        <v>15005.0</v>
      </c>
      <c r="H1809" s="1" t="s">
        <v>14</v>
      </c>
      <c r="I1809" s="4">
        <v>40148.0</v>
      </c>
      <c r="J1809" s="5">
        <v>0.5965277777777778</v>
      </c>
      <c r="K1809" s="1">
        <v>14.0</v>
      </c>
      <c r="L1809" s="1">
        <v>15.0</v>
      </c>
    </row>
    <row r="1810">
      <c r="A1810" s="1">
        <v>489594.0</v>
      </c>
      <c r="B1810" s="2" t="s">
        <v>1913</v>
      </c>
      <c r="C1810" s="1" t="s">
        <v>1914</v>
      </c>
      <c r="D1810" s="1">
        <v>1.0</v>
      </c>
      <c r="E1810" s="3">
        <v>40148.59652777778</v>
      </c>
      <c r="F1810" s="1">
        <v>1.65</v>
      </c>
      <c r="G1810" s="1">
        <v>15005.0</v>
      </c>
      <c r="H1810" s="1" t="s">
        <v>14</v>
      </c>
      <c r="I1810" s="4">
        <v>40148.0</v>
      </c>
      <c r="J1810" s="5">
        <v>0.5965277777777778</v>
      </c>
      <c r="K1810" s="1">
        <v>14.0</v>
      </c>
      <c r="L1810" s="1">
        <v>1.65</v>
      </c>
    </row>
    <row r="1811">
      <c r="A1811" s="1">
        <v>489594.0</v>
      </c>
      <c r="B1811" s="2" t="s">
        <v>1909</v>
      </c>
      <c r="C1811" s="1" t="s">
        <v>1910</v>
      </c>
      <c r="D1811" s="1">
        <v>2.0</v>
      </c>
      <c r="E1811" s="3">
        <v>40148.59652777778</v>
      </c>
      <c r="F1811" s="1">
        <v>1.49</v>
      </c>
      <c r="G1811" s="1">
        <v>15005.0</v>
      </c>
      <c r="H1811" s="1" t="s">
        <v>14</v>
      </c>
      <c r="I1811" s="4">
        <v>40148.0</v>
      </c>
      <c r="J1811" s="5">
        <v>0.5965277777777778</v>
      </c>
      <c r="K1811" s="1">
        <v>14.0</v>
      </c>
      <c r="L1811" s="1">
        <v>2.98</v>
      </c>
    </row>
    <row r="1812">
      <c r="A1812" s="1">
        <v>489594.0</v>
      </c>
      <c r="B1812" s="2" t="s">
        <v>1919</v>
      </c>
      <c r="C1812" s="1" t="s">
        <v>1920</v>
      </c>
      <c r="D1812" s="1">
        <v>6.0</v>
      </c>
      <c r="E1812" s="3">
        <v>40148.59652777778</v>
      </c>
      <c r="F1812" s="1">
        <v>1.25</v>
      </c>
      <c r="G1812" s="1">
        <v>15005.0</v>
      </c>
      <c r="H1812" s="1" t="s">
        <v>14</v>
      </c>
      <c r="I1812" s="4">
        <v>40148.0</v>
      </c>
      <c r="J1812" s="5">
        <v>0.5965277777777778</v>
      </c>
      <c r="K1812" s="1">
        <v>14.0</v>
      </c>
      <c r="L1812" s="1">
        <v>7.5</v>
      </c>
    </row>
    <row r="1813">
      <c r="A1813" s="1">
        <v>489594.0</v>
      </c>
      <c r="B1813" s="2" t="s">
        <v>1909</v>
      </c>
      <c r="C1813" s="1" t="s">
        <v>1910</v>
      </c>
      <c r="D1813" s="1">
        <v>1.0</v>
      </c>
      <c r="E1813" s="3">
        <v>40148.59652777778</v>
      </c>
      <c r="F1813" s="1">
        <v>1.49</v>
      </c>
      <c r="G1813" s="1">
        <v>15005.0</v>
      </c>
      <c r="H1813" s="1" t="s">
        <v>14</v>
      </c>
      <c r="I1813" s="4">
        <v>40148.0</v>
      </c>
      <c r="J1813" s="5">
        <v>0.5965277777777778</v>
      </c>
      <c r="K1813" s="1">
        <v>14.0</v>
      </c>
      <c r="L1813" s="1">
        <v>1.49</v>
      </c>
    </row>
    <row r="1814">
      <c r="A1814" s="1">
        <v>489594.0</v>
      </c>
      <c r="B1814" s="2" t="s">
        <v>29</v>
      </c>
      <c r="C1814" s="1" t="s">
        <v>30</v>
      </c>
      <c r="D1814" s="1">
        <v>2.0</v>
      </c>
      <c r="E1814" s="3">
        <v>40148.59652777778</v>
      </c>
      <c r="F1814" s="1">
        <v>2.55</v>
      </c>
      <c r="G1814" s="1">
        <v>15005.0</v>
      </c>
      <c r="H1814" s="1" t="s">
        <v>14</v>
      </c>
      <c r="I1814" s="4">
        <v>40148.0</v>
      </c>
      <c r="J1814" s="5">
        <v>0.5965277777777778</v>
      </c>
      <c r="K1814" s="1">
        <v>14.0</v>
      </c>
      <c r="L1814" s="1">
        <v>5.1</v>
      </c>
    </row>
    <row r="1815">
      <c r="A1815" s="1">
        <v>489594.0</v>
      </c>
      <c r="B1815" s="2" t="s">
        <v>510</v>
      </c>
      <c r="C1815" s="1" t="s">
        <v>511</v>
      </c>
      <c r="D1815" s="1">
        <v>4.0</v>
      </c>
      <c r="E1815" s="3">
        <v>40148.59652777778</v>
      </c>
      <c r="F1815" s="1">
        <v>1.25</v>
      </c>
      <c r="G1815" s="1">
        <v>15005.0</v>
      </c>
      <c r="H1815" s="1" t="s">
        <v>14</v>
      </c>
      <c r="I1815" s="4">
        <v>40148.0</v>
      </c>
      <c r="J1815" s="5">
        <v>0.5965277777777778</v>
      </c>
      <c r="K1815" s="1">
        <v>14.0</v>
      </c>
      <c r="L1815" s="1">
        <v>5.0</v>
      </c>
    </row>
    <row r="1816">
      <c r="A1816" s="1">
        <v>489594.0</v>
      </c>
      <c r="B1816" s="2" t="s">
        <v>1921</v>
      </c>
      <c r="C1816" s="1" t="s">
        <v>1922</v>
      </c>
      <c r="D1816" s="1">
        <v>1.0</v>
      </c>
      <c r="E1816" s="3">
        <v>40148.59652777778</v>
      </c>
      <c r="F1816" s="1">
        <v>2.55</v>
      </c>
      <c r="G1816" s="1">
        <v>15005.0</v>
      </c>
      <c r="H1816" s="1" t="s">
        <v>14</v>
      </c>
      <c r="I1816" s="4">
        <v>40148.0</v>
      </c>
      <c r="J1816" s="5">
        <v>0.5965277777777778</v>
      </c>
      <c r="K1816" s="1">
        <v>14.0</v>
      </c>
      <c r="L1816" s="1">
        <v>2.55</v>
      </c>
    </row>
    <row r="1817">
      <c r="A1817" s="1">
        <v>489594.0</v>
      </c>
      <c r="B1817" s="2" t="s">
        <v>97</v>
      </c>
      <c r="C1817" s="1" t="s">
        <v>98</v>
      </c>
      <c r="D1817" s="1">
        <v>1.0</v>
      </c>
      <c r="E1817" s="3">
        <v>40148.59652777778</v>
      </c>
      <c r="F1817" s="1">
        <v>2.55</v>
      </c>
      <c r="G1817" s="1">
        <v>15005.0</v>
      </c>
      <c r="H1817" s="1" t="s">
        <v>14</v>
      </c>
      <c r="I1817" s="4">
        <v>40148.0</v>
      </c>
      <c r="J1817" s="5">
        <v>0.5965277777777778</v>
      </c>
      <c r="K1817" s="1">
        <v>14.0</v>
      </c>
      <c r="L1817" s="1">
        <v>2.55</v>
      </c>
    </row>
    <row r="1818">
      <c r="A1818" s="1">
        <v>489594.0</v>
      </c>
      <c r="B1818" s="2" t="s">
        <v>1923</v>
      </c>
      <c r="C1818" s="1" t="s">
        <v>1924</v>
      </c>
      <c r="D1818" s="1">
        <v>2.0</v>
      </c>
      <c r="E1818" s="3">
        <v>40148.59652777778</v>
      </c>
      <c r="F1818" s="1">
        <v>2.55</v>
      </c>
      <c r="G1818" s="1">
        <v>15005.0</v>
      </c>
      <c r="H1818" s="1" t="s">
        <v>14</v>
      </c>
      <c r="I1818" s="4">
        <v>40148.0</v>
      </c>
      <c r="J1818" s="5">
        <v>0.5965277777777778</v>
      </c>
      <c r="K1818" s="1">
        <v>14.0</v>
      </c>
      <c r="L1818" s="1">
        <v>5.1</v>
      </c>
    </row>
    <row r="1819">
      <c r="A1819" s="1">
        <v>489594.0</v>
      </c>
      <c r="B1819" s="2" t="s">
        <v>418</v>
      </c>
      <c r="C1819" s="1" t="s">
        <v>419</v>
      </c>
      <c r="D1819" s="1">
        <v>3.0</v>
      </c>
      <c r="E1819" s="3">
        <v>40148.59652777778</v>
      </c>
      <c r="F1819" s="1">
        <v>2.95</v>
      </c>
      <c r="G1819" s="1">
        <v>15005.0</v>
      </c>
      <c r="H1819" s="1" t="s">
        <v>14</v>
      </c>
      <c r="I1819" s="4">
        <v>40148.0</v>
      </c>
      <c r="J1819" s="5">
        <v>0.5965277777777778</v>
      </c>
      <c r="K1819" s="1">
        <v>14.0</v>
      </c>
      <c r="L1819" s="1">
        <v>8.85</v>
      </c>
    </row>
    <row r="1820">
      <c r="A1820" s="1">
        <v>489594.0</v>
      </c>
      <c r="B1820" s="2" t="s">
        <v>153</v>
      </c>
      <c r="C1820" s="1" t="s">
        <v>154</v>
      </c>
      <c r="D1820" s="1">
        <v>6.0</v>
      </c>
      <c r="E1820" s="3">
        <v>40148.59652777778</v>
      </c>
      <c r="F1820" s="1">
        <v>1.45</v>
      </c>
      <c r="G1820" s="1">
        <v>15005.0</v>
      </c>
      <c r="H1820" s="1" t="s">
        <v>14</v>
      </c>
      <c r="I1820" s="4">
        <v>40148.0</v>
      </c>
      <c r="J1820" s="5">
        <v>0.5965277777777778</v>
      </c>
      <c r="K1820" s="1">
        <v>14.0</v>
      </c>
      <c r="L1820" s="1">
        <v>8.7</v>
      </c>
    </row>
    <row r="1821">
      <c r="A1821" s="1">
        <v>489594.0</v>
      </c>
      <c r="B1821" s="2" t="s">
        <v>1925</v>
      </c>
      <c r="C1821" s="1" t="s">
        <v>1926</v>
      </c>
      <c r="D1821" s="1">
        <v>1.0</v>
      </c>
      <c r="E1821" s="3">
        <v>40148.59652777778</v>
      </c>
      <c r="F1821" s="1">
        <v>2.95</v>
      </c>
      <c r="G1821" s="1">
        <v>15005.0</v>
      </c>
      <c r="H1821" s="1" t="s">
        <v>14</v>
      </c>
      <c r="I1821" s="4">
        <v>40148.0</v>
      </c>
      <c r="J1821" s="5">
        <v>0.5965277777777778</v>
      </c>
      <c r="K1821" s="1">
        <v>14.0</v>
      </c>
      <c r="L1821" s="1">
        <v>2.95</v>
      </c>
    </row>
    <row r="1822">
      <c r="A1822" s="1">
        <v>489594.0</v>
      </c>
      <c r="B1822" s="2" t="s">
        <v>975</v>
      </c>
      <c r="C1822" s="1" t="s">
        <v>976</v>
      </c>
      <c r="D1822" s="1">
        <v>3.0</v>
      </c>
      <c r="E1822" s="3">
        <v>40148.59652777778</v>
      </c>
      <c r="F1822" s="1">
        <v>0.95</v>
      </c>
      <c r="G1822" s="1">
        <v>15005.0</v>
      </c>
      <c r="H1822" s="1" t="s">
        <v>14</v>
      </c>
      <c r="I1822" s="4">
        <v>40148.0</v>
      </c>
      <c r="J1822" s="5">
        <v>0.5965277777777778</v>
      </c>
      <c r="K1822" s="1">
        <v>14.0</v>
      </c>
      <c r="L1822" s="1">
        <v>2.84999999999999</v>
      </c>
    </row>
    <row r="1823">
      <c r="A1823" s="1">
        <v>489594.0</v>
      </c>
      <c r="B1823" s="2" t="s">
        <v>1927</v>
      </c>
      <c r="C1823" s="1" t="s">
        <v>1928</v>
      </c>
      <c r="D1823" s="1">
        <v>8.0</v>
      </c>
      <c r="E1823" s="3">
        <v>40148.59652777778</v>
      </c>
      <c r="F1823" s="1">
        <v>2.95</v>
      </c>
      <c r="G1823" s="1">
        <v>15005.0</v>
      </c>
      <c r="H1823" s="1" t="s">
        <v>14</v>
      </c>
      <c r="I1823" s="4">
        <v>40148.0</v>
      </c>
      <c r="J1823" s="5">
        <v>0.5965277777777778</v>
      </c>
      <c r="K1823" s="1">
        <v>14.0</v>
      </c>
      <c r="L1823" s="1">
        <v>23.6</v>
      </c>
    </row>
    <row r="1824">
      <c r="A1824" s="1">
        <v>489594.0</v>
      </c>
      <c r="B1824" s="2" t="s">
        <v>1278</v>
      </c>
      <c r="C1824" s="1" t="s">
        <v>1279</v>
      </c>
      <c r="D1824" s="1">
        <v>1.0</v>
      </c>
      <c r="E1824" s="3">
        <v>40148.59652777778</v>
      </c>
      <c r="F1824" s="1">
        <v>10.75</v>
      </c>
      <c r="G1824" s="1">
        <v>15005.0</v>
      </c>
      <c r="H1824" s="1" t="s">
        <v>14</v>
      </c>
      <c r="I1824" s="4">
        <v>40148.0</v>
      </c>
      <c r="J1824" s="5">
        <v>0.5965277777777778</v>
      </c>
      <c r="K1824" s="1">
        <v>14.0</v>
      </c>
      <c r="L1824" s="1">
        <v>10.75</v>
      </c>
    </row>
    <row r="1825">
      <c r="A1825" s="1">
        <v>489594.0</v>
      </c>
      <c r="B1825" s="2" t="s">
        <v>514</v>
      </c>
      <c r="C1825" s="1" t="s">
        <v>515</v>
      </c>
      <c r="D1825" s="1">
        <v>2.0</v>
      </c>
      <c r="E1825" s="3">
        <v>40148.59652777778</v>
      </c>
      <c r="F1825" s="1">
        <v>9.95</v>
      </c>
      <c r="G1825" s="1">
        <v>15005.0</v>
      </c>
      <c r="H1825" s="1" t="s">
        <v>14</v>
      </c>
      <c r="I1825" s="4">
        <v>40148.0</v>
      </c>
      <c r="J1825" s="5">
        <v>0.5965277777777778</v>
      </c>
      <c r="K1825" s="1">
        <v>14.0</v>
      </c>
      <c r="L1825" s="1">
        <v>19.9</v>
      </c>
    </row>
    <row r="1826">
      <c r="A1826" s="1">
        <v>489594.0</v>
      </c>
      <c r="B1826" s="2" t="s">
        <v>1929</v>
      </c>
      <c r="C1826" s="1" t="s">
        <v>1930</v>
      </c>
      <c r="D1826" s="1">
        <v>4.0</v>
      </c>
      <c r="E1826" s="3">
        <v>40148.59652777778</v>
      </c>
      <c r="F1826" s="1">
        <v>0.85</v>
      </c>
      <c r="G1826" s="1">
        <v>15005.0</v>
      </c>
      <c r="H1826" s="1" t="s">
        <v>14</v>
      </c>
      <c r="I1826" s="4">
        <v>40148.0</v>
      </c>
      <c r="J1826" s="5">
        <v>0.5965277777777778</v>
      </c>
      <c r="K1826" s="1">
        <v>14.0</v>
      </c>
      <c r="L1826" s="1">
        <v>3.4</v>
      </c>
    </row>
    <row r="1827">
      <c r="A1827" s="1">
        <v>489594.0</v>
      </c>
      <c r="B1827" s="2" t="s">
        <v>1931</v>
      </c>
      <c r="C1827" s="1" t="s">
        <v>1932</v>
      </c>
      <c r="D1827" s="1">
        <v>8.0</v>
      </c>
      <c r="E1827" s="3">
        <v>40148.59652777778</v>
      </c>
      <c r="F1827" s="1">
        <v>0.65</v>
      </c>
      <c r="G1827" s="1">
        <v>15005.0</v>
      </c>
      <c r="H1827" s="1" t="s">
        <v>14</v>
      </c>
      <c r="I1827" s="4">
        <v>40148.0</v>
      </c>
      <c r="J1827" s="5">
        <v>0.5965277777777778</v>
      </c>
      <c r="K1827" s="1">
        <v>14.0</v>
      </c>
      <c r="L1827" s="1">
        <v>5.2</v>
      </c>
    </row>
    <row r="1828">
      <c r="A1828" s="1">
        <v>489594.0</v>
      </c>
      <c r="B1828" s="2" t="s">
        <v>1933</v>
      </c>
      <c r="C1828" s="1" t="s">
        <v>1934</v>
      </c>
      <c r="D1828" s="1">
        <v>8.0</v>
      </c>
      <c r="E1828" s="3">
        <v>40148.59652777778</v>
      </c>
      <c r="F1828" s="1">
        <v>0.42</v>
      </c>
      <c r="G1828" s="1">
        <v>15005.0</v>
      </c>
      <c r="H1828" s="1" t="s">
        <v>14</v>
      </c>
      <c r="I1828" s="4">
        <v>40148.0</v>
      </c>
      <c r="J1828" s="5">
        <v>0.5965277777777778</v>
      </c>
      <c r="K1828" s="1">
        <v>14.0</v>
      </c>
      <c r="L1828" s="1">
        <v>3.36</v>
      </c>
    </row>
    <row r="1829">
      <c r="A1829" s="1">
        <v>489594.0</v>
      </c>
      <c r="B1829" s="2" t="s">
        <v>712</v>
      </c>
      <c r="C1829" s="1" t="s">
        <v>713</v>
      </c>
      <c r="D1829" s="1">
        <v>2.0</v>
      </c>
      <c r="E1829" s="3">
        <v>40148.59652777778</v>
      </c>
      <c r="F1829" s="1">
        <v>1.25</v>
      </c>
      <c r="G1829" s="1">
        <v>15005.0</v>
      </c>
      <c r="H1829" s="1" t="s">
        <v>14</v>
      </c>
      <c r="I1829" s="4">
        <v>40148.0</v>
      </c>
      <c r="J1829" s="5">
        <v>0.5965277777777778</v>
      </c>
      <c r="K1829" s="1">
        <v>14.0</v>
      </c>
      <c r="L1829" s="1">
        <v>2.5</v>
      </c>
    </row>
    <row r="1830">
      <c r="A1830" s="1">
        <v>489594.0</v>
      </c>
      <c r="B1830" s="2" t="s">
        <v>418</v>
      </c>
      <c r="C1830" s="1" t="s">
        <v>419</v>
      </c>
      <c r="D1830" s="1">
        <v>1.0</v>
      </c>
      <c r="E1830" s="3">
        <v>40148.59652777778</v>
      </c>
      <c r="F1830" s="1">
        <v>2.95</v>
      </c>
      <c r="G1830" s="1">
        <v>15005.0</v>
      </c>
      <c r="H1830" s="1" t="s">
        <v>14</v>
      </c>
      <c r="I1830" s="4">
        <v>40148.0</v>
      </c>
      <c r="J1830" s="5">
        <v>0.5965277777777778</v>
      </c>
      <c r="K1830" s="1">
        <v>14.0</v>
      </c>
      <c r="L1830" s="1">
        <v>2.95</v>
      </c>
    </row>
    <row r="1831">
      <c r="A1831" s="1">
        <v>489594.0</v>
      </c>
      <c r="B1831" s="2" t="s">
        <v>1131</v>
      </c>
      <c r="C1831" s="1" t="s">
        <v>1132</v>
      </c>
      <c r="D1831" s="1">
        <v>2.0</v>
      </c>
      <c r="E1831" s="3">
        <v>40148.59652777778</v>
      </c>
      <c r="F1831" s="1">
        <v>1.65</v>
      </c>
      <c r="G1831" s="1">
        <v>15005.0</v>
      </c>
      <c r="H1831" s="1" t="s">
        <v>14</v>
      </c>
      <c r="I1831" s="4">
        <v>40148.0</v>
      </c>
      <c r="J1831" s="5">
        <v>0.5965277777777778</v>
      </c>
      <c r="K1831" s="1">
        <v>14.0</v>
      </c>
      <c r="L1831" s="1">
        <v>3.3</v>
      </c>
    </row>
    <row r="1832">
      <c r="A1832" s="1">
        <v>489594.0</v>
      </c>
      <c r="B1832" s="2" t="s">
        <v>23</v>
      </c>
      <c r="C1832" s="1" t="s">
        <v>24</v>
      </c>
      <c r="D1832" s="1">
        <v>4.0</v>
      </c>
      <c r="E1832" s="3">
        <v>40148.59652777778</v>
      </c>
      <c r="F1832" s="1">
        <v>1.65</v>
      </c>
      <c r="G1832" s="1">
        <v>15005.0</v>
      </c>
      <c r="H1832" s="1" t="s">
        <v>14</v>
      </c>
      <c r="I1832" s="4">
        <v>40148.0</v>
      </c>
      <c r="J1832" s="5">
        <v>0.5965277777777778</v>
      </c>
      <c r="K1832" s="1">
        <v>14.0</v>
      </c>
      <c r="L1832" s="1">
        <v>6.6</v>
      </c>
    </row>
    <row r="1833">
      <c r="A1833" s="1">
        <v>489594.0</v>
      </c>
      <c r="B1833" s="2" t="s">
        <v>309</v>
      </c>
      <c r="C1833" s="1" t="s">
        <v>310</v>
      </c>
      <c r="D1833" s="1">
        <v>4.0</v>
      </c>
      <c r="E1833" s="3">
        <v>40148.59652777778</v>
      </c>
      <c r="F1833" s="1">
        <v>1.65</v>
      </c>
      <c r="G1833" s="1">
        <v>15005.0</v>
      </c>
      <c r="H1833" s="1" t="s">
        <v>14</v>
      </c>
      <c r="I1833" s="4">
        <v>40148.0</v>
      </c>
      <c r="J1833" s="5">
        <v>0.5965277777777778</v>
      </c>
      <c r="K1833" s="1">
        <v>14.0</v>
      </c>
      <c r="L1833" s="1">
        <v>6.6</v>
      </c>
    </row>
    <row r="1834">
      <c r="A1834" s="1">
        <v>489594.0</v>
      </c>
      <c r="B1834" s="2" t="s">
        <v>305</v>
      </c>
      <c r="C1834" s="1" t="s">
        <v>306</v>
      </c>
      <c r="D1834" s="1">
        <v>3.0</v>
      </c>
      <c r="E1834" s="3">
        <v>40148.59652777778</v>
      </c>
      <c r="F1834" s="1">
        <v>1.65</v>
      </c>
      <c r="G1834" s="1">
        <v>15005.0</v>
      </c>
      <c r="H1834" s="1" t="s">
        <v>14</v>
      </c>
      <c r="I1834" s="4">
        <v>40148.0</v>
      </c>
      <c r="J1834" s="5">
        <v>0.5965277777777778</v>
      </c>
      <c r="K1834" s="1">
        <v>14.0</v>
      </c>
      <c r="L1834" s="1">
        <v>4.94999999999999</v>
      </c>
    </row>
    <row r="1835">
      <c r="A1835" s="1">
        <v>489594.0</v>
      </c>
      <c r="B1835" s="2" t="s">
        <v>1799</v>
      </c>
      <c r="C1835" s="1" t="s">
        <v>1800</v>
      </c>
      <c r="D1835" s="1">
        <v>1.0</v>
      </c>
      <c r="E1835" s="3">
        <v>40148.59652777778</v>
      </c>
      <c r="F1835" s="1">
        <v>4.95</v>
      </c>
      <c r="G1835" s="1">
        <v>15005.0</v>
      </c>
      <c r="H1835" s="1" t="s">
        <v>14</v>
      </c>
      <c r="I1835" s="4">
        <v>40148.0</v>
      </c>
      <c r="J1835" s="5">
        <v>0.5965277777777778</v>
      </c>
      <c r="K1835" s="1">
        <v>14.0</v>
      </c>
      <c r="L1835" s="1">
        <v>4.95</v>
      </c>
    </row>
    <row r="1836">
      <c r="A1836" s="1">
        <v>489594.0</v>
      </c>
      <c r="B1836" s="2" t="s">
        <v>291</v>
      </c>
      <c r="C1836" s="1" t="s">
        <v>292</v>
      </c>
      <c r="D1836" s="1">
        <v>3.0</v>
      </c>
      <c r="E1836" s="3">
        <v>40148.59652777778</v>
      </c>
      <c r="F1836" s="1">
        <v>3.95</v>
      </c>
      <c r="G1836" s="1">
        <v>15005.0</v>
      </c>
      <c r="H1836" s="1" t="s">
        <v>14</v>
      </c>
      <c r="I1836" s="4">
        <v>40148.0</v>
      </c>
      <c r="J1836" s="5">
        <v>0.5965277777777778</v>
      </c>
      <c r="K1836" s="1">
        <v>14.0</v>
      </c>
      <c r="L1836" s="1">
        <v>11.85</v>
      </c>
    </row>
    <row r="1837">
      <c r="A1837" s="1">
        <v>489594.0</v>
      </c>
      <c r="B1837" s="2" t="s">
        <v>1881</v>
      </c>
      <c r="C1837" s="1" t="s">
        <v>1882</v>
      </c>
      <c r="D1837" s="1">
        <v>2.0</v>
      </c>
      <c r="E1837" s="3">
        <v>40148.59652777778</v>
      </c>
      <c r="F1837" s="1">
        <v>4.25</v>
      </c>
      <c r="G1837" s="1">
        <v>15005.0</v>
      </c>
      <c r="H1837" s="1" t="s">
        <v>14</v>
      </c>
      <c r="I1837" s="4">
        <v>40148.0</v>
      </c>
      <c r="J1837" s="5">
        <v>0.5965277777777778</v>
      </c>
      <c r="K1837" s="1">
        <v>14.0</v>
      </c>
      <c r="L1837" s="1">
        <v>8.5</v>
      </c>
    </row>
    <row r="1838">
      <c r="A1838" s="1">
        <v>489594.0</v>
      </c>
      <c r="B1838" s="2" t="s">
        <v>1423</v>
      </c>
      <c r="C1838" s="1" t="s">
        <v>1424</v>
      </c>
      <c r="D1838" s="1">
        <v>6.0</v>
      </c>
      <c r="E1838" s="3">
        <v>40148.59652777778</v>
      </c>
      <c r="F1838" s="1">
        <v>2.55</v>
      </c>
      <c r="G1838" s="1">
        <v>15005.0</v>
      </c>
      <c r="H1838" s="1" t="s">
        <v>14</v>
      </c>
      <c r="I1838" s="4">
        <v>40148.0</v>
      </c>
      <c r="J1838" s="5">
        <v>0.5965277777777778</v>
      </c>
      <c r="K1838" s="1">
        <v>14.0</v>
      </c>
      <c r="L1838" s="1">
        <v>15.2999999999999</v>
      </c>
    </row>
    <row r="1839">
      <c r="A1839" s="1">
        <v>489594.0</v>
      </c>
      <c r="B1839" s="2" t="s">
        <v>480</v>
      </c>
      <c r="C1839" s="1" t="s">
        <v>481</v>
      </c>
      <c r="D1839" s="1">
        <v>11.0</v>
      </c>
      <c r="E1839" s="3">
        <v>40148.59652777778</v>
      </c>
      <c r="F1839" s="1">
        <v>1.25</v>
      </c>
      <c r="G1839" s="1">
        <v>15005.0</v>
      </c>
      <c r="H1839" s="1" t="s">
        <v>14</v>
      </c>
      <c r="I1839" s="4">
        <v>40148.0</v>
      </c>
      <c r="J1839" s="5">
        <v>0.5965277777777778</v>
      </c>
      <c r="K1839" s="1">
        <v>14.0</v>
      </c>
      <c r="L1839" s="1">
        <v>13.75</v>
      </c>
    </row>
    <row r="1840">
      <c r="A1840" s="1" t="s">
        <v>1935</v>
      </c>
      <c r="B1840" s="2" t="s">
        <v>1936</v>
      </c>
      <c r="C1840" s="1" t="s">
        <v>1937</v>
      </c>
      <c r="D1840" s="1">
        <v>-1.0</v>
      </c>
      <c r="E1840" s="3">
        <v>40148.59722222222</v>
      </c>
      <c r="F1840" s="1">
        <v>14.95</v>
      </c>
      <c r="G1840" s="1">
        <v>15254.0</v>
      </c>
      <c r="H1840" s="1" t="s">
        <v>14</v>
      </c>
      <c r="I1840" s="4">
        <v>40148.0</v>
      </c>
      <c r="J1840" s="5">
        <v>0.5972222222222222</v>
      </c>
      <c r="K1840" s="1">
        <v>14.0</v>
      </c>
      <c r="L1840" s="1">
        <v>-14.95</v>
      </c>
    </row>
    <row r="1841">
      <c r="A1841" s="1">
        <v>489596.0</v>
      </c>
      <c r="B1841" s="2" t="s">
        <v>506</v>
      </c>
      <c r="C1841" s="1" t="s">
        <v>507</v>
      </c>
      <c r="D1841" s="1">
        <v>2.0</v>
      </c>
      <c r="E1841" s="3">
        <v>40148.60208333333</v>
      </c>
      <c r="F1841" s="1">
        <v>8.5</v>
      </c>
      <c r="G1841" s="1" t="s">
        <v>421</v>
      </c>
      <c r="H1841" s="1" t="s">
        <v>14</v>
      </c>
      <c r="I1841" s="4">
        <v>40148.0</v>
      </c>
      <c r="J1841" s="5">
        <v>0.6020833333333333</v>
      </c>
      <c r="K1841" s="1">
        <v>14.0</v>
      </c>
      <c r="L1841" s="1">
        <v>17.0</v>
      </c>
    </row>
    <row r="1842">
      <c r="A1842" s="1">
        <v>489597.0</v>
      </c>
      <c r="B1842" s="2" t="s">
        <v>1938</v>
      </c>
      <c r="C1842" s="1" t="s">
        <v>1939</v>
      </c>
      <c r="D1842" s="1">
        <v>1.0</v>
      </c>
      <c r="E1842" s="3">
        <v>40148.60277777778</v>
      </c>
      <c r="F1842" s="1">
        <v>5.17</v>
      </c>
      <c r="G1842" s="1" t="s">
        <v>421</v>
      </c>
      <c r="H1842" s="1" t="s">
        <v>14</v>
      </c>
      <c r="I1842" s="4">
        <v>40148.0</v>
      </c>
      <c r="J1842" s="5">
        <v>0.6027777777777777</v>
      </c>
      <c r="K1842" s="1">
        <v>14.0</v>
      </c>
      <c r="L1842" s="1">
        <v>5.17</v>
      </c>
    </row>
    <row r="1843">
      <c r="A1843" s="1">
        <v>489597.0</v>
      </c>
      <c r="B1843" s="2" t="s">
        <v>1940</v>
      </c>
      <c r="C1843" s="1" t="s">
        <v>1941</v>
      </c>
      <c r="D1843" s="1">
        <v>1.0</v>
      </c>
      <c r="E1843" s="3">
        <v>40148.60277777778</v>
      </c>
      <c r="F1843" s="1">
        <v>1.7</v>
      </c>
      <c r="G1843" s="1" t="s">
        <v>421</v>
      </c>
      <c r="H1843" s="1" t="s">
        <v>14</v>
      </c>
      <c r="I1843" s="4">
        <v>40148.0</v>
      </c>
      <c r="J1843" s="5">
        <v>0.6027777777777777</v>
      </c>
      <c r="K1843" s="1">
        <v>14.0</v>
      </c>
      <c r="L1843" s="1">
        <v>1.7</v>
      </c>
    </row>
    <row r="1844">
      <c r="A1844" s="1">
        <v>489597.0</v>
      </c>
      <c r="B1844" s="2" t="s">
        <v>1942</v>
      </c>
      <c r="C1844" s="1" t="s">
        <v>1943</v>
      </c>
      <c r="D1844" s="1">
        <v>1.0</v>
      </c>
      <c r="E1844" s="3">
        <v>40148.60277777778</v>
      </c>
      <c r="F1844" s="1">
        <v>4.3</v>
      </c>
      <c r="G1844" s="1" t="s">
        <v>421</v>
      </c>
      <c r="H1844" s="1" t="s">
        <v>14</v>
      </c>
      <c r="I1844" s="4">
        <v>40148.0</v>
      </c>
      <c r="J1844" s="5">
        <v>0.6027777777777777</v>
      </c>
      <c r="K1844" s="1">
        <v>14.0</v>
      </c>
      <c r="L1844" s="1">
        <v>4.3</v>
      </c>
    </row>
    <row r="1845">
      <c r="A1845" s="1">
        <v>489597.0</v>
      </c>
      <c r="B1845" s="2" t="s">
        <v>1944</v>
      </c>
      <c r="C1845" s="1" t="s">
        <v>1945</v>
      </c>
      <c r="D1845" s="1">
        <v>1.0</v>
      </c>
      <c r="E1845" s="3">
        <v>40148.60277777778</v>
      </c>
      <c r="F1845" s="1">
        <v>4.3</v>
      </c>
      <c r="G1845" s="1" t="s">
        <v>421</v>
      </c>
      <c r="H1845" s="1" t="s">
        <v>14</v>
      </c>
      <c r="I1845" s="4">
        <v>40148.0</v>
      </c>
      <c r="J1845" s="5">
        <v>0.6027777777777777</v>
      </c>
      <c r="K1845" s="1">
        <v>14.0</v>
      </c>
      <c r="L1845" s="1">
        <v>4.3</v>
      </c>
    </row>
    <row r="1846">
      <c r="A1846" s="1">
        <v>489597.0</v>
      </c>
      <c r="B1846" s="2" t="s">
        <v>1946</v>
      </c>
      <c r="C1846" s="1" t="s">
        <v>1947</v>
      </c>
      <c r="D1846" s="1">
        <v>1.0</v>
      </c>
      <c r="E1846" s="3">
        <v>40148.60277777778</v>
      </c>
      <c r="F1846" s="1">
        <v>2.57</v>
      </c>
      <c r="G1846" s="1" t="s">
        <v>421</v>
      </c>
      <c r="H1846" s="1" t="s">
        <v>14</v>
      </c>
      <c r="I1846" s="4">
        <v>40148.0</v>
      </c>
      <c r="J1846" s="5">
        <v>0.6027777777777777</v>
      </c>
      <c r="K1846" s="1">
        <v>14.0</v>
      </c>
      <c r="L1846" s="1">
        <v>2.57</v>
      </c>
    </row>
    <row r="1847">
      <c r="A1847" s="1">
        <v>489597.0</v>
      </c>
      <c r="B1847" s="2" t="s">
        <v>1948</v>
      </c>
      <c r="C1847" s="1" t="s">
        <v>1949</v>
      </c>
      <c r="D1847" s="1">
        <v>1.0</v>
      </c>
      <c r="E1847" s="3">
        <v>40148.60277777778</v>
      </c>
      <c r="F1847" s="1">
        <v>2.57</v>
      </c>
      <c r="G1847" s="1" t="s">
        <v>421</v>
      </c>
      <c r="H1847" s="1" t="s">
        <v>14</v>
      </c>
      <c r="I1847" s="4">
        <v>40148.0</v>
      </c>
      <c r="J1847" s="5">
        <v>0.6027777777777777</v>
      </c>
      <c r="K1847" s="1">
        <v>14.0</v>
      </c>
      <c r="L1847" s="1">
        <v>2.57</v>
      </c>
    </row>
    <row r="1848">
      <c r="A1848" s="1">
        <v>489597.0</v>
      </c>
      <c r="B1848" s="2" t="s">
        <v>1109</v>
      </c>
      <c r="C1848" s="1" t="s">
        <v>1110</v>
      </c>
      <c r="D1848" s="1">
        <v>1.0</v>
      </c>
      <c r="E1848" s="3">
        <v>40148.60277777778</v>
      </c>
      <c r="F1848" s="1">
        <v>2.57</v>
      </c>
      <c r="G1848" s="1" t="s">
        <v>421</v>
      </c>
      <c r="H1848" s="1" t="s">
        <v>14</v>
      </c>
      <c r="I1848" s="4">
        <v>40148.0</v>
      </c>
      <c r="J1848" s="5">
        <v>0.6027777777777777</v>
      </c>
      <c r="K1848" s="1">
        <v>14.0</v>
      </c>
      <c r="L1848" s="1">
        <v>2.57</v>
      </c>
    </row>
    <row r="1849">
      <c r="A1849" s="1">
        <v>489597.0</v>
      </c>
      <c r="B1849" s="2" t="s">
        <v>1950</v>
      </c>
      <c r="C1849" s="1" t="s">
        <v>1951</v>
      </c>
      <c r="D1849" s="1">
        <v>1.0</v>
      </c>
      <c r="E1849" s="3">
        <v>40148.60277777778</v>
      </c>
      <c r="F1849" s="1">
        <v>2.57</v>
      </c>
      <c r="G1849" s="1" t="s">
        <v>421</v>
      </c>
      <c r="H1849" s="1" t="s">
        <v>14</v>
      </c>
      <c r="I1849" s="4">
        <v>40148.0</v>
      </c>
      <c r="J1849" s="5">
        <v>0.6027777777777777</v>
      </c>
      <c r="K1849" s="1">
        <v>14.0</v>
      </c>
      <c r="L1849" s="1">
        <v>2.57</v>
      </c>
    </row>
    <row r="1850">
      <c r="A1850" s="1">
        <v>489597.0</v>
      </c>
      <c r="B1850" s="2" t="s">
        <v>1952</v>
      </c>
      <c r="C1850" s="1" t="s">
        <v>1953</v>
      </c>
      <c r="D1850" s="1">
        <v>1.0</v>
      </c>
      <c r="E1850" s="3">
        <v>40148.60277777778</v>
      </c>
      <c r="F1850" s="1">
        <v>2.57</v>
      </c>
      <c r="G1850" s="1" t="s">
        <v>421</v>
      </c>
      <c r="H1850" s="1" t="s">
        <v>14</v>
      </c>
      <c r="I1850" s="4">
        <v>40148.0</v>
      </c>
      <c r="J1850" s="5">
        <v>0.6027777777777777</v>
      </c>
      <c r="K1850" s="1">
        <v>14.0</v>
      </c>
      <c r="L1850" s="1">
        <v>2.57</v>
      </c>
    </row>
    <row r="1851">
      <c r="A1851" s="1">
        <v>489597.0</v>
      </c>
      <c r="B1851" s="2" t="s">
        <v>594</v>
      </c>
      <c r="C1851" s="1" t="s">
        <v>595</v>
      </c>
      <c r="D1851" s="1">
        <v>2.0</v>
      </c>
      <c r="E1851" s="3">
        <v>40148.60277777778</v>
      </c>
      <c r="F1851" s="1">
        <v>2.57</v>
      </c>
      <c r="G1851" s="1" t="s">
        <v>421</v>
      </c>
      <c r="H1851" s="1" t="s">
        <v>14</v>
      </c>
      <c r="I1851" s="4">
        <v>40148.0</v>
      </c>
      <c r="J1851" s="5">
        <v>0.6027777777777777</v>
      </c>
      <c r="K1851" s="1">
        <v>14.0</v>
      </c>
      <c r="L1851" s="1">
        <v>5.14</v>
      </c>
    </row>
    <row r="1852">
      <c r="A1852" s="1">
        <v>489597.0</v>
      </c>
      <c r="B1852" s="2" t="s">
        <v>777</v>
      </c>
      <c r="C1852" s="1" t="s">
        <v>778</v>
      </c>
      <c r="D1852" s="1">
        <v>2.0</v>
      </c>
      <c r="E1852" s="3">
        <v>40148.60277777778</v>
      </c>
      <c r="F1852" s="1">
        <v>2.57</v>
      </c>
      <c r="G1852" s="1" t="s">
        <v>421</v>
      </c>
      <c r="H1852" s="1" t="s">
        <v>14</v>
      </c>
      <c r="I1852" s="4">
        <v>40148.0</v>
      </c>
      <c r="J1852" s="5">
        <v>0.6027777777777777</v>
      </c>
      <c r="K1852" s="1">
        <v>14.0</v>
      </c>
      <c r="L1852" s="1">
        <v>5.14</v>
      </c>
    </row>
    <row r="1853">
      <c r="A1853" s="1">
        <v>489597.0</v>
      </c>
      <c r="B1853" s="2" t="s">
        <v>897</v>
      </c>
      <c r="C1853" s="1" t="s">
        <v>898</v>
      </c>
      <c r="D1853" s="1">
        <v>1.0</v>
      </c>
      <c r="E1853" s="3">
        <v>40148.60277777778</v>
      </c>
      <c r="F1853" s="1">
        <v>6.91</v>
      </c>
      <c r="G1853" s="1" t="s">
        <v>421</v>
      </c>
      <c r="H1853" s="1" t="s">
        <v>14</v>
      </c>
      <c r="I1853" s="4">
        <v>40148.0</v>
      </c>
      <c r="J1853" s="5">
        <v>0.6027777777777777</v>
      </c>
      <c r="K1853" s="1">
        <v>14.0</v>
      </c>
      <c r="L1853" s="1">
        <v>6.91</v>
      </c>
    </row>
    <row r="1854">
      <c r="A1854" s="1">
        <v>489597.0</v>
      </c>
      <c r="B1854" s="2" t="s">
        <v>1954</v>
      </c>
      <c r="C1854" s="1" t="s">
        <v>1955</v>
      </c>
      <c r="D1854" s="1">
        <v>1.0</v>
      </c>
      <c r="E1854" s="3">
        <v>40148.60277777778</v>
      </c>
      <c r="F1854" s="1">
        <v>7.78</v>
      </c>
      <c r="G1854" s="1" t="s">
        <v>421</v>
      </c>
      <c r="H1854" s="1" t="s">
        <v>14</v>
      </c>
      <c r="I1854" s="4">
        <v>40148.0</v>
      </c>
      <c r="J1854" s="5">
        <v>0.6027777777777777</v>
      </c>
      <c r="K1854" s="1">
        <v>14.0</v>
      </c>
      <c r="L1854" s="1">
        <v>7.78</v>
      </c>
    </row>
    <row r="1855">
      <c r="A1855" s="1">
        <v>489597.0</v>
      </c>
      <c r="B1855" s="2" t="s">
        <v>91</v>
      </c>
      <c r="C1855" s="1" t="s">
        <v>92</v>
      </c>
      <c r="D1855" s="1">
        <v>1.0</v>
      </c>
      <c r="E1855" s="3">
        <v>40148.60277777778</v>
      </c>
      <c r="F1855" s="1">
        <v>8.65</v>
      </c>
      <c r="G1855" s="1" t="s">
        <v>421</v>
      </c>
      <c r="H1855" s="1" t="s">
        <v>14</v>
      </c>
      <c r="I1855" s="4">
        <v>40148.0</v>
      </c>
      <c r="J1855" s="5">
        <v>0.6027777777777777</v>
      </c>
      <c r="K1855" s="1">
        <v>14.0</v>
      </c>
      <c r="L1855" s="1">
        <v>8.65</v>
      </c>
    </row>
    <row r="1856">
      <c r="A1856" s="1">
        <v>489597.0</v>
      </c>
      <c r="B1856" s="2" t="s">
        <v>1123</v>
      </c>
      <c r="C1856" s="1" t="s">
        <v>1124</v>
      </c>
      <c r="D1856" s="1">
        <v>6.0</v>
      </c>
      <c r="E1856" s="3">
        <v>40148.60277777778</v>
      </c>
      <c r="F1856" s="1">
        <v>4.3</v>
      </c>
      <c r="G1856" s="1" t="s">
        <v>421</v>
      </c>
      <c r="H1856" s="1" t="s">
        <v>14</v>
      </c>
      <c r="I1856" s="4">
        <v>40148.0</v>
      </c>
      <c r="J1856" s="5">
        <v>0.6027777777777777</v>
      </c>
      <c r="K1856" s="1">
        <v>14.0</v>
      </c>
      <c r="L1856" s="1">
        <v>25.7999999999999</v>
      </c>
    </row>
    <row r="1857">
      <c r="A1857" s="1">
        <v>489597.0</v>
      </c>
      <c r="B1857" s="2" t="s">
        <v>1956</v>
      </c>
      <c r="C1857" s="1" t="s">
        <v>1957</v>
      </c>
      <c r="D1857" s="1">
        <v>1.0</v>
      </c>
      <c r="E1857" s="3">
        <v>40148.60277777778</v>
      </c>
      <c r="F1857" s="1">
        <v>2.57</v>
      </c>
      <c r="G1857" s="1" t="s">
        <v>421</v>
      </c>
      <c r="H1857" s="1" t="s">
        <v>14</v>
      </c>
      <c r="I1857" s="4">
        <v>40148.0</v>
      </c>
      <c r="J1857" s="5">
        <v>0.6027777777777777</v>
      </c>
      <c r="K1857" s="1">
        <v>14.0</v>
      </c>
      <c r="L1857" s="1">
        <v>2.57</v>
      </c>
    </row>
    <row r="1858">
      <c r="A1858" s="1">
        <v>489597.0</v>
      </c>
      <c r="B1858" s="2" t="s">
        <v>538</v>
      </c>
      <c r="C1858" s="1" t="s">
        <v>539</v>
      </c>
      <c r="D1858" s="1">
        <v>1.0</v>
      </c>
      <c r="E1858" s="3">
        <v>40148.60277777778</v>
      </c>
      <c r="F1858" s="1">
        <v>1.7</v>
      </c>
      <c r="G1858" s="1" t="s">
        <v>421</v>
      </c>
      <c r="H1858" s="1" t="s">
        <v>14</v>
      </c>
      <c r="I1858" s="4">
        <v>40148.0</v>
      </c>
      <c r="J1858" s="5">
        <v>0.6027777777777777</v>
      </c>
      <c r="K1858" s="1">
        <v>14.0</v>
      </c>
      <c r="L1858" s="1">
        <v>1.7</v>
      </c>
    </row>
    <row r="1859">
      <c r="A1859" s="1">
        <v>489597.0</v>
      </c>
      <c r="B1859" s="2" t="s">
        <v>301</v>
      </c>
      <c r="C1859" s="1" t="s">
        <v>302</v>
      </c>
      <c r="D1859" s="1">
        <v>3.0</v>
      </c>
      <c r="E1859" s="3">
        <v>40148.60277777778</v>
      </c>
      <c r="F1859" s="1">
        <v>1.7</v>
      </c>
      <c r="G1859" s="1" t="s">
        <v>421</v>
      </c>
      <c r="H1859" s="1" t="s">
        <v>14</v>
      </c>
      <c r="I1859" s="4">
        <v>40148.0</v>
      </c>
      <c r="J1859" s="5">
        <v>0.6027777777777777</v>
      </c>
      <c r="K1859" s="1">
        <v>14.0</v>
      </c>
      <c r="L1859" s="1">
        <v>5.1</v>
      </c>
    </row>
    <row r="1860">
      <c r="A1860" s="1">
        <v>489597.0</v>
      </c>
      <c r="B1860" s="2" t="s">
        <v>305</v>
      </c>
      <c r="C1860" s="1" t="s">
        <v>306</v>
      </c>
      <c r="D1860" s="1">
        <v>1.0</v>
      </c>
      <c r="E1860" s="3">
        <v>40148.60277777778</v>
      </c>
      <c r="F1860" s="1">
        <v>4.3</v>
      </c>
      <c r="G1860" s="1" t="s">
        <v>421</v>
      </c>
      <c r="H1860" s="1" t="s">
        <v>14</v>
      </c>
      <c r="I1860" s="4">
        <v>40148.0</v>
      </c>
      <c r="J1860" s="5">
        <v>0.6027777777777777</v>
      </c>
      <c r="K1860" s="1">
        <v>14.0</v>
      </c>
      <c r="L1860" s="1">
        <v>4.3</v>
      </c>
    </row>
    <row r="1861">
      <c r="A1861" s="1">
        <v>489597.0</v>
      </c>
      <c r="B1861" s="2" t="s">
        <v>1958</v>
      </c>
      <c r="C1861" s="1" t="s">
        <v>1959</v>
      </c>
      <c r="D1861" s="1">
        <v>1.0</v>
      </c>
      <c r="E1861" s="3">
        <v>40148.60277777778</v>
      </c>
      <c r="F1861" s="1">
        <v>2.57</v>
      </c>
      <c r="G1861" s="1" t="s">
        <v>421</v>
      </c>
      <c r="H1861" s="1" t="s">
        <v>14</v>
      </c>
      <c r="I1861" s="4">
        <v>40148.0</v>
      </c>
      <c r="J1861" s="5">
        <v>0.6027777777777777</v>
      </c>
      <c r="K1861" s="1">
        <v>14.0</v>
      </c>
      <c r="L1861" s="1">
        <v>2.57</v>
      </c>
    </row>
    <row r="1862">
      <c r="A1862" s="1">
        <v>489597.0</v>
      </c>
      <c r="B1862" s="2" t="s">
        <v>1960</v>
      </c>
      <c r="C1862" s="1" t="s">
        <v>1961</v>
      </c>
      <c r="D1862" s="1">
        <v>1.0</v>
      </c>
      <c r="E1862" s="3">
        <v>40148.60277777778</v>
      </c>
      <c r="F1862" s="1">
        <v>8.65</v>
      </c>
      <c r="G1862" s="1" t="s">
        <v>421</v>
      </c>
      <c r="H1862" s="1" t="s">
        <v>14</v>
      </c>
      <c r="I1862" s="4">
        <v>40148.0</v>
      </c>
      <c r="J1862" s="5">
        <v>0.6027777777777777</v>
      </c>
      <c r="K1862" s="1">
        <v>14.0</v>
      </c>
      <c r="L1862" s="1">
        <v>8.65</v>
      </c>
    </row>
    <row r="1863">
      <c r="A1863" s="1">
        <v>489597.0</v>
      </c>
      <c r="B1863" s="2" t="s">
        <v>434</v>
      </c>
      <c r="C1863" s="1" t="s">
        <v>435</v>
      </c>
      <c r="D1863" s="1">
        <v>3.0</v>
      </c>
      <c r="E1863" s="3">
        <v>40148.60277777778</v>
      </c>
      <c r="F1863" s="1">
        <v>4.3</v>
      </c>
      <c r="G1863" s="1" t="s">
        <v>421</v>
      </c>
      <c r="H1863" s="1" t="s">
        <v>14</v>
      </c>
      <c r="I1863" s="4">
        <v>40148.0</v>
      </c>
      <c r="J1863" s="5">
        <v>0.6027777777777777</v>
      </c>
      <c r="K1863" s="1">
        <v>14.0</v>
      </c>
      <c r="L1863" s="1">
        <v>12.8999999999999</v>
      </c>
    </row>
    <row r="1864">
      <c r="A1864" s="1">
        <v>489597.0</v>
      </c>
      <c r="B1864" s="2" t="s">
        <v>436</v>
      </c>
      <c r="C1864" s="1" t="s">
        <v>437</v>
      </c>
      <c r="D1864" s="1">
        <v>1.0</v>
      </c>
      <c r="E1864" s="3">
        <v>40148.60277777778</v>
      </c>
      <c r="F1864" s="1">
        <v>4.3</v>
      </c>
      <c r="G1864" s="1" t="s">
        <v>421</v>
      </c>
      <c r="H1864" s="1" t="s">
        <v>14</v>
      </c>
      <c r="I1864" s="4">
        <v>40148.0</v>
      </c>
      <c r="J1864" s="5">
        <v>0.6027777777777777</v>
      </c>
      <c r="K1864" s="1">
        <v>14.0</v>
      </c>
      <c r="L1864" s="1">
        <v>4.3</v>
      </c>
    </row>
    <row r="1865">
      <c r="A1865" s="1">
        <v>489597.0</v>
      </c>
      <c r="B1865" s="2" t="s">
        <v>230</v>
      </c>
      <c r="C1865" s="1" t="s">
        <v>231</v>
      </c>
      <c r="D1865" s="1">
        <v>2.0</v>
      </c>
      <c r="E1865" s="3">
        <v>40148.60277777778</v>
      </c>
      <c r="F1865" s="1">
        <v>4.3</v>
      </c>
      <c r="G1865" s="1" t="s">
        <v>421</v>
      </c>
      <c r="H1865" s="1" t="s">
        <v>14</v>
      </c>
      <c r="I1865" s="4">
        <v>40148.0</v>
      </c>
      <c r="J1865" s="5">
        <v>0.6027777777777777</v>
      </c>
      <c r="K1865" s="1">
        <v>14.0</v>
      </c>
      <c r="L1865" s="1">
        <v>8.6</v>
      </c>
    </row>
    <row r="1866">
      <c r="A1866" s="1">
        <v>489597.0</v>
      </c>
      <c r="B1866" s="2" t="s">
        <v>1962</v>
      </c>
      <c r="C1866" s="1" t="s">
        <v>1963</v>
      </c>
      <c r="D1866" s="1">
        <v>1.0</v>
      </c>
      <c r="E1866" s="3">
        <v>40148.60277777778</v>
      </c>
      <c r="F1866" s="1">
        <v>7.78</v>
      </c>
      <c r="G1866" s="1" t="s">
        <v>421</v>
      </c>
      <c r="H1866" s="1" t="s">
        <v>14</v>
      </c>
      <c r="I1866" s="4">
        <v>40148.0</v>
      </c>
      <c r="J1866" s="5">
        <v>0.6027777777777777</v>
      </c>
      <c r="K1866" s="1">
        <v>14.0</v>
      </c>
      <c r="L1866" s="1">
        <v>7.78</v>
      </c>
    </row>
    <row r="1867">
      <c r="A1867" s="1">
        <v>489597.0</v>
      </c>
      <c r="B1867" s="2" t="s">
        <v>1964</v>
      </c>
      <c r="C1867" s="1" t="s">
        <v>1965</v>
      </c>
      <c r="D1867" s="1">
        <v>1.0</v>
      </c>
      <c r="E1867" s="3">
        <v>40148.60277777778</v>
      </c>
      <c r="F1867" s="1">
        <v>11.26</v>
      </c>
      <c r="G1867" s="1" t="s">
        <v>421</v>
      </c>
      <c r="H1867" s="1" t="s">
        <v>14</v>
      </c>
      <c r="I1867" s="4">
        <v>40148.0</v>
      </c>
      <c r="J1867" s="5">
        <v>0.6027777777777777</v>
      </c>
      <c r="K1867" s="1">
        <v>14.0</v>
      </c>
      <c r="L1867" s="1">
        <v>11.26</v>
      </c>
    </row>
    <row r="1868">
      <c r="A1868" s="1">
        <v>489597.0</v>
      </c>
      <c r="B1868" s="2" t="s">
        <v>698</v>
      </c>
      <c r="C1868" s="1" t="s">
        <v>699</v>
      </c>
      <c r="D1868" s="1">
        <v>2.0</v>
      </c>
      <c r="E1868" s="3">
        <v>40148.60277777778</v>
      </c>
      <c r="F1868" s="1">
        <v>11.26</v>
      </c>
      <c r="G1868" s="1" t="s">
        <v>421</v>
      </c>
      <c r="H1868" s="1" t="s">
        <v>14</v>
      </c>
      <c r="I1868" s="4">
        <v>40148.0</v>
      </c>
      <c r="J1868" s="5">
        <v>0.6027777777777777</v>
      </c>
      <c r="K1868" s="1">
        <v>14.0</v>
      </c>
      <c r="L1868" s="1">
        <v>22.52</v>
      </c>
    </row>
    <row r="1869">
      <c r="A1869" s="1">
        <v>489597.0</v>
      </c>
      <c r="B1869" s="2" t="s">
        <v>1966</v>
      </c>
      <c r="C1869" s="1" t="s">
        <v>1967</v>
      </c>
      <c r="D1869" s="1">
        <v>1.0</v>
      </c>
      <c r="E1869" s="3">
        <v>40148.60277777778</v>
      </c>
      <c r="F1869" s="1">
        <v>11.26</v>
      </c>
      <c r="G1869" s="1" t="s">
        <v>421</v>
      </c>
      <c r="H1869" s="1" t="s">
        <v>14</v>
      </c>
      <c r="I1869" s="4">
        <v>40148.0</v>
      </c>
      <c r="J1869" s="5">
        <v>0.6027777777777777</v>
      </c>
      <c r="K1869" s="1">
        <v>14.0</v>
      </c>
      <c r="L1869" s="1">
        <v>11.26</v>
      </c>
    </row>
    <row r="1870">
      <c r="A1870" s="1">
        <v>489597.0</v>
      </c>
      <c r="B1870" s="2" t="s">
        <v>1968</v>
      </c>
      <c r="C1870" s="1" t="s">
        <v>1969</v>
      </c>
      <c r="D1870" s="1">
        <v>3.0</v>
      </c>
      <c r="E1870" s="3">
        <v>40148.60277777778</v>
      </c>
      <c r="F1870" s="1">
        <v>4.3</v>
      </c>
      <c r="G1870" s="1" t="s">
        <v>421</v>
      </c>
      <c r="H1870" s="1" t="s">
        <v>14</v>
      </c>
      <c r="I1870" s="4">
        <v>40148.0</v>
      </c>
      <c r="J1870" s="5">
        <v>0.6027777777777777</v>
      </c>
      <c r="K1870" s="1">
        <v>14.0</v>
      </c>
      <c r="L1870" s="1">
        <v>12.8999999999999</v>
      </c>
    </row>
    <row r="1871">
      <c r="A1871" s="1">
        <v>489597.0</v>
      </c>
      <c r="B1871" s="2" t="s">
        <v>1970</v>
      </c>
      <c r="C1871" s="1" t="s">
        <v>1971</v>
      </c>
      <c r="D1871" s="1">
        <v>3.0</v>
      </c>
      <c r="E1871" s="3">
        <v>40148.60277777778</v>
      </c>
      <c r="F1871" s="1">
        <v>4.3</v>
      </c>
      <c r="G1871" s="1" t="s">
        <v>421</v>
      </c>
      <c r="H1871" s="1" t="s">
        <v>14</v>
      </c>
      <c r="I1871" s="4">
        <v>40148.0</v>
      </c>
      <c r="J1871" s="5">
        <v>0.6027777777777777</v>
      </c>
      <c r="K1871" s="1">
        <v>14.0</v>
      </c>
      <c r="L1871" s="1">
        <v>12.8999999999999</v>
      </c>
    </row>
    <row r="1872">
      <c r="A1872" s="1">
        <v>489597.0</v>
      </c>
      <c r="B1872" s="2" t="s">
        <v>319</v>
      </c>
      <c r="C1872" s="1" t="s">
        <v>320</v>
      </c>
      <c r="D1872" s="1">
        <v>1.0</v>
      </c>
      <c r="E1872" s="3">
        <v>40148.60277777778</v>
      </c>
      <c r="F1872" s="1">
        <v>26.04</v>
      </c>
      <c r="G1872" s="1" t="s">
        <v>421</v>
      </c>
      <c r="H1872" s="1" t="s">
        <v>14</v>
      </c>
      <c r="I1872" s="4">
        <v>40148.0</v>
      </c>
      <c r="J1872" s="5">
        <v>0.6027777777777777</v>
      </c>
      <c r="K1872" s="1">
        <v>14.0</v>
      </c>
      <c r="L1872" s="1">
        <v>26.04</v>
      </c>
    </row>
    <row r="1873">
      <c r="A1873" s="1">
        <v>489597.0</v>
      </c>
      <c r="B1873" s="2" t="s">
        <v>666</v>
      </c>
      <c r="C1873" s="1" t="s">
        <v>667</v>
      </c>
      <c r="D1873" s="1">
        <v>1.0</v>
      </c>
      <c r="E1873" s="3">
        <v>40148.60277777778</v>
      </c>
      <c r="F1873" s="1">
        <v>5.17</v>
      </c>
      <c r="G1873" s="1" t="s">
        <v>421</v>
      </c>
      <c r="H1873" s="1" t="s">
        <v>14</v>
      </c>
      <c r="I1873" s="4">
        <v>40148.0</v>
      </c>
      <c r="J1873" s="5">
        <v>0.6027777777777777</v>
      </c>
      <c r="K1873" s="1">
        <v>14.0</v>
      </c>
      <c r="L1873" s="1">
        <v>5.17</v>
      </c>
    </row>
    <row r="1874">
      <c r="A1874" s="1">
        <v>489597.0</v>
      </c>
      <c r="B1874" s="2" t="s">
        <v>1972</v>
      </c>
      <c r="C1874" s="1" t="s">
        <v>1973</v>
      </c>
      <c r="D1874" s="1">
        <v>1.0</v>
      </c>
      <c r="E1874" s="3">
        <v>40148.60277777778</v>
      </c>
      <c r="F1874" s="1">
        <v>1.7</v>
      </c>
      <c r="G1874" s="1" t="s">
        <v>421</v>
      </c>
      <c r="H1874" s="1" t="s">
        <v>14</v>
      </c>
      <c r="I1874" s="4">
        <v>40148.0</v>
      </c>
      <c r="J1874" s="5">
        <v>0.6027777777777777</v>
      </c>
      <c r="K1874" s="1">
        <v>14.0</v>
      </c>
      <c r="L1874" s="1">
        <v>1.7</v>
      </c>
    </row>
    <row r="1875">
      <c r="A1875" s="1">
        <v>489597.0</v>
      </c>
      <c r="B1875" s="2" t="s">
        <v>1974</v>
      </c>
      <c r="C1875" s="1" t="s">
        <v>1975</v>
      </c>
      <c r="D1875" s="1">
        <v>1.0</v>
      </c>
      <c r="E1875" s="3">
        <v>40148.60277777778</v>
      </c>
      <c r="F1875" s="1">
        <v>4.3</v>
      </c>
      <c r="G1875" s="1" t="s">
        <v>421</v>
      </c>
      <c r="H1875" s="1" t="s">
        <v>14</v>
      </c>
      <c r="I1875" s="4">
        <v>40148.0</v>
      </c>
      <c r="J1875" s="5">
        <v>0.6027777777777777</v>
      </c>
      <c r="K1875" s="1">
        <v>14.0</v>
      </c>
      <c r="L1875" s="1">
        <v>4.3</v>
      </c>
    </row>
    <row r="1876">
      <c r="A1876" s="1">
        <v>489597.0</v>
      </c>
      <c r="B1876" s="2" t="s">
        <v>1976</v>
      </c>
      <c r="C1876" s="1" t="s">
        <v>1977</v>
      </c>
      <c r="D1876" s="1">
        <v>2.0</v>
      </c>
      <c r="E1876" s="3">
        <v>40148.60277777778</v>
      </c>
      <c r="F1876" s="1">
        <v>4.3</v>
      </c>
      <c r="G1876" s="1" t="s">
        <v>421</v>
      </c>
      <c r="H1876" s="1" t="s">
        <v>14</v>
      </c>
      <c r="I1876" s="4">
        <v>40148.0</v>
      </c>
      <c r="J1876" s="5">
        <v>0.6027777777777777</v>
      </c>
      <c r="K1876" s="1">
        <v>14.0</v>
      </c>
      <c r="L1876" s="1">
        <v>8.6</v>
      </c>
    </row>
    <row r="1877">
      <c r="A1877" s="1">
        <v>489597.0</v>
      </c>
      <c r="B1877" s="2" t="s">
        <v>1387</v>
      </c>
      <c r="C1877" s="1" t="s">
        <v>1388</v>
      </c>
      <c r="D1877" s="1">
        <v>2.0</v>
      </c>
      <c r="E1877" s="3">
        <v>40148.60277777778</v>
      </c>
      <c r="F1877" s="1">
        <v>2.57</v>
      </c>
      <c r="G1877" s="1" t="s">
        <v>421</v>
      </c>
      <c r="H1877" s="1" t="s">
        <v>14</v>
      </c>
      <c r="I1877" s="4">
        <v>40148.0</v>
      </c>
      <c r="J1877" s="5">
        <v>0.6027777777777777</v>
      </c>
      <c r="K1877" s="1">
        <v>14.0</v>
      </c>
      <c r="L1877" s="1">
        <v>5.14</v>
      </c>
    </row>
    <row r="1878">
      <c r="A1878" s="1">
        <v>489597.0</v>
      </c>
      <c r="B1878" s="2" t="s">
        <v>1978</v>
      </c>
      <c r="C1878" s="1" t="s">
        <v>1979</v>
      </c>
      <c r="D1878" s="1">
        <v>1.0</v>
      </c>
      <c r="E1878" s="3">
        <v>40148.60277777778</v>
      </c>
      <c r="F1878" s="1">
        <v>4.3</v>
      </c>
      <c r="G1878" s="1" t="s">
        <v>421</v>
      </c>
      <c r="H1878" s="1" t="s">
        <v>14</v>
      </c>
      <c r="I1878" s="4">
        <v>40148.0</v>
      </c>
      <c r="J1878" s="5">
        <v>0.6027777777777777</v>
      </c>
      <c r="K1878" s="1">
        <v>14.0</v>
      </c>
      <c r="L1878" s="1">
        <v>4.3</v>
      </c>
    </row>
    <row r="1879">
      <c r="A1879" s="1">
        <v>489597.0</v>
      </c>
      <c r="B1879" s="2" t="s">
        <v>1980</v>
      </c>
      <c r="C1879" s="1" t="s">
        <v>1981</v>
      </c>
      <c r="D1879" s="1">
        <v>1.0</v>
      </c>
      <c r="E1879" s="3">
        <v>40148.60277777778</v>
      </c>
      <c r="F1879" s="1">
        <v>6.04</v>
      </c>
      <c r="G1879" s="1" t="s">
        <v>421</v>
      </c>
      <c r="H1879" s="1" t="s">
        <v>14</v>
      </c>
      <c r="I1879" s="4">
        <v>40148.0</v>
      </c>
      <c r="J1879" s="5">
        <v>0.6027777777777777</v>
      </c>
      <c r="K1879" s="1">
        <v>14.0</v>
      </c>
      <c r="L1879" s="1">
        <v>6.04</v>
      </c>
    </row>
    <row r="1880">
      <c r="A1880" s="1">
        <v>489597.0</v>
      </c>
      <c r="B1880" s="2" t="s">
        <v>550</v>
      </c>
      <c r="C1880" s="1" t="s">
        <v>551</v>
      </c>
      <c r="D1880" s="1">
        <v>1.0</v>
      </c>
      <c r="E1880" s="3">
        <v>40148.60277777778</v>
      </c>
      <c r="F1880" s="1">
        <v>6.04</v>
      </c>
      <c r="G1880" s="1" t="s">
        <v>421</v>
      </c>
      <c r="H1880" s="1" t="s">
        <v>14</v>
      </c>
      <c r="I1880" s="4">
        <v>40148.0</v>
      </c>
      <c r="J1880" s="5">
        <v>0.6027777777777777</v>
      </c>
      <c r="K1880" s="1">
        <v>14.0</v>
      </c>
      <c r="L1880" s="1">
        <v>6.04</v>
      </c>
    </row>
    <row r="1881">
      <c r="A1881" s="1">
        <v>489597.0</v>
      </c>
      <c r="B1881" s="2" t="s">
        <v>1982</v>
      </c>
      <c r="C1881" s="1" t="s">
        <v>1983</v>
      </c>
      <c r="D1881" s="1">
        <v>1.0</v>
      </c>
      <c r="E1881" s="3">
        <v>40148.60277777778</v>
      </c>
      <c r="F1881" s="1">
        <v>13.0</v>
      </c>
      <c r="G1881" s="1" t="s">
        <v>421</v>
      </c>
      <c r="H1881" s="1" t="s">
        <v>14</v>
      </c>
      <c r="I1881" s="4">
        <v>40148.0</v>
      </c>
      <c r="J1881" s="5">
        <v>0.6027777777777777</v>
      </c>
      <c r="K1881" s="1">
        <v>14.0</v>
      </c>
      <c r="L1881" s="1">
        <v>13.0</v>
      </c>
    </row>
    <row r="1882">
      <c r="A1882" s="1">
        <v>489597.0</v>
      </c>
      <c r="B1882" s="2" t="s">
        <v>868</v>
      </c>
      <c r="C1882" s="1" t="s">
        <v>869</v>
      </c>
      <c r="D1882" s="1">
        <v>1.0</v>
      </c>
      <c r="E1882" s="3">
        <v>40148.60277777778</v>
      </c>
      <c r="F1882" s="1">
        <v>6.04</v>
      </c>
      <c r="G1882" s="1" t="s">
        <v>421</v>
      </c>
      <c r="H1882" s="1" t="s">
        <v>14</v>
      </c>
      <c r="I1882" s="4">
        <v>40148.0</v>
      </c>
      <c r="J1882" s="5">
        <v>0.6027777777777777</v>
      </c>
      <c r="K1882" s="1">
        <v>14.0</v>
      </c>
      <c r="L1882" s="1">
        <v>6.04</v>
      </c>
    </row>
    <row r="1883">
      <c r="A1883" s="1">
        <v>489597.0</v>
      </c>
      <c r="B1883" s="2" t="s">
        <v>1735</v>
      </c>
      <c r="C1883" s="1" t="s">
        <v>1736</v>
      </c>
      <c r="D1883" s="1">
        <v>1.0</v>
      </c>
      <c r="E1883" s="3">
        <v>40148.60277777778</v>
      </c>
      <c r="F1883" s="1">
        <v>6.04</v>
      </c>
      <c r="G1883" s="1" t="s">
        <v>421</v>
      </c>
      <c r="H1883" s="1" t="s">
        <v>14</v>
      </c>
      <c r="I1883" s="4">
        <v>40148.0</v>
      </c>
      <c r="J1883" s="5">
        <v>0.6027777777777777</v>
      </c>
      <c r="K1883" s="1">
        <v>14.0</v>
      </c>
      <c r="L1883" s="1">
        <v>6.04</v>
      </c>
    </row>
    <row r="1884">
      <c r="A1884" s="1">
        <v>489597.0</v>
      </c>
      <c r="B1884" s="2" t="s">
        <v>1067</v>
      </c>
      <c r="C1884" s="1" t="s">
        <v>1068</v>
      </c>
      <c r="D1884" s="1">
        <v>2.0</v>
      </c>
      <c r="E1884" s="3">
        <v>40148.60277777778</v>
      </c>
      <c r="F1884" s="1">
        <v>2.57</v>
      </c>
      <c r="G1884" s="1" t="s">
        <v>421</v>
      </c>
      <c r="H1884" s="1" t="s">
        <v>14</v>
      </c>
      <c r="I1884" s="4">
        <v>40148.0</v>
      </c>
      <c r="J1884" s="5">
        <v>0.6027777777777777</v>
      </c>
      <c r="K1884" s="1">
        <v>14.0</v>
      </c>
      <c r="L1884" s="1">
        <v>5.14</v>
      </c>
    </row>
    <row r="1885">
      <c r="A1885" s="1">
        <v>489597.0</v>
      </c>
      <c r="B1885" s="2" t="s">
        <v>1071</v>
      </c>
      <c r="C1885" s="1" t="s">
        <v>1072</v>
      </c>
      <c r="D1885" s="1">
        <v>3.0</v>
      </c>
      <c r="E1885" s="3">
        <v>40148.60277777778</v>
      </c>
      <c r="F1885" s="1">
        <v>2.57</v>
      </c>
      <c r="G1885" s="1" t="s">
        <v>421</v>
      </c>
      <c r="H1885" s="1" t="s">
        <v>14</v>
      </c>
      <c r="I1885" s="4">
        <v>40148.0</v>
      </c>
      <c r="J1885" s="5">
        <v>0.6027777777777777</v>
      </c>
      <c r="K1885" s="1">
        <v>14.0</v>
      </c>
      <c r="L1885" s="1">
        <v>7.70999999999999</v>
      </c>
    </row>
    <row r="1886">
      <c r="A1886" s="1">
        <v>489597.0</v>
      </c>
      <c r="B1886" s="2" t="s">
        <v>458</v>
      </c>
      <c r="C1886" s="1" t="s">
        <v>459</v>
      </c>
      <c r="D1886" s="1">
        <v>1.0</v>
      </c>
      <c r="E1886" s="3">
        <v>40148.60277777778</v>
      </c>
      <c r="F1886" s="1">
        <v>7.78</v>
      </c>
      <c r="G1886" s="1" t="s">
        <v>421</v>
      </c>
      <c r="H1886" s="1" t="s">
        <v>14</v>
      </c>
      <c r="I1886" s="4">
        <v>40148.0</v>
      </c>
      <c r="J1886" s="5">
        <v>0.6027777777777777</v>
      </c>
      <c r="K1886" s="1">
        <v>14.0</v>
      </c>
      <c r="L1886" s="1">
        <v>7.78</v>
      </c>
    </row>
    <row r="1887">
      <c r="A1887" s="1">
        <v>489597.0</v>
      </c>
      <c r="B1887" s="2" t="s">
        <v>462</v>
      </c>
      <c r="C1887" s="1" t="s">
        <v>463</v>
      </c>
      <c r="D1887" s="1">
        <v>1.0</v>
      </c>
      <c r="E1887" s="3">
        <v>40148.60277777778</v>
      </c>
      <c r="F1887" s="1">
        <v>2.57</v>
      </c>
      <c r="G1887" s="1" t="s">
        <v>421</v>
      </c>
      <c r="H1887" s="1" t="s">
        <v>14</v>
      </c>
      <c r="I1887" s="4">
        <v>40148.0</v>
      </c>
      <c r="J1887" s="5">
        <v>0.6027777777777777</v>
      </c>
      <c r="K1887" s="1">
        <v>14.0</v>
      </c>
      <c r="L1887" s="1">
        <v>2.57</v>
      </c>
    </row>
    <row r="1888">
      <c r="A1888" s="1">
        <v>489597.0</v>
      </c>
      <c r="B1888" s="2" t="s">
        <v>1399</v>
      </c>
      <c r="C1888" s="1" t="s">
        <v>1400</v>
      </c>
      <c r="D1888" s="1">
        <v>1.0</v>
      </c>
      <c r="E1888" s="3">
        <v>40148.60277777778</v>
      </c>
      <c r="F1888" s="1">
        <v>1.3</v>
      </c>
      <c r="G1888" s="1" t="s">
        <v>421</v>
      </c>
      <c r="H1888" s="1" t="s">
        <v>14</v>
      </c>
      <c r="I1888" s="4">
        <v>40148.0</v>
      </c>
      <c r="J1888" s="5">
        <v>0.6027777777777777</v>
      </c>
      <c r="K1888" s="1">
        <v>14.0</v>
      </c>
      <c r="L1888" s="1">
        <v>1.3</v>
      </c>
    </row>
    <row r="1889">
      <c r="A1889" s="1">
        <v>489597.0</v>
      </c>
      <c r="B1889" s="2" t="s">
        <v>1081</v>
      </c>
      <c r="C1889" s="1" t="s">
        <v>1082</v>
      </c>
      <c r="D1889" s="1">
        <v>1.0</v>
      </c>
      <c r="E1889" s="3">
        <v>40148.60277777778</v>
      </c>
      <c r="F1889" s="1">
        <v>1.3</v>
      </c>
      <c r="G1889" s="1" t="s">
        <v>421</v>
      </c>
      <c r="H1889" s="1" t="s">
        <v>14</v>
      </c>
      <c r="I1889" s="4">
        <v>40148.0</v>
      </c>
      <c r="J1889" s="5">
        <v>0.6027777777777777</v>
      </c>
      <c r="K1889" s="1">
        <v>14.0</v>
      </c>
      <c r="L1889" s="1">
        <v>1.3</v>
      </c>
    </row>
    <row r="1890">
      <c r="A1890" s="1">
        <v>489597.0</v>
      </c>
      <c r="B1890" s="2" t="s">
        <v>1397</v>
      </c>
      <c r="C1890" s="1" t="s">
        <v>1398</v>
      </c>
      <c r="D1890" s="1">
        <v>5.0</v>
      </c>
      <c r="E1890" s="3">
        <v>40148.60277777778</v>
      </c>
      <c r="F1890" s="1">
        <v>2.57</v>
      </c>
      <c r="G1890" s="1" t="s">
        <v>421</v>
      </c>
      <c r="H1890" s="1" t="s">
        <v>14</v>
      </c>
      <c r="I1890" s="4">
        <v>40148.0</v>
      </c>
      <c r="J1890" s="5">
        <v>0.6027777777777777</v>
      </c>
      <c r="K1890" s="1">
        <v>14.0</v>
      </c>
      <c r="L1890" s="1">
        <v>12.85</v>
      </c>
    </row>
    <row r="1891">
      <c r="A1891" s="1">
        <v>489597.0</v>
      </c>
      <c r="B1891" s="2" t="s">
        <v>1509</v>
      </c>
      <c r="C1891" s="1" t="s">
        <v>1510</v>
      </c>
      <c r="D1891" s="1">
        <v>1.0</v>
      </c>
      <c r="E1891" s="3">
        <v>40148.60277777778</v>
      </c>
      <c r="F1891" s="1">
        <v>2.57</v>
      </c>
      <c r="G1891" s="1" t="s">
        <v>421</v>
      </c>
      <c r="H1891" s="1" t="s">
        <v>14</v>
      </c>
      <c r="I1891" s="4">
        <v>40148.0</v>
      </c>
      <c r="J1891" s="5">
        <v>0.6027777777777777</v>
      </c>
      <c r="K1891" s="1">
        <v>14.0</v>
      </c>
      <c r="L1891" s="1">
        <v>2.57</v>
      </c>
    </row>
    <row r="1892">
      <c r="A1892" s="1">
        <v>489597.0</v>
      </c>
      <c r="B1892" s="2" t="s">
        <v>1391</v>
      </c>
      <c r="C1892" s="1" t="s">
        <v>1392</v>
      </c>
      <c r="D1892" s="1">
        <v>3.0</v>
      </c>
      <c r="E1892" s="3">
        <v>40148.60277777778</v>
      </c>
      <c r="F1892" s="1">
        <v>2.57</v>
      </c>
      <c r="G1892" s="1" t="s">
        <v>421</v>
      </c>
      <c r="H1892" s="1" t="s">
        <v>14</v>
      </c>
      <c r="I1892" s="4">
        <v>40148.0</v>
      </c>
      <c r="J1892" s="5">
        <v>0.6027777777777777</v>
      </c>
      <c r="K1892" s="1">
        <v>14.0</v>
      </c>
      <c r="L1892" s="1">
        <v>7.70999999999999</v>
      </c>
    </row>
    <row r="1893">
      <c r="A1893" s="1">
        <v>489597.0</v>
      </c>
      <c r="B1893" s="2" t="s">
        <v>1984</v>
      </c>
      <c r="C1893" s="1" t="s">
        <v>1985</v>
      </c>
      <c r="D1893" s="1">
        <v>1.0</v>
      </c>
      <c r="E1893" s="3">
        <v>40148.60277777778</v>
      </c>
      <c r="F1893" s="1">
        <v>2.57</v>
      </c>
      <c r="G1893" s="1" t="s">
        <v>421</v>
      </c>
      <c r="H1893" s="1" t="s">
        <v>14</v>
      </c>
      <c r="I1893" s="4">
        <v>40148.0</v>
      </c>
      <c r="J1893" s="5">
        <v>0.6027777777777777</v>
      </c>
      <c r="K1893" s="1">
        <v>14.0</v>
      </c>
      <c r="L1893" s="1">
        <v>2.57</v>
      </c>
    </row>
    <row r="1894">
      <c r="A1894" s="1">
        <v>489597.0</v>
      </c>
      <c r="B1894" s="2" t="s">
        <v>1395</v>
      </c>
      <c r="C1894" s="1" t="s">
        <v>1396</v>
      </c>
      <c r="D1894" s="1">
        <v>3.0</v>
      </c>
      <c r="E1894" s="3">
        <v>40148.60277777778</v>
      </c>
      <c r="F1894" s="1">
        <v>1.7</v>
      </c>
      <c r="G1894" s="1" t="s">
        <v>421</v>
      </c>
      <c r="H1894" s="1" t="s">
        <v>14</v>
      </c>
      <c r="I1894" s="4">
        <v>40148.0</v>
      </c>
      <c r="J1894" s="5">
        <v>0.6027777777777777</v>
      </c>
      <c r="K1894" s="1">
        <v>14.0</v>
      </c>
      <c r="L1894" s="1">
        <v>5.1</v>
      </c>
    </row>
    <row r="1895">
      <c r="A1895" s="1">
        <v>489597.0</v>
      </c>
      <c r="B1895" s="2" t="s">
        <v>621</v>
      </c>
      <c r="C1895" s="1" t="s">
        <v>622</v>
      </c>
      <c r="D1895" s="1">
        <v>2.0</v>
      </c>
      <c r="E1895" s="3">
        <v>40148.60277777778</v>
      </c>
      <c r="F1895" s="1">
        <v>1.7</v>
      </c>
      <c r="G1895" s="1" t="s">
        <v>421</v>
      </c>
      <c r="H1895" s="1" t="s">
        <v>14</v>
      </c>
      <c r="I1895" s="4">
        <v>40148.0</v>
      </c>
      <c r="J1895" s="5">
        <v>0.6027777777777777</v>
      </c>
      <c r="K1895" s="1">
        <v>14.0</v>
      </c>
      <c r="L1895" s="1">
        <v>3.4</v>
      </c>
    </row>
    <row r="1896">
      <c r="A1896" s="1">
        <v>489597.0</v>
      </c>
      <c r="B1896" s="2" t="s">
        <v>1393</v>
      </c>
      <c r="C1896" s="1" t="s">
        <v>1394</v>
      </c>
      <c r="D1896" s="1">
        <v>1.0</v>
      </c>
      <c r="E1896" s="3">
        <v>40148.60277777778</v>
      </c>
      <c r="F1896" s="1">
        <v>1.7</v>
      </c>
      <c r="G1896" s="1" t="s">
        <v>421</v>
      </c>
      <c r="H1896" s="1" t="s">
        <v>14</v>
      </c>
      <c r="I1896" s="4">
        <v>40148.0</v>
      </c>
      <c r="J1896" s="5">
        <v>0.6027777777777777</v>
      </c>
      <c r="K1896" s="1">
        <v>14.0</v>
      </c>
      <c r="L1896" s="1">
        <v>1.7</v>
      </c>
    </row>
    <row r="1897">
      <c r="A1897" s="1">
        <v>489597.0</v>
      </c>
      <c r="B1897" s="2" t="s">
        <v>619</v>
      </c>
      <c r="C1897" s="1" t="s">
        <v>620</v>
      </c>
      <c r="D1897" s="1">
        <v>1.0</v>
      </c>
      <c r="E1897" s="3">
        <v>40148.60277777778</v>
      </c>
      <c r="F1897" s="1">
        <v>1.7</v>
      </c>
      <c r="G1897" s="1" t="s">
        <v>421</v>
      </c>
      <c r="H1897" s="1" t="s">
        <v>14</v>
      </c>
      <c r="I1897" s="4">
        <v>40148.0</v>
      </c>
      <c r="J1897" s="5">
        <v>0.6027777777777777</v>
      </c>
      <c r="K1897" s="1">
        <v>14.0</v>
      </c>
      <c r="L1897" s="1">
        <v>1.7</v>
      </c>
    </row>
    <row r="1898">
      <c r="A1898" s="1">
        <v>489597.0</v>
      </c>
      <c r="B1898" s="2" t="s">
        <v>706</v>
      </c>
      <c r="C1898" s="1" t="s">
        <v>707</v>
      </c>
      <c r="D1898" s="1">
        <v>1.0</v>
      </c>
      <c r="E1898" s="3">
        <v>40148.60277777778</v>
      </c>
      <c r="F1898" s="1">
        <v>4.3</v>
      </c>
      <c r="G1898" s="1" t="s">
        <v>421</v>
      </c>
      <c r="H1898" s="1" t="s">
        <v>14</v>
      </c>
      <c r="I1898" s="4">
        <v>40148.0</v>
      </c>
      <c r="J1898" s="5">
        <v>0.6027777777777777</v>
      </c>
      <c r="K1898" s="1">
        <v>14.0</v>
      </c>
      <c r="L1898" s="1">
        <v>4.3</v>
      </c>
    </row>
    <row r="1899">
      <c r="A1899" s="1">
        <v>489597.0</v>
      </c>
      <c r="B1899" s="2" t="s">
        <v>1986</v>
      </c>
      <c r="C1899" s="1" t="s">
        <v>1987</v>
      </c>
      <c r="D1899" s="1">
        <v>1.0</v>
      </c>
      <c r="E1899" s="3">
        <v>40148.60277777778</v>
      </c>
      <c r="F1899" s="1">
        <v>1.3</v>
      </c>
      <c r="G1899" s="1" t="s">
        <v>421</v>
      </c>
      <c r="H1899" s="1" t="s">
        <v>14</v>
      </c>
      <c r="I1899" s="4">
        <v>40148.0</v>
      </c>
      <c r="J1899" s="5">
        <v>0.6027777777777777</v>
      </c>
      <c r="K1899" s="1">
        <v>14.0</v>
      </c>
      <c r="L1899" s="1">
        <v>1.3</v>
      </c>
    </row>
    <row r="1900">
      <c r="A1900" s="1">
        <v>489597.0</v>
      </c>
      <c r="B1900" s="2" t="s">
        <v>1988</v>
      </c>
      <c r="C1900" s="1" t="s">
        <v>1989</v>
      </c>
      <c r="D1900" s="1">
        <v>1.0</v>
      </c>
      <c r="E1900" s="3">
        <v>40148.60277777778</v>
      </c>
      <c r="F1900" s="1">
        <v>4.3</v>
      </c>
      <c r="G1900" s="1" t="s">
        <v>421</v>
      </c>
      <c r="H1900" s="1" t="s">
        <v>14</v>
      </c>
      <c r="I1900" s="4">
        <v>40148.0</v>
      </c>
      <c r="J1900" s="5">
        <v>0.6027777777777777</v>
      </c>
      <c r="K1900" s="1">
        <v>14.0</v>
      </c>
      <c r="L1900" s="1">
        <v>4.3</v>
      </c>
    </row>
    <row r="1901">
      <c r="A1901" s="1">
        <v>489597.0</v>
      </c>
      <c r="B1901" s="2" t="s">
        <v>1990</v>
      </c>
      <c r="C1901" s="1" t="s">
        <v>1991</v>
      </c>
      <c r="D1901" s="1">
        <v>1.0</v>
      </c>
      <c r="E1901" s="3">
        <v>40148.60277777778</v>
      </c>
      <c r="F1901" s="1">
        <v>2.57</v>
      </c>
      <c r="G1901" s="1" t="s">
        <v>421</v>
      </c>
      <c r="H1901" s="1" t="s">
        <v>14</v>
      </c>
      <c r="I1901" s="4">
        <v>40148.0</v>
      </c>
      <c r="J1901" s="5">
        <v>0.6027777777777777</v>
      </c>
      <c r="K1901" s="1">
        <v>14.0</v>
      </c>
      <c r="L1901" s="1">
        <v>2.57</v>
      </c>
    </row>
    <row r="1902">
      <c r="A1902" s="1">
        <v>489597.0</v>
      </c>
      <c r="B1902" s="2" t="s">
        <v>232</v>
      </c>
      <c r="C1902" s="1" t="s">
        <v>233</v>
      </c>
      <c r="D1902" s="1">
        <v>1.0</v>
      </c>
      <c r="E1902" s="3">
        <v>40148.60277777778</v>
      </c>
      <c r="F1902" s="1">
        <v>6.04</v>
      </c>
      <c r="G1902" s="1" t="s">
        <v>421</v>
      </c>
      <c r="H1902" s="1" t="s">
        <v>14</v>
      </c>
      <c r="I1902" s="4">
        <v>40148.0</v>
      </c>
      <c r="J1902" s="5">
        <v>0.6027777777777777</v>
      </c>
      <c r="K1902" s="1">
        <v>14.0</v>
      </c>
      <c r="L1902" s="1">
        <v>6.04</v>
      </c>
    </row>
    <row r="1903">
      <c r="A1903" s="1">
        <v>489597.0</v>
      </c>
      <c r="B1903" s="2" t="s">
        <v>1992</v>
      </c>
      <c r="C1903" s="1" t="s">
        <v>1993</v>
      </c>
      <c r="D1903" s="1">
        <v>1.0</v>
      </c>
      <c r="E1903" s="3">
        <v>40148.60277777778</v>
      </c>
      <c r="F1903" s="1">
        <v>17.35</v>
      </c>
      <c r="G1903" s="1" t="s">
        <v>421</v>
      </c>
      <c r="H1903" s="1" t="s">
        <v>14</v>
      </c>
      <c r="I1903" s="4">
        <v>40148.0</v>
      </c>
      <c r="J1903" s="5">
        <v>0.6027777777777777</v>
      </c>
      <c r="K1903" s="1">
        <v>14.0</v>
      </c>
      <c r="L1903" s="1">
        <v>17.35</v>
      </c>
    </row>
    <row r="1904">
      <c r="A1904" s="1">
        <v>489597.0</v>
      </c>
      <c r="B1904" s="2" t="s">
        <v>470</v>
      </c>
      <c r="C1904" s="1" t="s">
        <v>471</v>
      </c>
      <c r="D1904" s="1">
        <v>3.0</v>
      </c>
      <c r="E1904" s="3">
        <v>40148.60277777778</v>
      </c>
      <c r="F1904" s="1">
        <v>1.7</v>
      </c>
      <c r="G1904" s="1" t="s">
        <v>421</v>
      </c>
      <c r="H1904" s="1" t="s">
        <v>14</v>
      </c>
      <c r="I1904" s="4">
        <v>40148.0</v>
      </c>
      <c r="J1904" s="5">
        <v>0.6027777777777777</v>
      </c>
      <c r="K1904" s="1">
        <v>14.0</v>
      </c>
      <c r="L1904" s="1">
        <v>5.1</v>
      </c>
    </row>
    <row r="1905">
      <c r="A1905" s="1">
        <v>489597.0</v>
      </c>
      <c r="B1905" s="2" t="s">
        <v>1994</v>
      </c>
      <c r="C1905" s="1" t="s">
        <v>1995</v>
      </c>
      <c r="D1905" s="1">
        <v>1.0</v>
      </c>
      <c r="E1905" s="3">
        <v>40148.60277777778</v>
      </c>
      <c r="F1905" s="1">
        <v>12.13</v>
      </c>
      <c r="G1905" s="1" t="s">
        <v>421</v>
      </c>
      <c r="H1905" s="1" t="s">
        <v>14</v>
      </c>
      <c r="I1905" s="4">
        <v>40148.0</v>
      </c>
      <c r="J1905" s="5">
        <v>0.6027777777777777</v>
      </c>
      <c r="K1905" s="1">
        <v>14.0</v>
      </c>
      <c r="L1905" s="1">
        <v>12.13</v>
      </c>
    </row>
    <row r="1906">
      <c r="A1906" s="1">
        <v>489597.0</v>
      </c>
      <c r="B1906" s="2" t="s">
        <v>1729</v>
      </c>
      <c r="C1906" s="1" t="s">
        <v>1730</v>
      </c>
      <c r="D1906" s="1">
        <v>1.0</v>
      </c>
      <c r="E1906" s="3">
        <v>40148.60277777778</v>
      </c>
      <c r="F1906" s="1">
        <v>2.57</v>
      </c>
      <c r="G1906" s="1" t="s">
        <v>421</v>
      </c>
      <c r="H1906" s="1" t="s">
        <v>14</v>
      </c>
      <c r="I1906" s="4">
        <v>40148.0</v>
      </c>
      <c r="J1906" s="5">
        <v>0.6027777777777777</v>
      </c>
      <c r="K1906" s="1">
        <v>14.0</v>
      </c>
      <c r="L1906" s="1">
        <v>2.57</v>
      </c>
    </row>
    <row r="1907">
      <c r="A1907" s="1">
        <v>489597.0</v>
      </c>
      <c r="B1907" s="2" t="s">
        <v>1149</v>
      </c>
      <c r="C1907" s="1" t="s">
        <v>1150</v>
      </c>
      <c r="D1907" s="1">
        <v>4.0</v>
      </c>
      <c r="E1907" s="3">
        <v>40148.60277777778</v>
      </c>
      <c r="F1907" s="1">
        <v>2.57</v>
      </c>
      <c r="G1907" s="1" t="s">
        <v>421</v>
      </c>
      <c r="H1907" s="1" t="s">
        <v>14</v>
      </c>
      <c r="I1907" s="4">
        <v>40148.0</v>
      </c>
      <c r="J1907" s="5">
        <v>0.6027777777777777</v>
      </c>
      <c r="K1907" s="1">
        <v>14.0</v>
      </c>
      <c r="L1907" s="1">
        <v>10.28</v>
      </c>
    </row>
    <row r="1908">
      <c r="A1908" s="1">
        <v>489597.0</v>
      </c>
      <c r="B1908" s="2" t="s">
        <v>1228</v>
      </c>
      <c r="C1908" s="1" t="s">
        <v>1229</v>
      </c>
      <c r="D1908" s="1">
        <v>2.0</v>
      </c>
      <c r="E1908" s="3">
        <v>40148.60277777778</v>
      </c>
      <c r="F1908" s="1">
        <v>1.7</v>
      </c>
      <c r="G1908" s="1" t="s">
        <v>421</v>
      </c>
      <c r="H1908" s="1" t="s">
        <v>14</v>
      </c>
      <c r="I1908" s="4">
        <v>40148.0</v>
      </c>
      <c r="J1908" s="5">
        <v>0.6027777777777777</v>
      </c>
      <c r="K1908" s="1">
        <v>14.0</v>
      </c>
      <c r="L1908" s="1">
        <v>3.4</v>
      </c>
    </row>
    <row r="1909">
      <c r="A1909" s="1">
        <v>489597.0</v>
      </c>
      <c r="B1909" s="2" t="s">
        <v>1449</v>
      </c>
      <c r="C1909" s="1" t="s">
        <v>1450</v>
      </c>
      <c r="D1909" s="1">
        <v>14.0</v>
      </c>
      <c r="E1909" s="3">
        <v>40148.60277777778</v>
      </c>
      <c r="F1909" s="1">
        <v>2.57</v>
      </c>
      <c r="G1909" s="1" t="s">
        <v>421</v>
      </c>
      <c r="H1909" s="1" t="s">
        <v>14</v>
      </c>
      <c r="I1909" s="4">
        <v>40148.0</v>
      </c>
      <c r="J1909" s="5">
        <v>0.6027777777777777</v>
      </c>
      <c r="K1909" s="1">
        <v>14.0</v>
      </c>
      <c r="L1909" s="1">
        <v>35.98</v>
      </c>
    </row>
    <row r="1910">
      <c r="A1910" s="1">
        <v>489597.0</v>
      </c>
      <c r="B1910" s="2" t="s">
        <v>1996</v>
      </c>
      <c r="C1910" s="1" t="s">
        <v>1997</v>
      </c>
      <c r="D1910" s="1">
        <v>5.0</v>
      </c>
      <c r="E1910" s="3">
        <v>40148.60277777778</v>
      </c>
      <c r="F1910" s="1">
        <v>5.17</v>
      </c>
      <c r="G1910" s="1" t="s">
        <v>421</v>
      </c>
      <c r="H1910" s="1" t="s">
        <v>14</v>
      </c>
      <c r="I1910" s="4">
        <v>40148.0</v>
      </c>
      <c r="J1910" s="5">
        <v>0.6027777777777777</v>
      </c>
      <c r="K1910" s="1">
        <v>14.0</v>
      </c>
      <c r="L1910" s="1">
        <v>25.85</v>
      </c>
    </row>
    <row r="1911">
      <c r="A1911" s="1">
        <v>489597.0</v>
      </c>
      <c r="B1911" s="2" t="s">
        <v>1998</v>
      </c>
      <c r="C1911" s="1" t="s">
        <v>1999</v>
      </c>
      <c r="D1911" s="1">
        <v>1.0</v>
      </c>
      <c r="E1911" s="3">
        <v>40148.60277777778</v>
      </c>
      <c r="F1911" s="1">
        <v>13.87</v>
      </c>
      <c r="G1911" s="1" t="s">
        <v>421</v>
      </c>
      <c r="H1911" s="1" t="s">
        <v>14</v>
      </c>
      <c r="I1911" s="4">
        <v>40148.0</v>
      </c>
      <c r="J1911" s="5">
        <v>0.6027777777777777</v>
      </c>
      <c r="K1911" s="1">
        <v>14.0</v>
      </c>
      <c r="L1911" s="1">
        <v>13.87</v>
      </c>
    </row>
    <row r="1912">
      <c r="A1912" s="1">
        <v>489597.0</v>
      </c>
      <c r="B1912" s="2" t="s">
        <v>1304</v>
      </c>
      <c r="C1912" s="1" t="s">
        <v>1305</v>
      </c>
      <c r="D1912" s="1">
        <v>1.0</v>
      </c>
      <c r="E1912" s="3">
        <v>40148.60277777778</v>
      </c>
      <c r="F1912" s="1">
        <v>14.74</v>
      </c>
      <c r="G1912" s="1" t="s">
        <v>421</v>
      </c>
      <c r="H1912" s="1" t="s">
        <v>14</v>
      </c>
      <c r="I1912" s="4">
        <v>40148.0</v>
      </c>
      <c r="J1912" s="5">
        <v>0.6027777777777777</v>
      </c>
      <c r="K1912" s="1">
        <v>14.0</v>
      </c>
      <c r="L1912" s="1">
        <v>14.74</v>
      </c>
    </row>
    <row r="1913">
      <c r="A1913" s="1">
        <v>489597.0</v>
      </c>
      <c r="B1913" s="2" t="s">
        <v>2000</v>
      </c>
      <c r="C1913" s="1" t="s">
        <v>2001</v>
      </c>
      <c r="D1913" s="1">
        <v>3.0</v>
      </c>
      <c r="E1913" s="3">
        <v>40148.60277777778</v>
      </c>
      <c r="F1913" s="1">
        <v>8.65</v>
      </c>
      <c r="G1913" s="1" t="s">
        <v>421</v>
      </c>
      <c r="H1913" s="1" t="s">
        <v>14</v>
      </c>
      <c r="I1913" s="4">
        <v>40148.0</v>
      </c>
      <c r="J1913" s="5">
        <v>0.6027777777777777</v>
      </c>
      <c r="K1913" s="1">
        <v>14.0</v>
      </c>
      <c r="L1913" s="1">
        <v>25.95</v>
      </c>
    </row>
    <row r="1914">
      <c r="A1914" s="1">
        <v>489597.0</v>
      </c>
      <c r="B1914" s="2" t="s">
        <v>918</v>
      </c>
      <c r="C1914" s="1" t="s">
        <v>919</v>
      </c>
      <c r="D1914" s="1">
        <v>1.0</v>
      </c>
      <c r="E1914" s="3">
        <v>40148.60277777778</v>
      </c>
      <c r="F1914" s="1">
        <v>2.57</v>
      </c>
      <c r="G1914" s="1" t="s">
        <v>421</v>
      </c>
      <c r="H1914" s="1" t="s">
        <v>14</v>
      </c>
      <c r="I1914" s="4">
        <v>40148.0</v>
      </c>
      <c r="J1914" s="5">
        <v>0.6027777777777777</v>
      </c>
      <c r="K1914" s="1">
        <v>14.0</v>
      </c>
      <c r="L1914" s="1">
        <v>2.57</v>
      </c>
    </row>
    <row r="1915">
      <c r="A1915" s="1">
        <v>489597.0</v>
      </c>
      <c r="B1915" s="2" t="s">
        <v>920</v>
      </c>
      <c r="C1915" s="1" t="s">
        <v>921</v>
      </c>
      <c r="D1915" s="1">
        <v>1.0</v>
      </c>
      <c r="E1915" s="3">
        <v>40148.60277777778</v>
      </c>
      <c r="F1915" s="1">
        <v>2.57</v>
      </c>
      <c r="G1915" s="1" t="s">
        <v>421</v>
      </c>
      <c r="H1915" s="1" t="s">
        <v>14</v>
      </c>
      <c r="I1915" s="4">
        <v>40148.0</v>
      </c>
      <c r="J1915" s="5">
        <v>0.6027777777777777</v>
      </c>
      <c r="K1915" s="1">
        <v>14.0</v>
      </c>
      <c r="L1915" s="1">
        <v>2.57</v>
      </c>
    </row>
    <row r="1916">
      <c r="A1916" s="1">
        <v>489597.0</v>
      </c>
      <c r="B1916" s="2" t="s">
        <v>2002</v>
      </c>
      <c r="C1916" s="1" t="s">
        <v>2003</v>
      </c>
      <c r="D1916" s="1">
        <v>1.0</v>
      </c>
      <c r="E1916" s="3">
        <v>40148.60277777778</v>
      </c>
      <c r="F1916" s="1">
        <v>26.04</v>
      </c>
      <c r="G1916" s="1" t="s">
        <v>421</v>
      </c>
      <c r="H1916" s="1" t="s">
        <v>14</v>
      </c>
      <c r="I1916" s="4">
        <v>40148.0</v>
      </c>
      <c r="J1916" s="5">
        <v>0.6027777777777777</v>
      </c>
      <c r="K1916" s="1">
        <v>14.0</v>
      </c>
      <c r="L1916" s="1">
        <v>26.04</v>
      </c>
    </row>
    <row r="1917">
      <c r="A1917" s="1">
        <v>489597.0</v>
      </c>
      <c r="B1917" s="2" t="s">
        <v>740</v>
      </c>
      <c r="C1917" s="1" t="s">
        <v>741</v>
      </c>
      <c r="D1917" s="1">
        <v>1.0</v>
      </c>
      <c r="E1917" s="3">
        <v>40148.60277777778</v>
      </c>
      <c r="F1917" s="1">
        <v>4.3</v>
      </c>
      <c r="G1917" s="1" t="s">
        <v>421</v>
      </c>
      <c r="H1917" s="1" t="s">
        <v>14</v>
      </c>
      <c r="I1917" s="4">
        <v>40148.0</v>
      </c>
      <c r="J1917" s="5">
        <v>0.6027777777777777</v>
      </c>
      <c r="K1917" s="1">
        <v>14.0</v>
      </c>
      <c r="L1917" s="1">
        <v>4.3</v>
      </c>
    </row>
    <row r="1918">
      <c r="A1918" s="1">
        <v>489597.0</v>
      </c>
      <c r="B1918" s="2" t="s">
        <v>2004</v>
      </c>
      <c r="C1918" s="1" t="s">
        <v>2005</v>
      </c>
      <c r="D1918" s="1">
        <v>1.0</v>
      </c>
      <c r="E1918" s="3">
        <v>40148.60277777778</v>
      </c>
      <c r="F1918" s="1">
        <v>14.74</v>
      </c>
      <c r="G1918" s="1" t="s">
        <v>421</v>
      </c>
      <c r="H1918" s="1" t="s">
        <v>14</v>
      </c>
      <c r="I1918" s="4">
        <v>40148.0</v>
      </c>
      <c r="J1918" s="5">
        <v>0.6027777777777777</v>
      </c>
      <c r="K1918" s="1">
        <v>14.0</v>
      </c>
      <c r="L1918" s="1">
        <v>14.74</v>
      </c>
    </row>
    <row r="1919">
      <c r="A1919" s="1">
        <v>489597.0</v>
      </c>
      <c r="B1919" s="2" t="s">
        <v>2006</v>
      </c>
      <c r="C1919" s="1" t="s">
        <v>2007</v>
      </c>
      <c r="D1919" s="1">
        <v>2.0</v>
      </c>
      <c r="E1919" s="3">
        <v>40148.60277777778</v>
      </c>
      <c r="F1919" s="1">
        <v>2.57</v>
      </c>
      <c r="G1919" s="1" t="s">
        <v>421</v>
      </c>
      <c r="H1919" s="1" t="s">
        <v>14</v>
      </c>
      <c r="I1919" s="4">
        <v>40148.0</v>
      </c>
      <c r="J1919" s="5">
        <v>0.6027777777777777</v>
      </c>
      <c r="K1919" s="1">
        <v>14.0</v>
      </c>
      <c r="L1919" s="1">
        <v>5.14</v>
      </c>
    </row>
    <row r="1920">
      <c r="A1920" s="1">
        <v>489597.0</v>
      </c>
      <c r="B1920" s="2" t="s">
        <v>2008</v>
      </c>
      <c r="C1920" s="1" t="s">
        <v>2009</v>
      </c>
      <c r="D1920" s="1">
        <v>1.0</v>
      </c>
      <c r="E1920" s="3">
        <v>40148.60277777778</v>
      </c>
      <c r="F1920" s="1">
        <v>3.43</v>
      </c>
      <c r="G1920" s="1" t="s">
        <v>421</v>
      </c>
      <c r="H1920" s="1" t="s">
        <v>14</v>
      </c>
      <c r="I1920" s="4">
        <v>40148.0</v>
      </c>
      <c r="J1920" s="5">
        <v>0.6027777777777777</v>
      </c>
      <c r="K1920" s="1">
        <v>14.0</v>
      </c>
      <c r="L1920" s="1">
        <v>3.43</v>
      </c>
    </row>
    <row r="1921">
      <c r="A1921" s="1">
        <v>489597.0</v>
      </c>
      <c r="B1921" s="2" t="s">
        <v>2010</v>
      </c>
      <c r="C1921" s="1" t="s">
        <v>2011</v>
      </c>
      <c r="D1921" s="1">
        <v>1.0</v>
      </c>
      <c r="E1921" s="3">
        <v>40148.60277777778</v>
      </c>
      <c r="F1921" s="1">
        <v>6.04</v>
      </c>
      <c r="G1921" s="1" t="s">
        <v>421</v>
      </c>
      <c r="H1921" s="1" t="s">
        <v>14</v>
      </c>
      <c r="I1921" s="4">
        <v>40148.0</v>
      </c>
      <c r="J1921" s="5">
        <v>0.6027777777777777</v>
      </c>
      <c r="K1921" s="1">
        <v>14.0</v>
      </c>
      <c r="L1921" s="1">
        <v>6.04</v>
      </c>
    </row>
    <row r="1922">
      <c r="A1922" s="1">
        <v>489597.0</v>
      </c>
      <c r="B1922" s="2" t="s">
        <v>2012</v>
      </c>
      <c r="C1922" s="1" t="s">
        <v>2013</v>
      </c>
      <c r="D1922" s="1">
        <v>2.0</v>
      </c>
      <c r="E1922" s="3">
        <v>40148.60277777778</v>
      </c>
      <c r="F1922" s="1">
        <v>4.3</v>
      </c>
      <c r="G1922" s="1" t="s">
        <v>421</v>
      </c>
      <c r="H1922" s="1" t="s">
        <v>14</v>
      </c>
      <c r="I1922" s="4">
        <v>40148.0</v>
      </c>
      <c r="J1922" s="5">
        <v>0.6027777777777777</v>
      </c>
      <c r="K1922" s="1">
        <v>14.0</v>
      </c>
      <c r="L1922" s="1">
        <v>8.6</v>
      </c>
    </row>
    <row r="1923">
      <c r="A1923" s="1">
        <v>489597.0</v>
      </c>
      <c r="B1923" s="2" t="s">
        <v>856</v>
      </c>
      <c r="C1923" s="1" t="s">
        <v>857</v>
      </c>
      <c r="D1923" s="1">
        <v>1.0</v>
      </c>
      <c r="E1923" s="3">
        <v>40148.60277777778</v>
      </c>
      <c r="F1923" s="1">
        <v>4.3</v>
      </c>
      <c r="G1923" s="1" t="s">
        <v>421</v>
      </c>
      <c r="H1923" s="1" t="s">
        <v>14</v>
      </c>
      <c r="I1923" s="4">
        <v>40148.0</v>
      </c>
      <c r="J1923" s="5">
        <v>0.6027777777777777</v>
      </c>
      <c r="K1923" s="1">
        <v>14.0</v>
      </c>
      <c r="L1923" s="1">
        <v>4.3</v>
      </c>
    </row>
    <row r="1924">
      <c r="A1924" s="1">
        <v>489597.0</v>
      </c>
      <c r="B1924" s="2" t="s">
        <v>799</v>
      </c>
      <c r="C1924" s="1" t="s">
        <v>800</v>
      </c>
      <c r="D1924" s="1">
        <v>3.0</v>
      </c>
      <c r="E1924" s="3">
        <v>40148.60277777778</v>
      </c>
      <c r="F1924" s="1">
        <v>4.3</v>
      </c>
      <c r="G1924" s="1" t="s">
        <v>421</v>
      </c>
      <c r="H1924" s="1" t="s">
        <v>14</v>
      </c>
      <c r="I1924" s="4">
        <v>40148.0</v>
      </c>
      <c r="J1924" s="5">
        <v>0.6027777777777777</v>
      </c>
      <c r="K1924" s="1">
        <v>14.0</v>
      </c>
      <c r="L1924" s="1">
        <v>12.8999999999999</v>
      </c>
    </row>
    <row r="1925">
      <c r="A1925" s="1">
        <v>489597.0</v>
      </c>
      <c r="B1925" s="2" t="s">
        <v>797</v>
      </c>
      <c r="C1925" s="1" t="s">
        <v>798</v>
      </c>
      <c r="D1925" s="1">
        <v>2.0</v>
      </c>
      <c r="E1925" s="3">
        <v>40148.60277777778</v>
      </c>
      <c r="F1925" s="1">
        <v>4.3</v>
      </c>
      <c r="G1925" s="1" t="s">
        <v>421</v>
      </c>
      <c r="H1925" s="1" t="s">
        <v>14</v>
      </c>
      <c r="I1925" s="4">
        <v>40148.0</v>
      </c>
      <c r="J1925" s="5">
        <v>0.6027777777777777</v>
      </c>
      <c r="K1925" s="1">
        <v>14.0</v>
      </c>
      <c r="L1925" s="1">
        <v>8.6</v>
      </c>
    </row>
    <row r="1926">
      <c r="A1926" s="1">
        <v>489597.0</v>
      </c>
      <c r="B1926" s="2" t="s">
        <v>63</v>
      </c>
      <c r="C1926" s="1" t="s">
        <v>64</v>
      </c>
      <c r="D1926" s="1">
        <v>1.0</v>
      </c>
      <c r="E1926" s="3">
        <v>40148.60277777778</v>
      </c>
      <c r="F1926" s="1">
        <v>4.3</v>
      </c>
      <c r="G1926" s="1" t="s">
        <v>421</v>
      </c>
      <c r="H1926" s="1" t="s">
        <v>14</v>
      </c>
      <c r="I1926" s="4">
        <v>40148.0</v>
      </c>
      <c r="J1926" s="5">
        <v>0.6027777777777777</v>
      </c>
      <c r="K1926" s="1">
        <v>14.0</v>
      </c>
      <c r="L1926" s="1">
        <v>4.3</v>
      </c>
    </row>
    <row r="1927">
      <c r="A1927" s="1">
        <v>489597.0</v>
      </c>
      <c r="B1927" s="2" t="s">
        <v>2014</v>
      </c>
      <c r="C1927" s="1" t="s">
        <v>2015</v>
      </c>
      <c r="D1927" s="1">
        <v>2.0</v>
      </c>
      <c r="E1927" s="3">
        <v>40148.60277777778</v>
      </c>
      <c r="F1927" s="1">
        <v>13.0</v>
      </c>
      <c r="G1927" s="1" t="s">
        <v>421</v>
      </c>
      <c r="H1927" s="1" t="s">
        <v>14</v>
      </c>
      <c r="I1927" s="4">
        <v>40148.0</v>
      </c>
      <c r="J1927" s="5">
        <v>0.6027777777777777</v>
      </c>
      <c r="K1927" s="1">
        <v>14.0</v>
      </c>
      <c r="L1927" s="1">
        <v>26.0</v>
      </c>
    </row>
    <row r="1928">
      <c r="A1928" s="1">
        <v>489597.0</v>
      </c>
      <c r="B1928" s="2" t="s">
        <v>2016</v>
      </c>
      <c r="C1928" s="1" t="s">
        <v>2017</v>
      </c>
      <c r="D1928" s="1">
        <v>3.0</v>
      </c>
      <c r="E1928" s="3">
        <v>40148.60277777778</v>
      </c>
      <c r="F1928" s="1">
        <v>4.3</v>
      </c>
      <c r="G1928" s="1" t="s">
        <v>421</v>
      </c>
      <c r="H1928" s="1" t="s">
        <v>14</v>
      </c>
      <c r="I1928" s="4">
        <v>40148.0</v>
      </c>
      <c r="J1928" s="5">
        <v>0.6027777777777777</v>
      </c>
      <c r="K1928" s="1">
        <v>14.0</v>
      </c>
      <c r="L1928" s="1">
        <v>12.8999999999999</v>
      </c>
    </row>
    <row r="1929">
      <c r="A1929" s="1">
        <v>489597.0</v>
      </c>
      <c r="B1929" s="2" t="s">
        <v>2018</v>
      </c>
      <c r="C1929" s="1" t="s">
        <v>2019</v>
      </c>
      <c r="D1929" s="1">
        <v>1.0</v>
      </c>
      <c r="E1929" s="3">
        <v>40148.60277777778</v>
      </c>
      <c r="F1929" s="1">
        <v>3.43</v>
      </c>
      <c r="G1929" s="1" t="s">
        <v>421</v>
      </c>
      <c r="H1929" s="1" t="s">
        <v>14</v>
      </c>
      <c r="I1929" s="4">
        <v>40148.0</v>
      </c>
      <c r="J1929" s="5">
        <v>0.6027777777777777</v>
      </c>
      <c r="K1929" s="1">
        <v>14.0</v>
      </c>
      <c r="L1929" s="1">
        <v>3.43</v>
      </c>
    </row>
    <row r="1930">
      <c r="A1930" s="1">
        <v>489597.0</v>
      </c>
      <c r="B1930" s="2" t="s">
        <v>1437</v>
      </c>
      <c r="C1930" s="1" t="s">
        <v>1438</v>
      </c>
      <c r="D1930" s="1">
        <v>3.0</v>
      </c>
      <c r="E1930" s="3">
        <v>40148.60277777778</v>
      </c>
      <c r="F1930" s="1">
        <v>3.04</v>
      </c>
      <c r="G1930" s="1" t="s">
        <v>421</v>
      </c>
      <c r="H1930" s="1" t="s">
        <v>14</v>
      </c>
      <c r="I1930" s="4">
        <v>40148.0</v>
      </c>
      <c r="J1930" s="5">
        <v>0.6027777777777777</v>
      </c>
      <c r="K1930" s="1">
        <v>14.0</v>
      </c>
      <c r="L1930" s="1">
        <v>9.12</v>
      </c>
    </row>
    <row r="1931">
      <c r="A1931" s="1">
        <v>489597.0</v>
      </c>
      <c r="B1931" s="2" t="s">
        <v>412</v>
      </c>
      <c r="C1931" s="1" t="s">
        <v>413</v>
      </c>
      <c r="D1931" s="1">
        <v>18.0</v>
      </c>
      <c r="E1931" s="3">
        <v>40148.60277777778</v>
      </c>
      <c r="F1931" s="1">
        <v>1.3</v>
      </c>
      <c r="G1931" s="1" t="s">
        <v>421</v>
      </c>
      <c r="H1931" s="1" t="s">
        <v>14</v>
      </c>
      <c r="I1931" s="4">
        <v>40148.0</v>
      </c>
      <c r="J1931" s="5">
        <v>0.6027777777777777</v>
      </c>
      <c r="K1931" s="1">
        <v>14.0</v>
      </c>
      <c r="L1931" s="1">
        <v>23.4</v>
      </c>
    </row>
    <row r="1932">
      <c r="A1932" s="1">
        <v>489597.0</v>
      </c>
      <c r="B1932" s="2" t="s">
        <v>1823</v>
      </c>
      <c r="C1932" s="1" t="s">
        <v>1824</v>
      </c>
      <c r="D1932" s="1">
        <v>1.0</v>
      </c>
      <c r="E1932" s="3">
        <v>40148.60277777778</v>
      </c>
      <c r="F1932" s="1">
        <v>1.3</v>
      </c>
      <c r="G1932" s="1" t="s">
        <v>421</v>
      </c>
      <c r="H1932" s="1" t="s">
        <v>14</v>
      </c>
      <c r="I1932" s="4">
        <v>40148.0</v>
      </c>
      <c r="J1932" s="5">
        <v>0.6027777777777777</v>
      </c>
      <c r="K1932" s="1">
        <v>14.0</v>
      </c>
      <c r="L1932" s="1">
        <v>1.3</v>
      </c>
    </row>
    <row r="1933">
      <c r="A1933" s="1">
        <v>489597.0</v>
      </c>
      <c r="B1933" s="2" t="s">
        <v>1606</v>
      </c>
      <c r="C1933" s="1" t="s">
        <v>1607</v>
      </c>
      <c r="D1933" s="1">
        <v>1.0</v>
      </c>
      <c r="E1933" s="3">
        <v>40148.60277777778</v>
      </c>
      <c r="F1933" s="1">
        <v>8.65</v>
      </c>
      <c r="G1933" s="1" t="s">
        <v>421</v>
      </c>
      <c r="H1933" s="1" t="s">
        <v>14</v>
      </c>
      <c r="I1933" s="4">
        <v>40148.0</v>
      </c>
      <c r="J1933" s="5">
        <v>0.6027777777777777</v>
      </c>
      <c r="K1933" s="1">
        <v>14.0</v>
      </c>
      <c r="L1933" s="1">
        <v>8.65</v>
      </c>
    </row>
    <row r="1934">
      <c r="A1934" s="1">
        <v>489597.0</v>
      </c>
      <c r="B1934" s="2" t="s">
        <v>480</v>
      </c>
      <c r="C1934" s="1" t="s">
        <v>481</v>
      </c>
      <c r="D1934" s="1">
        <v>13.0</v>
      </c>
      <c r="E1934" s="3">
        <v>40148.60277777778</v>
      </c>
      <c r="F1934" s="1">
        <v>2.57</v>
      </c>
      <c r="G1934" s="1" t="s">
        <v>421</v>
      </c>
      <c r="H1934" s="1" t="s">
        <v>14</v>
      </c>
      <c r="I1934" s="4">
        <v>40148.0</v>
      </c>
      <c r="J1934" s="5">
        <v>0.6027777777777777</v>
      </c>
      <c r="K1934" s="1">
        <v>14.0</v>
      </c>
      <c r="L1934" s="1">
        <v>33.41</v>
      </c>
    </row>
    <row r="1935">
      <c r="A1935" s="1">
        <v>489597.0</v>
      </c>
      <c r="B1935" s="2" t="s">
        <v>21</v>
      </c>
      <c r="C1935" s="1" t="s">
        <v>22</v>
      </c>
      <c r="D1935" s="1">
        <v>12.0</v>
      </c>
      <c r="E1935" s="3">
        <v>40148.60277777778</v>
      </c>
      <c r="F1935" s="1">
        <v>2.57</v>
      </c>
      <c r="G1935" s="1" t="s">
        <v>421</v>
      </c>
      <c r="H1935" s="1" t="s">
        <v>14</v>
      </c>
      <c r="I1935" s="4">
        <v>40148.0</v>
      </c>
      <c r="J1935" s="5">
        <v>0.6027777777777777</v>
      </c>
      <c r="K1935" s="1">
        <v>14.0</v>
      </c>
      <c r="L1935" s="1">
        <v>30.8399999999999</v>
      </c>
    </row>
    <row r="1936">
      <c r="A1936" s="1">
        <v>489597.0</v>
      </c>
      <c r="B1936" s="2" t="s">
        <v>870</v>
      </c>
      <c r="C1936" s="1" t="s">
        <v>871</v>
      </c>
      <c r="D1936" s="1">
        <v>6.0</v>
      </c>
      <c r="E1936" s="3">
        <v>40148.60277777778</v>
      </c>
      <c r="F1936" s="1">
        <v>3.43</v>
      </c>
      <c r="G1936" s="1" t="s">
        <v>421</v>
      </c>
      <c r="H1936" s="1" t="s">
        <v>14</v>
      </c>
      <c r="I1936" s="4">
        <v>40148.0</v>
      </c>
      <c r="J1936" s="5">
        <v>0.6027777777777777</v>
      </c>
      <c r="K1936" s="1">
        <v>14.0</v>
      </c>
      <c r="L1936" s="1">
        <v>20.58</v>
      </c>
    </row>
    <row r="1937">
      <c r="A1937" s="1">
        <v>489597.0</v>
      </c>
      <c r="B1937" s="2" t="s">
        <v>2020</v>
      </c>
      <c r="C1937" s="1" t="s">
        <v>2021</v>
      </c>
      <c r="D1937" s="1">
        <v>2.0</v>
      </c>
      <c r="E1937" s="3">
        <v>40148.60277777778</v>
      </c>
      <c r="F1937" s="1">
        <v>6.04</v>
      </c>
      <c r="G1937" s="1" t="s">
        <v>421</v>
      </c>
      <c r="H1937" s="1" t="s">
        <v>14</v>
      </c>
      <c r="I1937" s="4">
        <v>40148.0</v>
      </c>
      <c r="J1937" s="5">
        <v>0.6027777777777777</v>
      </c>
      <c r="K1937" s="1">
        <v>14.0</v>
      </c>
      <c r="L1937" s="1">
        <v>12.08</v>
      </c>
    </row>
    <row r="1938">
      <c r="A1938" s="1">
        <v>489597.0</v>
      </c>
      <c r="B1938" s="2" t="s">
        <v>2022</v>
      </c>
      <c r="C1938" s="1" t="s">
        <v>2023</v>
      </c>
      <c r="D1938" s="1">
        <v>2.0</v>
      </c>
      <c r="E1938" s="3">
        <v>40148.60277777778</v>
      </c>
      <c r="F1938" s="1">
        <v>6.04</v>
      </c>
      <c r="G1938" s="1" t="s">
        <v>421</v>
      </c>
      <c r="H1938" s="1" t="s">
        <v>14</v>
      </c>
      <c r="I1938" s="4">
        <v>40148.0</v>
      </c>
      <c r="J1938" s="5">
        <v>0.6027777777777777</v>
      </c>
      <c r="K1938" s="1">
        <v>14.0</v>
      </c>
      <c r="L1938" s="1">
        <v>12.08</v>
      </c>
    </row>
    <row r="1939">
      <c r="A1939" s="1">
        <v>489597.0</v>
      </c>
      <c r="B1939" s="2" t="s">
        <v>2024</v>
      </c>
      <c r="C1939" s="1" t="s">
        <v>2025</v>
      </c>
      <c r="D1939" s="1">
        <v>1.0</v>
      </c>
      <c r="E1939" s="3">
        <v>40148.60277777778</v>
      </c>
      <c r="F1939" s="1">
        <v>3.43</v>
      </c>
      <c r="G1939" s="1" t="s">
        <v>421</v>
      </c>
      <c r="H1939" s="1" t="s">
        <v>14</v>
      </c>
      <c r="I1939" s="4">
        <v>40148.0</v>
      </c>
      <c r="J1939" s="5">
        <v>0.6027777777777777</v>
      </c>
      <c r="K1939" s="1">
        <v>14.0</v>
      </c>
      <c r="L1939" s="1">
        <v>3.43</v>
      </c>
    </row>
    <row r="1940">
      <c r="A1940" s="1">
        <v>489597.0</v>
      </c>
      <c r="B1940" s="2" t="s">
        <v>2026</v>
      </c>
      <c r="C1940" s="1" t="s">
        <v>2027</v>
      </c>
      <c r="D1940" s="1">
        <v>2.0</v>
      </c>
      <c r="E1940" s="3">
        <v>40148.60277777778</v>
      </c>
      <c r="F1940" s="1">
        <v>3.43</v>
      </c>
      <c r="G1940" s="1" t="s">
        <v>421</v>
      </c>
      <c r="H1940" s="1" t="s">
        <v>14</v>
      </c>
      <c r="I1940" s="4">
        <v>40148.0</v>
      </c>
      <c r="J1940" s="5">
        <v>0.6027777777777777</v>
      </c>
      <c r="K1940" s="1">
        <v>14.0</v>
      </c>
      <c r="L1940" s="1">
        <v>6.86</v>
      </c>
    </row>
    <row r="1941">
      <c r="A1941" s="1">
        <v>489597.0</v>
      </c>
      <c r="B1941" s="2" t="s">
        <v>2028</v>
      </c>
      <c r="C1941" s="1" t="s">
        <v>2029</v>
      </c>
      <c r="D1941" s="1">
        <v>1.0</v>
      </c>
      <c r="E1941" s="3">
        <v>40148.60277777778</v>
      </c>
      <c r="F1941" s="1">
        <v>13.0</v>
      </c>
      <c r="G1941" s="1" t="s">
        <v>421</v>
      </c>
      <c r="H1941" s="1" t="s">
        <v>14</v>
      </c>
      <c r="I1941" s="4">
        <v>40148.0</v>
      </c>
      <c r="J1941" s="5">
        <v>0.6027777777777777</v>
      </c>
      <c r="K1941" s="1">
        <v>14.0</v>
      </c>
      <c r="L1941" s="1">
        <v>13.0</v>
      </c>
    </row>
    <row r="1942">
      <c r="A1942" s="1">
        <v>489597.0</v>
      </c>
      <c r="B1942" s="2" t="s">
        <v>2030</v>
      </c>
      <c r="C1942" s="1" t="s">
        <v>2031</v>
      </c>
      <c r="D1942" s="1">
        <v>1.0</v>
      </c>
      <c r="E1942" s="3">
        <v>40148.60277777778</v>
      </c>
      <c r="F1942" s="1">
        <v>4.3</v>
      </c>
      <c r="G1942" s="1" t="s">
        <v>421</v>
      </c>
      <c r="H1942" s="1" t="s">
        <v>14</v>
      </c>
      <c r="I1942" s="4">
        <v>40148.0</v>
      </c>
      <c r="J1942" s="5">
        <v>0.6027777777777777</v>
      </c>
      <c r="K1942" s="1">
        <v>14.0</v>
      </c>
      <c r="L1942" s="1">
        <v>4.3</v>
      </c>
    </row>
    <row r="1943">
      <c r="A1943" s="1">
        <v>489597.0</v>
      </c>
      <c r="B1943" s="2" t="s">
        <v>2032</v>
      </c>
      <c r="C1943" s="1" t="s">
        <v>2033</v>
      </c>
      <c r="D1943" s="1">
        <v>1.0</v>
      </c>
      <c r="E1943" s="3">
        <v>40148.60277777778</v>
      </c>
      <c r="F1943" s="1">
        <v>6.91</v>
      </c>
      <c r="G1943" s="1" t="s">
        <v>421</v>
      </c>
      <c r="H1943" s="1" t="s">
        <v>14</v>
      </c>
      <c r="I1943" s="4">
        <v>40148.0</v>
      </c>
      <c r="J1943" s="5">
        <v>0.6027777777777777</v>
      </c>
      <c r="K1943" s="1">
        <v>14.0</v>
      </c>
      <c r="L1943" s="1">
        <v>6.91</v>
      </c>
    </row>
    <row r="1944">
      <c r="A1944" s="1">
        <v>489597.0</v>
      </c>
      <c r="B1944" s="2" t="s">
        <v>2034</v>
      </c>
      <c r="C1944" s="1" t="s">
        <v>2035</v>
      </c>
      <c r="D1944" s="1">
        <v>1.0</v>
      </c>
      <c r="E1944" s="3">
        <v>40148.60277777778</v>
      </c>
      <c r="F1944" s="1">
        <v>3.43</v>
      </c>
      <c r="G1944" s="1" t="s">
        <v>421</v>
      </c>
      <c r="H1944" s="1" t="s">
        <v>14</v>
      </c>
      <c r="I1944" s="4">
        <v>40148.0</v>
      </c>
      <c r="J1944" s="5">
        <v>0.6027777777777777</v>
      </c>
      <c r="K1944" s="1">
        <v>14.0</v>
      </c>
      <c r="L1944" s="1">
        <v>3.43</v>
      </c>
    </row>
    <row r="1945">
      <c r="A1945" s="1">
        <v>489597.0</v>
      </c>
      <c r="B1945" s="2" t="s">
        <v>2036</v>
      </c>
      <c r="C1945" s="1" t="s">
        <v>2037</v>
      </c>
      <c r="D1945" s="1">
        <v>3.0</v>
      </c>
      <c r="E1945" s="3">
        <v>40148.60277777778</v>
      </c>
      <c r="F1945" s="1">
        <v>1.7</v>
      </c>
      <c r="G1945" s="1" t="s">
        <v>421</v>
      </c>
      <c r="H1945" s="1" t="s">
        <v>14</v>
      </c>
      <c r="I1945" s="4">
        <v>40148.0</v>
      </c>
      <c r="J1945" s="5">
        <v>0.6027777777777777</v>
      </c>
      <c r="K1945" s="1">
        <v>14.0</v>
      </c>
      <c r="L1945" s="1">
        <v>5.1</v>
      </c>
    </row>
    <row r="1946">
      <c r="A1946" s="1">
        <v>489597.0</v>
      </c>
      <c r="B1946" s="2" t="s">
        <v>1655</v>
      </c>
      <c r="C1946" s="1" t="s">
        <v>1656</v>
      </c>
      <c r="D1946" s="1">
        <v>4.0</v>
      </c>
      <c r="E1946" s="3">
        <v>40148.60277777778</v>
      </c>
      <c r="F1946" s="1">
        <v>4.3</v>
      </c>
      <c r="G1946" s="1" t="s">
        <v>421</v>
      </c>
      <c r="H1946" s="1" t="s">
        <v>14</v>
      </c>
      <c r="I1946" s="4">
        <v>40148.0</v>
      </c>
      <c r="J1946" s="5">
        <v>0.6027777777777777</v>
      </c>
      <c r="K1946" s="1">
        <v>14.0</v>
      </c>
      <c r="L1946" s="1">
        <v>17.2</v>
      </c>
    </row>
    <row r="1947">
      <c r="A1947" s="1">
        <v>489597.0</v>
      </c>
      <c r="B1947" s="2" t="s">
        <v>2038</v>
      </c>
      <c r="C1947" s="1" t="s">
        <v>2039</v>
      </c>
      <c r="D1947" s="1">
        <v>1.0</v>
      </c>
      <c r="E1947" s="3">
        <v>40148.60277777778</v>
      </c>
      <c r="F1947" s="1">
        <v>3.43</v>
      </c>
      <c r="G1947" s="1" t="s">
        <v>421</v>
      </c>
      <c r="H1947" s="1" t="s">
        <v>14</v>
      </c>
      <c r="I1947" s="4">
        <v>40148.0</v>
      </c>
      <c r="J1947" s="5">
        <v>0.6027777777777777</v>
      </c>
      <c r="K1947" s="1">
        <v>14.0</v>
      </c>
      <c r="L1947" s="1">
        <v>3.43</v>
      </c>
    </row>
    <row r="1948">
      <c r="A1948" s="1">
        <v>489597.0</v>
      </c>
      <c r="B1948" s="2" t="s">
        <v>119</v>
      </c>
      <c r="C1948" s="1" t="s">
        <v>120</v>
      </c>
      <c r="D1948" s="1">
        <v>6.0</v>
      </c>
      <c r="E1948" s="3">
        <v>40148.60277777778</v>
      </c>
      <c r="F1948" s="1">
        <v>3.43</v>
      </c>
      <c r="G1948" s="1" t="s">
        <v>421</v>
      </c>
      <c r="H1948" s="1" t="s">
        <v>14</v>
      </c>
      <c r="I1948" s="4">
        <v>40148.0</v>
      </c>
      <c r="J1948" s="5">
        <v>0.6027777777777777</v>
      </c>
      <c r="K1948" s="1">
        <v>14.0</v>
      </c>
      <c r="L1948" s="1">
        <v>20.58</v>
      </c>
    </row>
    <row r="1949">
      <c r="A1949" s="1">
        <v>489597.0</v>
      </c>
      <c r="B1949" s="2" t="s">
        <v>2040</v>
      </c>
      <c r="C1949" s="1" t="s">
        <v>2041</v>
      </c>
      <c r="D1949" s="1">
        <v>2.0</v>
      </c>
      <c r="E1949" s="3">
        <v>40148.60277777778</v>
      </c>
      <c r="F1949" s="1">
        <v>3.43</v>
      </c>
      <c r="G1949" s="1" t="s">
        <v>421</v>
      </c>
      <c r="H1949" s="1" t="s">
        <v>14</v>
      </c>
      <c r="I1949" s="4">
        <v>40148.0</v>
      </c>
      <c r="J1949" s="5">
        <v>0.6027777777777777</v>
      </c>
      <c r="K1949" s="1">
        <v>14.0</v>
      </c>
      <c r="L1949" s="1">
        <v>6.86</v>
      </c>
    </row>
    <row r="1950">
      <c r="A1950" s="1">
        <v>489597.0</v>
      </c>
      <c r="B1950" s="2" t="s">
        <v>2042</v>
      </c>
      <c r="C1950" s="1" t="s">
        <v>2043</v>
      </c>
      <c r="D1950" s="1">
        <v>1.0</v>
      </c>
      <c r="E1950" s="3">
        <v>40148.60277777778</v>
      </c>
      <c r="F1950" s="1">
        <v>6.04</v>
      </c>
      <c r="G1950" s="1" t="s">
        <v>421</v>
      </c>
      <c r="H1950" s="1" t="s">
        <v>14</v>
      </c>
      <c r="I1950" s="4">
        <v>40148.0</v>
      </c>
      <c r="J1950" s="5">
        <v>0.6027777777777777</v>
      </c>
      <c r="K1950" s="1">
        <v>14.0</v>
      </c>
      <c r="L1950" s="1">
        <v>6.04</v>
      </c>
    </row>
    <row r="1951">
      <c r="A1951" s="1">
        <v>489597.0</v>
      </c>
      <c r="B1951" s="2" t="s">
        <v>1091</v>
      </c>
      <c r="C1951" s="1" t="s">
        <v>1092</v>
      </c>
      <c r="D1951" s="1">
        <v>2.0</v>
      </c>
      <c r="E1951" s="3">
        <v>40148.60277777778</v>
      </c>
      <c r="F1951" s="1">
        <v>2.57</v>
      </c>
      <c r="G1951" s="1" t="s">
        <v>421</v>
      </c>
      <c r="H1951" s="1" t="s">
        <v>14</v>
      </c>
      <c r="I1951" s="4">
        <v>40148.0</v>
      </c>
      <c r="J1951" s="5">
        <v>0.6027777777777777</v>
      </c>
      <c r="K1951" s="1">
        <v>14.0</v>
      </c>
      <c r="L1951" s="1">
        <v>5.14</v>
      </c>
    </row>
    <row r="1952">
      <c r="A1952" s="1">
        <v>489597.0</v>
      </c>
      <c r="B1952" s="2" t="s">
        <v>1093</v>
      </c>
      <c r="C1952" s="1" t="s">
        <v>1094</v>
      </c>
      <c r="D1952" s="1">
        <v>4.0</v>
      </c>
      <c r="E1952" s="3">
        <v>40148.60277777778</v>
      </c>
      <c r="F1952" s="1">
        <v>2.57</v>
      </c>
      <c r="G1952" s="1" t="s">
        <v>421</v>
      </c>
      <c r="H1952" s="1" t="s">
        <v>14</v>
      </c>
      <c r="I1952" s="4">
        <v>40148.0</v>
      </c>
      <c r="J1952" s="5">
        <v>0.6027777777777777</v>
      </c>
      <c r="K1952" s="1">
        <v>14.0</v>
      </c>
      <c r="L1952" s="1">
        <v>10.28</v>
      </c>
    </row>
    <row r="1953">
      <c r="A1953" s="1">
        <v>489597.0</v>
      </c>
      <c r="B1953" s="2" t="s">
        <v>1135</v>
      </c>
      <c r="C1953" s="1" t="s">
        <v>1136</v>
      </c>
      <c r="D1953" s="1">
        <v>1.0</v>
      </c>
      <c r="E1953" s="3">
        <v>40148.60277777778</v>
      </c>
      <c r="F1953" s="1">
        <v>2.57</v>
      </c>
      <c r="G1953" s="1" t="s">
        <v>421</v>
      </c>
      <c r="H1953" s="1" t="s">
        <v>14</v>
      </c>
      <c r="I1953" s="4">
        <v>40148.0</v>
      </c>
      <c r="J1953" s="5">
        <v>0.6027777777777777</v>
      </c>
      <c r="K1953" s="1">
        <v>14.0</v>
      </c>
      <c r="L1953" s="1">
        <v>2.57</v>
      </c>
    </row>
    <row r="1954">
      <c r="A1954" s="1">
        <v>489597.0</v>
      </c>
      <c r="B1954" s="2" t="s">
        <v>2044</v>
      </c>
      <c r="C1954" s="1" t="s">
        <v>2045</v>
      </c>
      <c r="D1954" s="1">
        <v>7.0</v>
      </c>
      <c r="E1954" s="3">
        <v>40148.60277777778</v>
      </c>
      <c r="F1954" s="1">
        <v>3.43</v>
      </c>
      <c r="G1954" s="1" t="s">
        <v>421</v>
      </c>
      <c r="H1954" s="1" t="s">
        <v>14</v>
      </c>
      <c r="I1954" s="4">
        <v>40148.0</v>
      </c>
      <c r="J1954" s="5">
        <v>0.6027777777777777</v>
      </c>
      <c r="K1954" s="1">
        <v>14.0</v>
      </c>
      <c r="L1954" s="1">
        <v>24.01</v>
      </c>
    </row>
    <row r="1955">
      <c r="A1955" s="1">
        <v>489597.0</v>
      </c>
      <c r="B1955" s="2" t="s">
        <v>1805</v>
      </c>
      <c r="C1955" s="1" t="s">
        <v>1806</v>
      </c>
      <c r="D1955" s="1">
        <v>1.0</v>
      </c>
      <c r="E1955" s="3">
        <v>40148.60277777778</v>
      </c>
      <c r="F1955" s="1">
        <v>4.3</v>
      </c>
      <c r="G1955" s="1" t="s">
        <v>421</v>
      </c>
      <c r="H1955" s="1" t="s">
        <v>14</v>
      </c>
      <c r="I1955" s="4">
        <v>40148.0</v>
      </c>
      <c r="J1955" s="5">
        <v>0.6027777777777777</v>
      </c>
      <c r="K1955" s="1">
        <v>14.0</v>
      </c>
      <c r="L1955" s="1">
        <v>4.3</v>
      </c>
    </row>
    <row r="1956">
      <c r="A1956" s="1">
        <v>489597.0</v>
      </c>
      <c r="B1956" s="2" t="s">
        <v>954</v>
      </c>
      <c r="C1956" s="1" t="s">
        <v>955</v>
      </c>
      <c r="D1956" s="1">
        <v>1.0</v>
      </c>
      <c r="E1956" s="3">
        <v>40148.60277777778</v>
      </c>
      <c r="F1956" s="1">
        <v>3.43</v>
      </c>
      <c r="G1956" s="1" t="s">
        <v>421</v>
      </c>
      <c r="H1956" s="1" t="s">
        <v>14</v>
      </c>
      <c r="I1956" s="4">
        <v>40148.0</v>
      </c>
      <c r="J1956" s="5">
        <v>0.6027777777777777</v>
      </c>
      <c r="K1956" s="1">
        <v>14.0</v>
      </c>
      <c r="L1956" s="1">
        <v>3.43</v>
      </c>
    </row>
    <row r="1957">
      <c r="A1957" s="1">
        <v>489597.0</v>
      </c>
      <c r="B1957" s="2" t="s">
        <v>960</v>
      </c>
      <c r="C1957" s="1" t="s">
        <v>961</v>
      </c>
      <c r="D1957" s="1">
        <v>1.0</v>
      </c>
      <c r="E1957" s="3">
        <v>40148.60277777778</v>
      </c>
      <c r="F1957" s="1">
        <v>3.43</v>
      </c>
      <c r="G1957" s="1" t="s">
        <v>421</v>
      </c>
      <c r="H1957" s="1" t="s">
        <v>14</v>
      </c>
      <c r="I1957" s="4">
        <v>40148.0</v>
      </c>
      <c r="J1957" s="5">
        <v>0.6027777777777777</v>
      </c>
      <c r="K1957" s="1">
        <v>14.0</v>
      </c>
      <c r="L1957" s="1">
        <v>3.43</v>
      </c>
    </row>
    <row r="1958">
      <c r="A1958" s="1">
        <v>489597.0</v>
      </c>
      <c r="B1958" s="2" t="s">
        <v>2046</v>
      </c>
      <c r="C1958" s="1" t="s">
        <v>2047</v>
      </c>
      <c r="D1958" s="1">
        <v>1.0</v>
      </c>
      <c r="E1958" s="3">
        <v>40148.60277777778</v>
      </c>
      <c r="F1958" s="1">
        <v>7.78</v>
      </c>
      <c r="G1958" s="1" t="s">
        <v>421</v>
      </c>
      <c r="H1958" s="1" t="s">
        <v>14</v>
      </c>
      <c r="I1958" s="4">
        <v>40148.0</v>
      </c>
      <c r="J1958" s="5">
        <v>0.6027777777777777</v>
      </c>
      <c r="K1958" s="1">
        <v>14.0</v>
      </c>
      <c r="L1958" s="1">
        <v>7.78</v>
      </c>
    </row>
    <row r="1959">
      <c r="A1959" s="1">
        <v>489597.0</v>
      </c>
      <c r="B1959" s="2" t="s">
        <v>2048</v>
      </c>
      <c r="C1959" s="1" t="s">
        <v>2049</v>
      </c>
      <c r="D1959" s="1">
        <v>1.0</v>
      </c>
      <c r="E1959" s="3">
        <v>40148.60277777778</v>
      </c>
      <c r="F1959" s="1">
        <v>2.57</v>
      </c>
      <c r="G1959" s="1" t="s">
        <v>421</v>
      </c>
      <c r="H1959" s="1" t="s">
        <v>14</v>
      </c>
      <c r="I1959" s="4">
        <v>40148.0</v>
      </c>
      <c r="J1959" s="5">
        <v>0.6027777777777777</v>
      </c>
      <c r="K1959" s="1">
        <v>14.0</v>
      </c>
      <c r="L1959" s="1">
        <v>2.57</v>
      </c>
    </row>
    <row r="1960">
      <c r="A1960" s="1">
        <v>489597.0</v>
      </c>
      <c r="B1960" s="2" t="s">
        <v>508</v>
      </c>
      <c r="C1960" s="1" t="s">
        <v>509</v>
      </c>
      <c r="D1960" s="1">
        <v>1.0</v>
      </c>
      <c r="E1960" s="3">
        <v>40148.60277777778</v>
      </c>
      <c r="F1960" s="1">
        <v>7.78</v>
      </c>
      <c r="G1960" s="1" t="s">
        <v>421</v>
      </c>
      <c r="H1960" s="1" t="s">
        <v>14</v>
      </c>
      <c r="I1960" s="4">
        <v>40148.0</v>
      </c>
      <c r="J1960" s="5">
        <v>0.6027777777777777</v>
      </c>
      <c r="K1960" s="1">
        <v>14.0</v>
      </c>
      <c r="L1960" s="1">
        <v>7.78</v>
      </c>
    </row>
    <row r="1961">
      <c r="A1961" s="1">
        <v>489597.0</v>
      </c>
      <c r="B1961" s="2" t="s">
        <v>1039</v>
      </c>
      <c r="C1961" s="1" t="s">
        <v>1040</v>
      </c>
      <c r="D1961" s="1">
        <v>1.0</v>
      </c>
      <c r="E1961" s="3">
        <v>40148.60277777778</v>
      </c>
      <c r="F1961" s="1">
        <v>6.04</v>
      </c>
      <c r="G1961" s="1" t="s">
        <v>421</v>
      </c>
      <c r="H1961" s="1" t="s">
        <v>14</v>
      </c>
      <c r="I1961" s="4">
        <v>40148.0</v>
      </c>
      <c r="J1961" s="5">
        <v>0.6027777777777777</v>
      </c>
      <c r="K1961" s="1">
        <v>14.0</v>
      </c>
      <c r="L1961" s="1">
        <v>6.04</v>
      </c>
    </row>
    <row r="1962">
      <c r="A1962" s="1">
        <v>489597.0</v>
      </c>
      <c r="B1962" s="2" t="s">
        <v>442</v>
      </c>
      <c r="C1962" s="1" t="s">
        <v>443</v>
      </c>
      <c r="D1962" s="1">
        <v>2.0</v>
      </c>
      <c r="E1962" s="3">
        <v>40148.60277777778</v>
      </c>
      <c r="F1962" s="1">
        <v>6.04</v>
      </c>
      <c r="G1962" s="1" t="s">
        <v>421</v>
      </c>
      <c r="H1962" s="1" t="s">
        <v>14</v>
      </c>
      <c r="I1962" s="4">
        <v>40148.0</v>
      </c>
      <c r="J1962" s="5">
        <v>0.6027777777777777</v>
      </c>
      <c r="K1962" s="1">
        <v>14.0</v>
      </c>
      <c r="L1962" s="1">
        <v>12.08</v>
      </c>
    </row>
    <row r="1963">
      <c r="B1963" s="2" t="s">
        <v>2050</v>
      </c>
    </row>
    <row r="1964">
      <c r="B1964" s="2" t="s">
        <v>2050</v>
      </c>
    </row>
    <row r="1965">
      <c r="B1965" s="2" t="s">
        <v>2050</v>
      </c>
    </row>
    <row r="1966">
      <c r="B1966" s="2" t="s">
        <v>2050</v>
      </c>
    </row>
    <row r="1967">
      <c r="B1967" s="2" t="s">
        <v>2050</v>
      </c>
    </row>
    <row r="1968">
      <c r="B1968" s="2" t="s">
        <v>2050</v>
      </c>
    </row>
    <row r="1969">
      <c r="B1969" s="2" t="s">
        <v>2050</v>
      </c>
    </row>
    <row r="1970">
      <c r="B1970" s="2" t="s">
        <v>2050</v>
      </c>
    </row>
    <row r="1971">
      <c r="B1971" s="2" t="s">
        <v>2050</v>
      </c>
    </row>
    <row r="1972">
      <c r="B1972" s="2" t="s">
        <v>2050</v>
      </c>
    </row>
    <row r="1973">
      <c r="B1973" s="2" t="s">
        <v>2050</v>
      </c>
    </row>
    <row r="1974">
      <c r="B1974" s="2" t="s">
        <v>2050</v>
      </c>
    </row>
    <row r="1975">
      <c r="B1975" s="2" t="s">
        <v>2050</v>
      </c>
    </row>
    <row r="1976">
      <c r="B1976" s="2" t="s">
        <v>2050</v>
      </c>
    </row>
    <row r="1977">
      <c r="B1977" s="2" t="s">
        <v>2050</v>
      </c>
    </row>
    <row r="1978">
      <c r="B1978" s="2" t="s">
        <v>2050</v>
      </c>
    </row>
    <row r="1979">
      <c r="B1979" s="2" t="s">
        <v>2050</v>
      </c>
    </row>
    <row r="1980">
      <c r="B1980" s="2" t="s">
        <v>2050</v>
      </c>
    </row>
    <row r="1981">
      <c r="B1981" s="2" t="s">
        <v>2050</v>
      </c>
    </row>
    <row r="1982">
      <c r="B1982" s="2" t="s">
        <v>2050</v>
      </c>
    </row>
    <row r="1983">
      <c r="B1983" s="2" t="s">
        <v>2050</v>
      </c>
    </row>
    <row r="1984">
      <c r="B1984" s="2" t="s">
        <v>2050</v>
      </c>
    </row>
    <row r="1985">
      <c r="B1985" s="2" t="s">
        <v>2050</v>
      </c>
    </row>
    <row r="1986">
      <c r="B1986" s="2" t="s">
        <v>2050</v>
      </c>
    </row>
    <row r="1987">
      <c r="B1987" s="2" t="s">
        <v>2050</v>
      </c>
    </row>
    <row r="1988">
      <c r="B1988" s="2" t="s">
        <v>2050</v>
      </c>
    </row>
    <row r="1989">
      <c r="B1989" s="2" t="s">
        <v>2050</v>
      </c>
    </row>
    <row r="1990">
      <c r="B1990" s="2" t="s">
        <v>2050</v>
      </c>
    </row>
    <row r="1991">
      <c r="B1991" s="2" t="s">
        <v>2050</v>
      </c>
    </row>
    <row r="1992">
      <c r="B1992" s="2" t="s">
        <v>2050</v>
      </c>
    </row>
    <row r="1993">
      <c r="B1993" s="2" t="s">
        <v>2050</v>
      </c>
    </row>
    <row r="1994">
      <c r="B1994" s="2" t="s">
        <v>2050</v>
      </c>
    </row>
    <row r="1995">
      <c r="B1995" s="2" t="s">
        <v>2050</v>
      </c>
    </row>
    <row r="1996">
      <c r="B1996" s="2" t="s">
        <v>2050</v>
      </c>
    </row>
    <row r="1997">
      <c r="B1997" s="2" t="s">
        <v>2050</v>
      </c>
    </row>
    <row r="1998">
      <c r="B1998" s="2" t="s">
        <v>2050</v>
      </c>
    </row>
    <row r="1999">
      <c r="B1999" s="2" t="s">
        <v>2050</v>
      </c>
    </row>
    <row r="2000">
      <c r="B2000" s="2" t="s">
        <v>2050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IFERROR(__xludf.DUMMYFUNCTION("QUERY(sales_data_cleaned.csv!A:L, ""SELECT *"", 1)
"),"Invoice")</f>
        <v>Invoice</v>
      </c>
      <c r="B1" s="2" t="str">
        <f>IFERROR(__xludf.DUMMYFUNCTION("""COMPUTED_VALUE"""),"StockCode")</f>
        <v>StockCode</v>
      </c>
      <c r="C1" s="2" t="str">
        <f>IFERROR(__xludf.DUMMYFUNCTION("""COMPUTED_VALUE"""),"Description")</f>
        <v>Description</v>
      </c>
      <c r="D1" s="2" t="str">
        <f>IFERROR(__xludf.DUMMYFUNCTION("""COMPUTED_VALUE"""),"Quantity")</f>
        <v>Quantity</v>
      </c>
      <c r="E1" s="2" t="str">
        <f>IFERROR(__xludf.DUMMYFUNCTION("""COMPUTED_VALUE"""),"InvoiceDate")</f>
        <v>InvoiceDate</v>
      </c>
      <c r="F1" s="2" t="str">
        <f>IFERROR(__xludf.DUMMYFUNCTION("""COMPUTED_VALUE"""),"Price")</f>
        <v>Price</v>
      </c>
      <c r="G1" s="2" t="str">
        <f>IFERROR(__xludf.DUMMYFUNCTION("""COMPUTED_VALUE"""),"Customer ID")</f>
        <v>Customer ID</v>
      </c>
      <c r="H1" s="2" t="str">
        <f>IFERROR(__xludf.DUMMYFUNCTION("""COMPUTED_VALUE"""),"Country")</f>
        <v>Country</v>
      </c>
      <c r="I1" s="2" t="str">
        <f>IFERROR(__xludf.DUMMYFUNCTION("""COMPUTED_VALUE"""),"Date")</f>
        <v>Date</v>
      </c>
      <c r="J1" s="2" t="str">
        <f>IFERROR(__xludf.DUMMYFUNCTION("""COMPUTED_VALUE"""),"Time")</f>
        <v>Time</v>
      </c>
      <c r="K1" s="2" t="str">
        <f>IFERROR(__xludf.DUMMYFUNCTION("""COMPUTED_VALUE"""),"Hour")</f>
        <v>Hour</v>
      </c>
      <c r="L1" s="2" t="str">
        <f>IFERROR(__xludf.DUMMYFUNCTION("""COMPUTED_VALUE"""),"TotalPrice")</f>
        <v>TotalPrice</v>
      </c>
    </row>
    <row r="2">
      <c r="A2" s="2">
        <f>IFERROR(__xludf.DUMMYFUNCTION("""COMPUTED_VALUE"""),489434.0)</f>
        <v>489434</v>
      </c>
      <c r="B2" s="2" t="str">
        <f>IFERROR(__xludf.DUMMYFUNCTION("""COMPUTED_VALUE"""),"85048")</f>
        <v>85048</v>
      </c>
      <c r="C2" s="2" t="str">
        <f>IFERROR(__xludf.DUMMYFUNCTION("""COMPUTED_VALUE"""),"15CM CHRISTMAS GLASS BALL 20 LIGHTS")</f>
        <v>15CM CHRISTMAS GLASS BALL 20 LIGHTS</v>
      </c>
      <c r="D2" s="2">
        <f>IFERROR(__xludf.DUMMYFUNCTION("""COMPUTED_VALUE"""),12.0)</f>
        <v>12</v>
      </c>
      <c r="E2" s="6">
        <f>IFERROR(__xludf.DUMMYFUNCTION("""COMPUTED_VALUE"""),40148.322916666664)</f>
        <v>40148.32292</v>
      </c>
      <c r="F2" s="2">
        <f>IFERROR(__xludf.DUMMYFUNCTION("""COMPUTED_VALUE"""),6.95)</f>
        <v>6.95</v>
      </c>
      <c r="G2" s="2">
        <f>IFERROR(__xludf.DUMMYFUNCTION("""COMPUTED_VALUE"""),13085.0)</f>
        <v>13085</v>
      </c>
      <c r="H2" s="2" t="str">
        <f>IFERROR(__xludf.DUMMYFUNCTION("""COMPUTED_VALUE"""),"United Kingdom")</f>
        <v>United Kingdom</v>
      </c>
      <c r="I2" s="7">
        <f>IFERROR(__xludf.DUMMYFUNCTION("""COMPUTED_VALUE"""),40148.0)</f>
        <v>40148</v>
      </c>
      <c r="J2" s="8">
        <f>IFERROR(__xludf.DUMMYFUNCTION("""COMPUTED_VALUE"""),0.3229166666678793)</f>
        <v>0.3229166667</v>
      </c>
      <c r="K2" s="2">
        <f>IFERROR(__xludf.DUMMYFUNCTION("""COMPUTED_VALUE"""),7.0)</f>
        <v>7</v>
      </c>
      <c r="L2" s="2">
        <f>IFERROR(__xludf.DUMMYFUNCTION("""COMPUTED_VALUE"""),83.4)</f>
        <v>83.4</v>
      </c>
    </row>
    <row r="3">
      <c r="A3" s="2">
        <f>IFERROR(__xludf.DUMMYFUNCTION("""COMPUTED_VALUE"""),489434.0)</f>
        <v>489434</v>
      </c>
      <c r="B3" s="2" t="str">
        <f>IFERROR(__xludf.DUMMYFUNCTION("""COMPUTED_VALUE"""),"79323P")</f>
        <v>79323P</v>
      </c>
      <c r="C3" s="2" t="str">
        <f>IFERROR(__xludf.DUMMYFUNCTION("""COMPUTED_VALUE"""),"PINK CHERRY LIGHTS")</f>
        <v>PINK CHERRY LIGHTS</v>
      </c>
      <c r="D3" s="2">
        <f>IFERROR(__xludf.DUMMYFUNCTION("""COMPUTED_VALUE"""),12.0)</f>
        <v>12</v>
      </c>
      <c r="E3" s="6">
        <f>IFERROR(__xludf.DUMMYFUNCTION("""COMPUTED_VALUE"""),40148.322916666664)</f>
        <v>40148.32292</v>
      </c>
      <c r="F3" s="2">
        <f>IFERROR(__xludf.DUMMYFUNCTION("""COMPUTED_VALUE"""),6.75)</f>
        <v>6.75</v>
      </c>
      <c r="G3" s="2">
        <f>IFERROR(__xludf.DUMMYFUNCTION("""COMPUTED_VALUE"""),13085.0)</f>
        <v>13085</v>
      </c>
      <c r="H3" s="2" t="str">
        <f>IFERROR(__xludf.DUMMYFUNCTION("""COMPUTED_VALUE"""),"United Kingdom")</f>
        <v>United Kingdom</v>
      </c>
      <c r="I3" s="7">
        <f>IFERROR(__xludf.DUMMYFUNCTION("""COMPUTED_VALUE"""),40148.0)</f>
        <v>40148</v>
      </c>
      <c r="J3" s="8">
        <f>IFERROR(__xludf.DUMMYFUNCTION("""COMPUTED_VALUE"""),0.3229166666678793)</f>
        <v>0.3229166667</v>
      </c>
      <c r="K3" s="2">
        <f>IFERROR(__xludf.DUMMYFUNCTION("""COMPUTED_VALUE"""),7.0)</f>
        <v>7</v>
      </c>
      <c r="L3" s="2">
        <f>IFERROR(__xludf.DUMMYFUNCTION("""COMPUTED_VALUE"""),81.0)</f>
        <v>81</v>
      </c>
    </row>
    <row r="4">
      <c r="A4" s="2">
        <f>IFERROR(__xludf.DUMMYFUNCTION("""COMPUTED_VALUE"""),489434.0)</f>
        <v>489434</v>
      </c>
      <c r="B4" s="2" t="str">
        <f>IFERROR(__xludf.DUMMYFUNCTION("""COMPUTED_VALUE"""),"79323W")</f>
        <v>79323W</v>
      </c>
      <c r="C4" s="2" t="str">
        <f>IFERROR(__xludf.DUMMYFUNCTION("""COMPUTED_VALUE"""),"WHITE CHERRY LIGHTS")</f>
        <v>WHITE CHERRY LIGHTS</v>
      </c>
      <c r="D4" s="2">
        <f>IFERROR(__xludf.DUMMYFUNCTION("""COMPUTED_VALUE"""),12.0)</f>
        <v>12</v>
      </c>
      <c r="E4" s="6">
        <f>IFERROR(__xludf.DUMMYFUNCTION("""COMPUTED_VALUE"""),40148.322916666664)</f>
        <v>40148.32292</v>
      </c>
      <c r="F4" s="2">
        <f>IFERROR(__xludf.DUMMYFUNCTION("""COMPUTED_VALUE"""),6.75)</f>
        <v>6.75</v>
      </c>
      <c r="G4" s="2">
        <f>IFERROR(__xludf.DUMMYFUNCTION("""COMPUTED_VALUE"""),13085.0)</f>
        <v>13085</v>
      </c>
      <c r="H4" s="2" t="str">
        <f>IFERROR(__xludf.DUMMYFUNCTION("""COMPUTED_VALUE"""),"United Kingdom")</f>
        <v>United Kingdom</v>
      </c>
      <c r="I4" s="7">
        <f>IFERROR(__xludf.DUMMYFUNCTION("""COMPUTED_VALUE"""),40148.0)</f>
        <v>40148</v>
      </c>
      <c r="J4" s="8">
        <f>IFERROR(__xludf.DUMMYFUNCTION("""COMPUTED_VALUE"""),0.3229166666678793)</f>
        <v>0.3229166667</v>
      </c>
      <c r="K4" s="2">
        <f>IFERROR(__xludf.DUMMYFUNCTION("""COMPUTED_VALUE"""),7.0)</f>
        <v>7</v>
      </c>
      <c r="L4" s="2">
        <f>IFERROR(__xludf.DUMMYFUNCTION("""COMPUTED_VALUE"""),81.0)</f>
        <v>81</v>
      </c>
    </row>
    <row r="5">
      <c r="A5" s="2">
        <f>IFERROR(__xludf.DUMMYFUNCTION("""COMPUTED_VALUE"""),489434.0)</f>
        <v>489434</v>
      </c>
      <c r="B5" s="2" t="str">
        <f>IFERROR(__xludf.DUMMYFUNCTION("""COMPUTED_VALUE"""),"22041")</f>
        <v>22041</v>
      </c>
      <c r="C5" s="2" t="str">
        <f>IFERROR(__xludf.DUMMYFUNCTION("""COMPUTED_VALUE"""),"RECORD FRAME 7"" SINGLE SIZE")</f>
        <v>RECORD FRAME 7" SINGLE SIZE</v>
      </c>
      <c r="D5" s="2">
        <f>IFERROR(__xludf.DUMMYFUNCTION("""COMPUTED_VALUE"""),48.0)</f>
        <v>48</v>
      </c>
      <c r="E5" s="6">
        <f>IFERROR(__xludf.DUMMYFUNCTION("""COMPUTED_VALUE"""),40148.322916666664)</f>
        <v>40148.32292</v>
      </c>
      <c r="F5" s="2">
        <f>IFERROR(__xludf.DUMMYFUNCTION("""COMPUTED_VALUE"""),2.1)</f>
        <v>2.1</v>
      </c>
      <c r="G5" s="2">
        <f>IFERROR(__xludf.DUMMYFUNCTION("""COMPUTED_VALUE"""),13085.0)</f>
        <v>13085</v>
      </c>
      <c r="H5" s="2" t="str">
        <f>IFERROR(__xludf.DUMMYFUNCTION("""COMPUTED_VALUE"""),"United Kingdom")</f>
        <v>United Kingdom</v>
      </c>
      <c r="I5" s="7">
        <f>IFERROR(__xludf.DUMMYFUNCTION("""COMPUTED_VALUE"""),40148.0)</f>
        <v>40148</v>
      </c>
      <c r="J5" s="8">
        <f>IFERROR(__xludf.DUMMYFUNCTION("""COMPUTED_VALUE"""),0.3229166666678793)</f>
        <v>0.3229166667</v>
      </c>
      <c r="K5" s="2">
        <f>IFERROR(__xludf.DUMMYFUNCTION("""COMPUTED_VALUE"""),7.0)</f>
        <v>7</v>
      </c>
      <c r="L5" s="2">
        <f>IFERROR(__xludf.DUMMYFUNCTION("""COMPUTED_VALUE"""),100.8)</f>
        <v>100.8</v>
      </c>
    </row>
    <row r="6">
      <c r="A6" s="2">
        <f>IFERROR(__xludf.DUMMYFUNCTION("""COMPUTED_VALUE"""),489434.0)</f>
        <v>489434</v>
      </c>
      <c r="B6" s="2" t="str">
        <f>IFERROR(__xludf.DUMMYFUNCTION("""COMPUTED_VALUE"""),"21232")</f>
        <v>21232</v>
      </c>
      <c r="C6" s="2" t="str">
        <f>IFERROR(__xludf.DUMMYFUNCTION("""COMPUTED_VALUE"""),"STRAWBERRY CERAMIC TRINKET BOX")</f>
        <v>STRAWBERRY CERAMIC TRINKET BOX</v>
      </c>
      <c r="D6" s="2">
        <f>IFERROR(__xludf.DUMMYFUNCTION("""COMPUTED_VALUE"""),24.0)</f>
        <v>24</v>
      </c>
      <c r="E6" s="6">
        <f>IFERROR(__xludf.DUMMYFUNCTION("""COMPUTED_VALUE"""),40148.322916666664)</f>
        <v>40148.32292</v>
      </c>
      <c r="F6" s="2">
        <f>IFERROR(__xludf.DUMMYFUNCTION("""COMPUTED_VALUE"""),1.25)</f>
        <v>1.25</v>
      </c>
      <c r="G6" s="2">
        <f>IFERROR(__xludf.DUMMYFUNCTION("""COMPUTED_VALUE"""),13085.0)</f>
        <v>13085</v>
      </c>
      <c r="H6" s="2" t="str">
        <f>IFERROR(__xludf.DUMMYFUNCTION("""COMPUTED_VALUE"""),"United Kingdom")</f>
        <v>United Kingdom</v>
      </c>
      <c r="I6" s="7">
        <f>IFERROR(__xludf.DUMMYFUNCTION("""COMPUTED_VALUE"""),40148.0)</f>
        <v>40148</v>
      </c>
      <c r="J6" s="8">
        <f>IFERROR(__xludf.DUMMYFUNCTION("""COMPUTED_VALUE"""),0.3229166666678793)</f>
        <v>0.3229166667</v>
      </c>
      <c r="K6" s="2">
        <f>IFERROR(__xludf.DUMMYFUNCTION("""COMPUTED_VALUE"""),7.0)</f>
        <v>7</v>
      </c>
      <c r="L6" s="2">
        <f>IFERROR(__xludf.DUMMYFUNCTION("""COMPUTED_VALUE"""),30.0)</f>
        <v>30</v>
      </c>
    </row>
    <row r="7">
      <c r="A7" s="2">
        <f>IFERROR(__xludf.DUMMYFUNCTION("""COMPUTED_VALUE"""),489434.0)</f>
        <v>489434</v>
      </c>
      <c r="B7" s="2" t="str">
        <f>IFERROR(__xludf.DUMMYFUNCTION("""COMPUTED_VALUE"""),"22064")</f>
        <v>22064</v>
      </c>
      <c r="C7" s="2" t="str">
        <f>IFERROR(__xludf.DUMMYFUNCTION("""COMPUTED_VALUE"""),"PINK DOUGHNUT TRINKET POT")</f>
        <v>PINK DOUGHNUT TRINKET POT</v>
      </c>
      <c r="D7" s="2">
        <f>IFERROR(__xludf.DUMMYFUNCTION("""COMPUTED_VALUE"""),24.0)</f>
        <v>24</v>
      </c>
      <c r="E7" s="6">
        <f>IFERROR(__xludf.DUMMYFUNCTION("""COMPUTED_VALUE"""),40148.322916666664)</f>
        <v>40148.32292</v>
      </c>
      <c r="F7" s="2">
        <f>IFERROR(__xludf.DUMMYFUNCTION("""COMPUTED_VALUE"""),1.65)</f>
        <v>1.65</v>
      </c>
      <c r="G7" s="2">
        <f>IFERROR(__xludf.DUMMYFUNCTION("""COMPUTED_VALUE"""),13085.0)</f>
        <v>13085</v>
      </c>
      <c r="H7" s="2" t="str">
        <f>IFERROR(__xludf.DUMMYFUNCTION("""COMPUTED_VALUE"""),"United Kingdom")</f>
        <v>United Kingdom</v>
      </c>
      <c r="I7" s="7">
        <f>IFERROR(__xludf.DUMMYFUNCTION("""COMPUTED_VALUE"""),40148.0)</f>
        <v>40148</v>
      </c>
      <c r="J7" s="8">
        <f>IFERROR(__xludf.DUMMYFUNCTION("""COMPUTED_VALUE"""),0.3229166666678793)</f>
        <v>0.3229166667</v>
      </c>
      <c r="K7" s="2">
        <f>IFERROR(__xludf.DUMMYFUNCTION("""COMPUTED_VALUE"""),7.0)</f>
        <v>7</v>
      </c>
      <c r="L7" s="2">
        <f>IFERROR(__xludf.DUMMYFUNCTION("""COMPUTED_VALUE"""),39.5999999999999)</f>
        <v>39.6</v>
      </c>
    </row>
    <row r="8">
      <c r="A8" s="2">
        <f>IFERROR(__xludf.DUMMYFUNCTION("""COMPUTED_VALUE"""),489434.0)</f>
        <v>489434</v>
      </c>
      <c r="B8" s="2" t="str">
        <f>IFERROR(__xludf.DUMMYFUNCTION("""COMPUTED_VALUE"""),"21871")</f>
        <v>21871</v>
      </c>
      <c r="C8" s="2" t="str">
        <f>IFERROR(__xludf.DUMMYFUNCTION("""COMPUTED_VALUE"""),"SAVE THE PLANET MUG")</f>
        <v>SAVE THE PLANET MUG</v>
      </c>
      <c r="D8" s="2">
        <f>IFERROR(__xludf.DUMMYFUNCTION("""COMPUTED_VALUE"""),24.0)</f>
        <v>24</v>
      </c>
      <c r="E8" s="6">
        <f>IFERROR(__xludf.DUMMYFUNCTION("""COMPUTED_VALUE"""),40148.322916666664)</f>
        <v>40148.32292</v>
      </c>
      <c r="F8" s="2">
        <f>IFERROR(__xludf.DUMMYFUNCTION("""COMPUTED_VALUE"""),1.25)</f>
        <v>1.25</v>
      </c>
      <c r="G8" s="2">
        <f>IFERROR(__xludf.DUMMYFUNCTION("""COMPUTED_VALUE"""),13085.0)</f>
        <v>13085</v>
      </c>
      <c r="H8" s="2" t="str">
        <f>IFERROR(__xludf.DUMMYFUNCTION("""COMPUTED_VALUE"""),"United Kingdom")</f>
        <v>United Kingdom</v>
      </c>
      <c r="I8" s="7">
        <f>IFERROR(__xludf.DUMMYFUNCTION("""COMPUTED_VALUE"""),40148.0)</f>
        <v>40148</v>
      </c>
      <c r="J8" s="8">
        <f>IFERROR(__xludf.DUMMYFUNCTION("""COMPUTED_VALUE"""),0.3229166666678793)</f>
        <v>0.3229166667</v>
      </c>
      <c r="K8" s="2">
        <f>IFERROR(__xludf.DUMMYFUNCTION("""COMPUTED_VALUE"""),7.0)</f>
        <v>7</v>
      </c>
      <c r="L8" s="2">
        <f>IFERROR(__xludf.DUMMYFUNCTION("""COMPUTED_VALUE"""),30.0)</f>
        <v>30</v>
      </c>
    </row>
    <row r="9">
      <c r="A9" s="2">
        <f>IFERROR(__xludf.DUMMYFUNCTION("""COMPUTED_VALUE"""),489434.0)</f>
        <v>489434</v>
      </c>
      <c r="B9" s="2" t="str">
        <f>IFERROR(__xludf.DUMMYFUNCTION("""COMPUTED_VALUE"""),"21523")</f>
        <v>21523</v>
      </c>
      <c r="C9" s="2" t="str">
        <f>IFERROR(__xludf.DUMMYFUNCTION("""COMPUTED_VALUE"""),"FANCY FONT HOME SWEET HOME DOORMAT")</f>
        <v>FANCY FONT HOME SWEET HOME DOORMAT</v>
      </c>
      <c r="D9" s="2">
        <f>IFERROR(__xludf.DUMMYFUNCTION("""COMPUTED_VALUE"""),10.0)</f>
        <v>10</v>
      </c>
      <c r="E9" s="6">
        <f>IFERROR(__xludf.DUMMYFUNCTION("""COMPUTED_VALUE"""),40148.322916666664)</f>
        <v>40148.32292</v>
      </c>
      <c r="F9" s="2">
        <f>IFERROR(__xludf.DUMMYFUNCTION("""COMPUTED_VALUE"""),5.95)</f>
        <v>5.95</v>
      </c>
      <c r="G9" s="2">
        <f>IFERROR(__xludf.DUMMYFUNCTION("""COMPUTED_VALUE"""),13085.0)</f>
        <v>13085</v>
      </c>
      <c r="H9" s="2" t="str">
        <f>IFERROR(__xludf.DUMMYFUNCTION("""COMPUTED_VALUE"""),"United Kingdom")</f>
        <v>United Kingdom</v>
      </c>
      <c r="I9" s="7">
        <f>IFERROR(__xludf.DUMMYFUNCTION("""COMPUTED_VALUE"""),40148.0)</f>
        <v>40148</v>
      </c>
      <c r="J9" s="8">
        <f>IFERROR(__xludf.DUMMYFUNCTION("""COMPUTED_VALUE"""),0.3229166666678793)</f>
        <v>0.3229166667</v>
      </c>
      <c r="K9" s="2">
        <f>IFERROR(__xludf.DUMMYFUNCTION("""COMPUTED_VALUE"""),7.0)</f>
        <v>7</v>
      </c>
      <c r="L9" s="2">
        <f>IFERROR(__xludf.DUMMYFUNCTION("""COMPUTED_VALUE"""),59.5)</f>
        <v>59.5</v>
      </c>
    </row>
    <row r="10">
      <c r="A10" s="2">
        <f>IFERROR(__xludf.DUMMYFUNCTION("""COMPUTED_VALUE"""),489435.0)</f>
        <v>489435</v>
      </c>
      <c r="B10" s="2" t="str">
        <f>IFERROR(__xludf.DUMMYFUNCTION("""COMPUTED_VALUE"""),"22350")</f>
        <v>22350</v>
      </c>
      <c r="C10" s="2" t="str">
        <f>IFERROR(__xludf.DUMMYFUNCTION("""COMPUTED_VALUE"""),"CAT BOWL")</f>
        <v>CAT BOWL</v>
      </c>
      <c r="D10" s="2">
        <f>IFERROR(__xludf.DUMMYFUNCTION("""COMPUTED_VALUE"""),12.0)</f>
        <v>12</v>
      </c>
      <c r="E10" s="6">
        <f>IFERROR(__xludf.DUMMYFUNCTION("""COMPUTED_VALUE"""),40148.32361111111)</f>
        <v>40148.32361</v>
      </c>
      <c r="F10" s="2">
        <f>IFERROR(__xludf.DUMMYFUNCTION("""COMPUTED_VALUE"""),2.55)</f>
        <v>2.55</v>
      </c>
      <c r="G10" s="2">
        <f>IFERROR(__xludf.DUMMYFUNCTION("""COMPUTED_VALUE"""),13085.0)</f>
        <v>13085</v>
      </c>
      <c r="H10" s="2" t="str">
        <f>IFERROR(__xludf.DUMMYFUNCTION("""COMPUTED_VALUE"""),"United Kingdom")</f>
        <v>United Kingdom</v>
      </c>
      <c r="I10" s="7">
        <f>IFERROR(__xludf.DUMMYFUNCTION("""COMPUTED_VALUE"""),40148.0)</f>
        <v>40148</v>
      </c>
      <c r="J10" s="8">
        <f>IFERROR(__xludf.DUMMYFUNCTION("""COMPUTED_VALUE"""),0.3236111111109494)</f>
        <v>0.3236111111</v>
      </c>
      <c r="K10" s="2">
        <f>IFERROR(__xludf.DUMMYFUNCTION("""COMPUTED_VALUE"""),7.0)</f>
        <v>7</v>
      </c>
      <c r="L10" s="2">
        <f>IFERROR(__xludf.DUMMYFUNCTION("""COMPUTED_VALUE"""),30.5999999999999)</f>
        <v>30.6</v>
      </c>
    </row>
    <row r="11">
      <c r="A11" s="2">
        <f>IFERROR(__xludf.DUMMYFUNCTION("""COMPUTED_VALUE"""),489435.0)</f>
        <v>489435</v>
      </c>
      <c r="B11" s="2" t="str">
        <f>IFERROR(__xludf.DUMMYFUNCTION("""COMPUTED_VALUE"""),"22349")</f>
        <v>22349</v>
      </c>
      <c r="C11" s="2" t="str">
        <f>IFERROR(__xludf.DUMMYFUNCTION("""COMPUTED_VALUE"""),"DOG BOWL , CHASING BALL DESIGN")</f>
        <v>DOG BOWL , CHASING BALL DESIGN</v>
      </c>
      <c r="D11" s="2">
        <f>IFERROR(__xludf.DUMMYFUNCTION("""COMPUTED_VALUE"""),12.0)</f>
        <v>12</v>
      </c>
      <c r="E11" s="6">
        <f>IFERROR(__xludf.DUMMYFUNCTION("""COMPUTED_VALUE"""),40148.32361111111)</f>
        <v>40148.32361</v>
      </c>
      <c r="F11" s="2">
        <f>IFERROR(__xludf.DUMMYFUNCTION("""COMPUTED_VALUE"""),3.75)</f>
        <v>3.75</v>
      </c>
      <c r="G11" s="2">
        <f>IFERROR(__xludf.DUMMYFUNCTION("""COMPUTED_VALUE"""),13085.0)</f>
        <v>13085</v>
      </c>
      <c r="H11" s="2" t="str">
        <f>IFERROR(__xludf.DUMMYFUNCTION("""COMPUTED_VALUE"""),"United Kingdom")</f>
        <v>United Kingdom</v>
      </c>
      <c r="I11" s="7">
        <f>IFERROR(__xludf.DUMMYFUNCTION("""COMPUTED_VALUE"""),40148.0)</f>
        <v>40148</v>
      </c>
      <c r="J11" s="8">
        <f>IFERROR(__xludf.DUMMYFUNCTION("""COMPUTED_VALUE"""),0.3236111111109494)</f>
        <v>0.3236111111</v>
      </c>
      <c r="K11" s="2">
        <f>IFERROR(__xludf.DUMMYFUNCTION("""COMPUTED_VALUE"""),7.0)</f>
        <v>7</v>
      </c>
      <c r="L11" s="2">
        <f>IFERROR(__xludf.DUMMYFUNCTION("""COMPUTED_VALUE"""),45.0)</f>
        <v>45</v>
      </c>
    </row>
    <row r="12">
      <c r="A12" s="2">
        <f>IFERROR(__xludf.DUMMYFUNCTION("""COMPUTED_VALUE"""),489435.0)</f>
        <v>489435</v>
      </c>
      <c r="B12" s="2" t="str">
        <f>IFERROR(__xludf.DUMMYFUNCTION("""COMPUTED_VALUE"""),"22195")</f>
        <v>22195</v>
      </c>
      <c r="C12" s="2" t="str">
        <f>IFERROR(__xludf.DUMMYFUNCTION("""COMPUTED_VALUE"""),"HEART MEASURING SPOONS LARGE")</f>
        <v>HEART MEASURING SPOONS LARGE</v>
      </c>
      <c r="D12" s="2">
        <f>IFERROR(__xludf.DUMMYFUNCTION("""COMPUTED_VALUE"""),24.0)</f>
        <v>24</v>
      </c>
      <c r="E12" s="6">
        <f>IFERROR(__xludf.DUMMYFUNCTION("""COMPUTED_VALUE"""),40148.32361111111)</f>
        <v>40148.32361</v>
      </c>
      <c r="F12" s="2">
        <f>IFERROR(__xludf.DUMMYFUNCTION("""COMPUTED_VALUE"""),1.65)</f>
        <v>1.65</v>
      </c>
      <c r="G12" s="2">
        <f>IFERROR(__xludf.DUMMYFUNCTION("""COMPUTED_VALUE"""),13085.0)</f>
        <v>13085</v>
      </c>
      <c r="H12" s="2" t="str">
        <f>IFERROR(__xludf.DUMMYFUNCTION("""COMPUTED_VALUE"""),"United Kingdom")</f>
        <v>United Kingdom</v>
      </c>
      <c r="I12" s="7">
        <f>IFERROR(__xludf.DUMMYFUNCTION("""COMPUTED_VALUE"""),40148.0)</f>
        <v>40148</v>
      </c>
      <c r="J12" s="8">
        <f>IFERROR(__xludf.DUMMYFUNCTION("""COMPUTED_VALUE"""),0.3236111111109494)</f>
        <v>0.3236111111</v>
      </c>
      <c r="K12" s="2">
        <f>IFERROR(__xludf.DUMMYFUNCTION("""COMPUTED_VALUE"""),7.0)</f>
        <v>7</v>
      </c>
      <c r="L12" s="2">
        <f>IFERROR(__xludf.DUMMYFUNCTION("""COMPUTED_VALUE"""),39.5999999999999)</f>
        <v>39.6</v>
      </c>
    </row>
    <row r="13">
      <c r="A13" s="2">
        <f>IFERROR(__xludf.DUMMYFUNCTION("""COMPUTED_VALUE"""),489435.0)</f>
        <v>489435</v>
      </c>
      <c r="B13" s="2" t="str">
        <f>IFERROR(__xludf.DUMMYFUNCTION("""COMPUTED_VALUE"""),"22353")</f>
        <v>22353</v>
      </c>
      <c r="C13" s="2" t="str">
        <f>IFERROR(__xludf.DUMMYFUNCTION("""COMPUTED_VALUE"""),"LUNCHBOX WITH CUTLERY FAIRY CAKES")</f>
        <v>LUNCHBOX WITH CUTLERY FAIRY CAKES</v>
      </c>
      <c r="D13" s="2">
        <f>IFERROR(__xludf.DUMMYFUNCTION("""COMPUTED_VALUE"""),12.0)</f>
        <v>12</v>
      </c>
      <c r="E13" s="6">
        <f>IFERROR(__xludf.DUMMYFUNCTION("""COMPUTED_VALUE"""),40148.32361111111)</f>
        <v>40148.32361</v>
      </c>
      <c r="F13" s="2">
        <f>IFERROR(__xludf.DUMMYFUNCTION("""COMPUTED_VALUE"""),2.55)</f>
        <v>2.55</v>
      </c>
      <c r="G13" s="2">
        <f>IFERROR(__xludf.DUMMYFUNCTION("""COMPUTED_VALUE"""),13085.0)</f>
        <v>13085</v>
      </c>
      <c r="H13" s="2" t="str">
        <f>IFERROR(__xludf.DUMMYFUNCTION("""COMPUTED_VALUE"""),"United Kingdom")</f>
        <v>United Kingdom</v>
      </c>
      <c r="I13" s="7">
        <f>IFERROR(__xludf.DUMMYFUNCTION("""COMPUTED_VALUE"""),40148.0)</f>
        <v>40148</v>
      </c>
      <c r="J13" s="8">
        <f>IFERROR(__xludf.DUMMYFUNCTION("""COMPUTED_VALUE"""),0.3236111111109494)</f>
        <v>0.3236111111</v>
      </c>
      <c r="K13" s="2">
        <f>IFERROR(__xludf.DUMMYFUNCTION("""COMPUTED_VALUE"""),7.0)</f>
        <v>7</v>
      </c>
      <c r="L13" s="2">
        <f>IFERROR(__xludf.DUMMYFUNCTION("""COMPUTED_VALUE"""),30.5999999999999)</f>
        <v>30.6</v>
      </c>
    </row>
    <row r="14">
      <c r="A14" s="2">
        <f>IFERROR(__xludf.DUMMYFUNCTION("""COMPUTED_VALUE"""),489436.0)</f>
        <v>489436</v>
      </c>
      <c r="B14" s="2" t="str">
        <f>IFERROR(__xludf.DUMMYFUNCTION("""COMPUTED_VALUE"""),"48173C")</f>
        <v>48173C</v>
      </c>
      <c r="C14" s="2" t="str">
        <f>IFERROR(__xludf.DUMMYFUNCTION("""COMPUTED_VALUE"""),"DOOR MAT BLACK FLOCK")</f>
        <v>DOOR MAT BLACK FLOCK</v>
      </c>
      <c r="D14" s="2">
        <f>IFERROR(__xludf.DUMMYFUNCTION("""COMPUTED_VALUE"""),10.0)</f>
        <v>10</v>
      </c>
      <c r="E14" s="6">
        <f>IFERROR(__xludf.DUMMYFUNCTION("""COMPUTED_VALUE"""),40148.379166666666)</f>
        <v>40148.37917</v>
      </c>
      <c r="F14" s="2">
        <f>IFERROR(__xludf.DUMMYFUNCTION("""COMPUTED_VALUE"""),5.95)</f>
        <v>5.95</v>
      </c>
      <c r="G14" s="2">
        <f>IFERROR(__xludf.DUMMYFUNCTION("""COMPUTED_VALUE"""),13078.0)</f>
        <v>13078</v>
      </c>
      <c r="H14" s="2" t="str">
        <f>IFERROR(__xludf.DUMMYFUNCTION("""COMPUTED_VALUE"""),"United Kingdom")</f>
        <v>United Kingdom</v>
      </c>
      <c r="I14" s="7">
        <f>IFERROR(__xludf.DUMMYFUNCTION("""COMPUTED_VALUE"""),40148.0)</f>
        <v>40148</v>
      </c>
      <c r="J14" s="8">
        <f>IFERROR(__xludf.DUMMYFUNCTION("""COMPUTED_VALUE"""),0.37916666666569654)</f>
        <v>0.3791666667</v>
      </c>
      <c r="K14" s="2">
        <f>IFERROR(__xludf.DUMMYFUNCTION("""COMPUTED_VALUE"""),9.0)</f>
        <v>9</v>
      </c>
      <c r="L14" s="2">
        <f>IFERROR(__xludf.DUMMYFUNCTION("""COMPUTED_VALUE"""),59.5)</f>
        <v>59.5</v>
      </c>
    </row>
    <row r="15">
      <c r="A15" s="2">
        <f>IFERROR(__xludf.DUMMYFUNCTION("""COMPUTED_VALUE"""),489436.0)</f>
        <v>489436</v>
      </c>
      <c r="B15" s="2" t="str">
        <f>IFERROR(__xludf.DUMMYFUNCTION("""COMPUTED_VALUE"""),"21755")</f>
        <v>21755</v>
      </c>
      <c r="C15" s="2" t="str">
        <f>IFERROR(__xludf.DUMMYFUNCTION("""COMPUTED_VALUE"""),"LOVE BUILDING BLOCK WORD")</f>
        <v>LOVE BUILDING BLOCK WORD</v>
      </c>
      <c r="D15" s="2">
        <f>IFERROR(__xludf.DUMMYFUNCTION("""COMPUTED_VALUE"""),18.0)</f>
        <v>18</v>
      </c>
      <c r="E15" s="6">
        <f>IFERROR(__xludf.DUMMYFUNCTION("""COMPUTED_VALUE"""),40148.379166666666)</f>
        <v>40148.37917</v>
      </c>
      <c r="F15" s="2">
        <f>IFERROR(__xludf.DUMMYFUNCTION("""COMPUTED_VALUE"""),5.45)</f>
        <v>5.45</v>
      </c>
      <c r="G15" s="2">
        <f>IFERROR(__xludf.DUMMYFUNCTION("""COMPUTED_VALUE"""),13078.0)</f>
        <v>13078</v>
      </c>
      <c r="H15" s="2" t="str">
        <f>IFERROR(__xludf.DUMMYFUNCTION("""COMPUTED_VALUE"""),"United Kingdom")</f>
        <v>United Kingdom</v>
      </c>
      <c r="I15" s="7">
        <f>IFERROR(__xludf.DUMMYFUNCTION("""COMPUTED_VALUE"""),40148.0)</f>
        <v>40148</v>
      </c>
      <c r="J15" s="8">
        <f>IFERROR(__xludf.DUMMYFUNCTION("""COMPUTED_VALUE"""),0.37916666666569654)</f>
        <v>0.3791666667</v>
      </c>
      <c r="K15" s="2">
        <f>IFERROR(__xludf.DUMMYFUNCTION("""COMPUTED_VALUE"""),9.0)</f>
        <v>9</v>
      </c>
      <c r="L15" s="2">
        <f>IFERROR(__xludf.DUMMYFUNCTION("""COMPUTED_VALUE"""),98.1)</f>
        <v>98.1</v>
      </c>
    </row>
    <row r="16">
      <c r="A16" s="2">
        <f>IFERROR(__xludf.DUMMYFUNCTION("""COMPUTED_VALUE"""),489436.0)</f>
        <v>489436</v>
      </c>
      <c r="B16" s="2" t="str">
        <f>IFERROR(__xludf.DUMMYFUNCTION("""COMPUTED_VALUE"""),"21754")</f>
        <v>21754</v>
      </c>
      <c r="C16" s="2" t="str">
        <f>IFERROR(__xludf.DUMMYFUNCTION("""COMPUTED_VALUE"""),"HOME BUILDING BLOCK WORD")</f>
        <v>HOME BUILDING BLOCK WORD</v>
      </c>
      <c r="D16" s="2">
        <f>IFERROR(__xludf.DUMMYFUNCTION("""COMPUTED_VALUE"""),3.0)</f>
        <v>3</v>
      </c>
      <c r="E16" s="6">
        <f>IFERROR(__xludf.DUMMYFUNCTION("""COMPUTED_VALUE"""),40148.379166666666)</f>
        <v>40148.37917</v>
      </c>
      <c r="F16" s="2">
        <f>IFERROR(__xludf.DUMMYFUNCTION("""COMPUTED_VALUE"""),5.95)</f>
        <v>5.95</v>
      </c>
      <c r="G16" s="2">
        <f>IFERROR(__xludf.DUMMYFUNCTION("""COMPUTED_VALUE"""),13078.0)</f>
        <v>13078</v>
      </c>
      <c r="H16" s="2" t="str">
        <f>IFERROR(__xludf.DUMMYFUNCTION("""COMPUTED_VALUE"""),"United Kingdom")</f>
        <v>United Kingdom</v>
      </c>
      <c r="I16" s="7">
        <f>IFERROR(__xludf.DUMMYFUNCTION("""COMPUTED_VALUE"""),40148.0)</f>
        <v>40148</v>
      </c>
      <c r="J16" s="8">
        <f>IFERROR(__xludf.DUMMYFUNCTION("""COMPUTED_VALUE"""),0.37916666666569654)</f>
        <v>0.3791666667</v>
      </c>
      <c r="K16" s="2">
        <f>IFERROR(__xludf.DUMMYFUNCTION("""COMPUTED_VALUE"""),9.0)</f>
        <v>9</v>
      </c>
      <c r="L16" s="2">
        <f>IFERROR(__xludf.DUMMYFUNCTION("""COMPUTED_VALUE"""),17.85)</f>
        <v>17.85</v>
      </c>
    </row>
    <row r="17">
      <c r="A17" s="2">
        <f>IFERROR(__xludf.DUMMYFUNCTION("""COMPUTED_VALUE"""),489436.0)</f>
        <v>489436</v>
      </c>
      <c r="B17" s="2" t="str">
        <f>IFERROR(__xludf.DUMMYFUNCTION("""COMPUTED_VALUE"""),"84879")</f>
        <v>84879</v>
      </c>
      <c r="C17" s="2" t="str">
        <f>IFERROR(__xludf.DUMMYFUNCTION("""COMPUTED_VALUE"""),"ASSORTED COLOUR BIRD ORNAMENT")</f>
        <v>ASSORTED COLOUR BIRD ORNAMENT</v>
      </c>
      <c r="D17" s="2">
        <f>IFERROR(__xludf.DUMMYFUNCTION("""COMPUTED_VALUE"""),16.0)</f>
        <v>16</v>
      </c>
      <c r="E17" s="6">
        <f>IFERROR(__xludf.DUMMYFUNCTION("""COMPUTED_VALUE"""),40148.379166666666)</f>
        <v>40148.37917</v>
      </c>
      <c r="F17" s="2">
        <f>IFERROR(__xludf.DUMMYFUNCTION("""COMPUTED_VALUE"""),1.69)</f>
        <v>1.69</v>
      </c>
      <c r="G17" s="2">
        <f>IFERROR(__xludf.DUMMYFUNCTION("""COMPUTED_VALUE"""),13078.0)</f>
        <v>13078</v>
      </c>
      <c r="H17" s="2" t="str">
        <f>IFERROR(__xludf.DUMMYFUNCTION("""COMPUTED_VALUE"""),"United Kingdom")</f>
        <v>United Kingdom</v>
      </c>
      <c r="I17" s="7">
        <f>IFERROR(__xludf.DUMMYFUNCTION("""COMPUTED_VALUE"""),40148.0)</f>
        <v>40148</v>
      </c>
      <c r="J17" s="8">
        <f>IFERROR(__xludf.DUMMYFUNCTION("""COMPUTED_VALUE"""),0.37916666666569654)</f>
        <v>0.3791666667</v>
      </c>
      <c r="K17" s="2">
        <f>IFERROR(__xludf.DUMMYFUNCTION("""COMPUTED_VALUE"""),9.0)</f>
        <v>9</v>
      </c>
      <c r="L17" s="2">
        <f>IFERROR(__xludf.DUMMYFUNCTION("""COMPUTED_VALUE"""),27.04)</f>
        <v>27.04</v>
      </c>
    </row>
    <row r="18">
      <c r="A18" s="2">
        <f>IFERROR(__xludf.DUMMYFUNCTION("""COMPUTED_VALUE"""),489436.0)</f>
        <v>489436</v>
      </c>
      <c r="B18" s="2" t="str">
        <f>IFERROR(__xludf.DUMMYFUNCTION("""COMPUTED_VALUE"""),"22119")</f>
        <v>22119</v>
      </c>
      <c r="C18" s="2" t="str">
        <f>IFERROR(__xludf.DUMMYFUNCTION("""COMPUTED_VALUE"""),"PEACE WOODEN BLOCK LETTERS")</f>
        <v>PEACE WOODEN BLOCK LETTERS</v>
      </c>
      <c r="D18" s="2">
        <f>IFERROR(__xludf.DUMMYFUNCTION("""COMPUTED_VALUE"""),3.0)</f>
        <v>3</v>
      </c>
      <c r="E18" s="6">
        <f>IFERROR(__xludf.DUMMYFUNCTION("""COMPUTED_VALUE"""),40148.379166666666)</f>
        <v>40148.37917</v>
      </c>
      <c r="F18" s="2">
        <f>IFERROR(__xludf.DUMMYFUNCTION("""COMPUTED_VALUE"""),6.95)</f>
        <v>6.95</v>
      </c>
      <c r="G18" s="2">
        <f>IFERROR(__xludf.DUMMYFUNCTION("""COMPUTED_VALUE"""),13078.0)</f>
        <v>13078</v>
      </c>
      <c r="H18" s="2" t="str">
        <f>IFERROR(__xludf.DUMMYFUNCTION("""COMPUTED_VALUE"""),"United Kingdom")</f>
        <v>United Kingdom</v>
      </c>
      <c r="I18" s="7">
        <f>IFERROR(__xludf.DUMMYFUNCTION("""COMPUTED_VALUE"""),40148.0)</f>
        <v>40148</v>
      </c>
      <c r="J18" s="8">
        <f>IFERROR(__xludf.DUMMYFUNCTION("""COMPUTED_VALUE"""),0.37916666666569654)</f>
        <v>0.3791666667</v>
      </c>
      <c r="K18" s="2">
        <f>IFERROR(__xludf.DUMMYFUNCTION("""COMPUTED_VALUE"""),9.0)</f>
        <v>9</v>
      </c>
      <c r="L18" s="2">
        <f>IFERROR(__xludf.DUMMYFUNCTION("""COMPUTED_VALUE"""),20.85)</f>
        <v>20.85</v>
      </c>
    </row>
    <row r="19">
      <c r="A19" s="2">
        <f>IFERROR(__xludf.DUMMYFUNCTION("""COMPUTED_VALUE"""),489436.0)</f>
        <v>489436</v>
      </c>
      <c r="B19" s="2" t="str">
        <f>IFERROR(__xludf.DUMMYFUNCTION("""COMPUTED_VALUE"""),"22142")</f>
        <v>22142</v>
      </c>
      <c r="C19" s="2" t="str">
        <f>IFERROR(__xludf.DUMMYFUNCTION("""COMPUTED_VALUE"""),"CHRISTMAS CRAFT WHITE FAIRY")</f>
        <v>CHRISTMAS CRAFT WHITE FAIRY</v>
      </c>
      <c r="D19" s="2">
        <f>IFERROR(__xludf.DUMMYFUNCTION("""COMPUTED_VALUE"""),12.0)</f>
        <v>12</v>
      </c>
      <c r="E19" s="6">
        <f>IFERROR(__xludf.DUMMYFUNCTION("""COMPUTED_VALUE"""),40148.379166666666)</f>
        <v>40148.37917</v>
      </c>
      <c r="F19" s="2">
        <f>IFERROR(__xludf.DUMMYFUNCTION("""COMPUTED_VALUE"""),1.45)</f>
        <v>1.45</v>
      </c>
      <c r="G19" s="2">
        <f>IFERROR(__xludf.DUMMYFUNCTION("""COMPUTED_VALUE"""),13078.0)</f>
        <v>13078</v>
      </c>
      <c r="H19" s="2" t="str">
        <f>IFERROR(__xludf.DUMMYFUNCTION("""COMPUTED_VALUE"""),"United Kingdom")</f>
        <v>United Kingdom</v>
      </c>
      <c r="I19" s="7">
        <f>IFERROR(__xludf.DUMMYFUNCTION("""COMPUTED_VALUE"""),40148.0)</f>
        <v>40148</v>
      </c>
      <c r="J19" s="8">
        <f>IFERROR(__xludf.DUMMYFUNCTION("""COMPUTED_VALUE"""),0.37916666666569654)</f>
        <v>0.3791666667</v>
      </c>
      <c r="K19" s="2">
        <f>IFERROR(__xludf.DUMMYFUNCTION("""COMPUTED_VALUE"""),9.0)</f>
        <v>9</v>
      </c>
      <c r="L19" s="2">
        <f>IFERROR(__xludf.DUMMYFUNCTION("""COMPUTED_VALUE"""),17.4)</f>
        <v>17.4</v>
      </c>
    </row>
    <row r="20">
      <c r="A20" s="2">
        <f>IFERROR(__xludf.DUMMYFUNCTION("""COMPUTED_VALUE"""),489436.0)</f>
        <v>489436</v>
      </c>
      <c r="B20" s="2" t="str">
        <f>IFERROR(__xludf.DUMMYFUNCTION("""COMPUTED_VALUE"""),"22296")</f>
        <v>22296</v>
      </c>
      <c r="C20" s="2" t="str">
        <f>IFERROR(__xludf.DUMMYFUNCTION("""COMPUTED_VALUE"""),"HEART IVORY TRELLIS LARGE")</f>
        <v>HEART IVORY TRELLIS LARGE</v>
      </c>
      <c r="D20" s="2">
        <f>IFERROR(__xludf.DUMMYFUNCTION("""COMPUTED_VALUE"""),12.0)</f>
        <v>12</v>
      </c>
      <c r="E20" s="6">
        <f>IFERROR(__xludf.DUMMYFUNCTION("""COMPUTED_VALUE"""),40148.379166666666)</f>
        <v>40148.37917</v>
      </c>
      <c r="F20" s="2">
        <f>IFERROR(__xludf.DUMMYFUNCTION("""COMPUTED_VALUE"""),1.65)</f>
        <v>1.65</v>
      </c>
      <c r="G20" s="2">
        <f>IFERROR(__xludf.DUMMYFUNCTION("""COMPUTED_VALUE"""),13078.0)</f>
        <v>13078</v>
      </c>
      <c r="H20" s="2" t="str">
        <f>IFERROR(__xludf.DUMMYFUNCTION("""COMPUTED_VALUE"""),"United Kingdom")</f>
        <v>United Kingdom</v>
      </c>
      <c r="I20" s="7">
        <f>IFERROR(__xludf.DUMMYFUNCTION("""COMPUTED_VALUE"""),40148.0)</f>
        <v>40148</v>
      </c>
      <c r="J20" s="8">
        <f>IFERROR(__xludf.DUMMYFUNCTION("""COMPUTED_VALUE"""),0.37916666666569654)</f>
        <v>0.3791666667</v>
      </c>
      <c r="K20" s="2">
        <f>IFERROR(__xludf.DUMMYFUNCTION("""COMPUTED_VALUE"""),9.0)</f>
        <v>9</v>
      </c>
      <c r="L20" s="2">
        <f>IFERROR(__xludf.DUMMYFUNCTION("""COMPUTED_VALUE"""),19.7999999999999)</f>
        <v>19.8</v>
      </c>
    </row>
    <row r="21">
      <c r="A21" s="2">
        <f>IFERROR(__xludf.DUMMYFUNCTION("""COMPUTED_VALUE"""),489436.0)</f>
        <v>489436</v>
      </c>
      <c r="B21" s="2" t="str">
        <f>IFERROR(__xludf.DUMMYFUNCTION("""COMPUTED_VALUE"""),"22295")</f>
        <v>22295</v>
      </c>
      <c r="C21" s="2" t="str">
        <f>IFERROR(__xludf.DUMMYFUNCTION("""COMPUTED_VALUE"""),"HEART FILIGREE DOVE LARGE")</f>
        <v>HEART FILIGREE DOVE LARGE</v>
      </c>
      <c r="D21" s="2">
        <f>IFERROR(__xludf.DUMMYFUNCTION("""COMPUTED_VALUE"""),12.0)</f>
        <v>12</v>
      </c>
      <c r="E21" s="6">
        <f>IFERROR(__xludf.DUMMYFUNCTION("""COMPUTED_VALUE"""),40148.379166666666)</f>
        <v>40148.37917</v>
      </c>
      <c r="F21" s="2">
        <f>IFERROR(__xludf.DUMMYFUNCTION("""COMPUTED_VALUE"""),1.65)</f>
        <v>1.65</v>
      </c>
      <c r="G21" s="2">
        <f>IFERROR(__xludf.DUMMYFUNCTION("""COMPUTED_VALUE"""),13078.0)</f>
        <v>13078</v>
      </c>
      <c r="H21" s="2" t="str">
        <f>IFERROR(__xludf.DUMMYFUNCTION("""COMPUTED_VALUE"""),"United Kingdom")</f>
        <v>United Kingdom</v>
      </c>
      <c r="I21" s="7">
        <f>IFERROR(__xludf.DUMMYFUNCTION("""COMPUTED_VALUE"""),40148.0)</f>
        <v>40148</v>
      </c>
      <c r="J21" s="8">
        <f>IFERROR(__xludf.DUMMYFUNCTION("""COMPUTED_VALUE"""),0.37916666666569654)</f>
        <v>0.3791666667</v>
      </c>
      <c r="K21" s="2">
        <f>IFERROR(__xludf.DUMMYFUNCTION("""COMPUTED_VALUE"""),9.0)</f>
        <v>9</v>
      </c>
      <c r="L21" s="2">
        <f>IFERROR(__xludf.DUMMYFUNCTION("""COMPUTED_VALUE"""),19.7999999999999)</f>
        <v>19.8</v>
      </c>
    </row>
    <row r="22">
      <c r="A22" s="2">
        <f>IFERROR(__xludf.DUMMYFUNCTION("""COMPUTED_VALUE"""),489436.0)</f>
        <v>489436</v>
      </c>
      <c r="B22" s="2" t="str">
        <f>IFERROR(__xludf.DUMMYFUNCTION("""COMPUTED_VALUE"""),"22109")</f>
        <v>22109</v>
      </c>
      <c r="C22" s="2" t="str">
        <f>IFERROR(__xludf.DUMMYFUNCTION("""COMPUTED_VALUE"""),"FULL ENGLISH BREAKFAST PLATE")</f>
        <v>FULL ENGLISH BREAKFAST PLATE</v>
      </c>
      <c r="D22" s="2">
        <f>IFERROR(__xludf.DUMMYFUNCTION("""COMPUTED_VALUE"""),16.0)</f>
        <v>16</v>
      </c>
      <c r="E22" s="6">
        <f>IFERROR(__xludf.DUMMYFUNCTION("""COMPUTED_VALUE"""),40148.379166666666)</f>
        <v>40148.37917</v>
      </c>
      <c r="F22" s="2">
        <f>IFERROR(__xludf.DUMMYFUNCTION("""COMPUTED_VALUE"""),3.39)</f>
        <v>3.39</v>
      </c>
      <c r="G22" s="2">
        <f>IFERROR(__xludf.DUMMYFUNCTION("""COMPUTED_VALUE"""),13078.0)</f>
        <v>13078</v>
      </c>
      <c r="H22" s="2" t="str">
        <f>IFERROR(__xludf.DUMMYFUNCTION("""COMPUTED_VALUE"""),"United Kingdom")</f>
        <v>United Kingdom</v>
      </c>
      <c r="I22" s="7">
        <f>IFERROR(__xludf.DUMMYFUNCTION("""COMPUTED_VALUE"""),40148.0)</f>
        <v>40148</v>
      </c>
      <c r="J22" s="8">
        <f>IFERROR(__xludf.DUMMYFUNCTION("""COMPUTED_VALUE"""),0.37916666666569654)</f>
        <v>0.3791666667</v>
      </c>
      <c r="K22" s="2">
        <f>IFERROR(__xludf.DUMMYFUNCTION("""COMPUTED_VALUE"""),9.0)</f>
        <v>9</v>
      </c>
      <c r="L22" s="2">
        <f>IFERROR(__xludf.DUMMYFUNCTION("""COMPUTED_VALUE"""),54.24)</f>
        <v>54.24</v>
      </c>
    </row>
    <row r="23">
      <c r="A23" s="2">
        <f>IFERROR(__xludf.DUMMYFUNCTION("""COMPUTED_VALUE"""),489436.0)</f>
        <v>489436</v>
      </c>
      <c r="B23" s="2" t="str">
        <f>IFERROR(__xludf.DUMMYFUNCTION("""COMPUTED_VALUE"""),"22107")</f>
        <v>22107</v>
      </c>
      <c r="C23" s="2" t="str">
        <f>IFERROR(__xludf.DUMMYFUNCTION("""COMPUTED_VALUE"""),"PIZZA PLATE IN BOX")</f>
        <v>PIZZA PLATE IN BOX</v>
      </c>
      <c r="D23" s="2">
        <f>IFERROR(__xludf.DUMMYFUNCTION("""COMPUTED_VALUE"""),4.0)</f>
        <v>4</v>
      </c>
      <c r="E23" s="6">
        <f>IFERROR(__xludf.DUMMYFUNCTION("""COMPUTED_VALUE"""),40148.379166666666)</f>
        <v>40148.37917</v>
      </c>
      <c r="F23" s="2">
        <f>IFERROR(__xludf.DUMMYFUNCTION("""COMPUTED_VALUE"""),3.75)</f>
        <v>3.75</v>
      </c>
      <c r="G23" s="2">
        <f>IFERROR(__xludf.DUMMYFUNCTION("""COMPUTED_VALUE"""),13078.0)</f>
        <v>13078</v>
      </c>
      <c r="H23" s="2" t="str">
        <f>IFERROR(__xludf.DUMMYFUNCTION("""COMPUTED_VALUE"""),"United Kingdom")</f>
        <v>United Kingdom</v>
      </c>
      <c r="I23" s="7">
        <f>IFERROR(__xludf.DUMMYFUNCTION("""COMPUTED_VALUE"""),40148.0)</f>
        <v>40148</v>
      </c>
      <c r="J23" s="8">
        <f>IFERROR(__xludf.DUMMYFUNCTION("""COMPUTED_VALUE"""),0.37916666666569654)</f>
        <v>0.3791666667</v>
      </c>
      <c r="K23" s="2">
        <f>IFERROR(__xludf.DUMMYFUNCTION("""COMPUTED_VALUE"""),9.0)</f>
        <v>9</v>
      </c>
      <c r="L23" s="2">
        <f>IFERROR(__xludf.DUMMYFUNCTION("""COMPUTED_VALUE"""),15.0)</f>
        <v>15</v>
      </c>
    </row>
    <row r="24">
      <c r="A24" s="2">
        <f>IFERROR(__xludf.DUMMYFUNCTION("""COMPUTED_VALUE"""),489436.0)</f>
        <v>489436</v>
      </c>
      <c r="B24" s="2" t="str">
        <f>IFERROR(__xludf.DUMMYFUNCTION("""COMPUTED_VALUE"""),"22194")</f>
        <v>22194</v>
      </c>
      <c r="C24" s="2" t="str">
        <f>IFERROR(__xludf.DUMMYFUNCTION("""COMPUTED_VALUE"""),"BLACK DINER WALL CLOCK")</f>
        <v>BLACK DINER WALL CLOCK</v>
      </c>
      <c r="D24" s="2">
        <f>IFERROR(__xludf.DUMMYFUNCTION("""COMPUTED_VALUE"""),2.0)</f>
        <v>2</v>
      </c>
      <c r="E24" s="6">
        <f>IFERROR(__xludf.DUMMYFUNCTION("""COMPUTED_VALUE"""),40148.379166666666)</f>
        <v>40148.37917</v>
      </c>
      <c r="F24" s="2">
        <f>IFERROR(__xludf.DUMMYFUNCTION("""COMPUTED_VALUE"""),8.5)</f>
        <v>8.5</v>
      </c>
      <c r="G24" s="2">
        <f>IFERROR(__xludf.DUMMYFUNCTION("""COMPUTED_VALUE"""),13078.0)</f>
        <v>13078</v>
      </c>
      <c r="H24" s="2" t="str">
        <f>IFERROR(__xludf.DUMMYFUNCTION("""COMPUTED_VALUE"""),"United Kingdom")</f>
        <v>United Kingdom</v>
      </c>
      <c r="I24" s="7">
        <f>IFERROR(__xludf.DUMMYFUNCTION("""COMPUTED_VALUE"""),40148.0)</f>
        <v>40148</v>
      </c>
      <c r="J24" s="8">
        <f>IFERROR(__xludf.DUMMYFUNCTION("""COMPUTED_VALUE"""),0.37916666666569654)</f>
        <v>0.3791666667</v>
      </c>
      <c r="K24" s="2">
        <f>IFERROR(__xludf.DUMMYFUNCTION("""COMPUTED_VALUE"""),9.0)</f>
        <v>9</v>
      </c>
      <c r="L24" s="2">
        <f>IFERROR(__xludf.DUMMYFUNCTION("""COMPUTED_VALUE"""),17.0)</f>
        <v>17</v>
      </c>
    </row>
    <row r="25">
      <c r="A25" s="2">
        <f>IFERROR(__xludf.DUMMYFUNCTION("""COMPUTED_VALUE"""),489436.0)</f>
        <v>489436</v>
      </c>
      <c r="B25" s="2" t="str">
        <f>IFERROR(__xludf.DUMMYFUNCTION("""COMPUTED_VALUE"""),"35004B")</f>
        <v>35004B</v>
      </c>
      <c r="C25" s="2" t="str">
        <f>IFERROR(__xludf.DUMMYFUNCTION("""COMPUTED_VALUE"""),"SET OF 3 BLACK FLYING DUCKS")</f>
        <v>SET OF 3 BLACK FLYING DUCKS</v>
      </c>
      <c r="D25" s="2">
        <f>IFERROR(__xludf.DUMMYFUNCTION("""COMPUTED_VALUE"""),12.0)</f>
        <v>12</v>
      </c>
      <c r="E25" s="6">
        <f>IFERROR(__xludf.DUMMYFUNCTION("""COMPUTED_VALUE"""),40148.379166666666)</f>
        <v>40148.37917</v>
      </c>
      <c r="F25" s="2">
        <f>IFERROR(__xludf.DUMMYFUNCTION("""COMPUTED_VALUE"""),4.65)</f>
        <v>4.65</v>
      </c>
      <c r="G25" s="2">
        <f>IFERROR(__xludf.DUMMYFUNCTION("""COMPUTED_VALUE"""),13078.0)</f>
        <v>13078</v>
      </c>
      <c r="H25" s="2" t="str">
        <f>IFERROR(__xludf.DUMMYFUNCTION("""COMPUTED_VALUE"""),"United Kingdom")</f>
        <v>United Kingdom</v>
      </c>
      <c r="I25" s="7">
        <f>IFERROR(__xludf.DUMMYFUNCTION("""COMPUTED_VALUE"""),40148.0)</f>
        <v>40148</v>
      </c>
      <c r="J25" s="8">
        <f>IFERROR(__xludf.DUMMYFUNCTION("""COMPUTED_VALUE"""),0.37916666666569654)</f>
        <v>0.3791666667</v>
      </c>
      <c r="K25" s="2">
        <f>IFERROR(__xludf.DUMMYFUNCTION("""COMPUTED_VALUE"""),9.0)</f>
        <v>9</v>
      </c>
      <c r="L25" s="2">
        <f>IFERROR(__xludf.DUMMYFUNCTION("""COMPUTED_VALUE"""),55.8)</f>
        <v>55.8</v>
      </c>
    </row>
    <row r="26">
      <c r="A26" s="2">
        <f>IFERROR(__xludf.DUMMYFUNCTION("""COMPUTED_VALUE"""),489436.0)</f>
        <v>489436</v>
      </c>
      <c r="B26" s="2" t="str">
        <f>IFERROR(__xludf.DUMMYFUNCTION("""COMPUTED_VALUE"""),"82582")</f>
        <v>82582</v>
      </c>
      <c r="C26" s="2" t="str">
        <f>IFERROR(__xludf.DUMMYFUNCTION("""COMPUTED_VALUE"""),"AREA PATROLLED METAL SIGN")</f>
        <v>AREA PATROLLED METAL SIGN</v>
      </c>
      <c r="D26" s="2">
        <f>IFERROR(__xludf.DUMMYFUNCTION("""COMPUTED_VALUE"""),12.0)</f>
        <v>12</v>
      </c>
      <c r="E26" s="6">
        <f>IFERROR(__xludf.DUMMYFUNCTION("""COMPUTED_VALUE"""),40148.379166666666)</f>
        <v>40148.37917</v>
      </c>
      <c r="F26" s="2">
        <f>IFERROR(__xludf.DUMMYFUNCTION("""COMPUTED_VALUE"""),2.1)</f>
        <v>2.1</v>
      </c>
      <c r="G26" s="2">
        <f>IFERROR(__xludf.DUMMYFUNCTION("""COMPUTED_VALUE"""),13078.0)</f>
        <v>13078</v>
      </c>
      <c r="H26" s="2" t="str">
        <f>IFERROR(__xludf.DUMMYFUNCTION("""COMPUTED_VALUE"""),"United Kingdom")</f>
        <v>United Kingdom</v>
      </c>
      <c r="I26" s="7">
        <f>IFERROR(__xludf.DUMMYFUNCTION("""COMPUTED_VALUE"""),40148.0)</f>
        <v>40148</v>
      </c>
      <c r="J26" s="8">
        <f>IFERROR(__xludf.DUMMYFUNCTION("""COMPUTED_VALUE"""),0.37916666666569654)</f>
        <v>0.3791666667</v>
      </c>
      <c r="K26" s="2">
        <f>IFERROR(__xludf.DUMMYFUNCTION("""COMPUTED_VALUE"""),9.0)</f>
        <v>9</v>
      </c>
      <c r="L26" s="2">
        <f>IFERROR(__xludf.DUMMYFUNCTION("""COMPUTED_VALUE"""),25.2)</f>
        <v>25.2</v>
      </c>
    </row>
    <row r="27">
      <c r="A27" s="2">
        <f>IFERROR(__xludf.DUMMYFUNCTION("""COMPUTED_VALUE"""),489436.0)</f>
        <v>489436</v>
      </c>
      <c r="B27" s="2" t="str">
        <f>IFERROR(__xludf.DUMMYFUNCTION("""COMPUTED_VALUE"""),"21181")</f>
        <v>21181</v>
      </c>
      <c r="C27" s="2" t="str">
        <f>IFERROR(__xludf.DUMMYFUNCTION("""COMPUTED_VALUE"""),"PLEASE ONE PERSON METAL SIGN")</f>
        <v>PLEASE ONE PERSON METAL SIGN</v>
      </c>
      <c r="D27" s="2">
        <f>IFERROR(__xludf.DUMMYFUNCTION("""COMPUTED_VALUE"""),12.0)</f>
        <v>12</v>
      </c>
      <c r="E27" s="6">
        <f>IFERROR(__xludf.DUMMYFUNCTION("""COMPUTED_VALUE"""),40148.379166666666)</f>
        <v>40148.37917</v>
      </c>
      <c r="F27" s="2">
        <f>IFERROR(__xludf.DUMMYFUNCTION("""COMPUTED_VALUE"""),2.1)</f>
        <v>2.1</v>
      </c>
      <c r="G27" s="2">
        <f>IFERROR(__xludf.DUMMYFUNCTION("""COMPUTED_VALUE"""),13078.0)</f>
        <v>13078</v>
      </c>
      <c r="H27" s="2" t="str">
        <f>IFERROR(__xludf.DUMMYFUNCTION("""COMPUTED_VALUE"""),"United Kingdom")</f>
        <v>United Kingdom</v>
      </c>
      <c r="I27" s="7">
        <f>IFERROR(__xludf.DUMMYFUNCTION("""COMPUTED_VALUE"""),40148.0)</f>
        <v>40148</v>
      </c>
      <c r="J27" s="8">
        <f>IFERROR(__xludf.DUMMYFUNCTION("""COMPUTED_VALUE"""),0.37916666666569654)</f>
        <v>0.3791666667</v>
      </c>
      <c r="K27" s="2">
        <f>IFERROR(__xludf.DUMMYFUNCTION("""COMPUTED_VALUE"""),9.0)</f>
        <v>9</v>
      </c>
      <c r="L27" s="2">
        <f>IFERROR(__xludf.DUMMYFUNCTION("""COMPUTED_VALUE"""),25.2)</f>
        <v>25.2</v>
      </c>
    </row>
    <row r="28">
      <c r="A28" s="2">
        <f>IFERROR(__xludf.DUMMYFUNCTION("""COMPUTED_VALUE"""),489436.0)</f>
        <v>489436</v>
      </c>
      <c r="B28" s="2" t="str">
        <f>IFERROR(__xludf.DUMMYFUNCTION("""COMPUTED_VALUE"""),"21756")</f>
        <v>21756</v>
      </c>
      <c r="C28" s="2" t="str">
        <f>IFERROR(__xludf.DUMMYFUNCTION("""COMPUTED_VALUE"""),"BATH BUILDING BLOCK WORD")</f>
        <v>BATH BUILDING BLOCK WORD</v>
      </c>
      <c r="D28" s="2">
        <f>IFERROR(__xludf.DUMMYFUNCTION("""COMPUTED_VALUE"""),3.0)</f>
        <v>3</v>
      </c>
      <c r="E28" s="6">
        <f>IFERROR(__xludf.DUMMYFUNCTION("""COMPUTED_VALUE"""),40148.379166666666)</f>
        <v>40148.37917</v>
      </c>
      <c r="F28" s="2">
        <f>IFERROR(__xludf.DUMMYFUNCTION("""COMPUTED_VALUE"""),5.95)</f>
        <v>5.95</v>
      </c>
      <c r="G28" s="2">
        <f>IFERROR(__xludf.DUMMYFUNCTION("""COMPUTED_VALUE"""),13078.0)</f>
        <v>13078</v>
      </c>
      <c r="H28" s="2" t="str">
        <f>IFERROR(__xludf.DUMMYFUNCTION("""COMPUTED_VALUE"""),"United Kingdom")</f>
        <v>United Kingdom</v>
      </c>
      <c r="I28" s="7">
        <f>IFERROR(__xludf.DUMMYFUNCTION("""COMPUTED_VALUE"""),40148.0)</f>
        <v>40148</v>
      </c>
      <c r="J28" s="8">
        <f>IFERROR(__xludf.DUMMYFUNCTION("""COMPUTED_VALUE"""),0.37916666666569654)</f>
        <v>0.3791666667</v>
      </c>
      <c r="K28" s="2">
        <f>IFERROR(__xludf.DUMMYFUNCTION("""COMPUTED_VALUE"""),9.0)</f>
        <v>9</v>
      </c>
      <c r="L28" s="2">
        <f>IFERROR(__xludf.DUMMYFUNCTION("""COMPUTED_VALUE"""),17.85)</f>
        <v>17.85</v>
      </c>
    </row>
    <row r="29">
      <c r="A29" s="2">
        <f>IFERROR(__xludf.DUMMYFUNCTION("""COMPUTED_VALUE"""),489436.0)</f>
        <v>489436</v>
      </c>
      <c r="B29" s="2" t="str">
        <f>IFERROR(__xludf.DUMMYFUNCTION("""COMPUTED_VALUE"""),"21333")</f>
        <v>21333</v>
      </c>
      <c r="C29" s="2" t="str">
        <f>IFERROR(__xludf.DUMMYFUNCTION("""COMPUTED_VALUE"""),"CLASSIC WHITE FRAME")</f>
        <v>CLASSIC WHITE FRAME</v>
      </c>
      <c r="D29" s="2">
        <f>IFERROR(__xludf.DUMMYFUNCTION("""COMPUTED_VALUE"""),6.0)</f>
        <v>6</v>
      </c>
      <c r="E29" s="6">
        <f>IFERROR(__xludf.DUMMYFUNCTION("""COMPUTED_VALUE"""),40148.379166666666)</f>
        <v>40148.37917</v>
      </c>
      <c r="F29" s="2">
        <f>IFERROR(__xludf.DUMMYFUNCTION("""COMPUTED_VALUE"""),2.95)</f>
        <v>2.95</v>
      </c>
      <c r="G29" s="2">
        <f>IFERROR(__xludf.DUMMYFUNCTION("""COMPUTED_VALUE"""),13078.0)</f>
        <v>13078</v>
      </c>
      <c r="H29" s="2" t="str">
        <f>IFERROR(__xludf.DUMMYFUNCTION("""COMPUTED_VALUE"""),"United Kingdom")</f>
        <v>United Kingdom</v>
      </c>
      <c r="I29" s="7">
        <f>IFERROR(__xludf.DUMMYFUNCTION("""COMPUTED_VALUE"""),40148.0)</f>
        <v>40148</v>
      </c>
      <c r="J29" s="8">
        <f>IFERROR(__xludf.DUMMYFUNCTION("""COMPUTED_VALUE"""),0.37916666666569654)</f>
        <v>0.3791666667</v>
      </c>
      <c r="K29" s="2">
        <f>IFERROR(__xludf.DUMMYFUNCTION("""COMPUTED_VALUE"""),9.0)</f>
        <v>9</v>
      </c>
      <c r="L29" s="2">
        <f>IFERROR(__xludf.DUMMYFUNCTION("""COMPUTED_VALUE"""),17.7)</f>
        <v>17.7</v>
      </c>
    </row>
    <row r="30">
      <c r="A30" s="2">
        <f>IFERROR(__xludf.DUMMYFUNCTION("""COMPUTED_VALUE"""),489436.0)</f>
        <v>489436</v>
      </c>
      <c r="B30" s="2" t="str">
        <f>IFERROR(__xludf.DUMMYFUNCTION("""COMPUTED_VALUE"""),"84596F")</f>
        <v>84596F</v>
      </c>
      <c r="C30" s="2" t="str">
        <f>IFERROR(__xludf.DUMMYFUNCTION("""COMPUTED_VALUE"""),"SMALL MARSHMALLOWS PINK BOWL")</f>
        <v>SMALL MARSHMALLOWS PINK BOWL</v>
      </c>
      <c r="D30" s="2">
        <f>IFERROR(__xludf.DUMMYFUNCTION("""COMPUTED_VALUE"""),8.0)</f>
        <v>8</v>
      </c>
      <c r="E30" s="6">
        <f>IFERROR(__xludf.DUMMYFUNCTION("""COMPUTED_VALUE"""),40148.379166666666)</f>
        <v>40148.37917</v>
      </c>
      <c r="F30" s="2">
        <f>IFERROR(__xludf.DUMMYFUNCTION("""COMPUTED_VALUE"""),1.25)</f>
        <v>1.25</v>
      </c>
      <c r="G30" s="2">
        <f>IFERROR(__xludf.DUMMYFUNCTION("""COMPUTED_VALUE"""),13078.0)</f>
        <v>13078</v>
      </c>
      <c r="H30" s="2" t="str">
        <f>IFERROR(__xludf.DUMMYFUNCTION("""COMPUTED_VALUE"""),"United Kingdom")</f>
        <v>United Kingdom</v>
      </c>
      <c r="I30" s="7">
        <f>IFERROR(__xludf.DUMMYFUNCTION("""COMPUTED_VALUE"""),40148.0)</f>
        <v>40148</v>
      </c>
      <c r="J30" s="8">
        <f>IFERROR(__xludf.DUMMYFUNCTION("""COMPUTED_VALUE"""),0.37916666666569654)</f>
        <v>0.3791666667</v>
      </c>
      <c r="K30" s="2">
        <f>IFERROR(__xludf.DUMMYFUNCTION("""COMPUTED_VALUE"""),9.0)</f>
        <v>9</v>
      </c>
      <c r="L30" s="2">
        <f>IFERROR(__xludf.DUMMYFUNCTION("""COMPUTED_VALUE"""),10.0)</f>
        <v>10</v>
      </c>
    </row>
    <row r="31">
      <c r="A31" s="2">
        <f>IFERROR(__xludf.DUMMYFUNCTION("""COMPUTED_VALUE"""),489436.0)</f>
        <v>489436</v>
      </c>
      <c r="B31" s="2" t="str">
        <f>IFERROR(__xludf.DUMMYFUNCTION("""COMPUTED_VALUE"""),"84596L")</f>
        <v>84596L</v>
      </c>
      <c r="C31" s="2" t="str">
        <f>IFERROR(__xludf.DUMMYFUNCTION("""COMPUTED_VALUE"""),"BISCUITS SMALL BOWL LIGHT BLUE")</f>
        <v>BISCUITS SMALL BOWL LIGHT BLUE</v>
      </c>
      <c r="D31" s="2">
        <f>IFERROR(__xludf.DUMMYFUNCTION("""COMPUTED_VALUE"""),8.0)</f>
        <v>8</v>
      </c>
      <c r="E31" s="6">
        <f>IFERROR(__xludf.DUMMYFUNCTION("""COMPUTED_VALUE"""),40148.379166666666)</f>
        <v>40148.37917</v>
      </c>
      <c r="F31" s="2">
        <f>IFERROR(__xludf.DUMMYFUNCTION("""COMPUTED_VALUE"""),1.25)</f>
        <v>1.25</v>
      </c>
      <c r="G31" s="2">
        <f>IFERROR(__xludf.DUMMYFUNCTION("""COMPUTED_VALUE"""),13078.0)</f>
        <v>13078</v>
      </c>
      <c r="H31" s="2" t="str">
        <f>IFERROR(__xludf.DUMMYFUNCTION("""COMPUTED_VALUE"""),"United Kingdom")</f>
        <v>United Kingdom</v>
      </c>
      <c r="I31" s="7">
        <f>IFERROR(__xludf.DUMMYFUNCTION("""COMPUTED_VALUE"""),40148.0)</f>
        <v>40148</v>
      </c>
      <c r="J31" s="8">
        <f>IFERROR(__xludf.DUMMYFUNCTION("""COMPUTED_VALUE"""),0.37916666666569654)</f>
        <v>0.3791666667</v>
      </c>
      <c r="K31" s="2">
        <f>IFERROR(__xludf.DUMMYFUNCTION("""COMPUTED_VALUE"""),9.0)</f>
        <v>9</v>
      </c>
      <c r="L31" s="2">
        <f>IFERROR(__xludf.DUMMYFUNCTION("""COMPUTED_VALUE"""),10.0)</f>
        <v>10</v>
      </c>
    </row>
    <row r="32">
      <c r="A32" s="2">
        <f>IFERROR(__xludf.DUMMYFUNCTION("""COMPUTED_VALUE"""),489436.0)</f>
        <v>489436</v>
      </c>
      <c r="B32" s="2" t="str">
        <f>IFERROR(__xludf.DUMMYFUNCTION("""COMPUTED_VALUE"""),"22111")</f>
        <v>22111</v>
      </c>
      <c r="C32" s="2" t="str">
        <f>IFERROR(__xludf.DUMMYFUNCTION("""COMPUTED_VALUE"""),"SCOTTIE DOG HOT WATER BOTTLE")</f>
        <v>SCOTTIE DOG HOT WATER BOTTLE</v>
      </c>
      <c r="D32" s="2">
        <f>IFERROR(__xludf.DUMMYFUNCTION("""COMPUTED_VALUE"""),24.0)</f>
        <v>24</v>
      </c>
      <c r="E32" s="6">
        <f>IFERROR(__xludf.DUMMYFUNCTION("""COMPUTED_VALUE"""),40148.379166666666)</f>
        <v>40148.37917</v>
      </c>
      <c r="F32" s="2">
        <f>IFERROR(__xludf.DUMMYFUNCTION("""COMPUTED_VALUE"""),4.25)</f>
        <v>4.25</v>
      </c>
      <c r="G32" s="2">
        <f>IFERROR(__xludf.DUMMYFUNCTION("""COMPUTED_VALUE"""),13078.0)</f>
        <v>13078</v>
      </c>
      <c r="H32" s="2" t="str">
        <f>IFERROR(__xludf.DUMMYFUNCTION("""COMPUTED_VALUE"""),"United Kingdom")</f>
        <v>United Kingdom</v>
      </c>
      <c r="I32" s="7">
        <f>IFERROR(__xludf.DUMMYFUNCTION("""COMPUTED_VALUE"""),40148.0)</f>
        <v>40148</v>
      </c>
      <c r="J32" s="8">
        <f>IFERROR(__xludf.DUMMYFUNCTION("""COMPUTED_VALUE"""),0.37916666666569654)</f>
        <v>0.3791666667</v>
      </c>
      <c r="K32" s="2">
        <f>IFERROR(__xludf.DUMMYFUNCTION("""COMPUTED_VALUE"""),9.0)</f>
        <v>9</v>
      </c>
      <c r="L32" s="2">
        <f>IFERROR(__xludf.DUMMYFUNCTION("""COMPUTED_VALUE"""),102.0)</f>
        <v>102</v>
      </c>
    </row>
    <row r="33">
      <c r="A33" s="2">
        <f>IFERROR(__xludf.DUMMYFUNCTION("""COMPUTED_VALUE"""),489437.0)</f>
        <v>489437</v>
      </c>
      <c r="B33" s="2" t="str">
        <f>IFERROR(__xludf.DUMMYFUNCTION("""COMPUTED_VALUE"""),"22143")</f>
        <v>22143</v>
      </c>
      <c r="C33" s="2" t="str">
        <f>IFERROR(__xludf.DUMMYFUNCTION("""COMPUTED_VALUE"""),"CHRISTMAS CRAFT HEART DECORATIONS")</f>
        <v>CHRISTMAS CRAFT HEART DECORATIONS</v>
      </c>
      <c r="D33" s="2">
        <f>IFERROR(__xludf.DUMMYFUNCTION("""COMPUTED_VALUE"""),6.0)</f>
        <v>6</v>
      </c>
      <c r="E33" s="6">
        <f>IFERROR(__xludf.DUMMYFUNCTION("""COMPUTED_VALUE"""),40148.38055555556)</f>
        <v>40148.38056</v>
      </c>
      <c r="F33" s="2">
        <f>IFERROR(__xludf.DUMMYFUNCTION("""COMPUTED_VALUE"""),2.1)</f>
        <v>2.1</v>
      </c>
      <c r="G33" s="2">
        <f>IFERROR(__xludf.DUMMYFUNCTION("""COMPUTED_VALUE"""),15362.0)</f>
        <v>15362</v>
      </c>
      <c r="H33" s="2" t="str">
        <f>IFERROR(__xludf.DUMMYFUNCTION("""COMPUTED_VALUE"""),"United Kingdom")</f>
        <v>United Kingdom</v>
      </c>
      <c r="I33" s="7">
        <f>IFERROR(__xludf.DUMMYFUNCTION("""COMPUTED_VALUE"""),40148.0)</f>
        <v>40148</v>
      </c>
      <c r="J33" s="8">
        <f>IFERROR(__xludf.DUMMYFUNCTION("""COMPUTED_VALUE"""),0.3805555555554747)</f>
        <v>0.3805555556</v>
      </c>
      <c r="K33" s="2">
        <f>IFERROR(__xludf.DUMMYFUNCTION("""COMPUTED_VALUE"""),9.0)</f>
        <v>9</v>
      </c>
      <c r="L33" s="2">
        <f>IFERROR(__xludf.DUMMYFUNCTION("""COMPUTED_VALUE"""),12.6)</f>
        <v>12.6</v>
      </c>
    </row>
    <row r="34">
      <c r="A34" s="2">
        <f>IFERROR(__xludf.DUMMYFUNCTION("""COMPUTED_VALUE"""),489437.0)</f>
        <v>489437</v>
      </c>
      <c r="B34" s="2" t="str">
        <f>IFERROR(__xludf.DUMMYFUNCTION("""COMPUTED_VALUE"""),"22145")</f>
        <v>22145</v>
      </c>
      <c r="C34" s="2" t="str">
        <f>IFERROR(__xludf.DUMMYFUNCTION("""COMPUTED_VALUE"""),"CHRISTMAS CRAFT HEART STOCKING")</f>
        <v>CHRISTMAS CRAFT HEART STOCKING</v>
      </c>
      <c r="D34" s="2">
        <f>IFERROR(__xludf.DUMMYFUNCTION("""COMPUTED_VALUE"""),6.0)</f>
        <v>6</v>
      </c>
      <c r="E34" s="6">
        <f>IFERROR(__xludf.DUMMYFUNCTION("""COMPUTED_VALUE"""),40148.38055555556)</f>
        <v>40148.38056</v>
      </c>
      <c r="F34" s="2">
        <f>IFERROR(__xludf.DUMMYFUNCTION("""COMPUTED_VALUE"""),2.1)</f>
        <v>2.1</v>
      </c>
      <c r="G34" s="2">
        <f>IFERROR(__xludf.DUMMYFUNCTION("""COMPUTED_VALUE"""),15362.0)</f>
        <v>15362</v>
      </c>
      <c r="H34" s="2" t="str">
        <f>IFERROR(__xludf.DUMMYFUNCTION("""COMPUTED_VALUE"""),"United Kingdom")</f>
        <v>United Kingdom</v>
      </c>
      <c r="I34" s="7">
        <f>IFERROR(__xludf.DUMMYFUNCTION("""COMPUTED_VALUE"""),40148.0)</f>
        <v>40148</v>
      </c>
      <c r="J34" s="8">
        <f>IFERROR(__xludf.DUMMYFUNCTION("""COMPUTED_VALUE"""),0.3805555555554747)</f>
        <v>0.3805555556</v>
      </c>
      <c r="K34" s="2">
        <f>IFERROR(__xludf.DUMMYFUNCTION("""COMPUTED_VALUE"""),9.0)</f>
        <v>9</v>
      </c>
      <c r="L34" s="2">
        <f>IFERROR(__xludf.DUMMYFUNCTION("""COMPUTED_VALUE"""),12.6)</f>
        <v>12.6</v>
      </c>
    </row>
    <row r="35">
      <c r="A35" s="2">
        <f>IFERROR(__xludf.DUMMYFUNCTION("""COMPUTED_VALUE"""),489437.0)</f>
        <v>489437</v>
      </c>
      <c r="B35" s="2" t="str">
        <f>IFERROR(__xludf.DUMMYFUNCTION("""COMPUTED_VALUE"""),"22130")</f>
        <v>22130</v>
      </c>
      <c r="C35" s="2" t="str">
        <f>IFERROR(__xludf.DUMMYFUNCTION("""COMPUTED_VALUE"""),"PARTY CONE CHRISTMAS DECORATION")</f>
        <v>PARTY CONE CHRISTMAS DECORATION</v>
      </c>
      <c r="D35" s="2">
        <f>IFERROR(__xludf.DUMMYFUNCTION("""COMPUTED_VALUE"""),12.0)</f>
        <v>12</v>
      </c>
      <c r="E35" s="6">
        <f>IFERROR(__xludf.DUMMYFUNCTION("""COMPUTED_VALUE"""),40148.38055555556)</f>
        <v>40148.38056</v>
      </c>
      <c r="F35" s="2">
        <f>IFERROR(__xludf.DUMMYFUNCTION("""COMPUTED_VALUE"""),0.85)</f>
        <v>0.85</v>
      </c>
      <c r="G35" s="2">
        <f>IFERROR(__xludf.DUMMYFUNCTION("""COMPUTED_VALUE"""),15362.0)</f>
        <v>15362</v>
      </c>
      <c r="H35" s="2" t="str">
        <f>IFERROR(__xludf.DUMMYFUNCTION("""COMPUTED_VALUE"""),"United Kingdom")</f>
        <v>United Kingdom</v>
      </c>
      <c r="I35" s="7">
        <f>IFERROR(__xludf.DUMMYFUNCTION("""COMPUTED_VALUE"""),40148.0)</f>
        <v>40148</v>
      </c>
      <c r="J35" s="8">
        <f>IFERROR(__xludf.DUMMYFUNCTION("""COMPUTED_VALUE"""),0.3805555555554747)</f>
        <v>0.3805555556</v>
      </c>
      <c r="K35" s="2">
        <f>IFERROR(__xludf.DUMMYFUNCTION("""COMPUTED_VALUE"""),9.0)</f>
        <v>9</v>
      </c>
      <c r="L35" s="2">
        <f>IFERROR(__xludf.DUMMYFUNCTION("""COMPUTED_VALUE"""),10.2)</f>
        <v>10.2</v>
      </c>
    </row>
    <row r="36">
      <c r="A36" s="2">
        <f>IFERROR(__xludf.DUMMYFUNCTION("""COMPUTED_VALUE"""),489437.0)</f>
        <v>489437</v>
      </c>
      <c r="B36" s="2" t="str">
        <f>IFERROR(__xludf.DUMMYFUNCTION("""COMPUTED_VALUE"""),"21364")</f>
        <v>21364</v>
      </c>
      <c r="C36" s="2" t="str">
        <f>IFERROR(__xludf.DUMMYFUNCTION("""COMPUTED_VALUE"""),"PEACE SMALL WOOD LETTERS")</f>
        <v>PEACE SMALL WOOD LETTERS</v>
      </c>
      <c r="D36" s="2">
        <f>IFERROR(__xludf.DUMMYFUNCTION("""COMPUTED_VALUE"""),2.0)</f>
        <v>2</v>
      </c>
      <c r="E36" s="6">
        <f>IFERROR(__xludf.DUMMYFUNCTION("""COMPUTED_VALUE"""),40148.38055555556)</f>
        <v>40148.38056</v>
      </c>
      <c r="F36" s="2">
        <f>IFERROR(__xludf.DUMMYFUNCTION("""COMPUTED_VALUE"""),6.75)</f>
        <v>6.75</v>
      </c>
      <c r="G36" s="2">
        <f>IFERROR(__xludf.DUMMYFUNCTION("""COMPUTED_VALUE"""),15362.0)</f>
        <v>15362</v>
      </c>
      <c r="H36" s="2" t="str">
        <f>IFERROR(__xludf.DUMMYFUNCTION("""COMPUTED_VALUE"""),"United Kingdom")</f>
        <v>United Kingdom</v>
      </c>
      <c r="I36" s="7">
        <f>IFERROR(__xludf.DUMMYFUNCTION("""COMPUTED_VALUE"""),40148.0)</f>
        <v>40148</v>
      </c>
      <c r="J36" s="8">
        <f>IFERROR(__xludf.DUMMYFUNCTION("""COMPUTED_VALUE"""),0.3805555555554747)</f>
        <v>0.3805555556</v>
      </c>
      <c r="K36" s="2">
        <f>IFERROR(__xludf.DUMMYFUNCTION("""COMPUTED_VALUE"""),9.0)</f>
        <v>9</v>
      </c>
      <c r="L36" s="2">
        <f>IFERROR(__xludf.DUMMYFUNCTION("""COMPUTED_VALUE"""),13.5)</f>
        <v>13.5</v>
      </c>
    </row>
    <row r="37">
      <c r="A37" s="2">
        <f>IFERROR(__xludf.DUMMYFUNCTION("""COMPUTED_VALUE"""),489437.0)</f>
        <v>489437</v>
      </c>
      <c r="B37" s="2" t="str">
        <f>IFERROR(__xludf.DUMMYFUNCTION("""COMPUTED_VALUE"""),"21360")</f>
        <v>21360</v>
      </c>
      <c r="C37" s="2" t="str">
        <f>IFERROR(__xludf.DUMMYFUNCTION("""COMPUTED_VALUE"""),"JOY LARGE WOOD LETTERS")</f>
        <v>JOY LARGE WOOD LETTERS</v>
      </c>
      <c r="D37" s="2">
        <f>IFERROR(__xludf.DUMMYFUNCTION("""COMPUTED_VALUE"""),1.0)</f>
        <v>1</v>
      </c>
      <c r="E37" s="6">
        <f>IFERROR(__xludf.DUMMYFUNCTION("""COMPUTED_VALUE"""),40148.38055555556)</f>
        <v>40148.38056</v>
      </c>
      <c r="F37" s="2">
        <f>IFERROR(__xludf.DUMMYFUNCTION("""COMPUTED_VALUE"""),9.95)</f>
        <v>9.95</v>
      </c>
      <c r="G37" s="2">
        <f>IFERROR(__xludf.DUMMYFUNCTION("""COMPUTED_VALUE"""),15362.0)</f>
        <v>15362</v>
      </c>
      <c r="H37" s="2" t="str">
        <f>IFERROR(__xludf.DUMMYFUNCTION("""COMPUTED_VALUE"""),"United Kingdom")</f>
        <v>United Kingdom</v>
      </c>
      <c r="I37" s="7">
        <f>IFERROR(__xludf.DUMMYFUNCTION("""COMPUTED_VALUE"""),40148.0)</f>
        <v>40148</v>
      </c>
      <c r="J37" s="8">
        <f>IFERROR(__xludf.DUMMYFUNCTION("""COMPUTED_VALUE"""),0.3805555555554747)</f>
        <v>0.3805555556</v>
      </c>
      <c r="K37" s="2">
        <f>IFERROR(__xludf.DUMMYFUNCTION("""COMPUTED_VALUE"""),9.0)</f>
        <v>9</v>
      </c>
      <c r="L37" s="2">
        <f>IFERROR(__xludf.DUMMYFUNCTION("""COMPUTED_VALUE"""),9.95)</f>
        <v>9.95</v>
      </c>
    </row>
    <row r="38">
      <c r="A38" s="2">
        <f>IFERROR(__xludf.DUMMYFUNCTION("""COMPUTED_VALUE"""),489437.0)</f>
        <v>489437</v>
      </c>
      <c r="B38" s="2" t="str">
        <f>IFERROR(__xludf.DUMMYFUNCTION("""COMPUTED_VALUE"""),"21351")</f>
        <v>21351</v>
      </c>
      <c r="C38" s="2" t="str">
        <f>IFERROR(__xludf.DUMMYFUNCTION("""COMPUTED_VALUE"""),"CINAMMON &amp; ORANGE WREATH")</f>
        <v>CINAMMON &amp; ORANGE WREATH</v>
      </c>
      <c r="D38" s="2">
        <f>IFERROR(__xludf.DUMMYFUNCTION("""COMPUTED_VALUE"""),2.0)</f>
        <v>2</v>
      </c>
      <c r="E38" s="6">
        <f>IFERROR(__xludf.DUMMYFUNCTION("""COMPUTED_VALUE"""),40148.38055555556)</f>
        <v>40148.38056</v>
      </c>
      <c r="F38" s="2">
        <f>IFERROR(__xludf.DUMMYFUNCTION("""COMPUTED_VALUE"""),6.75)</f>
        <v>6.75</v>
      </c>
      <c r="G38" s="2">
        <f>IFERROR(__xludf.DUMMYFUNCTION("""COMPUTED_VALUE"""),15362.0)</f>
        <v>15362</v>
      </c>
      <c r="H38" s="2" t="str">
        <f>IFERROR(__xludf.DUMMYFUNCTION("""COMPUTED_VALUE"""),"United Kingdom")</f>
        <v>United Kingdom</v>
      </c>
      <c r="I38" s="7">
        <f>IFERROR(__xludf.DUMMYFUNCTION("""COMPUTED_VALUE"""),40148.0)</f>
        <v>40148</v>
      </c>
      <c r="J38" s="8">
        <f>IFERROR(__xludf.DUMMYFUNCTION("""COMPUTED_VALUE"""),0.3805555555554747)</f>
        <v>0.3805555556</v>
      </c>
      <c r="K38" s="2">
        <f>IFERROR(__xludf.DUMMYFUNCTION("""COMPUTED_VALUE"""),9.0)</f>
        <v>9</v>
      </c>
      <c r="L38" s="2">
        <f>IFERROR(__xludf.DUMMYFUNCTION("""COMPUTED_VALUE"""),13.5)</f>
        <v>13.5</v>
      </c>
    </row>
    <row r="39">
      <c r="A39" s="2">
        <f>IFERROR(__xludf.DUMMYFUNCTION("""COMPUTED_VALUE"""),489437.0)</f>
        <v>489437</v>
      </c>
      <c r="B39" s="2" t="str">
        <f>IFERROR(__xludf.DUMMYFUNCTION("""COMPUTED_VALUE"""),"21352")</f>
        <v>21352</v>
      </c>
      <c r="C39" s="2" t="str">
        <f>IFERROR(__xludf.DUMMYFUNCTION("""COMPUTED_VALUE"""),"EUCALYPTUS &amp; PINECONE WREATH")</f>
        <v>EUCALYPTUS &amp; PINECONE WREATH</v>
      </c>
      <c r="D39" s="2">
        <f>IFERROR(__xludf.DUMMYFUNCTION("""COMPUTED_VALUE"""),2.0)</f>
        <v>2</v>
      </c>
      <c r="E39" s="6">
        <f>IFERROR(__xludf.DUMMYFUNCTION("""COMPUTED_VALUE"""),40148.38055555556)</f>
        <v>40148.38056</v>
      </c>
      <c r="F39" s="2">
        <f>IFERROR(__xludf.DUMMYFUNCTION("""COMPUTED_VALUE"""),6.75)</f>
        <v>6.75</v>
      </c>
      <c r="G39" s="2">
        <f>IFERROR(__xludf.DUMMYFUNCTION("""COMPUTED_VALUE"""),15362.0)</f>
        <v>15362</v>
      </c>
      <c r="H39" s="2" t="str">
        <f>IFERROR(__xludf.DUMMYFUNCTION("""COMPUTED_VALUE"""),"United Kingdom")</f>
        <v>United Kingdom</v>
      </c>
      <c r="I39" s="7">
        <f>IFERROR(__xludf.DUMMYFUNCTION("""COMPUTED_VALUE"""),40148.0)</f>
        <v>40148</v>
      </c>
      <c r="J39" s="8">
        <f>IFERROR(__xludf.DUMMYFUNCTION("""COMPUTED_VALUE"""),0.3805555555554747)</f>
        <v>0.3805555556</v>
      </c>
      <c r="K39" s="2">
        <f>IFERROR(__xludf.DUMMYFUNCTION("""COMPUTED_VALUE"""),9.0)</f>
        <v>9</v>
      </c>
      <c r="L39" s="2">
        <f>IFERROR(__xludf.DUMMYFUNCTION("""COMPUTED_VALUE"""),13.5)</f>
        <v>13.5</v>
      </c>
    </row>
    <row r="40">
      <c r="A40" s="2">
        <f>IFERROR(__xludf.DUMMYFUNCTION("""COMPUTED_VALUE"""),489437.0)</f>
        <v>489437</v>
      </c>
      <c r="B40" s="2" t="str">
        <f>IFERROR(__xludf.DUMMYFUNCTION("""COMPUTED_VALUE"""),"35400")</f>
        <v>35400</v>
      </c>
      <c r="C40" s="2" t="str">
        <f>IFERROR(__xludf.DUMMYFUNCTION("""COMPUTED_VALUE"""),"WOODEN BOX ADVENT CALENDAR")</f>
        <v>WOODEN BOX ADVENT CALENDAR</v>
      </c>
      <c r="D40" s="2">
        <f>IFERROR(__xludf.DUMMYFUNCTION("""COMPUTED_VALUE"""),2.0)</f>
        <v>2</v>
      </c>
      <c r="E40" s="6">
        <f>IFERROR(__xludf.DUMMYFUNCTION("""COMPUTED_VALUE"""),40148.38055555556)</f>
        <v>40148.38056</v>
      </c>
      <c r="F40" s="2">
        <f>IFERROR(__xludf.DUMMYFUNCTION("""COMPUTED_VALUE"""),8.95)</f>
        <v>8.95</v>
      </c>
      <c r="G40" s="2">
        <f>IFERROR(__xludf.DUMMYFUNCTION("""COMPUTED_VALUE"""),15362.0)</f>
        <v>15362</v>
      </c>
      <c r="H40" s="2" t="str">
        <f>IFERROR(__xludf.DUMMYFUNCTION("""COMPUTED_VALUE"""),"United Kingdom")</f>
        <v>United Kingdom</v>
      </c>
      <c r="I40" s="7">
        <f>IFERROR(__xludf.DUMMYFUNCTION("""COMPUTED_VALUE"""),40148.0)</f>
        <v>40148</v>
      </c>
      <c r="J40" s="8">
        <f>IFERROR(__xludf.DUMMYFUNCTION("""COMPUTED_VALUE"""),0.3805555555554747)</f>
        <v>0.3805555556</v>
      </c>
      <c r="K40" s="2">
        <f>IFERROR(__xludf.DUMMYFUNCTION("""COMPUTED_VALUE"""),9.0)</f>
        <v>9</v>
      </c>
      <c r="L40" s="2">
        <f>IFERROR(__xludf.DUMMYFUNCTION("""COMPUTED_VALUE"""),17.9)</f>
        <v>17.9</v>
      </c>
    </row>
    <row r="41">
      <c r="A41" s="2">
        <f>IFERROR(__xludf.DUMMYFUNCTION("""COMPUTED_VALUE"""),489437.0)</f>
        <v>489437</v>
      </c>
      <c r="B41" s="2" t="str">
        <f>IFERROR(__xludf.DUMMYFUNCTION("""COMPUTED_VALUE"""),"20695")</f>
        <v>20695</v>
      </c>
      <c r="C41" s="2" t="str">
        <f>IFERROR(__xludf.DUMMYFUNCTION("""COMPUTED_VALUE"""),"FLORAL BLUE MONSTER")</f>
        <v>FLORAL BLUE MONSTER</v>
      </c>
      <c r="D41" s="2">
        <f>IFERROR(__xludf.DUMMYFUNCTION("""COMPUTED_VALUE"""),3.0)</f>
        <v>3</v>
      </c>
      <c r="E41" s="6">
        <f>IFERROR(__xludf.DUMMYFUNCTION("""COMPUTED_VALUE"""),40148.38055555556)</f>
        <v>40148.38056</v>
      </c>
      <c r="F41" s="2">
        <f>IFERROR(__xludf.DUMMYFUNCTION("""COMPUTED_VALUE"""),4.25)</f>
        <v>4.25</v>
      </c>
      <c r="G41" s="2">
        <f>IFERROR(__xludf.DUMMYFUNCTION("""COMPUTED_VALUE"""),15362.0)</f>
        <v>15362</v>
      </c>
      <c r="H41" s="2" t="str">
        <f>IFERROR(__xludf.DUMMYFUNCTION("""COMPUTED_VALUE"""),"United Kingdom")</f>
        <v>United Kingdom</v>
      </c>
      <c r="I41" s="7">
        <f>IFERROR(__xludf.DUMMYFUNCTION("""COMPUTED_VALUE"""),40148.0)</f>
        <v>40148</v>
      </c>
      <c r="J41" s="8">
        <f>IFERROR(__xludf.DUMMYFUNCTION("""COMPUTED_VALUE"""),0.3805555555554747)</f>
        <v>0.3805555556</v>
      </c>
      <c r="K41" s="2">
        <f>IFERROR(__xludf.DUMMYFUNCTION("""COMPUTED_VALUE"""),9.0)</f>
        <v>9</v>
      </c>
      <c r="L41" s="2">
        <f>IFERROR(__xludf.DUMMYFUNCTION("""COMPUTED_VALUE"""),12.75)</f>
        <v>12.75</v>
      </c>
    </row>
    <row r="42">
      <c r="A42" s="2">
        <f>IFERROR(__xludf.DUMMYFUNCTION("""COMPUTED_VALUE"""),489437.0)</f>
        <v>489437</v>
      </c>
      <c r="B42" s="2" t="str">
        <f>IFERROR(__xludf.DUMMYFUNCTION("""COMPUTED_VALUE"""),"37370")</f>
        <v>37370</v>
      </c>
      <c r="C42" s="2" t="str">
        <f>IFERROR(__xludf.DUMMYFUNCTION("""COMPUTED_VALUE"""),"RETRO COFFEE MUGS ASSORTED")</f>
        <v>RETRO COFFEE MUGS ASSORTED</v>
      </c>
      <c r="D42" s="2">
        <f>IFERROR(__xludf.DUMMYFUNCTION("""COMPUTED_VALUE"""),12.0)</f>
        <v>12</v>
      </c>
      <c r="E42" s="6">
        <f>IFERROR(__xludf.DUMMYFUNCTION("""COMPUTED_VALUE"""),40148.38055555556)</f>
        <v>40148.38056</v>
      </c>
      <c r="F42" s="2">
        <f>IFERROR(__xludf.DUMMYFUNCTION("""COMPUTED_VALUE"""),1.25)</f>
        <v>1.25</v>
      </c>
      <c r="G42" s="2">
        <f>IFERROR(__xludf.DUMMYFUNCTION("""COMPUTED_VALUE"""),15362.0)</f>
        <v>15362</v>
      </c>
      <c r="H42" s="2" t="str">
        <f>IFERROR(__xludf.DUMMYFUNCTION("""COMPUTED_VALUE"""),"United Kingdom")</f>
        <v>United Kingdom</v>
      </c>
      <c r="I42" s="7">
        <f>IFERROR(__xludf.DUMMYFUNCTION("""COMPUTED_VALUE"""),40148.0)</f>
        <v>40148</v>
      </c>
      <c r="J42" s="8">
        <f>IFERROR(__xludf.DUMMYFUNCTION("""COMPUTED_VALUE"""),0.3805555555554747)</f>
        <v>0.3805555556</v>
      </c>
      <c r="K42" s="2">
        <f>IFERROR(__xludf.DUMMYFUNCTION("""COMPUTED_VALUE"""),9.0)</f>
        <v>9</v>
      </c>
      <c r="L42" s="2">
        <f>IFERROR(__xludf.DUMMYFUNCTION("""COMPUTED_VALUE"""),15.0)</f>
        <v>15</v>
      </c>
    </row>
    <row r="43">
      <c r="A43" s="2">
        <f>IFERROR(__xludf.DUMMYFUNCTION("""COMPUTED_VALUE"""),489437.0)</f>
        <v>489437</v>
      </c>
      <c r="B43" s="2" t="str">
        <f>IFERROR(__xludf.DUMMYFUNCTION("""COMPUTED_VALUE"""),"10002")</f>
        <v>10002</v>
      </c>
      <c r="C43" s="2" t="str">
        <f>IFERROR(__xludf.DUMMYFUNCTION("""COMPUTED_VALUE"""),"INFLATABLE POLITICAL GLOBE")</f>
        <v>INFLATABLE POLITICAL GLOBE</v>
      </c>
      <c r="D43" s="2">
        <f>IFERROR(__xludf.DUMMYFUNCTION("""COMPUTED_VALUE"""),12.0)</f>
        <v>12</v>
      </c>
      <c r="E43" s="6">
        <f>IFERROR(__xludf.DUMMYFUNCTION("""COMPUTED_VALUE"""),40148.38055555556)</f>
        <v>40148.38056</v>
      </c>
      <c r="F43" s="2">
        <f>IFERROR(__xludf.DUMMYFUNCTION("""COMPUTED_VALUE"""),0.85)</f>
        <v>0.85</v>
      </c>
      <c r="G43" s="2">
        <f>IFERROR(__xludf.DUMMYFUNCTION("""COMPUTED_VALUE"""),15362.0)</f>
        <v>15362</v>
      </c>
      <c r="H43" s="2" t="str">
        <f>IFERROR(__xludf.DUMMYFUNCTION("""COMPUTED_VALUE"""),"United Kingdom")</f>
        <v>United Kingdom</v>
      </c>
      <c r="I43" s="7">
        <f>IFERROR(__xludf.DUMMYFUNCTION("""COMPUTED_VALUE"""),40148.0)</f>
        <v>40148</v>
      </c>
      <c r="J43" s="8">
        <f>IFERROR(__xludf.DUMMYFUNCTION("""COMPUTED_VALUE"""),0.3805555555554747)</f>
        <v>0.3805555556</v>
      </c>
      <c r="K43" s="2">
        <f>IFERROR(__xludf.DUMMYFUNCTION("""COMPUTED_VALUE"""),9.0)</f>
        <v>9</v>
      </c>
      <c r="L43" s="2">
        <f>IFERROR(__xludf.DUMMYFUNCTION("""COMPUTED_VALUE"""),10.2)</f>
        <v>10.2</v>
      </c>
    </row>
    <row r="44">
      <c r="A44" s="2">
        <f>IFERROR(__xludf.DUMMYFUNCTION("""COMPUTED_VALUE"""),489437.0)</f>
        <v>489437</v>
      </c>
      <c r="B44" s="2" t="str">
        <f>IFERROR(__xludf.DUMMYFUNCTION("""COMPUTED_VALUE"""),"84507B")</f>
        <v>84507B</v>
      </c>
      <c r="C44" s="2" t="str">
        <f>IFERROR(__xludf.DUMMYFUNCTION("""COMPUTED_VALUE"""),"STRIPES DESIGN MONKEY DOLL")</f>
        <v>STRIPES DESIGN MONKEY DOLL</v>
      </c>
      <c r="D44" s="2">
        <f>IFERROR(__xludf.DUMMYFUNCTION("""COMPUTED_VALUE"""),6.0)</f>
        <v>6</v>
      </c>
      <c r="E44" s="6">
        <f>IFERROR(__xludf.DUMMYFUNCTION("""COMPUTED_VALUE"""),40148.38055555556)</f>
        <v>40148.38056</v>
      </c>
      <c r="F44" s="2">
        <f>IFERROR(__xludf.DUMMYFUNCTION("""COMPUTED_VALUE"""),2.55)</f>
        <v>2.55</v>
      </c>
      <c r="G44" s="2">
        <f>IFERROR(__xludf.DUMMYFUNCTION("""COMPUTED_VALUE"""),15362.0)</f>
        <v>15362</v>
      </c>
      <c r="H44" s="2" t="str">
        <f>IFERROR(__xludf.DUMMYFUNCTION("""COMPUTED_VALUE"""),"United Kingdom")</f>
        <v>United Kingdom</v>
      </c>
      <c r="I44" s="7">
        <f>IFERROR(__xludf.DUMMYFUNCTION("""COMPUTED_VALUE"""),40148.0)</f>
        <v>40148</v>
      </c>
      <c r="J44" s="8">
        <f>IFERROR(__xludf.DUMMYFUNCTION("""COMPUTED_VALUE"""),0.3805555555554747)</f>
        <v>0.3805555556</v>
      </c>
      <c r="K44" s="2">
        <f>IFERROR(__xludf.DUMMYFUNCTION("""COMPUTED_VALUE"""),9.0)</f>
        <v>9</v>
      </c>
      <c r="L44" s="2">
        <f>IFERROR(__xludf.DUMMYFUNCTION("""COMPUTED_VALUE"""),15.2999999999999)</f>
        <v>15.3</v>
      </c>
    </row>
    <row r="45">
      <c r="A45" s="2">
        <f>IFERROR(__xludf.DUMMYFUNCTION("""COMPUTED_VALUE"""),489437.0)</f>
        <v>489437</v>
      </c>
      <c r="B45" s="2" t="str">
        <f>IFERROR(__xludf.DUMMYFUNCTION("""COMPUTED_VALUE"""),"20703")</f>
        <v>20703</v>
      </c>
      <c r="C45" s="2" t="str">
        <f>IFERROR(__xludf.DUMMYFUNCTION("""COMPUTED_VALUE"""),"BLUE PADDED SOFT MOBILE")</f>
        <v>BLUE PADDED SOFT MOBILE</v>
      </c>
      <c r="D45" s="2">
        <f>IFERROR(__xludf.DUMMYFUNCTION("""COMPUTED_VALUE"""),3.0)</f>
        <v>3</v>
      </c>
      <c r="E45" s="6">
        <f>IFERROR(__xludf.DUMMYFUNCTION("""COMPUTED_VALUE"""),40148.38055555556)</f>
        <v>40148.38056</v>
      </c>
      <c r="F45" s="2">
        <f>IFERROR(__xludf.DUMMYFUNCTION("""COMPUTED_VALUE"""),4.25)</f>
        <v>4.25</v>
      </c>
      <c r="G45" s="2">
        <f>IFERROR(__xludf.DUMMYFUNCTION("""COMPUTED_VALUE"""),15362.0)</f>
        <v>15362</v>
      </c>
      <c r="H45" s="2" t="str">
        <f>IFERROR(__xludf.DUMMYFUNCTION("""COMPUTED_VALUE"""),"United Kingdom")</f>
        <v>United Kingdom</v>
      </c>
      <c r="I45" s="7">
        <f>IFERROR(__xludf.DUMMYFUNCTION("""COMPUTED_VALUE"""),40148.0)</f>
        <v>40148</v>
      </c>
      <c r="J45" s="8">
        <f>IFERROR(__xludf.DUMMYFUNCTION("""COMPUTED_VALUE"""),0.3805555555554747)</f>
        <v>0.3805555556</v>
      </c>
      <c r="K45" s="2">
        <f>IFERROR(__xludf.DUMMYFUNCTION("""COMPUTED_VALUE"""),9.0)</f>
        <v>9</v>
      </c>
      <c r="L45" s="2">
        <f>IFERROR(__xludf.DUMMYFUNCTION("""COMPUTED_VALUE"""),12.75)</f>
        <v>12.75</v>
      </c>
    </row>
    <row r="46">
      <c r="A46" s="2">
        <f>IFERROR(__xludf.DUMMYFUNCTION("""COMPUTED_VALUE"""),489437.0)</f>
        <v>489437</v>
      </c>
      <c r="B46" s="2" t="str">
        <f>IFERROR(__xludf.DUMMYFUNCTION("""COMPUTED_VALUE"""),"21987")</f>
        <v>21987</v>
      </c>
      <c r="C46" s="2" t="str">
        <f>IFERROR(__xludf.DUMMYFUNCTION("""COMPUTED_VALUE"""),"PACK OF 6 SKULL PAPER CUPS")</f>
        <v>PACK OF 6 SKULL PAPER CUPS</v>
      </c>
      <c r="D46" s="2">
        <f>IFERROR(__xludf.DUMMYFUNCTION("""COMPUTED_VALUE"""),12.0)</f>
        <v>12</v>
      </c>
      <c r="E46" s="6">
        <f>IFERROR(__xludf.DUMMYFUNCTION("""COMPUTED_VALUE"""),40148.38055555556)</f>
        <v>40148.38056</v>
      </c>
      <c r="F46" s="2">
        <f>IFERROR(__xludf.DUMMYFUNCTION("""COMPUTED_VALUE"""),0.65)</f>
        <v>0.65</v>
      </c>
      <c r="G46" s="2">
        <f>IFERROR(__xludf.DUMMYFUNCTION("""COMPUTED_VALUE"""),15362.0)</f>
        <v>15362</v>
      </c>
      <c r="H46" s="2" t="str">
        <f>IFERROR(__xludf.DUMMYFUNCTION("""COMPUTED_VALUE"""),"United Kingdom")</f>
        <v>United Kingdom</v>
      </c>
      <c r="I46" s="7">
        <f>IFERROR(__xludf.DUMMYFUNCTION("""COMPUTED_VALUE"""),40148.0)</f>
        <v>40148</v>
      </c>
      <c r="J46" s="8">
        <f>IFERROR(__xludf.DUMMYFUNCTION("""COMPUTED_VALUE"""),0.3805555555554747)</f>
        <v>0.3805555556</v>
      </c>
      <c r="K46" s="2">
        <f>IFERROR(__xludf.DUMMYFUNCTION("""COMPUTED_VALUE"""),9.0)</f>
        <v>9</v>
      </c>
      <c r="L46" s="2">
        <f>IFERROR(__xludf.DUMMYFUNCTION("""COMPUTED_VALUE"""),7.8)</f>
        <v>7.8</v>
      </c>
    </row>
    <row r="47">
      <c r="A47" s="2">
        <f>IFERROR(__xludf.DUMMYFUNCTION("""COMPUTED_VALUE"""),489437.0)</f>
        <v>489437</v>
      </c>
      <c r="B47" s="2" t="str">
        <f>IFERROR(__xludf.DUMMYFUNCTION("""COMPUTED_VALUE"""),"21989")</f>
        <v>21989</v>
      </c>
      <c r="C47" s="2" t="str">
        <f>IFERROR(__xludf.DUMMYFUNCTION("""COMPUTED_VALUE"""),"PACK OF 20 SKULL PAPER NAPKINS")</f>
        <v>PACK OF 20 SKULL PAPER NAPKINS</v>
      </c>
      <c r="D47" s="2">
        <f>IFERROR(__xludf.DUMMYFUNCTION("""COMPUTED_VALUE"""),12.0)</f>
        <v>12</v>
      </c>
      <c r="E47" s="6">
        <f>IFERROR(__xludf.DUMMYFUNCTION("""COMPUTED_VALUE"""),40148.38055555556)</f>
        <v>40148.38056</v>
      </c>
      <c r="F47" s="2">
        <f>IFERROR(__xludf.DUMMYFUNCTION("""COMPUTED_VALUE"""),0.85)</f>
        <v>0.85</v>
      </c>
      <c r="G47" s="2">
        <f>IFERROR(__xludf.DUMMYFUNCTION("""COMPUTED_VALUE"""),15362.0)</f>
        <v>15362</v>
      </c>
      <c r="H47" s="2" t="str">
        <f>IFERROR(__xludf.DUMMYFUNCTION("""COMPUTED_VALUE"""),"United Kingdom")</f>
        <v>United Kingdom</v>
      </c>
      <c r="I47" s="7">
        <f>IFERROR(__xludf.DUMMYFUNCTION("""COMPUTED_VALUE"""),40148.0)</f>
        <v>40148</v>
      </c>
      <c r="J47" s="8">
        <f>IFERROR(__xludf.DUMMYFUNCTION("""COMPUTED_VALUE"""),0.3805555555554747)</f>
        <v>0.3805555556</v>
      </c>
      <c r="K47" s="2">
        <f>IFERROR(__xludf.DUMMYFUNCTION("""COMPUTED_VALUE"""),9.0)</f>
        <v>9</v>
      </c>
      <c r="L47" s="2">
        <f>IFERROR(__xludf.DUMMYFUNCTION("""COMPUTED_VALUE"""),10.2)</f>
        <v>10.2</v>
      </c>
    </row>
    <row r="48">
      <c r="A48" s="2">
        <f>IFERROR(__xludf.DUMMYFUNCTION("""COMPUTED_VALUE"""),489437.0)</f>
        <v>489437</v>
      </c>
      <c r="B48" s="2" t="str">
        <f>IFERROR(__xludf.DUMMYFUNCTION("""COMPUTED_VALUE"""),"84970S")</f>
        <v>84970S</v>
      </c>
      <c r="C48" s="2" t="str">
        <f>IFERROR(__xludf.DUMMYFUNCTION("""COMPUTED_VALUE"""),"HANGING HEART ZINC T-LIGHT HOLDER")</f>
        <v>HANGING HEART ZINC T-LIGHT HOLDER</v>
      </c>
      <c r="D48" s="2">
        <f>IFERROR(__xludf.DUMMYFUNCTION("""COMPUTED_VALUE"""),12.0)</f>
        <v>12</v>
      </c>
      <c r="E48" s="6">
        <f>IFERROR(__xludf.DUMMYFUNCTION("""COMPUTED_VALUE"""),40148.38055555556)</f>
        <v>40148.38056</v>
      </c>
      <c r="F48" s="2">
        <f>IFERROR(__xludf.DUMMYFUNCTION("""COMPUTED_VALUE"""),0.85)</f>
        <v>0.85</v>
      </c>
      <c r="G48" s="2">
        <f>IFERROR(__xludf.DUMMYFUNCTION("""COMPUTED_VALUE"""),15362.0)</f>
        <v>15362</v>
      </c>
      <c r="H48" s="2" t="str">
        <f>IFERROR(__xludf.DUMMYFUNCTION("""COMPUTED_VALUE"""),"United Kingdom")</f>
        <v>United Kingdom</v>
      </c>
      <c r="I48" s="7">
        <f>IFERROR(__xludf.DUMMYFUNCTION("""COMPUTED_VALUE"""),40148.0)</f>
        <v>40148</v>
      </c>
      <c r="J48" s="8">
        <f>IFERROR(__xludf.DUMMYFUNCTION("""COMPUTED_VALUE"""),0.3805555555554747)</f>
        <v>0.3805555556</v>
      </c>
      <c r="K48" s="2">
        <f>IFERROR(__xludf.DUMMYFUNCTION("""COMPUTED_VALUE"""),9.0)</f>
        <v>9</v>
      </c>
      <c r="L48" s="2">
        <f>IFERROR(__xludf.DUMMYFUNCTION("""COMPUTED_VALUE"""),10.2)</f>
        <v>10.2</v>
      </c>
    </row>
    <row r="49">
      <c r="A49" s="2">
        <f>IFERROR(__xludf.DUMMYFUNCTION("""COMPUTED_VALUE"""),489437.0)</f>
        <v>489437</v>
      </c>
      <c r="B49" s="2" t="str">
        <f>IFERROR(__xludf.DUMMYFUNCTION("""COMPUTED_VALUE"""),"20971")</f>
        <v>20971</v>
      </c>
      <c r="C49" s="2" t="str">
        <f>IFERROR(__xludf.DUMMYFUNCTION("""COMPUTED_VALUE"""),"PINK BLUE FELT CRAFT TRINKET BOX")</f>
        <v>PINK BLUE FELT CRAFT TRINKET BOX</v>
      </c>
      <c r="D49" s="2">
        <f>IFERROR(__xludf.DUMMYFUNCTION("""COMPUTED_VALUE"""),12.0)</f>
        <v>12</v>
      </c>
      <c r="E49" s="6">
        <f>IFERROR(__xludf.DUMMYFUNCTION("""COMPUTED_VALUE"""),40148.38055555556)</f>
        <v>40148.38056</v>
      </c>
      <c r="F49" s="2">
        <f>IFERROR(__xludf.DUMMYFUNCTION("""COMPUTED_VALUE"""),1.25)</f>
        <v>1.25</v>
      </c>
      <c r="G49" s="2">
        <f>IFERROR(__xludf.DUMMYFUNCTION("""COMPUTED_VALUE"""),15362.0)</f>
        <v>15362</v>
      </c>
      <c r="H49" s="2" t="str">
        <f>IFERROR(__xludf.DUMMYFUNCTION("""COMPUTED_VALUE"""),"United Kingdom")</f>
        <v>United Kingdom</v>
      </c>
      <c r="I49" s="7">
        <f>IFERROR(__xludf.DUMMYFUNCTION("""COMPUTED_VALUE"""),40148.0)</f>
        <v>40148</v>
      </c>
      <c r="J49" s="8">
        <f>IFERROR(__xludf.DUMMYFUNCTION("""COMPUTED_VALUE"""),0.3805555555554747)</f>
        <v>0.3805555556</v>
      </c>
      <c r="K49" s="2">
        <f>IFERROR(__xludf.DUMMYFUNCTION("""COMPUTED_VALUE"""),9.0)</f>
        <v>9</v>
      </c>
      <c r="L49" s="2">
        <f>IFERROR(__xludf.DUMMYFUNCTION("""COMPUTED_VALUE"""),15.0)</f>
        <v>15</v>
      </c>
    </row>
    <row r="50">
      <c r="A50" s="2">
        <f>IFERROR(__xludf.DUMMYFUNCTION("""COMPUTED_VALUE"""),489437.0)</f>
        <v>489437</v>
      </c>
      <c r="B50" s="2" t="str">
        <f>IFERROR(__xludf.DUMMYFUNCTION("""COMPUTED_VALUE"""),"22271")</f>
        <v>22271</v>
      </c>
      <c r="C50" s="2" t="str">
        <f>IFERROR(__xludf.DUMMYFUNCTION("""COMPUTED_VALUE"""),"FELTCRAFT DOLL ROSIE")</f>
        <v>FELTCRAFT DOLL ROSIE</v>
      </c>
      <c r="D50" s="2">
        <f>IFERROR(__xludf.DUMMYFUNCTION("""COMPUTED_VALUE"""),6.0)</f>
        <v>6</v>
      </c>
      <c r="E50" s="6">
        <f>IFERROR(__xludf.DUMMYFUNCTION("""COMPUTED_VALUE"""),40148.38055555556)</f>
        <v>40148.38056</v>
      </c>
      <c r="F50" s="2">
        <f>IFERROR(__xludf.DUMMYFUNCTION("""COMPUTED_VALUE"""),2.95)</f>
        <v>2.95</v>
      </c>
      <c r="G50" s="2">
        <f>IFERROR(__xludf.DUMMYFUNCTION("""COMPUTED_VALUE"""),15362.0)</f>
        <v>15362</v>
      </c>
      <c r="H50" s="2" t="str">
        <f>IFERROR(__xludf.DUMMYFUNCTION("""COMPUTED_VALUE"""),"United Kingdom")</f>
        <v>United Kingdom</v>
      </c>
      <c r="I50" s="7">
        <f>IFERROR(__xludf.DUMMYFUNCTION("""COMPUTED_VALUE"""),40148.0)</f>
        <v>40148</v>
      </c>
      <c r="J50" s="8">
        <f>IFERROR(__xludf.DUMMYFUNCTION("""COMPUTED_VALUE"""),0.3805555555554747)</f>
        <v>0.3805555556</v>
      </c>
      <c r="K50" s="2">
        <f>IFERROR(__xludf.DUMMYFUNCTION("""COMPUTED_VALUE"""),9.0)</f>
        <v>9</v>
      </c>
      <c r="L50" s="2">
        <f>IFERROR(__xludf.DUMMYFUNCTION("""COMPUTED_VALUE"""),17.7)</f>
        <v>17.7</v>
      </c>
    </row>
    <row r="51">
      <c r="A51" s="2">
        <f>IFERROR(__xludf.DUMMYFUNCTION("""COMPUTED_VALUE"""),489437.0)</f>
        <v>489437</v>
      </c>
      <c r="B51" s="2" t="str">
        <f>IFERROR(__xludf.DUMMYFUNCTION("""COMPUTED_VALUE"""),"22272")</f>
        <v>22272</v>
      </c>
      <c r="C51" s="2" t="str">
        <f>IFERROR(__xludf.DUMMYFUNCTION("""COMPUTED_VALUE"""),"FELTCRAFT DOLL MARIA")</f>
        <v>FELTCRAFT DOLL MARIA</v>
      </c>
      <c r="D51" s="2">
        <f>IFERROR(__xludf.DUMMYFUNCTION("""COMPUTED_VALUE"""),6.0)</f>
        <v>6</v>
      </c>
      <c r="E51" s="6">
        <f>IFERROR(__xludf.DUMMYFUNCTION("""COMPUTED_VALUE"""),40148.38055555556)</f>
        <v>40148.38056</v>
      </c>
      <c r="F51" s="2">
        <f>IFERROR(__xludf.DUMMYFUNCTION("""COMPUTED_VALUE"""),2.95)</f>
        <v>2.95</v>
      </c>
      <c r="G51" s="2">
        <f>IFERROR(__xludf.DUMMYFUNCTION("""COMPUTED_VALUE"""),15362.0)</f>
        <v>15362</v>
      </c>
      <c r="H51" s="2" t="str">
        <f>IFERROR(__xludf.DUMMYFUNCTION("""COMPUTED_VALUE"""),"United Kingdom")</f>
        <v>United Kingdom</v>
      </c>
      <c r="I51" s="7">
        <f>IFERROR(__xludf.DUMMYFUNCTION("""COMPUTED_VALUE"""),40148.0)</f>
        <v>40148</v>
      </c>
      <c r="J51" s="8">
        <f>IFERROR(__xludf.DUMMYFUNCTION("""COMPUTED_VALUE"""),0.3805555555554747)</f>
        <v>0.3805555556</v>
      </c>
      <c r="K51" s="2">
        <f>IFERROR(__xludf.DUMMYFUNCTION("""COMPUTED_VALUE"""),9.0)</f>
        <v>9</v>
      </c>
      <c r="L51" s="2">
        <f>IFERROR(__xludf.DUMMYFUNCTION("""COMPUTED_VALUE"""),17.7)</f>
        <v>17.7</v>
      </c>
    </row>
    <row r="52">
      <c r="A52" s="2">
        <f>IFERROR(__xludf.DUMMYFUNCTION("""COMPUTED_VALUE"""),489437.0)</f>
        <v>489437</v>
      </c>
      <c r="B52" s="2" t="str">
        <f>IFERROR(__xludf.DUMMYFUNCTION("""COMPUTED_VALUE"""),"22274")</f>
        <v>22274</v>
      </c>
      <c r="C52" s="2" t="str">
        <f>IFERROR(__xludf.DUMMYFUNCTION("""COMPUTED_VALUE"""),"FELTCRAFT DOLL EMILY")</f>
        <v>FELTCRAFT DOLL EMILY</v>
      </c>
      <c r="D52" s="2">
        <f>IFERROR(__xludf.DUMMYFUNCTION("""COMPUTED_VALUE"""),6.0)</f>
        <v>6</v>
      </c>
      <c r="E52" s="6">
        <f>IFERROR(__xludf.DUMMYFUNCTION("""COMPUTED_VALUE"""),40148.38055555556)</f>
        <v>40148.38056</v>
      </c>
      <c r="F52" s="2">
        <f>IFERROR(__xludf.DUMMYFUNCTION("""COMPUTED_VALUE"""),2.95)</f>
        <v>2.95</v>
      </c>
      <c r="G52" s="2">
        <f>IFERROR(__xludf.DUMMYFUNCTION("""COMPUTED_VALUE"""),15362.0)</f>
        <v>15362</v>
      </c>
      <c r="H52" s="2" t="str">
        <f>IFERROR(__xludf.DUMMYFUNCTION("""COMPUTED_VALUE"""),"United Kingdom")</f>
        <v>United Kingdom</v>
      </c>
      <c r="I52" s="7">
        <f>IFERROR(__xludf.DUMMYFUNCTION("""COMPUTED_VALUE"""),40148.0)</f>
        <v>40148</v>
      </c>
      <c r="J52" s="8">
        <f>IFERROR(__xludf.DUMMYFUNCTION("""COMPUTED_VALUE"""),0.3805555555554747)</f>
        <v>0.3805555556</v>
      </c>
      <c r="K52" s="2">
        <f>IFERROR(__xludf.DUMMYFUNCTION("""COMPUTED_VALUE"""),9.0)</f>
        <v>9</v>
      </c>
      <c r="L52" s="2">
        <f>IFERROR(__xludf.DUMMYFUNCTION("""COMPUTED_VALUE"""),17.7)</f>
        <v>17.7</v>
      </c>
    </row>
    <row r="53">
      <c r="A53" s="2">
        <f>IFERROR(__xludf.DUMMYFUNCTION("""COMPUTED_VALUE"""),489437.0)</f>
        <v>489437</v>
      </c>
      <c r="B53" s="2" t="str">
        <f>IFERROR(__xludf.DUMMYFUNCTION("""COMPUTED_VALUE"""),"21912")</f>
        <v>21912</v>
      </c>
      <c r="C53" s="2" t="str">
        <f>IFERROR(__xludf.DUMMYFUNCTION("""COMPUTED_VALUE"""),"VINTAGE SNAKES &amp; LADDERS")</f>
        <v>VINTAGE SNAKES &amp; LADDERS</v>
      </c>
      <c r="D53" s="2">
        <f>IFERROR(__xludf.DUMMYFUNCTION("""COMPUTED_VALUE"""),4.0)</f>
        <v>4</v>
      </c>
      <c r="E53" s="6">
        <f>IFERROR(__xludf.DUMMYFUNCTION("""COMPUTED_VALUE"""),40148.38055555556)</f>
        <v>40148.38056</v>
      </c>
      <c r="F53" s="2">
        <f>IFERROR(__xludf.DUMMYFUNCTION("""COMPUTED_VALUE"""),3.75)</f>
        <v>3.75</v>
      </c>
      <c r="G53" s="2">
        <f>IFERROR(__xludf.DUMMYFUNCTION("""COMPUTED_VALUE"""),15362.0)</f>
        <v>15362</v>
      </c>
      <c r="H53" s="2" t="str">
        <f>IFERROR(__xludf.DUMMYFUNCTION("""COMPUTED_VALUE"""),"United Kingdom")</f>
        <v>United Kingdom</v>
      </c>
      <c r="I53" s="7">
        <f>IFERROR(__xludf.DUMMYFUNCTION("""COMPUTED_VALUE"""),40148.0)</f>
        <v>40148</v>
      </c>
      <c r="J53" s="8">
        <f>IFERROR(__xludf.DUMMYFUNCTION("""COMPUTED_VALUE"""),0.3805555555554747)</f>
        <v>0.3805555556</v>
      </c>
      <c r="K53" s="2">
        <f>IFERROR(__xludf.DUMMYFUNCTION("""COMPUTED_VALUE"""),9.0)</f>
        <v>9</v>
      </c>
      <c r="L53" s="2">
        <f>IFERROR(__xludf.DUMMYFUNCTION("""COMPUTED_VALUE"""),15.0)</f>
        <v>15</v>
      </c>
    </row>
    <row r="54">
      <c r="A54" s="2">
        <f>IFERROR(__xludf.DUMMYFUNCTION("""COMPUTED_VALUE"""),489437.0)</f>
        <v>489437</v>
      </c>
      <c r="B54" s="2" t="str">
        <f>IFERROR(__xludf.DUMMYFUNCTION("""COMPUTED_VALUE"""),"22111")</f>
        <v>22111</v>
      </c>
      <c r="C54" s="2" t="str">
        <f>IFERROR(__xludf.DUMMYFUNCTION("""COMPUTED_VALUE"""),"SCOTTIE DOG HOT WATER BOTTLE")</f>
        <v>SCOTTIE DOG HOT WATER BOTTLE</v>
      </c>
      <c r="D54" s="2">
        <f>IFERROR(__xludf.DUMMYFUNCTION("""COMPUTED_VALUE"""),3.0)</f>
        <v>3</v>
      </c>
      <c r="E54" s="6">
        <f>IFERROR(__xludf.DUMMYFUNCTION("""COMPUTED_VALUE"""),40148.38055555556)</f>
        <v>40148.38056</v>
      </c>
      <c r="F54" s="2">
        <f>IFERROR(__xludf.DUMMYFUNCTION("""COMPUTED_VALUE"""),4.95)</f>
        <v>4.95</v>
      </c>
      <c r="G54" s="2">
        <f>IFERROR(__xludf.DUMMYFUNCTION("""COMPUTED_VALUE"""),15362.0)</f>
        <v>15362</v>
      </c>
      <c r="H54" s="2" t="str">
        <f>IFERROR(__xludf.DUMMYFUNCTION("""COMPUTED_VALUE"""),"United Kingdom")</f>
        <v>United Kingdom</v>
      </c>
      <c r="I54" s="7">
        <f>IFERROR(__xludf.DUMMYFUNCTION("""COMPUTED_VALUE"""),40148.0)</f>
        <v>40148</v>
      </c>
      <c r="J54" s="8">
        <f>IFERROR(__xludf.DUMMYFUNCTION("""COMPUTED_VALUE"""),0.3805555555554747)</f>
        <v>0.3805555556</v>
      </c>
      <c r="K54" s="2">
        <f>IFERROR(__xludf.DUMMYFUNCTION("""COMPUTED_VALUE"""),9.0)</f>
        <v>9</v>
      </c>
      <c r="L54" s="2">
        <f>IFERROR(__xludf.DUMMYFUNCTION("""COMPUTED_VALUE"""),14.85)</f>
        <v>14.85</v>
      </c>
    </row>
    <row r="55">
      <c r="A55" s="2">
        <f>IFERROR(__xludf.DUMMYFUNCTION("""COMPUTED_VALUE"""),489437.0)</f>
        <v>489437</v>
      </c>
      <c r="B55" s="2" t="str">
        <f>IFERROR(__xludf.DUMMYFUNCTION("""COMPUTED_VALUE"""),"22112")</f>
        <v>22112</v>
      </c>
      <c r="C55" s="2" t="str">
        <f>IFERROR(__xludf.DUMMYFUNCTION("""COMPUTED_VALUE"""),"CHOCOLATE HOT WATER BOTTLE")</f>
        <v>CHOCOLATE HOT WATER BOTTLE</v>
      </c>
      <c r="D55" s="2">
        <f>IFERROR(__xludf.DUMMYFUNCTION("""COMPUTED_VALUE"""),3.0)</f>
        <v>3</v>
      </c>
      <c r="E55" s="6">
        <f>IFERROR(__xludf.DUMMYFUNCTION("""COMPUTED_VALUE"""),40148.38055555556)</f>
        <v>40148.38056</v>
      </c>
      <c r="F55" s="2">
        <f>IFERROR(__xludf.DUMMYFUNCTION("""COMPUTED_VALUE"""),4.95)</f>
        <v>4.95</v>
      </c>
      <c r="G55" s="2">
        <f>IFERROR(__xludf.DUMMYFUNCTION("""COMPUTED_VALUE"""),15362.0)</f>
        <v>15362</v>
      </c>
      <c r="H55" s="2" t="str">
        <f>IFERROR(__xludf.DUMMYFUNCTION("""COMPUTED_VALUE"""),"United Kingdom")</f>
        <v>United Kingdom</v>
      </c>
      <c r="I55" s="7">
        <f>IFERROR(__xludf.DUMMYFUNCTION("""COMPUTED_VALUE"""),40148.0)</f>
        <v>40148</v>
      </c>
      <c r="J55" s="8">
        <f>IFERROR(__xludf.DUMMYFUNCTION("""COMPUTED_VALUE"""),0.3805555555554747)</f>
        <v>0.3805555556</v>
      </c>
      <c r="K55" s="2">
        <f>IFERROR(__xludf.DUMMYFUNCTION("""COMPUTED_VALUE"""),9.0)</f>
        <v>9</v>
      </c>
      <c r="L55" s="2">
        <f>IFERROR(__xludf.DUMMYFUNCTION("""COMPUTED_VALUE"""),14.85)</f>
        <v>14.85</v>
      </c>
    </row>
    <row r="56">
      <c r="A56" s="2">
        <f>IFERROR(__xludf.DUMMYFUNCTION("""COMPUTED_VALUE"""),489438.0)</f>
        <v>489438</v>
      </c>
      <c r="B56" s="2" t="str">
        <f>IFERROR(__xludf.DUMMYFUNCTION("""COMPUTED_VALUE"""),"21329")</f>
        <v>21329</v>
      </c>
      <c r="C56" s="2" t="str">
        <f>IFERROR(__xludf.DUMMYFUNCTION("""COMPUTED_VALUE"""),"DINOSAURS WRITING SET")</f>
        <v>DINOSAURS WRITING SET</v>
      </c>
      <c r="D56" s="2">
        <f>IFERROR(__xludf.DUMMYFUNCTION("""COMPUTED_VALUE"""),28.0)</f>
        <v>28</v>
      </c>
      <c r="E56" s="6">
        <f>IFERROR(__xludf.DUMMYFUNCTION("""COMPUTED_VALUE"""),40148.39166666666)</f>
        <v>40148.39167</v>
      </c>
      <c r="F56" s="2">
        <f>IFERROR(__xludf.DUMMYFUNCTION("""COMPUTED_VALUE"""),0.98)</f>
        <v>0.98</v>
      </c>
      <c r="G56" s="2">
        <f>IFERROR(__xludf.DUMMYFUNCTION("""COMPUTED_VALUE"""),18102.0)</f>
        <v>18102</v>
      </c>
      <c r="H56" s="2" t="str">
        <f>IFERROR(__xludf.DUMMYFUNCTION("""COMPUTED_VALUE"""),"United Kingdom")</f>
        <v>United Kingdom</v>
      </c>
      <c r="I56" s="7">
        <f>IFERROR(__xludf.DUMMYFUNCTION("""COMPUTED_VALUE"""),40148.0)</f>
        <v>40148</v>
      </c>
      <c r="J56" s="8">
        <f>IFERROR(__xludf.DUMMYFUNCTION("""COMPUTED_VALUE"""),0.39166666666642413)</f>
        <v>0.3916666667</v>
      </c>
      <c r="K56" s="2">
        <f>IFERROR(__xludf.DUMMYFUNCTION("""COMPUTED_VALUE"""),9.0)</f>
        <v>9</v>
      </c>
      <c r="L56" s="2">
        <f>IFERROR(__xludf.DUMMYFUNCTION("""COMPUTED_VALUE"""),27.4399999999999)</f>
        <v>27.44</v>
      </c>
    </row>
    <row r="57">
      <c r="A57" s="2">
        <f>IFERROR(__xludf.DUMMYFUNCTION("""COMPUTED_VALUE"""),489438.0)</f>
        <v>489438</v>
      </c>
      <c r="B57" s="2" t="str">
        <f>IFERROR(__xludf.DUMMYFUNCTION("""COMPUTED_VALUE"""),"21252")</f>
        <v>21252</v>
      </c>
      <c r="C57" s="2" t="str">
        <f>IFERROR(__xludf.DUMMYFUNCTION("""COMPUTED_VALUE"""),"SET OF MEADOW FLOWER STICKERS")</f>
        <v>SET OF MEADOW FLOWER STICKERS</v>
      </c>
      <c r="D57" s="2">
        <f>IFERROR(__xludf.DUMMYFUNCTION("""COMPUTED_VALUE"""),30.0)</f>
        <v>30</v>
      </c>
      <c r="E57" s="6">
        <f>IFERROR(__xludf.DUMMYFUNCTION("""COMPUTED_VALUE"""),40148.39166666666)</f>
        <v>40148.39167</v>
      </c>
      <c r="F57" s="2">
        <f>IFERROR(__xludf.DUMMYFUNCTION("""COMPUTED_VALUE"""),1.69)</f>
        <v>1.69</v>
      </c>
      <c r="G57" s="2">
        <f>IFERROR(__xludf.DUMMYFUNCTION("""COMPUTED_VALUE"""),18102.0)</f>
        <v>18102</v>
      </c>
      <c r="H57" s="2" t="str">
        <f>IFERROR(__xludf.DUMMYFUNCTION("""COMPUTED_VALUE"""),"United Kingdom")</f>
        <v>United Kingdom</v>
      </c>
      <c r="I57" s="7">
        <f>IFERROR(__xludf.DUMMYFUNCTION("""COMPUTED_VALUE"""),40148.0)</f>
        <v>40148</v>
      </c>
      <c r="J57" s="8">
        <f>IFERROR(__xludf.DUMMYFUNCTION("""COMPUTED_VALUE"""),0.39166666666642413)</f>
        <v>0.3916666667</v>
      </c>
      <c r="K57" s="2">
        <f>IFERROR(__xludf.DUMMYFUNCTION("""COMPUTED_VALUE"""),9.0)</f>
        <v>9</v>
      </c>
      <c r="L57" s="2">
        <f>IFERROR(__xludf.DUMMYFUNCTION("""COMPUTED_VALUE"""),50.6999999999999)</f>
        <v>50.7</v>
      </c>
    </row>
    <row r="58">
      <c r="A58" s="2">
        <f>IFERROR(__xludf.DUMMYFUNCTION("""COMPUTED_VALUE"""),489438.0)</f>
        <v>489438</v>
      </c>
      <c r="B58" s="2" t="str">
        <f>IFERROR(__xludf.DUMMYFUNCTION("""COMPUTED_VALUE"""),"21100")</f>
        <v>21100</v>
      </c>
      <c r="C58" s="2" t="str">
        <f>IFERROR(__xludf.DUMMYFUNCTION("""COMPUTED_VALUE"""),"CHARLIE AND LOLA CHARLOTTE BAG")</f>
        <v>CHARLIE AND LOLA CHARLOTTE BAG</v>
      </c>
      <c r="D58" s="2">
        <f>IFERROR(__xludf.DUMMYFUNCTION("""COMPUTED_VALUE"""),30.0)</f>
        <v>30</v>
      </c>
      <c r="E58" s="6">
        <f>IFERROR(__xludf.DUMMYFUNCTION("""COMPUTED_VALUE"""),40148.39166666666)</f>
        <v>40148.39167</v>
      </c>
      <c r="F58" s="2">
        <f>IFERROR(__xludf.DUMMYFUNCTION("""COMPUTED_VALUE"""),1.15)</f>
        <v>1.15</v>
      </c>
      <c r="G58" s="2">
        <f>IFERROR(__xludf.DUMMYFUNCTION("""COMPUTED_VALUE"""),18102.0)</f>
        <v>18102</v>
      </c>
      <c r="H58" s="2" t="str">
        <f>IFERROR(__xludf.DUMMYFUNCTION("""COMPUTED_VALUE"""),"United Kingdom")</f>
        <v>United Kingdom</v>
      </c>
      <c r="I58" s="7">
        <f>IFERROR(__xludf.DUMMYFUNCTION("""COMPUTED_VALUE"""),40148.0)</f>
        <v>40148</v>
      </c>
      <c r="J58" s="8">
        <f>IFERROR(__xludf.DUMMYFUNCTION("""COMPUTED_VALUE"""),0.39166666666642413)</f>
        <v>0.3916666667</v>
      </c>
      <c r="K58" s="2">
        <f>IFERROR(__xludf.DUMMYFUNCTION("""COMPUTED_VALUE"""),9.0)</f>
        <v>9</v>
      </c>
      <c r="L58" s="2">
        <f>IFERROR(__xludf.DUMMYFUNCTION("""COMPUTED_VALUE"""),34.5)</f>
        <v>34.5</v>
      </c>
    </row>
    <row r="59">
      <c r="A59" s="2">
        <f>IFERROR(__xludf.DUMMYFUNCTION("""COMPUTED_VALUE"""),489438.0)</f>
        <v>489438</v>
      </c>
      <c r="B59" s="2" t="str">
        <f>IFERROR(__xludf.DUMMYFUNCTION("""COMPUTED_VALUE"""),"21033")</f>
        <v>21033</v>
      </c>
      <c r="C59" s="2" t="str">
        <f>IFERROR(__xludf.DUMMYFUNCTION("""COMPUTED_VALUE"""),"JUMBO BAG CHARLIE AND LOLA TOYS")</f>
        <v>JUMBO BAG CHARLIE AND LOLA TOYS</v>
      </c>
      <c r="D59" s="2">
        <f>IFERROR(__xludf.DUMMYFUNCTION("""COMPUTED_VALUE"""),30.0)</f>
        <v>30</v>
      </c>
      <c r="E59" s="6">
        <f>IFERROR(__xludf.DUMMYFUNCTION("""COMPUTED_VALUE"""),40148.39166666666)</f>
        <v>40148.39167</v>
      </c>
      <c r="F59" s="2">
        <f>IFERROR(__xludf.DUMMYFUNCTION("""COMPUTED_VALUE"""),2.0)</f>
        <v>2</v>
      </c>
      <c r="G59" s="2">
        <f>IFERROR(__xludf.DUMMYFUNCTION("""COMPUTED_VALUE"""),18102.0)</f>
        <v>18102</v>
      </c>
      <c r="H59" s="2" t="str">
        <f>IFERROR(__xludf.DUMMYFUNCTION("""COMPUTED_VALUE"""),"United Kingdom")</f>
        <v>United Kingdom</v>
      </c>
      <c r="I59" s="7">
        <f>IFERROR(__xludf.DUMMYFUNCTION("""COMPUTED_VALUE"""),40148.0)</f>
        <v>40148</v>
      </c>
      <c r="J59" s="8">
        <f>IFERROR(__xludf.DUMMYFUNCTION("""COMPUTED_VALUE"""),0.39166666666642413)</f>
        <v>0.3916666667</v>
      </c>
      <c r="K59" s="2">
        <f>IFERROR(__xludf.DUMMYFUNCTION("""COMPUTED_VALUE"""),9.0)</f>
        <v>9</v>
      </c>
      <c r="L59" s="2">
        <f>IFERROR(__xludf.DUMMYFUNCTION("""COMPUTED_VALUE"""),60.0)</f>
        <v>60</v>
      </c>
    </row>
    <row r="60">
      <c r="A60" s="2">
        <f>IFERROR(__xludf.DUMMYFUNCTION("""COMPUTED_VALUE"""),489438.0)</f>
        <v>489438</v>
      </c>
      <c r="B60" s="2" t="str">
        <f>IFERROR(__xludf.DUMMYFUNCTION("""COMPUTED_VALUE"""),"20711")</f>
        <v>20711</v>
      </c>
      <c r="C60" s="2" t="str">
        <f>IFERROR(__xludf.DUMMYFUNCTION("""COMPUTED_VALUE"""),"JUMBO BAG TOYS")</f>
        <v>JUMBO BAG TOYS</v>
      </c>
      <c r="D60" s="2">
        <f>IFERROR(__xludf.DUMMYFUNCTION("""COMPUTED_VALUE"""),60.0)</f>
        <v>60</v>
      </c>
      <c r="E60" s="6">
        <f>IFERROR(__xludf.DUMMYFUNCTION("""COMPUTED_VALUE"""),40148.39166666666)</f>
        <v>40148.39167</v>
      </c>
      <c r="F60" s="2">
        <f>IFERROR(__xludf.DUMMYFUNCTION("""COMPUTED_VALUE"""),1.3)</f>
        <v>1.3</v>
      </c>
      <c r="G60" s="2">
        <f>IFERROR(__xludf.DUMMYFUNCTION("""COMPUTED_VALUE"""),18102.0)</f>
        <v>18102</v>
      </c>
      <c r="H60" s="2" t="str">
        <f>IFERROR(__xludf.DUMMYFUNCTION("""COMPUTED_VALUE"""),"United Kingdom")</f>
        <v>United Kingdom</v>
      </c>
      <c r="I60" s="7">
        <f>IFERROR(__xludf.DUMMYFUNCTION("""COMPUTED_VALUE"""),40148.0)</f>
        <v>40148</v>
      </c>
      <c r="J60" s="8">
        <f>IFERROR(__xludf.DUMMYFUNCTION("""COMPUTED_VALUE"""),0.39166666666642413)</f>
        <v>0.3916666667</v>
      </c>
      <c r="K60" s="2">
        <f>IFERROR(__xludf.DUMMYFUNCTION("""COMPUTED_VALUE"""),9.0)</f>
        <v>9</v>
      </c>
      <c r="L60" s="2">
        <f>IFERROR(__xludf.DUMMYFUNCTION("""COMPUTED_VALUE"""),78.0)</f>
        <v>78</v>
      </c>
    </row>
    <row r="61">
      <c r="A61" s="2">
        <f>IFERROR(__xludf.DUMMYFUNCTION("""COMPUTED_VALUE"""),489438.0)</f>
        <v>489438</v>
      </c>
      <c r="B61" s="2" t="str">
        <f>IFERROR(__xludf.DUMMYFUNCTION("""COMPUTED_VALUE"""),"21410")</f>
        <v>21410</v>
      </c>
      <c r="C61" s="2" t="str">
        <f>IFERROR(__xludf.DUMMYFUNCTION("""COMPUTED_VALUE"""),"COUNTRY COTTAGE DOORSTOP GREEN")</f>
        <v>COUNTRY COTTAGE DOORSTOP GREEN</v>
      </c>
      <c r="D61" s="2">
        <f>IFERROR(__xludf.DUMMYFUNCTION("""COMPUTED_VALUE"""),32.0)</f>
        <v>32</v>
      </c>
      <c r="E61" s="6">
        <f>IFERROR(__xludf.DUMMYFUNCTION("""COMPUTED_VALUE"""),40148.39166666666)</f>
        <v>40148.39167</v>
      </c>
      <c r="F61" s="2">
        <f>IFERROR(__xludf.DUMMYFUNCTION("""COMPUTED_VALUE"""),2.5)</f>
        <v>2.5</v>
      </c>
      <c r="G61" s="2">
        <f>IFERROR(__xludf.DUMMYFUNCTION("""COMPUTED_VALUE"""),18102.0)</f>
        <v>18102</v>
      </c>
      <c r="H61" s="2" t="str">
        <f>IFERROR(__xludf.DUMMYFUNCTION("""COMPUTED_VALUE"""),"United Kingdom")</f>
        <v>United Kingdom</v>
      </c>
      <c r="I61" s="7">
        <f>IFERROR(__xludf.DUMMYFUNCTION("""COMPUTED_VALUE"""),40148.0)</f>
        <v>40148</v>
      </c>
      <c r="J61" s="8">
        <f>IFERROR(__xludf.DUMMYFUNCTION("""COMPUTED_VALUE"""),0.39166666666642413)</f>
        <v>0.3916666667</v>
      </c>
      <c r="K61" s="2">
        <f>IFERROR(__xludf.DUMMYFUNCTION("""COMPUTED_VALUE"""),9.0)</f>
        <v>9</v>
      </c>
      <c r="L61" s="2">
        <f>IFERROR(__xludf.DUMMYFUNCTION("""COMPUTED_VALUE"""),80.0)</f>
        <v>80</v>
      </c>
    </row>
    <row r="62">
      <c r="A62" s="2">
        <f>IFERROR(__xludf.DUMMYFUNCTION("""COMPUTED_VALUE"""),489438.0)</f>
        <v>489438</v>
      </c>
      <c r="B62" s="2" t="str">
        <f>IFERROR(__xludf.DUMMYFUNCTION("""COMPUTED_VALUE"""),"21411")</f>
        <v>21411</v>
      </c>
      <c r="C62" s="2" t="str">
        <f>IFERROR(__xludf.DUMMYFUNCTION("""COMPUTED_VALUE"""),"GINGHAM HEART DOORSTOP RED")</f>
        <v>GINGHAM HEART DOORSTOP RED</v>
      </c>
      <c r="D62" s="2">
        <f>IFERROR(__xludf.DUMMYFUNCTION("""COMPUTED_VALUE"""),32.0)</f>
        <v>32</v>
      </c>
      <c r="E62" s="6">
        <f>IFERROR(__xludf.DUMMYFUNCTION("""COMPUTED_VALUE"""),40148.39166666666)</f>
        <v>40148.39167</v>
      </c>
      <c r="F62" s="2">
        <f>IFERROR(__xludf.DUMMYFUNCTION("""COMPUTED_VALUE"""),2.5)</f>
        <v>2.5</v>
      </c>
      <c r="G62" s="2">
        <f>IFERROR(__xludf.DUMMYFUNCTION("""COMPUTED_VALUE"""),18102.0)</f>
        <v>18102</v>
      </c>
      <c r="H62" s="2" t="str">
        <f>IFERROR(__xludf.DUMMYFUNCTION("""COMPUTED_VALUE"""),"United Kingdom")</f>
        <v>United Kingdom</v>
      </c>
      <c r="I62" s="7">
        <f>IFERROR(__xludf.DUMMYFUNCTION("""COMPUTED_VALUE"""),40148.0)</f>
        <v>40148</v>
      </c>
      <c r="J62" s="8">
        <f>IFERROR(__xludf.DUMMYFUNCTION("""COMPUTED_VALUE"""),0.39166666666642413)</f>
        <v>0.3916666667</v>
      </c>
      <c r="K62" s="2">
        <f>IFERROR(__xludf.DUMMYFUNCTION("""COMPUTED_VALUE"""),9.0)</f>
        <v>9</v>
      </c>
      <c r="L62" s="2">
        <f>IFERROR(__xludf.DUMMYFUNCTION("""COMPUTED_VALUE"""),80.0)</f>
        <v>80</v>
      </c>
    </row>
    <row r="63">
      <c r="A63" s="2">
        <f>IFERROR(__xludf.DUMMYFUNCTION("""COMPUTED_VALUE"""),489438.0)</f>
        <v>489438</v>
      </c>
      <c r="B63" s="2" t="str">
        <f>IFERROR(__xludf.DUMMYFUNCTION("""COMPUTED_VALUE"""),"84031A")</f>
        <v>84031A</v>
      </c>
      <c r="C63" s="2" t="str">
        <f>IFERROR(__xludf.DUMMYFUNCTION("""COMPUTED_VALUE"""),"CHARLIE+LOLA RED HOT WATER BOTTLE")</f>
        <v>CHARLIE+LOLA RED HOT WATER BOTTLE</v>
      </c>
      <c r="D63" s="2">
        <f>IFERROR(__xludf.DUMMYFUNCTION("""COMPUTED_VALUE"""),56.0)</f>
        <v>56</v>
      </c>
      <c r="E63" s="6">
        <f>IFERROR(__xludf.DUMMYFUNCTION("""COMPUTED_VALUE"""),40148.39166666666)</f>
        <v>40148.39167</v>
      </c>
      <c r="F63" s="2">
        <f>IFERROR(__xludf.DUMMYFUNCTION("""COMPUTED_VALUE"""),3.0)</f>
        <v>3</v>
      </c>
      <c r="G63" s="2">
        <f>IFERROR(__xludf.DUMMYFUNCTION("""COMPUTED_VALUE"""),18102.0)</f>
        <v>18102</v>
      </c>
      <c r="H63" s="2" t="str">
        <f>IFERROR(__xludf.DUMMYFUNCTION("""COMPUTED_VALUE"""),"United Kingdom")</f>
        <v>United Kingdom</v>
      </c>
      <c r="I63" s="7">
        <f>IFERROR(__xludf.DUMMYFUNCTION("""COMPUTED_VALUE"""),40148.0)</f>
        <v>40148</v>
      </c>
      <c r="J63" s="8">
        <f>IFERROR(__xludf.DUMMYFUNCTION("""COMPUTED_VALUE"""),0.39166666666642413)</f>
        <v>0.3916666667</v>
      </c>
      <c r="K63" s="2">
        <f>IFERROR(__xludf.DUMMYFUNCTION("""COMPUTED_VALUE"""),9.0)</f>
        <v>9</v>
      </c>
      <c r="L63" s="2">
        <f>IFERROR(__xludf.DUMMYFUNCTION("""COMPUTED_VALUE"""),168.0)</f>
        <v>168</v>
      </c>
    </row>
    <row r="64">
      <c r="A64" s="2">
        <f>IFERROR(__xludf.DUMMYFUNCTION("""COMPUTED_VALUE"""),489438.0)</f>
        <v>489438</v>
      </c>
      <c r="B64" s="2" t="str">
        <f>IFERROR(__xludf.DUMMYFUNCTION("""COMPUTED_VALUE"""),"84031B")</f>
        <v>84031B</v>
      </c>
      <c r="C64" s="2" t="str">
        <f>IFERROR(__xludf.DUMMYFUNCTION("""COMPUTED_VALUE"""),"CHARLIE LOLA BLUE HOT WATER BOTTLE")</f>
        <v>CHARLIE LOLA BLUE HOT WATER BOTTLE</v>
      </c>
      <c r="D64" s="2">
        <f>IFERROR(__xludf.DUMMYFUNCTION("""COMPUTED_VALUE"""),56.0)</f>
        <v>56</v>
      </c>
      <c r="E64" s="6">
        <f>IFERROR(__xludf.DUMMYFUNCTION("""COMPUTED_VALUE"""),40148.39166666666)</f>
        <v>40148.39167</v>
      </c>
      <c r="F64" s="2">
        <f>IFERROR(__xludf.DUMMYFUNCTION("""COMPUTED_VALUE"""),3.0)</f>
        <v>3</v>
      </c>
      <c r="G64" s="2">
        <f>IFERROR(__xludf.DUMMYFUNCTION("""COMPUTED_VALUE"""),18102.0)</f>
        <v>18102</v>
      </c>
      <c r="H64" s="2" t="str">
        <f>IFERROR(__xludf.DUMMYFUNCTION("""COMPUTED_VALUE"""),"United Kingdom")</f>
        <v>United Kingdom</v>
      </c>
      <c r="I64" s="7">
        <f>IFERROR(__xludf.DUMMYFUNCTION("""COMPUTED_VALUE"""),40148.0)</f>
        <v>40148</v>
      </c>
      <c r="J64" s="8">
        <f>IFERROR(__xludf.DUMMYFUNCTION("""COMPUTED_VALUE"""),0.39166666666642413)</f>
        <v>0.3916666667</v>
      </c>
      <c r="K64" s="2">
        <f>IFERROR(__xludf.DUMMYFUNCTION("""COMPUTED_VALUE"""),9.0)</f>
        <v>9</v>
      </c>
      <c r="L64" s="2">
        <f>IFERROR(__xludf.DUMMYFUNCTION("""COMPUTED_VALUE"""),168.0)</f>
        <v>168</v>
      </c>
    </row>
    <row r="65">
      <c r="A65" s="2">
        <f>IFERROR(__xludf.DUMMYFUNCTION("""COMPUTED_VALUE"""),489438.0)</f>
        <v>489438</v>
      </c>
      <c r="B65" s="2" t="str">
        <f>IFERROR(__xludf.DUMMYFUNCTION("""COMPUTED_VALUE"""),"84032A")</f>
        <v>84032A</v>
      </c>
      <c r="C65" s="2" t="str">
        <f>IFERROR(__xludf.DUMMYFUNCTION("""COMPUTED_VALUE"""),"CHARLIE+LOLA PINK HOT WATER BOTTLE")</f>
        <v>CHARLIE+LOLA PINK HOT WATER BOTTLE</v>
      </c>
      <c r="D65" s="2">
        <f>IFERROR(__xludf.DUMMYFUNCTION("""COMPUTED_VALUE"""),60.0)</f>
        <v>60</v>
      </c>
      <c r="E65" s="6">
        <f>IFERROR(__xludf.DUMMYFUNCTION("""COMPUTED_VALUE"""),40148.39166666666)</f>
        <v>40148.39167</v>
      </c>
      <c r="F65" s="2">
        <f>IFERROR(__xludf.DUMMYFUNCTION("""COMPUTED_VALUE"""),1.9)</f>
        <v>1.9</v>
      </c>
      <c r="G65" s="2">
        <f>IFERROR(__xludf.DUMMYFUNCTION("""COMPUTED_VALUE"""),18102.0)</f>
        <v>18102</v>
      </c>
      <c r="H65" s="2" t="str">
        <f>IFERROR(__xludf.DUMMYFUNCTION("""COMPUTED_VALUE"""),"United Kingdom")</f>
        <v>United Kingdom</v>
      </c>
      <c r="I65" s="7">
        <f>IFERROR(__xludf.DUMMYFUNCTION("""COMPUTED_VALUE"""),40148.0)</f>
        <v>40148</v>
      </c>
      <c r="J65" s="8">
        <f>IFERROR(__xludf.DUMMYFUNCTION("""COMPUTED_VALUE"""),0.39166666666642413)</f>
        <v>0.3916666667</v>
      </c>
      <c r="K65" s="2">
        <f>IFERROR(__xludf.DUMMYFUNCTION("""COMPUTED_VALUE"""),9.0)</f>
        <v>9</v>
      </c>
      <c r="L65" s="2">
        <f>IFERROR(__xludf.DUMMYFUNCTION("""COMPUTED_VALUE"""),114.0)</f>
        <v>114</v>
      </c>
    </row>
    <row r="66">
      <c r="A66" s="2">
        <f>IFERROR(__xludf.DUMMYFUNCTION("""COMPUTED_VALUE"""),489438.0)</f>
        <v>489438</v>
      </c>
      <c r="B66" s="2" t="str">
        <f>IFERROR(__xludf.DUMMYFUNCTION("""COMPUTED_VALUE"""),"84032B")</f>
        <v>84032B</v>
      </c>
      <c r="C66" s="2" t="str">
        <f>IFERROR(__xludf.DUMMYFUNCTION("""COMPUTED_VALUE"""),"CHARLIE + LOLA RED HOT WATER BOTTLE")</f>
        <v>CHARLIE + LOLA RED HOT WATER BOTTLE</v>
      </c>
      <c r="D66" s="2">
        <f>IFERROR(__xludf.DUMMYFUNCTION("""COMPUTED_VALUE"""),56.0)</f>
        <v>56</v>
      </c>
      <c r="E66" s="6">
        <f>IFERROR(__xludf.DUMMYFUNCTION("""COMPUTED_VALUE"""),40148.39166666666)</f>
        <v>40148.39167</v>
      </c>
      <c r="F66" s="2">
        <f>IFERROR(__xludf.DUMMYFUNCTION("""COMPUTED_VALUE"""),1.9)</f>
        <v>1.9</v>
      </c>
      <c r="G66" s="2">
        <f>IFERROR(__xludf.DUMMYFUNCTION("""COMPUTED_VALUE"""),18102.0)</f>
        <v>18102</v>
      </c>
      <c r="H66" s="2" t="str">
        <f>IFERROR(__xludf.DUMMYFUNCTION("""COMPUTED_VALUE"""),"United Kingdom")</f>
        <v>United Kingdom</v>
      </c>
      <c r="I66" s="7">
        <f>IFERROR(__xludf.DUMMYFUNCTION("""COMPUTED_VALUE"""),40148.0)</f>
        <v>40148</v>
      </c>
      <c r="J66" s="8">
        <f>IFERROR(__xludf.DUMMYFUNCTION("""COMPUTED_VALUE"""),0.39166666666642413)</f>
        <v>0.3916666667</v>
      </c>
      <c r="K66" s="2">
        <f>IFERROR(__xludf.DUMMYFUNCTION("""COMPUTED_VALUE"""),9.0)</f>
        <v>9</v>
      </c>
      <c r="L66" s="2">
        <f>IFERROR(__xludf.DUMMYFUNCTION("""COMPUTED_VALUE"""),106.399999999999)</f>
        <v>106.4</v>
      </c>
    </row>
    <row r="67">
      <c r="A67" s="2">
        <f>IFERROR(__xludf.DUMMYFUNCTION("""COMPUTED_VALUE"""),489438.0)</f>
        <v>489438</v>
      </c>
      <c r="B67" s="2" t="str">
        <f>IFERROR(__xludf.DUMMYFUNCTION("""COMPUTED_VALUE"""),"84519A")</f>
        <v>84519A</v>
      </c>
      <c r="C67" s="2" t="str">
        <f>IFERROR(__xludf.DUMMYFUNCTION("""COMPUTED_VALUE"""),"TOMATO CHARLIE+LOLA COASTER SET")</f>
        <v>TOMATO CHARLIE+LOLA COASTER SET</v>
      </c>
      <c r="D67" s="2">
        <f>IFERROR(__xludf.DUMMYFUNCTION("""COMPUTED_VALUE"""),56.0)</f>
        <v>56</v>
      </c>
      <c r="E67" s="6">
        <f>IFERROR(__xludf.DUMMYFUNCTION("""COMPUTED_VALUE"""),40148.39166666666)</f>
        <v>40148.39167</v>
      </c>
      <c r="F67" s="2">
        <f>IFERROR(__xludf.DUMMYFUNCTION("""COMPUTED_VALUE"""),2.15)</f>
        <v>2.15</v>
      </c>
      <c r="G67" s="2">
        <f>IFERROR(__xludf.DUMMYFUNCTION("""COMPUTED_VALUE"""),18102.0)</f>
        <v>18102</v>
      </c>
      <c r="H67" s="2" t="str">
        <f>IFERROR(__xludf.DUMMYFUNCTION("""COMPUTED_VALUE"""),"United Kingdom")</f>
        <v>United Kingdom</v>
      </c>
      <c r="I67" s="7">
        <f>IFERROR(__xludf.DUMMYFUNCTION("""COMPUTED_VALUE"""),40148.0)</f>
        <v>40148</v>
      </c>
      <c r="J67" s="8">
        <f>IFERROR(__xludf.DUMMYFUNCTION("""COMPUTED_VALUE"""),0.39166666666642413)</f>
        <v>0.3916666667</v>
      </c>
      <c r="K67" s="2">
        <f>IFERROR(__xludf.DUMMYFUNCTION("""COMPUTED_VALUE"""),9.0)</f>
        <v>9</v>
      </c>
      <c r="L67" s="2">
        <f>IFERROR(__xludf.DUMMYFUNCTION("""COMPUTED_VALUE"""),120.399999999999)</f>
        <v>120.4</v>
      </c>
    </row>
    <row r="68">
      <c r="A68" s="2">
        <f>IFERROR(__xludf.DUMMYFUNCTION("""COMPUTED_VALUE"""),489438.0)</f>
        <v>489438</v>
      </c>
      <c r="B68" s="2" t="str">
        <f>IFERROR(__xludf.DUMMYFUNCTION("""COMPUTED_VALUE"""),"84519B")</f>
        <v>84519B</v>
      </c>
      <c r="C68" s="2" t="str">
        <f>IFERROR(__xludf.DUMMYFUNCTION("""COMPUTED_VALUE"""),"CARROT CHARLIE+LOLA COASTER SET")</f>
        <v>CARROT CHARLIE+LOLA COASTER SET</v>
      </c>
      <c r="D68" s="2">
        <f>IFERROR(__xludf.DUMMYFUNCTION("""COMPUTED_VALUE"""),60.0)</f>
        <v>60</v>
      </c>
      <c r="E68" s="6">
        <f>IFERROR(__xludf.DUMMYFUNCTION("""COMPUTED_VALUE"""),40148.39166666666)</f>
        <v>40148.39167</v>
      </c>
      <c r="F68" s="2">
        <f>IFERROR(__xludf.DUMMYFUNCTION("""COMPUTED_VALUE"""),2.4)</f>
        <v>2.4</v>
      </c>
      <c r="G68" s="2">
        <f>IFERROR(__xludf.DUMMYFUNCTION("""COMPUTED_VALUE"""),18102.0)</f>
        <v>18102</v>
      </c>
      <c r="H68" s="2" t="str">
        <f>IFERROR(__xludf.DUMMYFUNCTION("""COMPUTED_VALUE"""),"United Kingdom")</f>
        <v>United Kingdom</v>
      </c>
      <c r="I68" s="7">
        <f>IFERROR(__xludf.DUMMYFUNCTION("""COMPUTED_VALUE"""),40148.0)</f>
        <v>40148</v>
      </c>
      <c r="J68" s="8">
        <f>IFERROR(__xludf.DUMMYFUNCTION("""COMPUTED_VALUE"""),0.39166666666642413)</f>
        <v>0.3916666667</v>
      </c>
      <c r="K68" s="2">
        <f>IFERROR(__xludf.DUMMYFUNCTION("""COMPUTED_VALUE"""),9.0)</f>
        <v>9</v>
      </c>
      <c r="L68" s="2">
        <f>IFERROR(__xludf.DUMMYFUNCTION("""COMPUTED_VALUE"""),144.0)</f>
        <v>144</v>
      </c>
    </row>
    <row r="69">
      <c r="A69" s="2">
        <f>IFERROR(__xludf.DUMMYFUNCTION("""COMPUTED_VALUE"""),489438.0)</f>
        <v>489438</v>
      </c>
      <c r="B69" s="2" t="str">
        <f>IFERROR(__xludf.DUMMYFUNCTION("""COMPUTED_VALUE"""),"85132A")</f>
        <v>85132A</v>
      </c>
      <c r="C69" s="2" t="str">
        <f>IFERROR(__xludf.DUMMYFUNCTION("""COMPUTED_VALUE"""),"CHARLIE + LOLA BISCUITS TINS")</f>
        <v>CHARLIE + LOLA BISCUITS TINS</v>
      </c>
      <c r="D69" s="2">
        <f>IFERROR(__xludf.DUMMYFUNCTION("""COMPUTED_VALUE"""),60.0)</f>
        <v>60</v>
      </c>
      <c r="E69" s="6">
        <f>IFERROR(__xludf.DUMMYFUNCTION("""COMPUTED_VALUE"""),40148.39166666666)</f>
        <v>40148.39167</v>
      </c>
      <c r="F69" s="2">
        <f>IFERROR(__xludf.DUMMYFUNCTION("""COMPUTED_VALUE"""),6.38)</f>
        <v>6.38</v>
      </c>
      <c r="G69" s="2">
        <f>IFERROR(__xludf.DUMMYFUNCTION("""COMPUTED_VALUE"""),18102.0)</f>
        <v>18102</v>
      </c>
      <c r="H69" s="2" t="str">
        <f>IFERROR(__xludf.DUMMYFUNCTION("""COMPUTED_VALUE"""),"United Kingdom")</f>
        <v>United Kingdom</v>
      </c>
      <c r="I69" s="7">
        <f>IFERROR(__xludf.DUMMYFUNCTION("""COMPUTED_VALUE"""),40148.0)</f>
        <v>40148</v>
      </c>
      <c r="J69" s="8">
        <f>IFERROR(__xludf.DUMMYFUNCTION("""COMPUTED_VALUE"""),0.39166666666642413)</f>
        <v>0.3916666667</v>
      </c>
      <c r="K69" s="2">
        <f>IFERROR(__xludf.DUMMYFUNCTION("""COMPUTED_VALUE"""),9.0)</f>
        <v>9</v>
      </c>
      <c r="L69" s="2">
        <f>IFERROR(__xludf.DUMMYFUNCTION("""COMPUTED_VALUE"""),382.8)</f>
        <v>382.8</v>
      </c>
    </row>
    <row r="70">
      <c r="A70" s="2">
        <f>IFERROR(__xludf.DUMMYFUNCTION("""COMPUTED_VALUE"""),489438.0)</f>
        <v>489438</v>
      </c>
      <c r="B70" s="2" t="str">
        <f>IFERROR(__xludf.DUMMYFUNCTION("""COMPUTED_VALUE"""),"85132C")</f>
        <v>85132C</v>
      </c>
      <c r="C70" s="2" t="str">
        <f>IFERROR(__xludf.DUMMYFUNCTION("""COMPUTED_VALUE"""),"CHARLIE AND LOLA FIGURES TINS")</f>
        <v>CHARLIE AND LOLA FIGURES TINS</v>
      </c>
      <c r="D70" s="2">
        <f>IFERROR(__xludf.DUMMYFUNCTION("""COMPUTED_VALUE"""),60.0)</f>
        <v>60</v>
      </c>
      <c r="E70" s="6">
        <f>IFERROR(__xludf.DUMMYFUNCTION("""COMPUTED_VALUE"""),40148.39166666666)</f>
        <v>40148.39167</v>
      </c>
      <c r="F70" s="2">
        <f>IFERROR(__xludf.DUMMYFUNCTION("""COMPUTED_VALUE"""),6.4)</f>
        <v>6.4</v>
      </c>
      <c r="G70" s="2">
        <f>IFERROR(__xludf.DUMMYFUNCTION("""COMPUTED_VALUE"""),18102.0)</f>
        <v>18102</v>
      </c>
      <c r="H70" s="2" t="str">
        <f>IFERROR(__xludf.DUMMYFUNCTION("""COMPUTED_VALUE"""),"United Kingdom")</f>
        <v>United Kingdom</v>
      </c>
      <c r="I70" s="7">
        <f>IFERROR(__xludf.DUMMYFUNCTION("""COMPUTED_VALUE"""),40148.0)</f>
        <v>40148</v>
      </c>
      <c r="J70" s="8">
        <f>IFERROR(__xludf.DUMMYFUNCTION("""COMPUTED_VALUE"""),0.39166666666642413)</f>
        <v>0.3916666667</v>
      </c>
      <c r="K70" s="2">
        <f>IFERROR(__xludf.DUMMYFUNCTION("""COMPUTED_VALUE"""),9.0)</f>
        <v>9</v>
      </c>
      <c r="L70" s="2">
        <f>IFERROR(__xludf.DUMMYFUNCTION("""COMPUTED_VALUE"""),384.0)</f>
        <v>384</v>
      </c>
    </row>
    <row r="71">
      <c r="A71" s="2">
        <f>IFERROR(__xludf.DUMMYFUNCTION("""COMPUTED_VALUE"""),489438.0)</f>
        <v>489438</v>
      </c>
      <c r="B71" s="2" t="str">
        <f>IFERROR(__xludf.DUMMYFUNCTION("""COMPUTED_VALUE"""),"85183A")</f>
        <v>85183A</v>
      </c>
      <c r="C71" s="2" t="str">
        <f>IFERROR(__xludf.DUMMYFUNCTION("""COMPUTED_VALUE"""),"CHARLIE &amp; LOLA WASTEPAPER BIN BLUE")</f>
        <v>CHARLIE &amp; LOLA WASTEPAPER BIN BLUE</v>
      </c>
      <c r="D71" s="2">
        <f>IFERROR(__xludf.DUMMYFUNCTION("""COMPUTED_VALUE"""),60.0)</f>
        <v>60</v>
      </c>
      <c r="E71" s="6">
        <f>IFERROR(__xludf.DUMMYFUNCTION("""COMPUTED_VALUE"""),40148.39166666666)</f>
        <v>40148.39167</v>
      </c>
      <c r="F71" s="2">
        <f>IFERROR(__xludf.DUMMYFUNCTION("""COMPUTED_VALUE"""),2.4)</f>
        <v>2.4</v>
      </c>
      <c r="G71" s="2">
        <f>IFERROR(__xludf.DUMMYFUNCTION("""COMPUTED_VALUE"""),18102.0)</f>
        <v>18102</v>
      </c>
      <c r="H71" s="2" t="str">
        <f>IFERROR(__xludf.DUMMYFUNCTION("""COMPUTED_VALUE"""),"United Kingdom")</f>
        <v>United Kingdom</v>
      </c>
      <c r="I71" s="7">
        <f>IFERROR(__xludf.DUMMYFUNCTION("""COMPUTED_VALUE"""),40148.0)</f>
        <v>40148</v>
      </c>
      <c r="J71" s="8">
        <f>IFERROR(__xludf.DUMMYFUNCTION("""COMPUTED_VALUE"""),0.39166666666642413)</f>
        <v>0.3916666667</v>
      </c>
      <c r="K71" s="2">
        <f>IFERROR(__xludf.DUMMYFUNCTION("""COMPUTED_VALUE"""),9.0)</f>
        <v>9</v>
      </c>
      <c r="L71" s="2">
        <f>IFERROR(__xludf.DUMMYFUNCTION("""COMPUTED_VALUE"""),144.0)</f>
        <v>144</v>
      </c>
    </row>
    <row r="72">
      <c r="A72" s="2">
        <f>IFERROR(__xludf.DUMMYFUNCTION("""COMPUTED_VALUE"""),489438.0)</f>
        <v>489438</v>
      </c>
      <c r="B72" s="2" t="str">
        <f>IFERROR(__xludf.DUMMYFUNCTION("""COMPUTED_VALUE"""),"85183B")</f>
        <v>85183B</v>
      </c>
      <c r="C72" s="2" t="str">
        <f>IFERROR(__xludf.DUMMYFUNCTION("""COMPUTED_VALUE"""),"CHARLIE &amp; LOLA WASTEPAPER BIN FLORA")</f>
        <v>CHARLIE &amp; LOLA WASTEPAPER BIN FLORA</v>
      </c>
      <c r="D72" s="2">
        <f>IFERROR(__xludf.DUMMYFUNCTION("""COMPUTED_VALUE"""),60.0)</f>
        <v>60</v>
      </c>
      <c r="E72" s="6">
        <f>IFERROR(__xludf.DUMMYFUNCTION("""COMPUTED_VALUE"""),40148.39166666666)</f>
        <v>40148.39167</v>
      </c>
      <c r="F72" s="2">
        <f>IFERROR(__xludf.DUMMYFUNCTION("""COMPUTED_VALUE"""),2.4)</f>
        <v>2.4</v>
      </c>
      <c r="G72" s="2">
        <f>IFERROR(__xludf.DUMMYFUNCTION("""COMPUTED_VALUE"""),18102.0)</f>
        <v>18102</v>
      </c>
      <c r="H72" s="2" t="str">
        <f>IFERROR(__xludf.DUMMYFUNCTION("""COMPUTED_VALUE"""),"United Kingdom")</f>
        <v>United Kingdom</v>
      </c>
      <c r="I72" s="7">
        <f>IFERROR(__xludf.DUMMYFUNCTION("""COMPUTED_VALUE"""),40148.0)</f>
        <v>40148</v>
      </c>
      <c r="J72" s="8">
        <f>IFERROR(__xludf.DUMMYFUNCTION("""COMPUTED_VALUE"""),0.39166666666642413)</f>
        <v>0.3916666667</v>
      </c>
      <c r="K72" s="2">
        <f>IFERROR(__xludf.DUMMYFUNCTION("""COMPUTED_VALUE"""),9.0)</f>
        <v>9</v>
      </c>
      <c r="L72" s="2">
        <f>IFERROR(__xludf.DUMMYFUNCTION("""COMPUTED_VALUE"""),144.0)</f>
        <v>144</v>
      </c>
    </row>
    <row r="73">
      <c r="A73" s="2">
        <f>IFERROR(__xludf.DUMMYFUNCTION("""COMPUTED_VALUE"""),489439.0)</f>
        <v>489439</v>
      </c>
      <c r="B73" s="2" t="str">
        <f>IFERROR(__xludf.DUMMYFUNCTION("""COMPUTED_VALUE"""),"22065")</f>
        <v>22065</v>
      </c>
      <c r="C73" s="2" t="str">
        <f>IFERROR(__xludf.DUMMYFUNCTION("""COMPUTED_VALUE"""),"CHRISTMAS PUDDING TRINKET POT")</f>
        <v>CHRISTMAS PUDDING TRINKET POT</v>
      </c>
      <c r="D73" s="2">
        <f>IFERROR(__xludf.DUMMYFUNCTION("""COMPUTED_VALUE"""),12.0)</f>
        <v>12</v>
      </c>
      <c r="E73" s="6">
        <f>IFERROR(__xludf.DUMMYFUNCTION("""COMPUTED_VALUE"""),40148.39444444444)</f>
        <v>40148.39444</v>
      </c>
      <c r="F73" s="2">
        <f>IFERROR(__xludf.DUMMYFUNCTION("""COMPUTED_VALUE"""),1.45)</f>
        <v>1.45</v>
      </c>
      <c r="G73" s="2">
        <f>IFERROR(__xludf.DUMMYFUNCTION("""COMPUTED_VALUE"""),12682.0)</f>
        <v>12682</v>
      </c>
      <c r="H73" s="2" t="str">
        <f>IFERROR(__xludf.DUMMYFUNCTION("""COMPUTED_VALUE"""),"France")</f>
        <v>France</v>
      </c>
      <c r="I73" s="7">
        <f>IFERROR(__xludf.DUMMYFUNCTION("""COMPUTED_VALUE"""),40148.0)</f>
        <v>40148</v>
      </c>
      <c r="J73" s="8">
        <f>IFERROR(__xludf.DUMMYFUNCTION("""COMPUTED_VALUE"""),0.3944444444459805)</f>
        <v>0.3944444444</v>
      </c>
      <c r="K73" s="2">
        <f>IFERROR(__xludf.DUMMYFUNCTION("""COMPUTED_VALUE"""),9.0)</f>
        <v>9</v>
      </c>
      <c r="L73" s="2">
        <f>IFERROR(__xludf.DUMMYFUNCTION("""COMPUTED_VALUE"""),17.4)</f>
        <v>17.4</v>
      </c>
    </row>
    <row r="74">
      <c r="A74" s="2">
        <f>IFERROR(__xludf.DUMMYFUNCTION("""COMPUTED_VALUE"""),489439.0)</f>
        <v>489439</v>
      </c>
      <c r="B74" s="2" t="str">
        <f>IFERROR(__xludf.DUMMYFUNCTION("""COMPUTED_VALUE"""),"22138")</f>
        <v>22138</v>
      </c>
      <c r="C74" s="2" t="str">
        <f>IFERROR(__xludf.DUMMYFUNCTION("""COMPUTED_VALUE"""),"BAKING SET 9 PIECE RETROSPOT")</f>
        <v>BAKING SET 9 PIECE RETROSPOT</v>
      </c>
      <c r="D74" s="2">
        <f>IFERROR(__xludf.DUMMYFUNCTION("""COMPUTED_VALUE"""),9.0)</f>
        <v>9</v>
      </c>
      <c r="E74" s="6">
        <f>IFERROR(__xludf.DUMMYFUNCTION("""COMPUTED_VALUE"""),40148.39444444444)</f>
        <v>40148.39444</v>
      </c>
      <c r="F74" s="2">
        <f>IFERROR(__xludf.DUMMYFUNCTION("""COMPUTED_VALUE"""),4.95)</f>
        <v>4.95</v>
      </c>
      <c r="G74" s="2">
        <f>IFERROR(__xludf.DUMMYFUNCTION("""COMPUTED_VALUE"""),12682.0)</f>
        <v>12682</v>
      </c>
      <c r="H74" s="2" t="str">
        <f>IFERROR(__xludf.DUMMYFUNCTION("""COMPUTED_VALUE"""),"France")</f>
        <v>France</v>
      </c>
      <c r="I74" s="7">
        <f>IFERROR(__xludf.DUMMYFUNCTION("""COMPUTED_VALUE"""),40148.0)</f>
        <v>40148</v>
      </c>
      <c r="J74" s="8">
        <f>IFERROR(__xludf.DUMMYFUNCTION("""COMPUTED_VALUE"""),0.3944444444459805)</f>
        <v>0.3944444444</v>
      </c>
      <c r="K74" s="2">
        <f>IFERROR(__xludf.DUMMYFUNCTION("""COMPUTED_VALUE"""),9.0)</f>
        <v>9</v>
      </c>
      <c r="L74" s="2">
        <f>IFERROR(__xludf.DUMMYFUNCTION("""COMPUTED_VALUE"""),44.55)</f>
        <v>44.55</v>
      </c>
    </row>
    <row r="75">
      <c r="A75" s="2">
        <f>IFERROR(__xludf.DUMMYFUNCTION("""COMPUTED_VALUE"""),489439.0)</f>
        <v>489439</v>
      </c>
      <c r="B75" s="2" t="str">
        <f>IFERROR(__xludf.DUMMYFUNCTION("""COMPUTED_VALUE"""),"22139")</f>
        <v>22139</v>
      </c>
      <c r="C75" s="2" t="str">
        <f>IFERROR(__xludf.DUMMYFUNCTION("""COMPUTED_VALUE"""),"RETRO SPOT TEA SET CERAMIC 11 PC")</f>
        <v>RETRO SPOT TEA SET CERAMIC 11 PC</v>
      </c>
      <c r="D75" s="2">
        <f>IFERROR(__xludf.DUMMYFUNCTION("""COMPUTED_VALUE"""),9.0)</f>
        <v>9</v>
      </c>
      <c r="E75" s="6">
        <f>IFERROR(__xludf.DUMMYFUNCTION("""COMPUTED_VALUE"""),40148.39444444444)</f>
        <v>40148.39444</v>
      </c>
      <c r="F75" s="2">
        <f>IFERROR(__xludf.DUMMYFUNCTION("""COMPUTED_VALUE"""),4.95)</f>
        <v>4.95</v>
      </c>
      <c r="G75" s="2">
        <f>IFERROR(__xludf.DUMMYFUNCTION("""COMPUTED_VALUE"""),12682.0)</f>
        <v>12682</v>
      </c>
      <c r="H75" s="2" t="str">
        <f>IFERROR(__xludf.DUMMYFUNCTION("""COMPUTED_VALUE"""),"France")</f>
        <v>France</v>
      </c>
      <c r="I75" s="7">
        <f>IFERROR(__xludf.DUMMYFUNCTION("""COMPUTED_VALUE"""),40148.0)</f>
        <v>40148</v>
      </c>
      <c r="J75" s="8">
        <f>IFERROR(__xludf.DUMMYFUNCTION("""COMPUTED_VALUE"""),0.3944444444459805)</f>
        <v>0.3944444444</v>
      </c>
      <c r="K75" s="2">
        <f>IFERROR(__xludf.DUMMYFUNCTION("""COMPUTED_VALUE"""),9.0)</f>
        <v>9</v>
      </c>
      <c r="L75" s="2">
        <f>IFERROR(__xludf.DUMMYFUNCTION("""COMPUTED_VALUE"""),44.55)</f>
        <v>44.55</v>
      </c>
    </row>
    <row r="76">
      <c r="A76" s="2">
        <f>IFERROR(__xludf.DUMMYFUNCTION("""COMPUTED_VALUE"""),489439.0)</f>
        <v>489439</v>
      </c>
      <c r="B76" s="2" t="str">
        <f>IFERROR(__xludf.DUMMYFUNCTION("""COMPUTED_VALUE"""),"22352")</f>
        <v>22352</v>
      </c>
      <c r="C76" s="2" t="str">
        <f>IFERROR(__xludf.DUMMYFUNCTION("""COMPUTED_VALUE"""),"LUNCHBOX WITH CUTLERY RETROSPOT")</f>
        <v>LUNCHBOX WITH CUTLERY RETROSPOT</v>
      </c>
      <c r="D76" s="2">
        <f>IFERROR(__xludf.DUMMYFUNCTION("""COMPUTED_VALUE"""),12.0)</f>
        <v>12</v>
      </c>
      <c r="E76" s="6">
        <f>IFERROR(__xludf.DUMMYFUNCTION("""COMPUTED_VALUE"""),40148.39444444444)</f>
        <v>40148.39444</v>
      </c>
      <c r="F76" s="2">
        <f>IFERROR(__xludf.DUMMYFUNCTION("""COMPUTED_VALUE"""),2.55)</f>
        <v>2.55</v>
      </c>
      <c r="G76" s="2">
        <f>IFERROR(__xludf.DUMMYFUNCTION("""COMPUTED_VALUE"""),12682.0)</f>
        <v>12682</v>
      </c>
      <c r="H76" s="2" t="str">
        <f>IFERROR(__xludf.DUMMYFUNCTION("""COMPUTED_VALUE"""),"France")</f>
        <v>France</v>
      </c>
      <c r="I76" s="7">
        <f>IFERROR(__xludf.DUMMYFUNCTION("""COMPUTED_VALUE"""),40148.0)</f>
        <v>40148</v>
      </c>
      <c r="J76" s="8">
        <f>IFERROR(__xludf.DUMMYFUNCTION("""COMPUTED_VALUE"""),0.3944444444459805)</f>
        <v>0.3944444444</v>
      </c>
      <c r="K76" s="2">
        <f>IFERROR(__xludf.DUMMYFUNCTION("""COMPUTED_VALUE"""),9.0)</f>
        <v>9</v>
      </c>
      <c r="L76" s="2">
        <f>IFERROR(__xludf.DUMMYFUNCTION("""COMPUTED_VALUE"""),30.5999999999999)</f>
        <v>30.6</v>
      </c>
    </row>
    <row r="77">
      <c r="A77" s="2">
        <f>IFERROR(__xludf.DUMMYFUNCTION("""COMPUTED_VALUE"""),489439.0)</f>
        <v>489439</v>
      </c>
      <c r="B77" s="2" t="str">
        <f>IFERROR(__xludf.DUMMYFUNCTION("""COMPUTED_VALUE"""),"85014A")</f>
        <v>85014A</v>
      </c>
      <c r="C77" s="2" t="str">
        <f>IFERROR(__xludf.DUMMYFUNCTION("""COMPUTED_VALUE"""),"BLACK/BLUE DOTS RUFFLED UMBRELLA")</f>
        <v>BLACK/BLUE DOTS RUFFLED UMBRELLA</v>
      </c>
      <c r="D77" s="2">
        <f>IFERROR(__xludf.DUMMYFUNCTION("""COMPUTED_VALUE"""),3.0)</f>
        <v>3</v>
      </c>
      <c r="E77" s="6">
        <f>IFERROR(__xludf.DUMMYFUNCTION("""COMPUTED_VALUE"""),40148.39444444444)</f>
        <v>40148.39444</v>
      </c>
      <c r="F77" s="2">
        <f>IFERROR(__xludf.DUMMYFUNCTION("""COMPUTED_VALUE"""),5.95)</f>
        <v>5.95</v>
      </c>
      <c r="G77" s="2">
        <f>IFERROR(__xludf.DUMMYFUNCTION("""COMPUTED_VALUE"""),12682.0)</f>
        <v>12682</v>
      </c>
      <c r="H77" s="2" t="str">
        <f>IFERROR(__xludf.DUMMYFUNCTION("""COMPUTED_VALUE"""),"France")</f>
        <v>France</v>
      </c>
      <c r="I77" s="7">
        <f>IFERROR(__xludf.DUMMYFUNCTION("""COMPUTED_VALUE"""),40148.0)</f>
        <v>40148</v>
      </c>
      <c r="J77" s="8">
        <f>IFERROR(__xludf.DUMMYFUNCTION("""COMPUTED_VALUE"""),0.3944444444459805)</f>
        <v>0.3944444444</v>
      </c>
      <c r="K77" s="2">
        <f>IFERROR(__xludf.DUMMYFUNCTION("""COMPUTED_VALUE"""),9.0)</f>
        <v>9</v>
      </c>
      <c r="L77" s="2">
        <f>IFERROR(__xludf.DUMMYFUNCTION("""COMPUTED_VALUE"""),17.85)</f>
        <v>17.85</v>
      </c>
    </row>
    <row r="78">
      <c r="A78" s="2">
        <f>IFERROR(__xludf.DUMMYFUNCTION("""COMPUTED_VALUE"""),489439.0)</f>
        <v>489439</v>
      </c>
      <c r="B78" s="2" t="str">
        <f>IFERROR(__xludf.DUMMYFUNCTION("""COMPUTED_VALUE"""),"85014B")</f>
        <v>85014B</v>
      </c>
      <c r="C78" s="2" t="str">
        <f>IFERROR(__xludf.DUMMYFUNCTION("""COMPUTED_VALUE"""),"RED/WHITE DOTS RUFFLED UMBRELLA")</f>
        <v>RED/WHITE DOTS RUFFLED UMBRELLA</v>
      </c>
      <c r="D78" s="2">
        <f>IFERROR(__xludf.DUMMYFUNCTION("""COMPUTED_VALUE"""),3.0)</f>
        <v>3</v>
      </c>
      <c r="E78" s="6">
        <f>IFERROR(__xludf.DUMMYFUNCTION("""COMPUTED_VALUE"""),40148.39444444444)</f>
        <v>40148.39444</v>
      </c>
      <c r="F78" s="2">
        <f>IFERROR(__xludf.DUMMYFUNCTION("""COMPUTED_VALUE"""),5.95)</f>
        <v>5.95</v>
      </c>
      <c r="G78" s="2">
        <f>IFERROR(__xludf.DUMMYFUNCTION("""COMPUTED_VALUE"""),12682.0)</f>
        <v>12682</v>
      </c>
      <c r="H78" s="2" t="str">
        <f>IFERROR(__xludf.DUMMYFUNCTION("""COMPUTED_VALUE"""),"France")</f>
        <v>France</v>
      </c>
      <c r="I78" s="7">
        <f>IFERROR(__xludf.DUMMYFUNCTION("""COMPUTED_VALUE"""),40148.0)</f>
        <v>40148</v>
      </c>
      <c r="J78" s="8">
        <f>IFERROR(__xludf.DUMMYFUNCTION("""COMPUTED_VALUE"""),0.3944444444459805)</f>
        <v>0.3944444444</v>
      </c>
      <c r="K78" s="2">
        <f>IFERROR(__xludf.DUMMYFUNCTION("""COMPUTED_VALUE"""),9.0)</f>
        <v>9</v>
      </c>
      <c r="L78" s="2">
        <f>IFERROR(__xludf.DUMMYFUNCTION("""COMPUTED_VALUE"""),17.85)</f>
        <v>17.85</v>
      </c>
    </row>
    <row r="79">
      <c r="A79" s="2">
        <f>IFERROR(__xludf.DUMMYFUNCTION("""COMPUTED_VALUE"""),489439.0)</f>
        <v>489439</v>
      </c>
      <c r="B79" s="2" t="str">
        <f>IFERROR(__xludf.DUMMYFUNCTION("""COMPUTED_VALUE"""),"16161P")</f>
        <v>16161P</v>
      </c>
      <c r="C79" s="2" t="str">
        <f>IFERROR(__xludf.DUMMYFUNCTION("""COMPUTED_VALUE"""),"WRAP ENGLISH ROSE")</f>
        <v>WRAP ENGLISH ROSE</v>
      </c>
      <c r="D79" s="2">
        <f>IFERROR(__xludf.DUMMYFUNCTION("""COMPUTED_VALUE"""),25.0)</f>
        <v>25</v>
      </c>
      <c r="E79" s="6">
        <f>IFERROR(__xludf.DUMMYFUNCTION("""COMPUTED_VALUE"""),40148.39444444444)</f>
        <v>40148.39444</v>
      </c>
      <c r="F79" s="2">
        <f>IFERROR(__xludf.DUMMYFUNCTION("""COMPUTED_VALUE"""),0.42)</f>
        <v>0.42</v>
      </c>
      <c r="G79" s="2">
        <f>IFERROR(__xludf.DUMMYFUNCTION("""COMPUTED_VALUE"""),12682.0)</f>
        <v>12682</v>
      </c>
      <c r="H79" s="2" t="str">
        <f>IFERROR(__xludf.DUMMYFUNCTION("""COMPUTED_VALUE"""),"France")</f>
        <v>France</v>
      </c>
      <c r="I79" s="7">
        <f>IFERROR(__xludf.DUMMYFUNCTION("""COMPUTED_VALUE"""),40148.0)</f>
        <v>40148</v>
      </c>
      <c r="J79" s="8">
        <f>IFERROR(__xludf.DUMMYFUNCTION("""COMPUTED_VALUE"""),0.3944444444459805)</f>
        <v>0.3944444444</v>
      </c>
      <c r="K79" s="2">
        <f>IFERROR(__xludf.DUMMYFUNCTION("""COMPUTED_VALUE"""),9.0)</f>
        <v>9</v>
      </c>
      <c r="L79" s="2">
        <f>IFERROR(__xludf.DUMMYFUNCTION("""COMPUTED_VALUE"""),10.5)</f>
        <v>10.5</v>
      </c>
    </row>
    <row r="80">
      <c r="A80" s="2">
        <f>IFERROR(__xludf.DUMMYFUNCTION("""COMPUTED_VALUE"""),489439.0)</f>
        <v>489439</v>
      </c>
      <c r="B80" s="2" t="str">
        <f>IFERROR(__xludf.DUMMYFUNCTION("""COMPUTED_VALUE"""),"16169N")</f>
        <v>16169N</v>
      </c>
      <c r="C80" s="2" t="str">
        <f>IFERROR(__xludf.DUMMYFUNCTION("""COMPUTED_VALUE"""),"WRAP BLUE RUSSIAN FOLKART")</f>
        <v>WRAP BLUE RUSSIAN FOLKART</v>
      </c>
      <c r="D80" s="2">
        <f>IFERROR(__xludf.DUMMYFUNCTION("""COMPUTED_VALUE"""),25.0)</f>
        <v>25</v>
      </c>
      <c r="E80" s="6">
        <f>IFERROR(__xludf.DUMMYFUNCTION("""COMPUTED_VALUE"""),40148.39444444444)</f>
        <v>40148.39444</v>
      </c>
      <c r="F80" s="2">
        <f>IFERROR(__xludf.DUMMYFUNCTION("""COMPUTED_VALUE"""),0.42)</f>
        <v>0.42</v>
      </c>
      <c r="G80" s="2">
        <f>IFERROR(__xludf.DUMMYFUNCTION("""COMPUTED_VALUE"""),12682.0)</f>
        <v>12682</v>
      </c>
      <c r="H80" s="2" t="str">
        <f>IFERROR(__xludf.DUMMYFUNCTION("""COMPUTED_VALUE"""),"France")</f>
        <v>France</v>
      </c>
      <c r="I80" s="7">
        <f>IFERROR(__xludf.DUMMYFUNCTION("""COMPUTED_VALUE"""),40148.0)</f>
        <v>40148</v>
      </c>
      <c r="J80" s="8">
        <f>IFERROR(__xludf.DUMMYFUNCTION("""COMPUTED_VALUE"""),0.3944444444459805)</f>
        <v>0.3944444444</v>
      </c>
      <c r="K80" s="2">
        <f>IFERROR(__xludf.DUMMYFUNCTION("""COMPUTED_VALUE"""),9.0)</f>
        <v>9</v>
      </c>
      <c r="L80" s="2">
        <f>IFERROR(__xludf.DUMMYFUNCTION("""COMPUTED_VALUE"""),10.5)</f>
        <v>10.5</v>
      </c>
    </row>
    <row r="81">
      <c r="A81" s="2">
        <f>IFERROR(__xludf.DUMMYFUNCTION("""COMPUTED_VALUE"""),489439.0)</f>
        <v>489439</v>
      </c>
      <c r="B81" s="2" t="str">
        <f>IFERROR(__xludf.DUMMYFUNCTION("""COMPUTED_VALUE"""),"21491")</f>
        <v>21491</v>
      </c>
      <c r="C81" s="2" t="str">
        <f>IFERROR(__xludf.DUMMYFUNCTION("""COMPUTED_VALUE"""),"SET OF THREE VINTAGE GIFT WRAPS")</f>
        <v>SET OF THREE VINTAGE GIFT WRAPS</v>
      </c>
      <c r="D81" s="2">
        <f>IFERROR(__xludf.DUMMYFUNCTION("""COMPUTED_VALUE"""),6.0)</f>
        <v>6</v>
      </c>
      <c r="E81" s="6">
        <f>IFERROR(__xludf.DUMMYFUNCTION("""COMPUTED_VALUE"""),40148.39444444444)</f>
        <v>40148.39444</v>
      </c>
      <c r="F81" s="2">
        <f>IFERROR(__xludf.DUMMYFUNCTION("""COMPUTED_VALUE"""),1.95)</f>
        <v>1.95</v>
      </c>
      <c r="G81" s="2">
        <f>IFERROR(__xludf.DUMMYFUNCTION("""COMPUTED_VALUE"""),12682.0)</f>
        <v>12682</v>
      </c>
      <c r="H81" s="2" t="str">
        <f>IFERROR(__xludf.DUMMYFUNCTION("""COMPUTED_VALUE"""),"France")</f>
        <v>France</v>
      </c>
      <c r="I81" s="7">
        <f>IFERROR(__xludf.DUMMYFUNCTION("""COMPUTED_VALUE"""),40148.0)</f>
        <v>40148</v>
      </c>
      <c r="J81" s="8">
        <f>IFERROR(__xludf.DUMMYFUNCTION("""COMPUTED_VALUE"""),0.3944444444459805)</f>
        <v>0.3944444444</v>
      </c>
      <c r="K81" s="2">
        <f>IFERROR(__xludf.DUMMYFUNCTION("""COMPUTED_VALUE"""),9.0)</f>
        <v>9</v>
      </c>
      <c r="L81" s="2">
        <f>IFERROR(__xludf.DUMMYFUNCTION("""COMPUTED_VALUE"""),11.7)</f>
        <v>11.7</v>
      </c>
    </row>
    <row r="82">
      <c r="A82" s="2">
        <f>IFERROR(__xludf.DUMMYFUNCTION("""COMPUTED_VALUE"""),489439.0)</f>
        <v>489439</v>
      </c>
      <c r="B82" s="2" t="str">
        <f>IFERROR(__xludf.DUMMYFUNCTION("""COMPUTED_VALUE"""),"22333")</f>
        <v>22333</v>
      </c>
      <c r="C82" s="2" t="str">
        <f>IFERROR(__xludf.DUMMYFUNCTION("""COMPUTED_VALUE"""),"RETRO SPORT PARTY BAG + STICKER SET")</f>
        <v>RETRO SPORT PARTY BAG + STICKER SET</v>
      </c>
      <c r="D82" s="2">
        <f>IFERROR(__xludf.DUMMYFUNCTION("""COMPUTED_VALUE"""),8.0)</f>
        <v>8</v>
      </c>
      <c r="E82" s="6">
        <f>IFERROR(__xludf.DUMMYFUNCTION("""COMPUTED_VALUE"""),40148.39444444444)</f>
        <v>40148.39444</v>
      </c>
      <c r="F82" s="2">
        <f>IFERROR(__xludf.DUMMYFUNCTION("""COMPUTED_VALUE"""),1.65)</f>
        <v>1.65</v>
      </c>
      <c r="G82" s="2">
        <f>IFERROR(__xludf.DUMMYFUNCTION("""COMPUTED_VALUE"""),12682.0)</f>
        <v>12682</v>
      </c>
      <c r="H82" s="2" t="str">
        <f>IFERROR(__xludf.DUMMYFUNCTION("""COMPUTED_VALUE"""),"France")</f>
        <v>France</v>
      </c>
      <c r="I82" s="7">
        <f>IFERROR(__xludf.DUMMYFUNCTION("""COMPUTED_VALUE"""),40148.0)</f>
        <v>40148</v>
      </c>
      <c r="J82" s="8">
        <f>IFERROR(__xludf.DUMMYFUNCTION("""COMPUTED_VALUE"""),0.3944444444459805)</f>
        <v>0.3944444444</v>
      </c>
      <c r="K82" s="2">
        <f>IFERROR(__xludf.DUMMYFUNCTION("""COMPUTED_VALUE"""),9.0)</f>
        <v>9</v>
      </c>
      <c r="L82" s="2">
        <f>IFERROR(__xludf.DUMMYFUNCTION("""COMPUTED_VALUE"""),13.2)</f>
        <v>13.2</v>
      </c>
    </row>
    <row r="83">
      <c r="A83" s="2">
        <f>IFERROR(__xludf.DUMMYFUNCTION("""COMPUTED_VALUE"""),489439.0)</f>
        <v>489439</v>
      </c>
      <c r="B83" s="2" t="str">
        <f>IFERROR(__xludf.DUMMYFUNCTION("""COMPUTED_VALUE"""),"85216")</f>
        <v>85216</v>
      </c>
      <c r="C83" s="2" t="str">
        <f>IFERROR(__xludf.DUMMYFUNCTION("""COMPUTED_VALUE"""),"ASSORTED CAKES FRIDGE MAGNETS")</f>
        <v>ASSORTED CAKES FRIDGE MAGNETS</v>
      </c>
      <c r="D83" s="2">
        <f>IFERROR(__xludf.DUMMYFUNCTION("""COMPUTED_VALUE"""),12.0)</f>
        <v>12</v>
      </c>
      <c r="E83" s="6">
        <f>IFERROR(__xludf.DUMMYFUNCTION("""COMPUTED_VALUE"""),40148.39444444444)</f>
        <v>40148.39444</v>
      </c>
      <c r="F83" s="2">
        <f>IFERROR(__xludf.DUMMYFUNCTION("""COMPUTED_VALUE"""),0.65)</f>
        <v>0.65</v>
      </c>
      <c r="G83" s="2">
        <f>IFERROR(__xludf.DUMMYFUNCTION("""COMPUTED_VALUE"""),12682.0)</f>
        <v>12682</v>
      </c>
      <c r="H83" s="2" t="str">
        <f>IFERROR(__xludf.DUMMYFUNCTION("""COMPUTED_VALUE"""),"France")</f>
        <v>France</v>
      </c>
      <c r="I83" s="7">
        <f>IFERROR(__xludf.DUMMYFUNCTION("""COMPUTED_VALUE"""),40148.0)</f>
        <v>40148</v>
      </c>
      <c r="J83" s="8">
        <f>IFERROR(__xludf.DUMMYFUNCTION("""COMPUTED_VALUE"""),0.3944444444459805)</f>
        <v>0.3944444444</v>
      </c>
      <c r="K83" s="2">
        <f>IFERROR(__xludf.DUMMYFUNCTION("""COMPUTED_VALUE"""),9.0)</f>
        <v>9</v>
      </c>
      <c r="L83" s="2">
        <f>IFERROR(__xludf.DUMMYFUNCTION("""COMPUTED_VALUE"""),7.8)</f>
        <v>7.8</v>
      </c>
    </row>
    <row r="84">
      <c r="A84" s="2">
        <f>IFERROR(__xludf.DUMMYFUNCTION("""COMPUTED_VALUE"""),489439.0)</f>
        <v>489439</v>
      </c>
      <c r="B84" s="2" t="str">
        <f>IFERROR(__xludf.DUMMYFUNCTION("""COMPUTED_VALUE"""),"21493")</f>
        <v>21493</v>
      </c>
      <c r="C84" s="2" t="str">
        <f>IFERROR(__xludf.DUMMYFUNCTION("""COMPUTED_VALUE"""),"VINTAGE DESIGN GIFT TAGS")</f>
        <v>VINTAGE DESIGN GIFT TAGS</v>
      </c>
      <c r="D84" s="2">
        <f>IFERROR(__xludf.DUMMYFUNCTION("""COMPUTED_VALUE"""),12.0)</f>
        <v>12</v>
      </c>
      <c r="E84" s="6">
        <f>IFERROR(__xludf.DUMMYFUNCTION("""COMPUTED_VALUE"""),40148.39444444444)</f>
        <v>40148.39444</v>
      </c>
      <c r="F84" s="2">
        <f>IFERROR(__xludf.DUMMYFUNCTION("""COMPUTED_VALUE"""),0.85)</f>
        <v>0.85</v>
      </c>
      <c r="G84" s="2">
        <f>IFERROR(__xludf.DUMMYFUNCTION("""COMPUTED_VALUE"""),12682.0)</f>
        <v>12682</v>
      </c>
      <c r="H84" s="2" t="str">
        <f>IFERROR(__xludf.DUMMYFUNCTION("""COMPUTED_VALUE"""),"France")</f>
        <v>France</v>
      </c>
      <c r="I84" s="7">
        <f>IFERROR(__xludf.DUMMYFUNCTION("""COMPUTED_VALUE"""),40148.0)</f>
        <v>40148</v>
      </c>
      <c r="J84" s="8">
        <f>IFERROR(__xludf.DUMMYFUNCTION("""COMPUTED_VALUE"""),0.3944444444459805)</f>
        <v>0.3944444444</v>
      </c>
      <c r="K84" s="2">
        <f>IFERROR(__xludf.DUMMYFUNCTION("""COMPUTED_VALUE"""),9.0)</f>
        <v>9</v>
      </c>
      <c r="L84" s="2">
        <f>IFERROR(__xludf.DUMMYFUNCTION("""COMPUTED_VALUE"""),10.2)</f>
        <v>10.2</v>
      </c>
    </row>
    <row r="85">
      <c r="A85" s="2">
        <f>IFERROR(__xludf.DUMMYFUNCTION("""COMPUTED_VALUE"""),489439.0)</f>
        <v>489439</v>
      </c>
      <c r="B85" s="2" t="str">
        <f>IFERROR(__xludf.DUMMYFUNCTION("""COMPUTED_VALUE"""),"22130")</f>
        <v>22130</v>
      </c>
      <c r="C85" s="2" t="str">
        <f>IFERROR(__xludf.DUMMYFUNCTION("""COMPUTED_VALUE"""),"PARTY CONE CHRISTMAS DECORATION")</f>
        <v>PARTY CONE CHRISTMAS DECORATION</v>
      </c>
      <c r="D85" s="2">
        <f>IFERROR(__xludf.DUMMYFUNCTION("""COMPUTED_VALUE"""),24.0)</f>
        <v>24</v>
      </c>
      <c r="E85" s="6">
        <f>IFERROR(__xludf.DUMMYFUNCTION("""COMPUTED_VALUE"""),40148.39444444444)</f>
        <v>40148.39444</v>
      </c>
      <c r="F85" s="2">
        <f>IFERROR(__xludf.DUMMYFUNCTION("""COMPUTED_VALUE"""),0.85)</f>
        <v>0.85</v>
      </c>
      <c r="G85" s="2">
        <f>IFERROR(__xludf.DUMMYFUNCTION("""COMPUTED_VALUE"""),12682.0)</f>
        <v>12682</v>
      </c>
      <c r="H85" s="2" t="str">
        <f>IFERROR(__xludf.DUMMYFUNCTION("""COMPUTED_VALUE"""),"France")</f>
        <v>France</v>
      </c>
      <c r="I85" s="7">
        <f>IFERROR(__xludf.DUMMYFUNCTION("""COMPUTED_VALUE"""),40148.0)</f>
        <v>40148</v>
      </c>
      <c r="J85" s="8">
        <f>IFERROR(__xludf.DUMMYFUNCTION("""COMPUTED_VALUE"""),0.3944444444459805)</f>
        <v>0.3944444444</v>
      </c>
      <c r="K85" s="2">
        <f>IFERROR(__xludf.DUMMYFUNCTION("""COMPUTED_VALUE"""),9.0)</f>
        <v>9</v>
      </c>
      <c r="L85" s="2">
        <f>IFERROR(__xludf.DUMMYFUNCTION("""COMPUTED_VALUE"""),20.4)</f>
        <v>20.4</v>
      </c>
    </row>
    <row r="86">
      <c r="A86" s="2">
        <f>IFERROR(__xludf.DUMMYFUNCTION("""COMPUTED_VALUE"""),489439.0)</f>
        <v>489439</v>
      </c>
      <c r="B86" s="2" t="str">
        <f>IFERROR(__xludf.DUMMYFUNCTION("""COMPUTED_VALUE"""),"22064")</f>
        <v>22064</v>
      </c>
      <c r="C86" s="2" t="str">
        <f>IFERROR(__xludf.DUMMYFUNCTION("""COMPUTED_VALUE"""),"PINK DOUGHNUT TRINKET POT")</f>
        <v>PINK DOUGHNUT TRINKET POT</v>
      </c>
      <c r="D86" s="2">
        <f>IFERROR(__xludf.DUMMYFUNCTION("""COMPUTED_VALUE"""),12.0)</f>
        <v>12</v>
      </c>
      <c r="E86" s="6">
        <f>IFERROR(__xludf.DUMMYFUNCTION("""COMPUTED_VALUE"""),40148.39444444444)</f>
        <v>40148.39444</v>
      </c>
      <c r="F86" s="2">
        <f>IFERROR(__xludf.DUMMYFUNCTION("""COMPUTED_VALUE"""),1.65)</f>
        <v>1.65</v>
      </c>
      <c r="G86" s="2">
        <f>IFERROR(__xludf.DUMMYFUNCTION("""COMPUTED_VALUE"""),12682.0)</f>
        <v>12682</v>
      </c>
      <c r="H86" s="2" t="str">
        <f>IFERROR(__xludf.DUMMYFUNCTION("""COMPUTED_VALUE"""),"France")</f>
        <v>France</v>
      </c>
      <c r="I86" s="7">
        <f>IFERROR(__xludf.DUMMYFUNCTION("""COMPUTED_VALUE"""),40148.0)</f>
        <v>40148</v>
      </c>
      <c r="J86" s="8">
        <f>IFERROR(__xludf.DUMMYFUNCTION("""COMPUTED_VALUE"""),0.3944444444459805)</f>
        <v>0.3944444444</v>
      </c>
      <c r="K86" s="2">
        <f>IFERROR(__xludf.DUMMYFUNCTION("""COMPUTED_VALUE"""),9.0)</f>
        <v>9</v>
      </c>
      <c r="L86" s="2">
        <f>IFERROR(__xludf.DUMMYFUNCTION("""COMPUTED_VALUE"""),19.7999999999999)</f>
        <v>19.8</v>
      </c>
    </row>
    <row r="87">
      <c r="A87" s="2">
        <f>IFERROR(__xludf.DUMMYFUNCTION("""COMPUTED_VALUE"""),489439.0)</f>
        <v>489439</v>
      </c>
      <c r="B87" s="2" t="str">
        <f>IFERROR(__xludf.DUMMYFUNCTION("""COMPUTED_VALUE"""),"21731")</f>
        <v>21731</v>
      </c>
      <c r="C87" s="2" t="str">
        <f>IFERROR(__xludf.DUMMYFUNCTION("""COMPUTED_VALUE"""),"RED TOADSTOOL LED NIGHT LIGHT")</f>
        <v>RED TOADSTOOL LED NIGHT LIGHT</v>
      </c>
      <c r="D87" s="2">
        <f>IFERROR(__xludf.DUMMYFUNCTION("""COMPUTED_VALUE"""),24.0)</f>
        <v>24</v>
      </c>
      <c r="E87" s="6">
        <f>IFERROR(__xludf.DUMMYFUNCTION("""COMPUTED_VALUE"""),40148.39444444444)</f>
        <v>40148.39444</v>
      </c>
      <c r="F87" s="2">
        <f>IFERROR(__xludf.DUMMYFUNCTION("""COMPUTED_VALUE"""),1.65)</f>
        <v>1.65</v>
      </c>
      <c r="G87" s="2">
        <f>IFERROR(__xludf.DUMMYFUNCTION("""COMPUTED_VALUE"""),12682.0)</f>
        <v>12682</v>
      </c>
      <c r="H87" s="2" t="str">
        <f>IFERROR(__xludf.DUMMYFUNCTION("""COMPUTED_VALUE"""),"France")</f>
        <v>France</v>
      </c>
      <c r="I87" s="7">
        <f>IFERROR(__xludf.DUMMYFUNCTION("""COMPUTED_VALUE"""),40148.0)</f>
        <v>40148</v>
      </c>
      <c r="J87" s="8">
        <f>IFERROR(__xludf.DUMMYFUNCTION("""COMPUTED_VALUE"""),0.3944444444459805)</f>
        <v>0.3944444444</v>
      </c>
      <c r="K87" s="2">
        <f>IFERROR(__xludf.DUMMYFUNCTION("""COMPUTED_VALUE"""),9.0)</f>
        <v>9</v>
      </c>
      <c r="L87" s="2">
        <f>IFERROR(__xludf.DUMMYFUNCTION("""COMPUTED_VALUE"""),39.5999999999999)</f>
        <v>39.6</v>
      </c>
    </row>
    <row r="88">
      <c r="A88" s="2">
        <f>IFERROR(__xludf.DUMMYFUNCTION("""COMPUTED_VALUE"""),489439.0)</f>
        <v>489439</v>
      </c>
      <c r="B88" s="2" t="str">
        <f>IFERROR(__xludf.DUMMYFUNCTION("""COMPUTED_VALUE"""),"85232B")</f>
        <v>85232B</v>
      </c>
      <c r="C88" s="2" t="str">
        <f>IFERROR(__xludf.DUMMYFUNCTION("""COMPUTED_VALUE"""),"SET/3 RUSSIAN DOLL STACKING TINS")</f>
        <v>SET/3 RUSSIAN DOLL STACKING TINS</v>
      </c>
      <c r="D88" s="2">
        <f>IFERROR(__xludf.DUMMYFUNCTION("""COMPUTED_VALUE"""),6.0)</f>
        <v>6</v>
      </c>
      <c r="E88" s="6">
        <f>IFERROR(__xludf.DUMMYFUNCTION("""COMPUTED_VALUE"""),40148.39444444444)</f>
        <v>40148.39444</v>
      </c>
      <c r="F88" s="2">
        <f>IFERROR(__xludf.DUMMYFUNCTION("""COMPUTED_VALUE"""),4.95)</f>
        <v>4.95</v>
      </c>
      <c r="G88" s="2">
        <f>IFERROR(__xludf.DUMMYFUNCTION("""COMPUTED_VALUE"""),12682.0)</f>
        <v>12682</v>
      </c>
      <c r="H88" s="2" t="str">
        <f>IFERROR(__xludf.DUMMYFUNCTION("""COMPUTED_VALUE"""),"France")</f>
        <v>France</v>
      </c>
      <c r="I88" s="7">
        <f>IFERROR(__xludf.DUMMYFUNCTION("""COMPUTED_VALUE"""),40148.0)</f>
        <v>40148</v>
      </c>
      <c r="J88" s="8">
        <f>IFERROR(__xludf.DUMMYFUNCTION("""COMPUTED_VALUE"""),0.3944444444459805)</f>
        <v>0.3944444444</v>
      </c>
      <c r="K88" s="2">
        <f>IFERROR(__xludf.DUMMYFUNCTION("""COMPUTED_VALUE"""),9.0)</f>
        <v>9</v>
      </c>
      <c r="L88" s="2">
        <f>IFERROR(__xludf.DUMMYFUNCTION("""COMPUTED_VALUE"""),29.7)</f>
        <v>29.7</v>
      </c>
    </row>
    <row r="89">
      <c r="A89" s="2">
        <f>IFERROR(__xludf.DUMMYFUNCTION("""COMPUTED_VALUE"""),489439.0)</f>
        <v>489439</v>
      </c>
      <c r="B89" s="2" t="str">
        <f>IFERROR(__xludf.DUMMYFUNCTION("""COMPUTED_VALUE"""),"84691")</f>
        <v>84691</v>
      </c>
      <c r="C89" s="2" t="str">
        <f>IFERROR(__xludf.DUMMYFUNCTION("""COMPUTED_VALUE"""),"PACK 20 DOLLY PEGS")</f>
        <v>PACK 20 DOLLY PEGS</v>
      </c>
      <c r="D89" s="2">
        <f>IFERROR(__xludf.DUMMYFUNCTION("""COMPUTED_VALUE"""),12.0)</f>
        <v>12</v>
      </c>
      <c r="E89" s="6">
        <f>IFERROR(__xludf.DUMMYFUNCTION("""COMPUTED_VALUE"""),40148.39444444444)</f>
        <v>40148.39444</v>
      </c>
      <c r="F89" s="2">
        <f>IFERROR(__xludf.DUMMYFUNCTION("""COMPUTED_VALUE"""),0.85)</f>
        <v>0.85</v>
      </c>
      <c r="G89" s="2">
        <f>IFERROR(__xludf.DUMMYFUNCTION("""COMPUTED_VALUE"""),12682.0)</f>
        <v>12682</v>
      </c>
      <c r="H89" s="2" t="str">
        <f>IFERROR(__xludf.DUMMYFUNCTION("""COMPUTED_VALUE"""),"France")</f>
        <v>France</v>
      </c>
      <c r="I89" s="7">
        <f>IFERROR(__xludf.DUMMYFUNCTION("""COMPUTED_VALUE"""),40148.0)</f>
        <v>40148</v>
      </c>
      <c r="J89" s="8">
        <f>IFERROR(__xludf.DUMMYFUNCTION("""COMPUTED_VALUE"""),0.3944444444459805)</f>
        <v>0.3944444444</v>
      </c>
      <c r="K89" s="2">
        <f>IFERROR(__xludf.DUMMYFUNCTION("""COMPUTED_VALUE"""),9.0)</f>
        <v>9</v>
      </c>
      <c r="L89" s="2">
        <f>IFERROR(__xludf.DUMMYFUNCTION("""COMPUTED_VALUE"""),10.2)</f>
        <v>10.2</v>
      </c>
    </row>
    <row r="90">
      <c r="A90" s="2">
        <f>IFERROR(__xludf.DUMMYFUNCTION("""COMPUTED_VALUE"""),489439.0)</f>
        <v>489439</v>
      </c>
      <c r="B90" s="2" t="str">
        <f>IFERROR(__xludf.DUMMYFUNCTION("""COMPUTED_VALUE"""),"20749")</f>
        <v>20749</v>
      </c>
      <c r="C90" s="2" t="str">
        <f>IFERROR(__xludf.DUMMYFUNCTION("""COMPUTED_VALUE"""),"ASSORTED COLOUR MINI CASES")</f>
        <v>ASSORTED COLOUR MINI CASES</v>
      </c>
      <c r="D90" s="2">
        <f>IFERROR(__xludf.DUMMYFUNCTION("""COMPUTED_VALUE"""),2.0)</f>
        <v>2</v>
      </c>
      <c r="E90" s="6">
        <f>IFERROR(__xludf.DUMMYFUNCTION("""COMPUTED_VALUE"""),40148.39444444444)</f>
        <v>40148.39444</v>
      </c>
      <c r="F90" s="2">
        <f>IFERROR(__xludf.DUMMYFUNCTION("""COMPUTED_VALUE"""),7.95)</f>
        <v>7.95</v>
      </c>
      <c r="G90" s="2">
        <f>IFERROR(__xludf.DUMMYFUNCTION("""COMPUTED_VALUE"""),12682.0)</f>
        <v>12682</v>
      </c>
      <c r="H90" s="2" t="str">
        <f>IFERROR(__xludf.DUMMYFUNCTION("""COMPUTED_VALUE"""),"France")</f>
        <v>France</v>
      </c>
      <c r="I90" s="7">
        <f>IFERROR(__xludf.DUMMYFUNCTION("""COMPUTED_VALUE"""),40148.0)</f>
        <v>40148</v>
      </c>
      <c r="J90" s="8">
        <f>IFERROR(__xludf.DUMMYFUNCTION("""COMPUTED_VALUE"""),0.3944444444459805)</f>
        <v>0.3944444444</v>
      </c>
      <c r="K90" s="2">
        <f>IFERROR(__xludf.DUMMYFUNCTION("""COMPUTED_VALUE"""),9.0)</f>
        <v>9</v>
      </c>
      <c r="L90" s="2">
        <f>IFERROR(__xludf.DUMMYFUNCTION("""COMPUTED_VALUE"""),15.9)</f>
        <v>15.9</v>
      </c>
    </row>
    <row r="91">
      <c r="A91" s="2">
        <f>IFERROR(__xludf.DUMMYFUNCTION("""COMPUTED_VALUE"""),489439.0)</f>
        <v>489439</v>
      </c>
      <c r="B91" s="2" t="str">
        <f>IFERROR(__xludf.DUMMYFUNCTION("""COMPUTED_VALUE"""),"POST")</f>
        <v>POST</v>
      </c>
      <c r="C91" s="2" t="str">
        <f>IFERROR(__xludf.DUMMYFUNCTION("""COMPUTED_VALUE"""),"POSTAGE")</f>
        <v>POSTAGE</v>
      </c>
      <c r="D91" s="2">
        <f>IFERROR(__xludf.DUMMYFUNCTION("""COMPUTED_VALUE"""),3.0)</f>
        <v>3</v>
      </c>
      <c r="E91" s="6">
        <f>IFERROR(__xludf.DUMMYFUNCTION("""COMPUTED_VALUE"""),40148.39444444444)</f>
        <v>40148.39444</v>
      </c>
      <c r="F91" s="2">
        <f>IFERROR(__xludf.DUMMYFUNCTION("""COMPUTED_VALUE"""),18.0)</f>
        <v>18</v>
      </c>
      <c r="G91" s="2">
        <f>IFERROR(__xludf.DUMMYFUNCTION("""COMPUTED_VALUE"""),12682.0)</f>
        <v>12682</v>
      </c>
      <c r="H91" s="2" t="str">
        <f>IFERROR(__xludf.DUMMYFUNCTION("""COMPUTED_VALUE"""),"France")</f>
        <v>France</v>
      </c>
      <c r="I91" s="7">
        <f>IFERROR(__xludf.DUMMYFUNCTION("""COMPUTED_VALUE"""),40148.0)</f>
        <v>40148</v>
      </c>
      <c r="J91" s="8">
        <f>IFERROR(__xludf.DUMMYFUNCTION("""COMPUTED_VALUE"""),0.3944444444459805)</f>
        <v>0.3944444444</v>
      </c>
      <c r="K91" s="2">
        <f>IFERROR(__xludf.DUMMYFUNCTION("""COMPUTED_VALUE"""),9.0)</f>
        <v>9</v>
      </c>
      <c r="L91" s="2">
        <f>IFERROR(__xludf.DUMMYFUNCTION("""COMPUTED_VALUE"""),54.0)</f>
        <v>54</v>
      </c>
    </row>
    <row r="92">
      <c r="A92" s="2">
        <f>IFERROR(__xludf.DUMMYFUNCTION("""COMPUTED_VALUE"""),489440.0)</f>
        <v>489440</v>
      </c>
      <c r="B92" s="2" t="str">
        <f>IFERROR(__xludf.DUMMYFUNCTION("""COMPUTED_VALUE"""),"22350")</f>
        <v>22350</v>
      </c>
      <c r="C92" s="2" t="str">
        <f>IFERROR(__xludf.DUMMYFUNCTION("""COMPUTED_VALUE"""),"CAT BOWL")</f>
        <v>CAT BOWL</v>
      </c>
      <c r="D92" s="2">
        <f>IFERROR(__xludf.DUMMYFUNCTION("""COMPUTED_VALUE"""),8.0)</f>
        <v>8</v>
      </c>
      <c r="E92" s="6">
        <f>IFERROR(__xludf.DUMMYFUNCTION("""COMPUTED_VALUE"""),40148.40486111111)</f>
        <v>40148.40486</v>
      </c>
      <c r="F92" s="2">
        <f>IFERROR(__xludf.DUMMYFUNCTION("""COMPUTED_VALUE"""),2.55)</f>
        <v>2.55</v>
      </c>
      <c r="G92" s="2">
        <f>IFERROR(__xludf.DUMMYFUNCTION("""COMPUTED_VALUE"""),18087.0)</f>
        <v>18087</v>
      </c>
      <c r="H92" s="2" t="str">
        <f>IFERROR(__xludf.DUMMYFUNCTION("""COMPUTED_VALUE"""),"United Kingdom")</f>
        <v>United Kingdom</v>
      </c>
      <c r="I92" s="7">
        <f>IFERROR(__xludf.DUMMYFUNCTION("""COMPUTED_VALUE"""),40148.0)</f>
        <v>40148</v>
      </c>
      <c r="J92" s="8">
        <f>IFERROR(__xludf.DUMMYFUNCTION("""COMPUTED_VALUE"""),0.4048611111102218)</f>
        <v>0.4048611111</v>
      </c>
      <c r="K92" s="2">
        <f>IFERROR(__xludf.DUMMYFUNCTION("""COMPUTED_VALUE"""),9.0)</f>
        <v>9</v>
      </c>
      <c r="L92" s="2">
        <f>IFERROR(__xludf.DUMMYFUNCTION("""COMPUTED_VALUE"""),20.4)</f>
        <v>20.4</v>
      </c>
    </row>
    <row r="93">
      <c r="A93" s="2">
        <f>IFERROR(__xludf.DUMMYFUNCTION("""COMPUTED_VALUE"""),489440.0)</f>
        <v>489440</v>
      </c>
      <c r="B93" s="2" t="str">
        <f>IFERROR(__xludf.DUMMYFUNCTION("""COMPUTED_VALUE"""),"22349")</f>
        <v>22349</v>
      </c>
      <c r="C93" s="2" t="str">
        <f>IFERROR(__xludf.DUMMYFUNCTION("""COMPUTED_VALUE"""),"DOG BOWL , CHASING BALL DESIGN")</f>
        <v>DOG BOWL , CHASING BALL DESIGN</v>
      </c>
      <c r="D93" s="2">
        <f>IFERROR(__xludf.DUMMYFUNCTION("""COMPUTED_VALUE"""),8.0)</f>
        <v>8</v>
      </c>
      <c r="E93" s="6">
        <f>IFERROR(__xludf.DUMMYFUNCTION("""COMPUTED_VALUE"""),40148.40486111111)</f>
        <v>40148.40486</v>
      </c>
      <c r="F93" s="2">
        <f>IFERROR(__xludf.DUMMYFUNCTION("""COMPUTED_VALUE"""),3.75)</f>
        <v>3.75</v>
      </c>
      <c r="G93" s="2">
        <f>IFERROR(__xludf.DUMMYFUNCTION("""COMPUTED_VALUE"""),18087.0)</f>
        <v>18087</v>
      </c>
      <c r="H93" s="2" t="str">
        <f>IFERROR(__xludf.DUMMYFUNCTION("""COMPUTED_VALUE"""),"United Kingdom")</f>
        <v>United Kingdom</v>
      </c>
      <c r="I93" s="7">
        <f>IFERROR(__xludf.DUMMYFUNCTION("""COMPUTED_VALUE"""),40148.0)</f>
        <v>40148</v>
      </c>
      <c r="J93" s="8">
        <f>IFERROR(__xludf.DUMMYFUNCTION("""COMPUTED_VALUE"""),0.4048611111102218)</f>
        <v>0.4048611111</v>
      </c>
      <c r="K93" s="2">
        <f>IFERROR(__xludf.DUMMYFUNCTION("""COMPUTED_VALUE"""),9.0)</f>
        <v>9</v>
      </c>
      <c r="L93" s="2">
        <f>IFERROR(__xludf.DUMMYFUNCTION("""COMPUTED_VALUE"""),30.0)</f>
        <v>30</v>
      </c>
    </row>
    <row r="94">
      <c r="A94" s="2">
        <f>IFERROR(__xludf.DUMMYFUNCTION("""COMPUTED_VALUE"""),489441.0)</f>
        <v>489441</v>
      </c>
      <c r="B94" s="2" t="str">
        <f>IFERROR(__xludf.DUMMYFUNCTION("""COMPUTED_VALUE"""),"22321")</f>
        <v>22321</v>
      </c>
      <c r="C94" s="2" t="str">
        <f>IFERROR(__xludf.DUMMYFUNCTION("""COMPUTED_VALUE"""),"BIRD DECORATION RED SPOT")</f>
        <v>BIRD DECORATION RED SPOT</v>
      </c>
      <c r="D94" s="2">
        <f>IFERROR(__xludf.DUMMYFUNCTION("""COMPUTED_VALUE"""),12.0)</f>
        <v>12</v>
      </c>
      <c r="E94" s="6">
        <f>IFERROR(__xludf.DUMMYFUNCTION("""COMPUTED_VALUE"""),40148.40555555555)</f>
        <v>40148.40556</v>
      </c>
      <c r="F94" s="2">
        <f>IFERROR(__xludf.DUMMYFUNCTION("""COMPUTED_VALUE"""),0.72)</f>
        <v>0.72</v>
      </c>
      <c r="G94" s="2">
        <f>IFERROR(__xludf.DUMMYFUNCTION("""COMPUTED_VALUE"""),18087.0)</f>
        <v>18087</v>
      </c>
      <c r="H94" s="2" t="str">
        <f>IFERROR(__xludf.DUMMYFUNCTION("""COMPUTED_VALUE"""),"United Kingdom")</f>
        <v>United Kingdom</v>
      </c>
      <c r="I94" s="7">
        <f>IFERROR(__xludf.DUMMYFUNCTION("""COMPUTED_VALUE"""),40148.0)</f>
        <v>40148</v>
      </c>
      <c r="J94" s="8">
        <f>IFERROR(__xludf.DUMMYFUNCTION("""COMPUTED_VALUE"""),0.4055555555569299)</f>
        <v>0.4055555556</v>
      </c>
      <c r="K94" s="2">
        <f>IFERROR(__xludf.DUMMYFUNCTION("""COMPUTED_VALUE"""),9.0)</f>
        <v>9</v>
      </c>
      <c r="L94" s="2">
        <f>IFERROR(__xludf.DUMMYFUNCTION("""COMPUTED_VALUE"""),8.64)</f>
        <v>8.64</v>
      </c>
    </row>
    <row r="95">
      <c r="A95" s="2">
        <f>IFERROR(__xludf.DUMMYFUNCTION("""COMPUTED_VALUE"""),489441.0)</f>
        <v>489441</v>
      </c>
      <c r="B95" s="2" t="str">
        <f>IFERROR(__xludf.DUMMYFUNCTION("""COMPUTED_VALUE"""),"22138")</f>
        <v>22138</v>
      </c>
      <c r="C95" s="2" t="str">
        <f>IFERROR(__xludf.DUMMYFUNCTION("""COMPUTED_VALUE"""),"BAKING SET 9 PIECE RETROSPOT")</f>
        <v>BAKING SET 9 PIECE RETROSPOT</v>
      </c>
      <c r="D95" s="2">
        <f>IFERROR(__xludf.DUMMYFUNCTION("""COMPUTED_VALUE"""),6.0)</f>
        <v>6</v>
      </c>
      <c r="E95" s="6">
        <f>IFERROR(__xludf.DUMMYFUNCTION("""COMPUTED_VALUE"""),40148.40555555555)</f>
        <v>40148.40556</v>
      </c>
      <c r="F95" s="2">
        <f>IFERROR(__xludf.DUMMYFUNCTION("""COMPUTED_VALUE"""),4.25)</f>
        <v>4.25</v>
      </c>
      <c r="G95" s="2">
        <f>IFERROR(__xludf.DUMMYFUNCTION("""COMPUTED_VALUE"""),18087.0)</f>
        <v>18087</v>
      </c>
      <c r="H95" s="2" t="str">
        <f>IFERROR(__xludf.DUMMYFUNCTION("""COMPUTED_VALUE"""),"United Kingdom")</f>
        <v>United Kingdom</v>
      </c>
      <c r="I95" s="7">
        <f>IFERROR(__xludf.DUMMYFUNCTION("""COMPUTED_VALUE"""),40148.0)</f>
        <v>40148</v>
      </c>
      <c r="J95" s="8">
        <f>IFERROR(__xludf.DUMMYFUNCTION("""COMPUTED_VALUE"""),0.4055555555569299)</f>
        <v>0.4055555556</v>
      </c>
      <c r="K95" s="2">
        <f>IFERROR(__xludf.DUMMYFUNCTION("""COMPUTED_VALUE"""),9.0)</f>
        <v>9</v>
      </c>
      <c r="L95" s="2">
        <f>IFERROR(__xludf.DUMMYFUNCTION("""COMPUTED_VALUE"""),25.5)</f>
        <v>25.5</v>
      </c>
    </row>
    <row r="96">
      <c r="A96" s="2">
        <f>IFERROR(__xludf.DUMMYFUNCTION("""COMPUTED_VALUE"""),489441.0)</f>
        <v>489441</v>
      </c>
      <c r="B96" s="2" t="str">
        <f>IFERROR(__xludf.DUMMYFUNCTION("""COMPUTED_VALUE"""),"84029E")</f>
        <v>84029E</v>
      </c>
      <c r="C96" s="2" t="str">
        <f>IFERROR(__xludf.DUMMYFUNCTION("""COMPUTED_VALUE"""),"RED WOOLLY HOTTIE WHITE HEART.")</f>
        <v>RED WOOLLY HOTTIE WHITE HEART.</v>
      </c>
      <c r="D96" s="2">
        <f>IFERROR(__xludf.DUMMYFUNCTION("""COMPUTED_VALUE"""),36.0)</f>
        <v>36</v>
      </c>
      <c r="E96" s="6">
        <f>IFERROR(__xludf.DUMMYFUNCTION("""COMPUTED_VALUE"""),40148.40555555555)</f>
        <v>40148.40556</v>
      </c>
      <c r="F96" s="2">
        <f>IFERROR(__xludf.DUMMYFUNCTION("""COMPUTED_VALUE"""),2.95)</f>
        <v>2.95</v>
      </c>
      <c r="G96" s="2">
        <f>IFERROR(__xludf.DUMMYFUNCTION("""COMPUTED_VALUE"""),18087.0)</f>
        <v>18087</v>
      </c>
      <c r="H96" s="2" t="str">
        <f>IFERROR(__xludf.DUMMYFUNCTION("""COMPUTED_VALUE"""),"United Kingdom")</f>
        <v>United Kingdom</v>
      </c>
      <c r="I96" s="7">
        <f>IFERROR(__xludf.DUMMYFUNCTION("""COMPUTED_VALUE"""),40148.0)</f>
        <v>40148</v>
      </c>
      <c r="J96" s="8">
        <f>IFERROR(__xludf.DUMMYFUNCTION("""COMPUTED_VALUE"""),0.4055555555569299)</f>
        <v>0.4055555556</v>
      </c>
      <c r="K96" s="2">
        <f>IFERROR(__xludf.DUMMYFUNCTION("""COMPUTED_VALUE"""),9.0)</f>
        <v>9</v>
      </c>
      <c r="L96" s="2">
        <f>IFERROR(__xludf.DUMMYFUNCTION("""COMPUTED_VALUE"""),106.2)</f>
        <v>106.2</v>
      </c>
    </row>
    <row r="97">
      <c r="A97" s="2">
        <f>IFERROR(__xludf.DUMMYFUNCTION("""COMPUTED_VALUE"""),489441.0)</f>
        <v>489441</v>
      </c>
      <c r="B97" s="2" t="str">
        <f>IFERROR(__xludf.DUMMYFUNCTION("""COMPUTED_VALUE"""),"22111")</f>
        <v>22111</v>
      </c>
      <c r="C97" s="2" t="str">
        <f>IFERROR(__xludf.DUMMYFUNCTION("""COMPUTED_VALUE"""),"SCOTTIE DOG HOT WATER BOTTLE")</f>
        <v>SCOTTIE DOG HOT WATER BOTTLE</v>
      </c>
      <c r="D97" s="2">
        <f>IFERROR(__xludf.DUMMYFUNCTION("""COMPUTED_VALUE"""),48.0)</f>
        <v>48</v>
      </c>
      <c r="E97" s="6">
        <f>IFERROR(__xludf.DUMMYFUNCTION("""COMPUTED_VALUE"""),40148.40555555555)</f>
        <v>40148.40556</v>
      </c>
      <c r="F97" s="2">
        <f>IFERROR(__xludf.DUMMYFUNCTION("""COMPUTED_VALUE"""),4.25)</f>
        <v>4.25</v>
      </c>
      <c r="G97" s="2">
        <f>IFERROR(__xludf.DUMMYFUNCTION("""COMPUTED_VALUE"""),18087.0)</f>
        <v>18087</v>
      </c>
      <c r="H97" s="2" t="str">
        <f>IFERROR(__xludf.DUMMYFUNCTION("""COMPUTED_VALUE"""),"United Kingdom")</f>
        <v>United Kingdom</v>
      </c>
      <c r="I97" s="7">
        <f>IFERROR(__xludf.DUMMYFUNCTION("""COMPUTED_VALUE"""),40148.0)</f>
        <v>40148</v>
      </c>
      <c r="J97" s="8">
        <f>IFERROR(__xludf.DUMMYFUNCTION("""COMPUTED_VALUE"""),0.4055555555569299)</f>
        <v>0.4055555556</v>
      </c>
      <c r="K97" s="2">
        <f>IFERROR(__xludf.DUMMYFUNCTION("""COMPUTED_VALUE"""),9.0)</f>
        <v>9</v>
      </c>
      <c r="L97" s="2">
        <f>IFERROR(__xludf.DUMMYFUNCTION("""COMPUTED_VALUE"""),204.0)</f>
        <v>204</v>
      </c>
    </row>
    <row r="98">
      <c r="A98" s="2">
        <f>IFERROR(__xludf.DUMMYFUNCTION("""COMPUTED_VALUE"""),489442.0)</f>
        <v>489442</v>
      </c>
      <c r="B98" s="2" t="str">
        <f>IFERROR(__xludf.DUMMYFUNCTION("""COMPUTED_VALUE"""),"21955")</f>
        <v>21955</v>
      </c>
      <c r="C98" s="2" t="str">
        <f>IFERROR(__xludf.DUMMYFUNCTION("""COMPUTED_VALUE"""),"UNION JACK GUNS &amp; ROSES DOORMAT")</f>
        <v>UNION JACK GUNS &amp; ROSES DOORMAT</v>
      </c>
      <c r="D98" s="2">
        <f>IFERROR(__xludf.DUMMYFUNCTION("""COMPUTED_VALUE"""),2.0)</f>
        <v>2</v>
      </c>
      <c r="E98" s="6">
        <f>IFERROR(__xludf.DUMMYFUNCTION("""COMPUTED_VALUE"""),40148.40694444445)</f>
        <v>40148.40694</v>
      </c>
      <c r="F98" s="2">
        <f>IFERROR(__xludf.DUMMYFUNCTION("""COMPUTED_VALUE"""),6.75)</f>
        <v>6.75</v>
      </c>
      <c r="G98" s="2">
        <f>IFERROR(__xludf.DUMMYFUNCTION("""COMPUTED_VALUE"""),13635.0)</f>
        <v>13635</v>
      </c>
      <c r="H98" s="2" t="str">
        <f>IFERROR(__xludf.DUMMYFUNCTION("""COMPUTED_VALUE"""),"United Kingdom")</f>
        <v>United Kingdom</v>
      </c>
      <c r="I98" s="7">
        <f>IFERROR(__xludf.DUMMYFUNCTION("""COMPUTED_VALUE"""),40148.0)</f>
        <v>40148</v>
      </c>
      <c r="J98" s="8">
        <f>IFERROR(__xludf.DUMMYFUNCTION("""COMPUTED_VALUE"""),0.4069444444430701)</f>
        <v>0.4069444444</v>
      </c>
      <c r="K98" s="2">
        <f>IFERROR(__xludf.DUMMYFUNCTION("""COMPUTED_VALUE"""),9.0)</f>
        <v>9</v>
      </c>
      <c r="L98" s="2">
        <f>IFERROR(__xludf.DUMMYFUNCTION("""COMPUTED_VALUE"""),13.5)</f>
        <v>13.5</v>
      </c>
    </row>
    <row r="99">
      <c r="A99" s="2">
        <f>IFERROR(__xludf.DUMMYFUNCTION("""COMPUTED_VALUE"""),489442.0)</f>
        <v>489442</v>
      </c>
      <c r="B99" s="2" t="str">
        <f>IFERROR(__xludf.DUMMYFUNCTION("""COMPUTED_VALUE"""),"22111")</f>
        <v>22111</v>
      </c>
      <c r="C99" s="2" t="str">
        <f>IFERROR(__xludf.DUMMYFUNCTION("""COMPUTED_VALUE"""),"SCOTTIE DOG HOT WATER BOTTLE")</f>
        <v>SCOTTIE DOG HOT WATER BOTTLE</v>
      </c>
      <c r="D99" s="2">
        <f>IFERROR(__xludf.DUMMYFUNCTION("""COMPUTED_VALUE"""),3.0)</f>
        <v>3</v>
      </c>
      <c r="E99" s="6">
        <f>IFERROR(__xludf.DUMMYFUNCTION("""COMPUTED_VALUE"""),40148.40694444445)</f>
        <v>40148.40694</v>
      </c>
      <c r="F99" s="2">
        <f>IFERROR(__xludf.DUMMYFUNCTION("""COMPUTED_VALUE"""),4.95)</f>
        <v>4.95</v>
      </c>
      <c r="G99" s="2">
        <f>IFERROR(__xludf.DUMMYFUNCTION("""COMPUTED_VALUE"""),13635.0)</f>
        <v>13635</v>
      </c>
      <c r="H99" s="2" t="str">
        <f>IFERROR(__xludf.DUMMYFUNCTION("""COMPUTED_VALUE"""),"United Kingdom")</f>
        <v>United Kingdom</v>
      </c>
      <c r="I99" s="7">
        <f>IFERROR(__xludf.DUMMYFUNCTION("""COMPUTED_VALUE"""),40148.0)</f>
        <v>40148</v>
      </c>
      <c r="J99" s="8">
        <f>IFERROR(__xludf.DUMMYFUNCTION("""COMPUTED_VALUE"""),0.4069444444430701)</f>
        <v>0.4069444444</v>
      </c>
      <c r="K99" s="2">
        <f>IFERROR(__xludf.DUMMYFUNCTION("""COMPUTED_VALUE"""),9.0)</f>
        <v>9</v>
      </c>
      <c r="L99" s="2">
        <f>IFERROR(__xludf.DUMMYFUNCTION("""COMPUTED_VALUE"""),14.85)</f>
        <v>14.85</v>
      </c>
    </row>
    <row r="100">
      <c r="A100" s="2">
        <f>IFERROR(__xludf.DUMMYFUNCTION("""COMPUTED_VALUE"""),489442.0)</f>
        <v>489442</v>
      </c>
      <c r="B100" s="2" t="str">
        <f>IFERROR(__xludf.DUMMYFUNCTION("""COMPUTED_VALUE"""),"22296")</f>
        <v>22296</v>
      </c>
      <c r="C100" s="2" t="str">
        <f>IFERROR(__xludf.DUMMYFUNCTION("""COMPUTED_VALUE"""),"HEART IVORY TRELLIS LARGE")</f>
        <v>HEART IVORY TRELLIS LARGE</v>
      </c>
      <c r="D100" s="2">
        <f>IFERROR(__xludf.DUMMYFUNCTION("""COMPUTED_VALUE"""),12.0)</f>
        <v>12</v>
      </c>
      <c r="E100" s="6">
        <f>IFERROR(__xludf.DUMMYFUNCTION("""COMPUTED_VALUE"""),40148.40694444445)</f>
        <v>40148.40694</v>
      </c>
      <c r="F100" s="2">
        <f>IFERROR(__xludf.DUMMYFUNCTION("""COMPUTED_VALUE"""),1.65)</f>
        <v>1.65</v>
      </c>
      <c r="G100" s="2">
        <f>IFERROR(__xludf.DUMMYFUNCTION("""COMPUTED_VALUE"""),13635.0)</f>
        <v>13635</v>
      </c>
      <c r="H100" s="2" t="str">
        <f>IFERROR(__xludf.DUMMYFUNCTION("""COMPUTED_VALUE"""),"United Kingdom")</f>
        <v>United Kingdom</v>
      </c>
      <c r="I100" s="7">
        <f>IFERROR(__xludf.DUMMYFUNCTION("""COMPUTED_VALUE"""),40148.0)</f>
        <v>40148</v>
      </c>
      <c r="J100" s="8">
        <f>IFERROR(__xludf.DUMMYFUNCTION("""COMPUTED_VALUE"""),0.4069444444430701)</f>
        <v>0.4069444444</v>
      </c>
      <c r="K100" s="2">
        <f>IFERROR(__xludf.DUMMYFUNCTION("""COMPUTED_VALUE"""),9.0)</f>
        <v>9</v>
      </c>
      <c r="L100" s="2">
        <f>IFERROR(__xludf.DUMMYFUNCTION("""COMPUTED_VALUE"""),19.7999999999999)</f>
        <v>19.8</v>
      </c>
    </row>
    <row r="101">
      <c r="A101" s="2">
        <f>IFERROR(__xludf.DUMMYFUNCTION("""COMPUTED_VALUE"""),489442.0)</f>
        <v>489442</v>
      </c>
      <c r="B101" s="2" t="str">
        <f>IFERROR(__xludf.DUMMYFUNCTION("""COMPUTED_VALUE"""),"84899E")</f>
        <v>84899E</v>
      </c>
      <c r="C101" s="2" t="str">
        <f>IFERROR(__xludf.DUMMYFUNCTION("""COMPUTED_VALUE"""),"YELLOW + BROWN BEAR FELT PURSE KIT")</f>
        <v>YELLOW + BROWN BEAR FELT PURSE KIT</v>
      </c>
      <c r="D101" s="2">
        <f>IFERROR(__xludf.DUMMYFUNCTION("""COMPUTED_VALUE"""),12.0)</f>
        <v>12</v>
      </c>
      <c r="E101" s="6">
        <f>IFERROR(__xludf.DUMMYFUNCTION("""COMPUTED_VALUE"""),40148.40694444445)</f>
        <v>40148.40694</v>
      </c>
      <c r="F101" s="2">
        <f>IFERROR(__xludf.DUMMYFUNCTION("""COMPUTED_VALUE"""),1.25)</f>
        <v>1.25</v>
      </c>
      <c r="G101" s="2">
        <f>IFERROR(__xludf.DUMMYFUNCTION("""COMPUTED_VALUE"""),13635.0)</f>
        <v>13635</v>
      </c>
      <c r="H101" s="2" t="str">
        <f>IFERROR(__xludf.DUMMYFUNCTION("""COMPUTED_VALUE"""),"United Kingdom")</f>
        <v>United Kingdom</v>
      </c>
      <c r="I101" s="7">
        <f>IFERROR(__xludf.DUMMYFUNCTION("""COMPUTED_VALUE"""),40148.0)</f>
        <v>40148</v>
      </c>
      <c r="J101" s="8">
        <f>IFERROR(__xludf.DUMMYFUNCTION("""COMPUTED_VALUE"""),0.4069444444430701)</f>
        <v>0.4069444444</v>
      </c>
      <c r="K101" s="2">
        <f>IFERROR(__xludf.DUMMYFUNCTION("""COMPUTED_VALUE"""),9.0)</f>
        <v>9</v>
      </c>
      <c r="L101" s="2">
        <f>IFERROR(__xludf.DUMMYFUNCTION("""COMPUTED_VALUE"""),15.0)</f>
        <v>15</v>
      </c>
    </row>
    <row r="102">
      <c r="A102" s="2">
        <f>IFERROR(__xludf.DUMMYFUNCTION("""COMPUTED_VALUE"""),489442.0)</f>
        <v>489442</v>
      </c>
      <c r="B102" s="2" t="str">
        <f>IFERROR(__xludf.DUMMYFUNCTION("""COMPUTED_VALUE"""),"22271")</f>
        <v>22271</v>
      </c>
      <c r="C102" s="2" t="str">
        <f>IFERROR(__xludf.DUMMYFUNCTION("""COMPUTED_VALUE"""),"FELTCRAFT DOLL ROSIE")</f>
        <v>FELTCRAFT DOLL ROSIE</v>
      </c>
      <c r="D102" s="2">
        <f>IFERROR(__xludf.DUMMYFUNCTION("""COMPUTED_VALUE"""),6.0)</f>
        <v>6</v>
      </c>
      <c r="E102" s="6">
        <f>IFERROR(__xludf.DUMMYFUNCTION("""COMPUTED_VALUE"""),40148.40694444445)</f>
        <v>40148.40694</v>
      </c>
      <c r="F102" s="2">
        <f>IFERROR(__xludf.DUMMYFUNCTION("""COMPUTED_VALUE"""),2.95)</f>
        <v>2.95</v>
      </c>
      <c r="G102" s="2">
        <f>IFERROR(__xludf.DUMMYFUNCTION("""COMPUTED_VALUE"""),13635.0)</f>
        <v>13635</v>
      </c>
      <c r="H102" s="2" t="str">
        <f>IFERROR(__xludf.DUMMYFUNCTION("""COMPUTED_VALUE"""),"United Kingdom")</f>
        <v>United Kingdom</v>
      </c>
      <c r="I102" s="7">
        <f>IFERROR(__xludf.DUMMYFUNCTION("""COMPUTED_VALUE"""),40148.0)</f>
        <v>40148</v>
      </c>
      <c r="J102" s="8">
        <f>IFERROR(__xludf.DUMMYFUNCTION("""COMPUTED_VALUE"""),0.4069444444430701)</f>
        <v>0.4069444444</v>
      </c>
      <c r="K102" s="2">
        <f>IFERROR(__xludf.DUMMYFUNCTION("""COMPUTED_VALUE"""),9.0)</f>
        <v>9</v>
      </c>
      <c r="L102" s="2">
        <f>IFERROR(__xludf.DUMMYFUNCTION("""COMPUTED_VALUE"""),17.7)</f>
        <v>17.7</v>
      </c>
    </row>
    <row r="103">
      <c r="A103" s="2">
        <f>IFERROR(__xludf.DUMMYFUNCTION("""COMPUTED_VALUE"""),489442.0)</f>
        <v>489442</v>
      </c>
      <c r="B103" s="2" t="str">
        <f>IFERROR(__xludf.DUMMYFUNCTION("""COMPUTED_VALUE"""),"22272")</f>
        <v>22272</v>
      </c>
      <c r="C103" s="2" t="str">
        <f>IFERROR(__xludf.DUMMYFUNCTION("""COMPUTED_VALUE"""),"FELTCRAFT DOLL MARIA")</f>
        <v>FELTCRAFT DOLL MARIA</v>
      </c>
      <c r="D103" s="2">
        <f>IFERROR(__xludf.DUMMYFUNCTION("""COMPUTED_VALUE"""),6.0)</f>
        <v>6</v>
      </c>
      <c r="E103" s="6">
        <f>IFERROR(__xludf.DUMMYFUNCTION("""COMPUTED_VALUE"""),40148.40694444445)</f>
        <v>40148.40694</v>
      </c>
      <c r="F103" s="2">
        <f>IFERROR(__xludf.DUMMYFUNCTION("""COMPUTED_VALUE"""),2.95)</f>
        <v>2.95</v>
      </c>
      <c r="G103" s="2">
        <f>IFERROR(__xludf.DUMMYFUNCTION("""COMPUTED_VALUE"""),13635.0)</f>
        <v>13635</v>
      </c>
      <c r="H103" s="2" t="str">
        <f>IFERROR(__xludf.DUMMYFUNCTION("""COMPUTED_VALUE"""),"United Kingdom")</f>
        <v>United Kingdom</v>
      </c>
      <c r="I103" s="7">
        <f>IFERROR(__xludf.DUMMYFUNCTION("""COMPUTED_VALUE"""),40148.0)</f>
        <v>40148</v>
      </c>
      <c r="J103" s="8">
        <f>IFERROR(__xludf.DUMMYFUNCTION("""COMPUTED_VALUE"""),0.4069444444430701)</f>
        <v>0.4069444444</v>
      </c>
      <c r="K103" s="2">
        <f>IFERROR(__xludf.DUMMYFUNCTION("""COMPUTED_VALUE"""),9.0)</f>
        <v>9</v>
      </c>
      <c r="L103" s="2">
        <f>IFERROR(__xludf.DUMMYFUNCTION("""COMPUTED_VALUE"""),17.7)</f>
        <v>17.7</v>
      </c>
    </row>
    <row r="104">
      <c r="A104" s="2">
        <f>IFERROR(__xludf.DUMMYFUNCTION("""COMPUTED_VALUE"""),489442.0)</f>
        <v>489442</v>
      </c>
      <c r="B104" s="2" t="str">
        <f>IFERROR(__xludf.DUMMYFUNCTION("""COMPUTED_VALUE"""),"85123A")</f>
        <v>85123A</v>
      </c>
      <c r="C104" s="2" t="str">
        <f>IFERROR(__xludf.DUMMYFUNCTION("""COMPUTED_VALUE"""),"WHITE HANGING HEART T-LIGHT HOLDER")</f>
        <v>WHITE HANGING HEART T-LIGHT HOLDER</v>
      </c>
      <c r="D104" s="2">
        <f>IFERROR(__xludf.DUMMYFUNCTION("""COMPUTED_VALUE"""),6.0)</f>
        <v>6</v>
      </c>
      <c r="E104" s="6">
        <f>IFERROR(__xludf.DUMMYFUNCTION("""COMPUTED_VALUE"""),40148.40694444445)</f>
        <v>40148.40694</v>
      </c>
      <c r="F104" s="2">
        <f>IFERROR(__xludf.DUMMYFUNCTION("""COMPUTED_VALUE"""),2.95)</f>
        <v>2.95</v>
      </c>
      <c r="G104" s="2">
        <f>IFERROR(__xludf.DUMMYFUNCTION("""COMPUTED_VALUE"""),13635.0)</f>
        <v>13635</v>
      </c>
      <c r="H104" s="2" t="str">
        <f>IFERROR(__xludf.DUMMYFUNCTION("""COMPUTED_VALUE"""),"United Kingdom")</f>
        <v>United Kingdom</v>
      </c>
      <c r="I104" s="7">
        <f>IFERROR(__xludf.DUMMYFUNCTION("""COMPUTED_VALUE"""),40148.0)</f>
        <v>40148</v>
      </c>
      <c r="J104" s="8">
        <f>IFERROR(__xludf.DUMMYFUNCTION("""COMPUTED_VALUE"""),0.4069444444430701)</f>
        <v>0.4069444444</v>
      </c>
      <c r="K104" s="2">
        <f>IFERROR(__xludf.DUMMYFUNCTION("""COMPUTED_VALUE"""),9.0)</f>
        <v>9</v>
      </c>
      <c r="L104" s="2">
        <f>IFERROR(__xludf.DUMMYFUNCTION("""COMPUTED_VALUE"""),17.7)</f>
        <v>17.7</v>
      </c>
    </row>
    <row r="105">
      <c r="A105" s="2">
        <f>IFERROR(__xludf.DUMMYFUNCTION("""COMPUTED_VALUE"""),489442.0)</f>
        <v>489442</v>
      </c>
      <c r="B105" s="2" t="str">
        <f>IFERROR(__xludf.DUMMYFUNCTION("""COMPUTED_VALUE"""),"21582")</f>
        <v>21582</v>
      </c>
      <c r="C105" s="2" t="str">
        <f>IFERROR(__xludf.DUMMYFUNCTION("""COMPUTED_VALUE"""),"KINGS CHOICE SMALL TUBE MATCHES")</f>
        <v>KINGS CHOICE SMALL TUBE MATCHES</v>
      </c>
      <c r="D105" s="2">
        <f>IFERROR(__xludf.DUMMYFUNCTION("""COMPUTED_VALUE"""),20.0)</f>
        <v>20</v>
      </c>
      <c r="E105" s="6">
        <f>IFERROR(__xludf.DUMMYFUNCTION("""COMPUTED_VALUE"""),40148.40694444445)</f>
        <v>40148.40694</v>
      </c>
      <c r="F105" s="2">
        <f>IFERROR(__xludf.DUMMYFUNCTION("""COMPUTED_VALUE"""),1.65)</f>
        <v>1.65</v>
      </c>
      <c r="G105" s="2">
        <f>IFERROR(__xludf.DUMMYFUNCTION("""COMPUTED_VALUE"""),13635.0)</f>
        <v>13635</v>
      </c>
      <c r="H105" s="2" t="str">
        <f>IFERROR(__xludf.DUMMYFUNCTION("""COMPUTED_VALUE"""),"United Kingdom")</f>
        <v>United Kingdom</v>
      </c>
      <c r="I105" s="7">
        <f>IFERROR(__xludf.DUMMYFUNCTION("""COMPUTED_VALUE"""),40148.0)</f>
        <v>40148</v>
      </c>
      <c r="J105" s="8">
        <f>IFERROR(__xludf.DUMMYFUNCTION("""COMPUTED_VALUE"""),0.4069444444430701)</f>
        <v>0.4069444444</v>
      </c>
      <c r="K105" s="2">
        <f>IFERROR(__xludf.DUMMYFUNCTION("""COMPUTED_VALUE"""),9.0)</f>
        <v>9</v>
      </c>
      <c r="L105" s="2">
        <f>IFERROR(__xludf.DUMMYFUNCTION("""COMPUTED_VALUE"""),33.0)</f>
        <v>33</v>
      </c>
    </row>
    <row r="106">
      <c r="A106" s="2">
        <f>IFERROR(__xludf.DUMMYFUNCTION("""COMPUTED_VALUE"""),489442.0)</f>
        <v>489442</v>
      </c>
      <c r="B106" s="2" t="str">
        <f>IFERROR(__xludf.DUMMYFUNCTION("""COMPUTED_VALUE"""),"21586")</f>
        <v>21586</v>
      </c>
      <c r="C106" s="2" t="str">
        <f>IFERROR(__xludf.DUMMYFUNCTION("""COMPUTED_VALUE"""),"KINGS CHOICE GIANT TUBE MATCHES")</f>
        <v>KINGS CHOICE GIANT TUBE MATCHES</v>
      </c>
      <c r="D106" s="2">
        <f>IFERROR(__xludf.DUMMYFUNCTION("""COMPUTED_VALUE"""),12.0)</f>
        <v>12</v>
      </c>
      <c r="E106" s="6">
        <f>IFERROR(__xludf.DUMMYFUNCTION("""COMPUTED_VALUE"""),40148.40694444445)</f>
        <v>40148.40694</v>
      </c>
      <c r="F106" s="2">
        <f>IFERROR(__xludf.DUMMYFUNCTION("""COMPUTED_VALUE"""),2.55)</f>
        <v>2.55</v>
      </c>
      <c r="G106" s="2">
        <f>IFERROR(__xludf.DUMMYFUNCTION("""COMPUTED_VALUE"""),13635.0)</f>
        <v>13635</v>
      </c>
      <c r="H106" s="2" t="str">
        <f>IFERROR(__xludf.DUMMYFUNCTION("""COMPUTED_VALUE"""),"United Kingdom")</f>
        <v>United Kingdom</v>
      </c>
      <c r="I106" s="7">
        <f>IFERROR(__xludf.DUMMYFUNCTION("""COMPUTED_VALUE"""),40148.0)</f>
        <v>40148</v>
      </c>
      <c r="J106" s="8">
        <f>IFERROR(__xludf.DUMMYFUNCTION("""COMPUTED_VALUE"""),0.4069444444430701)</f>
        <v>0.4069444444</v>
      </c>
      <c r="K106" s="2">
        <f>IFERROR(__xludf.DUMMYFUNCTION("""COMPUTED_VALUE"""),9.0)</f>
        <v>9</v>
      </c>
      <c r="L106" s="2">
        <f>IFERROR(__xludf.DUMMYFUNCTION("""COMPUTED_VALUE"""),30.5999999999999)</f>
        <v>30.6</v>
      </c>
    </row>
    <row r="107">
      <c r="A107" s="2">
        <f>IFERROR(__xludf.DUMMYFUNCTION("""COMPUTED_VALUE"""),489442.0)</f>
        <v>489442</v>
      </c>
      <c r="B107" s="2" t="str">
        <f>IFERROR(__xludf.DUMMYFUNCTION("""COMPUTED_VALUE"""),"21590")</f>
        <v>21590</v>
      </c>
      <c r="C107" s="2" t="str">
        <f>IFERROR(__xludf.DUMMYFUNCTION("""COMPUTED_VALUE"""),"KINGS CHOICE CIGAR BOX MATCHES")</f>
        <v>KINGS CHOICE CIGAR BOX MATCHES</v>
      </c>
      <c r="D107" s="2">
        <f>IFERROR(__xludf.DUMMYFUNCTION("""COMPUTED_VALUE"""),48.0)</f>
        <v>48</v>
      </c>
      <c r="E107" s="6">
        <f>IFERROR(__xludf.DUMMYFUNCTION("""COMPUTED_VALUE"""),40148.40694444445)</f>
        <v>40148.40694</v>
      </c>
      <c r="F107" s="2">
        <f>IFERROR(__xludf.DUMMYFUNCTION("""COMPUTED_VALUE"""),1.25)</f>
        <v>1.25</v>
      </c>
      <c r="G107" s="2">
        <f>IFERROR(__xludf.DUMMYFUNCTION("""COMPUTED_VALUE"""),13635.0)</f>
        <v>13635</v>
      </c>
      <c r="H107" s="2" t="str">
        <f>IFERROR(__xludf.DUMMYFUNCTION("""COMPUTED_VALUE"""),"United Kingdom")</f>
        <v>United Kingdom</v>
      </c>
      <c r="I107" s="7">
        <f>IFERROR(__xludf.DUMMYFUNCTION("""COMPUTED_VALUE"""),40148.0)</f>
        <v>40148</v>
      </c>
      <c r="J107" s="8">
        <f>IFERROR(__xludf.DUMMYFUNCTION("""COMPUTED_VALUE"""),0.4069444444430701)</f>
        <v>0.4069444444</v>
      </c>
      <c r="K107" s="2">
        <f>IFERROR(__xludf.DUMMYFUNCTION("""COMPUTED_VALUE"""),9.0)</f>
        <v>9</v>
      </c>
      <c r="L107" s="2">
        <f>IFERROR(__xludf.DUMMYFUNCTION("""COMPUTED_VALUE"""),60.0)</f>
        <v>60</v>
      </c>
    </row>
    <row r="108">
      <c r="A108" s="2">
        <f>IFERROR(__xludf.DUMMYFUNCTION("""COMPUTED_VALUE"""),489442.0)</f>
        <v>489442</v>
      </c>
      <c r="B108" s="2" t="str">
        <f>IFERROR(__xludf.DUMMYFUNCTION("""COMPUTED_VALUE"""),"22091")</f>
        <v>22091</v>
      </c>
      <c r="C108" s="2" t="str">
        <f>IFERROR(__xludf.DUMMYFUNCTION("""COMPUTED_VALUE"""),"EMPIRE TISSUE BOX")</f>
        <v>EMPIRE TISSUE BOX</v>
      </c>
      <c r="D108" s="2">
        <f>IFERROR(__xludf.DUMMYFUNCTION("""COMPUTED_VALUE"""),12.0)</f>
        <v>12</v>
      </c>
      <c r="E108" s="6">
        <f>IFERROR(__xludf.DUMMYFUNCTION("""COMPUTED_VALUE"""),40148.40694444445)</f>
        <v>40148.40694</v>
      </c>
      <c r="F108" s="2">
        <f>IFERROR(__xludf.DUMMYFUNCTION("""COMPUTED_VALUE"""),1.25)</f>
        <v>1.25</v>
      </c>
      <c r="G108" s="2">
        <f>IFERROR(__xludf.DUMMYFUNCTION("""COMPUTED_VALUE"""),13635.0)</f>
        <v>13635</v>
      </c>
      <c r="H108" s="2" t="str">
        <f>IFERROR(__xludf.DUMMYFUNCTION("""COMPUTED_VALUE"""),"United Kingdom")</f>
        <v>United Kingdom</v>
      </c>
      <c r="I108" s="7">
        <f>IFERROR(__xludf.DUMMYFUNCTION("""COMPUTED_VALUE"""),40148.0)</f>
        <v>40148</v>
      </c>
      <c r="J108" s="8">
        <f>IFERROR(__xludf.DUMMYFUNCTION("""COMPUTED_VALUE"""),0.4069444444430701)</f>
        <v>0.4069444444</v>
      </c>
      <c r="K108" s="2">
        <f>IFERROR(__xludf.DUMMYFUNCTION("""COMPUTED_VALUE"""),9.0)</f>
        <v>9</v>
      </c>
      <c r="L108" s="2">
        <f>IFERROR(__xludf.DUMMYFUNCTION("""COMPUTED_VALUE"""),15.0)</f>
        <v>15</v>
      </c>
    </row>
    <row r="109">
      <c r="A109" s="2">
        <f>IFERROR(__xludf.DUMMYFUNCTION("""COMPUTED_VALUE"""),489442.0)</f>
        <v>489442</v>
      </c>
      <c r="B109" s="2" t="str">
        <f>IFERROR(__xludf.DUMMYFUNCTION("""COMPUTED_VALUE"""),"84251J")</f>
        <v>84251J</v>
      </c>
      <c r="C109" s="2" t="str">
        <f>IFERROR(__xludf.DUMMYFUNCTION("""COMPUTED_VALUE"""),"GREETING CARD, THE BLACK CAT")</f>
        <v>GREETING CARD, THE BLACK CAT</v>
      </c>
      <c r="D109" s="2">
        <f>IFERROR(__xludf.DUMMYFUNCTION("""COMPUTED_VALUE"""),12.0)</f>
        <v>12</v>
      </c>
      <c r="E109" s="6">
        <f>IFERROR(__xludf.DUMMYFUNCTION("""COMPUTED_VALUE"""),40148.40694444445)</f>
        <v>40148.40694</v>
      </c>
      <c r="F109" s="2">
        <f>IFERROR(__xludf.DUMMYFUNCTION("""COMPUTED_VALUE"""),0.42)</f>
        <v>0.42</v>
      </c>
      <c r="G109" s="2">
        <f>IFERROR(__xludf.DUMMYFUNCTION("""COMPUTED_VALUE"""),13635.0)</f>
        <v>13635</v>
      </c>
      <c r="H109" s="2" t="str">
        <f>IFERROR(__xludf.DUMMYFUNCTION("""COMPUTED_VALUE"""),"United Kingdom")</f>
        <v>United Kingdom</v>
      </c>
      <c r="I109" s="7">
        <f>IFERROR(__xludf.DUMMYFUNCTION("""COMPUTED_VALUE"""),40148.0)</f>
        <v>40148</v>
      </c>
      <c r="J109" s="8">
        <f>IFERROR(__xludf.DUMMYFUNCTION("""COMPUTED_VALUE"""),0.4069444444430701)</f>
        <v>0.4069444444</v>
      </c>
      <c r="K109" s="2">
        <f>IFERROR(__xludf.DUMMYFUNCTION("""COMPUTED_VALUE"""),9.0)</f>
        <v>9</v>
      </c>
      <c r="L109" s="2">
        <f>IFERROR(__xludf.DUMMYFUNCTION("""COMPUTED_VALUE"""),5.04)</f>
        <v>5.04</v>
      </c>
    </row>
    <row r="110">
      <c r="A110" s="2">
        <f>IFERROR(__xludf.DUMMYFUNCTION("""COMPUTED_VALUE"""),489442.0)</f>
        <v>489442</v>
      </c>
      <c r="B110" s="2" t="str">
        <f>IFERROR(__xludf.DUMMYFUNCTION("""COMPUTED_VALUE"""),"22024")</f>
        <v>22024</v>
      </c>
      <c r="C110" s="2" t="str">
        <f>IFERROR(__xludf.DUMMYFUNCTION("""COMPUTED_VALUE"""),"RAINY LADIES BIRTHDAY CARD")</f>
        <v>RAINY LADIES BIRTHDAY CARD</v>
      </c>
      <c r="D110" s="2">
        <f>IFERROR(__xludf.DUMMYFUNCTION("""COMPUTED_VALUE"""),12.0)</f>
        <v>12</v>
      </c>
      <c r="E110" s="6">
        <f>IFERROR(__xludf.DUMMYFUNCTION("""COMPUTED_VALUE"""),40148.40694444445)</f>
        <v>40148.40694</v>
      </c>
      <c r="F110" s="2">
        <f>IFERROR(__xludf.DUMMYFUNCTION("""COMPUTED_VALUE"""),0.42)</f>
        <v>0.42</v>
      </c>
      <c r="G110" s="2">
        <f>IFERROR(__xludf.DUMMYFUNCTION("""COMPUTED_VALUE"""),13635.0)</f>
        <v>13635</v>
      </c>
      <c r="H110" s="2" t="str">
        <f>IFERROR(__xludf.DUMMYFUNCTION("""COMPUTED_VALUE"""),"United Kingdom")</f>
        <v>United Kingdom</v>
      </c>
      <c r="I110" s="7">
        <f>IFERROR(__xludf.DUMMYFUNCTION("""COMPUTED_VALUE"""),40148.0)</f>
        <v>40148</v>
      </c>
      <c r="J110" s="8">
        <f>IFERROR(__xludf.DUMMYFUNCTION("""COMPUTED_VALUE"""),0.4069444444430701)</f>
        <v>0.4069444444</v>
      </c>
      <c r="K110" s="2">
        <f>IFERROR(__xludf.DUMMYFUNCTION("""COMPUTED_VALUE"""),9.0)</f>
        <v>9</v>
      </c>
      <c r="L110" s="2">
        <f>IFERROR(__xludf.DUMMYFUNCTION("""COMPUTED_VALUE"""),5.04)</f>
        <v>5.04</v>
      </c>
    </row>
    <row r="111">
      <c r="A111" s="2">
        <f>IFERROR(__xludf.DUMMYFUNCTION("""COMPUTED_VALUE"""),489442.0)</f>
        <v>489442</v>
      </c>
      <c r="B111" s="2" t="str">
        <f>IFERROR(__xludf.DUMMYFUNCTION("""COMPUTED_VALUE"""),"22026")</f>
        <v>22026</v>
      </c>
      <c r="C111" s="2" t="str">
        <f>IFERROR(__xludf.DUMMYFUNCTION("""COMPUTED_VALUE"""),"BANQUET BIRTHDAY CARD")</f>
        <v>BANQUET BIRTHDAY CARD</v>
      </c>
      <c r="D111" s="2">
        <f>IFERROR(__xludf.DUMMYFUNCTION("""COMPUTED_VALUE"""),12.0)</f>
        <v>12</v>
      </c>
      <c r="E111" s="6">
        <f>IFERROR(__xludf.DUMMYFUNCTION("""COMPUTED_VALUE"""),40148.40694444445)</f>
        <v>40148.40694</v>
      </c>
      <c r="F111" s="2">
        <f>IFERROR(__xludf.DUMMYFUNCTION("""COMPUTED_VALUE"""),0.42)</f>
        <v>0.42</v>
      </c>
      <c r="G111" s="2">
        <f>IFERROR(__xludf.DUMMYFUNCTION("""COMPUTED_VALUE"""),13635.0)</f>
        <v>13635</v>
      </c>
      <c r="H111" s="2" t="str">
        <f>IFERROR(__xludf.DUMMYFUNCTION("""COMPUTED_VALUE"""),"United Kingdom")</f>
        <v>United Kingdom</v>
      </c>
      <c r="I111" s="7">
        <f>IFERROR(__xludf.DUMMYFUNCTION("""COMPUTED_VALUE"""),40148.0)</f>
        <v>40148</v>
      </c>
      <c r="J111" s="8">
        <f>IFERROR(__xludf.DUMMYFUNCTION("""COMPUTED_VALUE"""),0.4069444444430701)</f>
        <v>0.4069444444</v>
      </c>
      <c r="K111" s="2">
        <f>IFERROR(__xludf.DUMMYFUNCTION("""COMPUTED_VALUE"""),9.0)</f>
        <v>9</v>
      </c>
      <c r="L111" s="2">
        <f>IFERROR(__xludf.DUMMYFUNCTION("""COMPUTED_VALUE"""),5.04)</f>
        <v>5.04</v>
      </c>
    </row>
    <row r="112">
      <c r="A112" s="2">
        <f>IFERROR(__xludf.DUMMYFUNCTION("""COMPUTED_VALUE"""),489442.0)</f>
        <v>489442</v>
      </c>
      <c r="B112" s="2" t="str">
        <f>IFERROR(__xludf.DUMMYFUNCTION("""COMPUTED_VALUE"""),"22029")</f>
        <v>22029</v>
      </c>
      <c r="C112" s="2" t="str">
        <f>IFERROR(__xludf.DUMMYFUNCTION("""COMPUTED_VALUE"""),"SPACE BOY BIRTHDAY CARD")</f>
        <v>SPACE BOY BIRTHDAY CARD</v>
      </c>
      <c r="D112" s="2">
        <f>IFERROR(__xludf.DUMMYFUNCTION("""COMPUTED_VALUE"""),12.0)</f>
        <v>12</v>
      </c>
      <c r="E112" s="6">
        <f>IFERROR(__xludf.DUMMYFUNCTION("""COMPUTED_VALUE"""),40148.40694444445)</f>
        <v>40148.40694</v>
      </c>
      <c r="F112" s="2">
        <f>IFERROR(__xludf.DUMMYFUNCTION("""COMPUTED_VALUE"""),0.42)</f>
        <v>0.42</v>
      </c>
      <c r="G112" s="2">
        <f>IFERROR(__xludf.DUMMYFUNCTION("""COMPUTED_VALUE"""),13635.0)</f>
        <v>13635</v>
      </c>
      <c r="H112" s="2" t="str">
        <f>IFERROR(__xludf.DUMMYFUNCTION("""COMPUTED_VALUE"""),"United Kingdom")</f>
        <v>United Kingdom</v>
      </c>
      <c r="I112" s="7">
        <f>IFERROR(__xludf.DUMMYFUNCTION("""COMPUTED_VALUE"""),40148.0)</f>
        <v>40148</v>
      </c>
      <c r="J112" s="8">
        <f>IFERROR(__xludf.DUMMYFUNCTION("""COMPUTED_VALUE"""),0.4069444444430701)</f>
        <v>0.4069444444</v>
      </c>
      <c r="K112" s="2">
        <f>IFERROR(__xludf.DUMMYFUNCTION("""COMPUTED_VALUE"""),9.0)</f>
        <v>9</v>
      </c>
      <c r="L112" s="2">
        <f>IFERROR(__xludf.DUMMYFUNCTION("""COMPUTED_VALUE"""),5.04)</f>
        <v>5.04</v>
      </c>
    </row>
    <row r="113">
      <c r="A113" s="2">
        <f>IFERROR(__xludf.DUMMYFUNCTION("""COMPUTED_VALUE"""),489442.0)</f>
        <v>489442</v>
      </c>
      <c r="B113" s="2" t="str">
        <f>IFERROR(__xludf.DUMMYFUNCTION("""COMPUTED_VALUE"""),"22025")</f>
        <v>22025</v>
      </c>
      <c r="C113" s="2" t="str">
        <f>IFERROR(__xludf.DUMMYFUNCTION("""COMPUTED_VALUE"""),"RING OF ROSES BIRTHDAY CARD")</f>
        <v>RING OF ROSES BIRTHDAY CARD</v>
      </c>
      <c r="D113" s="2">
        <f>IFERROR(__xludf.DUMMYFUNCTION("""COMPUTED_VALUE"""),12.0)</f>
        <v>12</v>
      </c>
      <c r="E113" s="6">
        <f>IFERROR(__xludf.DUMMYFUNCTION("""COMPUTED_VALUE"""),40148.40694444445)</f>
        <v>40148.40694</v>
      </c>
      <c r="F113" s="2">
        <f>IFERROR(__xludf.DUMMYFUNCTION("""COMPUTED_VALUE"""),0.42)</f>
        <v>0.42</v>
      </c>
      <c r="G113" s="2">
        <f>IFERROR(__xludf.DUMMYFUNCTION("""COMPUTED_VALUE"""),13635.0)</f>
        <v>13635</v>
      </c>
      <c r="H113" s="2" t="str">
        <f>IFERROR(__xludf.DUMMYFUNCTION("""COMPUTED_VALUE"""),"United Kingdom")</f>
        <v>United Kingdom</v>
      </c>
      <c r="I113" s="7">
        <f>IFERROR(__xludf.DUMMYFUNCTION("""COMPUTED_VALUE"""),40148.0)</f>
        <v>40148</v>
      </c>
      <c r="J113" s="8">
        <f>IFERROR(__xludf.DUMMYFUNCTION("""COMPUTED_VALUE"""),0.4069444444430701)</f>
        <v>0.4069444444</v>
      </c>
      <c r="K113" s="2">
        <f>IFERROR(__xludf.DUMMYFUNCTION("""COMPUTED_VALUE"""),9.0)</f>
        <v>9</v>
      </c>
      <c r="L113" s="2">
        <f>IFERROR(__xludf.DUMMYFUNCTION("""COMPUTED_VALUE"""),5.04)</f>
        <v>5.04</v>
      </c>
    </row>
    <row r="114">
      <c r="A114" s="2">
        <f>IFERROR(__xludf.DUMMYFUNCTION("""COMPUTED_VALUE"""),489442.0)</f>
        <v>489442</v>
      </c>
      <c r="B114" s="2" t="str">
        <f>IFERROR(__xludf.DUMMYFUNCTION("""COMPUTED_VALUE"""),"22031")</f>
        <v>22031</v>
      </c>
      <c r="C114" s="2" t="str">
        <f>IFERROR(__xludf.DUMMYFUNCTION("""COMPUTED_VALUE"""),"BOTANICAL LAVENDER BIRTHDAY CARD")</f>
        <v>BOTANICAL LAVENDER BIRTHDAY CARD</v>
      </c>
      <c r="D114" s="2">
        <f>IFERROR(__xludf.DUMMYFUNCTION("""COMPUTED_VALUE"""),12.0)</f>
        <v>12</v>
      </c>
      <c r="E114" s="6">
        <f>IFERROR(__xludf.DUMMYFUNCTION("""COMPUTED_VALUE"""),40148.40694444445)</f>
        <v>40148.40694</v>
      </c>
      <c r="F114" s="2">
        <f>IFERROR(__xludf.DUMMYFUNCTION("""COMPUTED_VALUE"""),0.42)</f>
        <v>0.42</v>
      </c>
      <c r="G114" s="2">
        <f>IFERROR(__xludf.DUMMYFUNCTION("""COMPUTED_VALUE"""),13635.0)</f>
        <v>13635</v>
      </c>
      <c r="H114" s="2" t="str">
        <f>IFERROR(__xludf.DUMMYFUNCTION("""COMPUTED_VALUE"""),"United Kingdom")</f>
        <v>United Kingdom</v>
      </c>
      <c r="I114" s="7">
        <f>IFERROR(__xludf.DUMMYFUNCTION("""COMPUTED_VALUE"""),40148.0)</f>
        <v>40148</v>
      </c>
      <c r="J114" s="8">
        <f>IFERROR(__xludf.DUMMYFUNCTION("""COMPUTED_VALUE"""),0.4069444444430701)</f>
        <v>0.4069444444</v>
      </c>
      <c r="K114" s="2">
        <f>IFERROR(__xludf.DUMMYFUNCTION("""COMPUTED_VALUE"""),9.0)</f>
        <v>9</v>
      </c>
      <c r="L114" s="2">
        <f>IFERROR(__xludf.DUMMYFUNCTION("""COMPUTED_VALUE"""),5.04)</f>
        <v>5.04</v>
      </c>
    </row>
    <row r="115">
      <c r="A115" s="2">
        <f>IFERROR(__xludf.DUMMYFUNCTION("""COMPUTED_VALUE"""),489442.0)</f>
        <v>489442</v>
      </c>
      <c r="B115" s="2" t="str">
        <f>IFERROR(__xludf.DUMMYFUNCTION("""COMPUTED_VALUE"""),"21428")</f>
        <v>21428</v>
      </c>
      <c r="C115" s="2" t="str">
        <f>IFERROR(__xludf.DUMMYFUNCTION("""COMPUTED_VALUE"""),"SET3 BOOK BOX GREEN GINGHAM FLOWER")</f>
        <v>SET3 BOOK BOX GREEN GINGHAM FLOWER</v>
      </c>
      <c r="D115" s="2">
        <f>IFERROR(__xludf.DUMMYFUNCTION("""COMPUTED_VALUE"""),4.0)</f>
        <v>4</v>
      </c>
      <c r="E115" s="6">
        <f>IFERROR(__xludf.DUMMYFUNCTION("""COMPUTED_VALUE"""),40148.40694444445)</f>
        <v>40148.40694</v>
      </c>
      <c r="F115" s="2">
        <f>IFERROR(__xludf.DUMMYFUNCTION("""COMPUTED_VALUE"""),4.25)</f>
        <v>4.25</v>
      </c>
      <c r="G115" s="2">
        <f>IFERROR(__xludf.DUMMYFUNCTION("""COMPUTED_VALUE"""),13635.0)</f>
        <v>13635</v>
      </c>
      <c r="H115" s="2" t="str">
        <f>IFERROR(__xludf.DUMMYFUNCTION("""COMPUTED_VALUE"""),"United Kingdom")</f>
        <v>United Kingdom</v>
      </c>
      <c r="I115" s="7">
        <f>IFERROR(__xludf.DUMMYFUNCTION("""COMPUTED_VALUE"""),40148.0)</f>
        <v>40148</v>
      </c>
      <c r="J115" s="8">
        <f>IFERROR(__xludf.DUMMYFUNCTION("""COMPUTED_VALUE"""),0.4069444444430701)</f>
        <v>0.4069444444</v>
      </c>
      <c r="K115" s="2">
        <f>IFERROR(__xludf.DUMMYFUNCTION("""COMPUTED_VALUE"""),9.0)</f>
        <v>9</v>
      </c>
      <c r="L115" s="2">
        <f>IFERROR(__xludf.DUMMYFUNCTION("""COMPUTED_VALUE"""),17.0)</f>
        <v>17</v>
      </c>
    </row>
    <row r="116">
      <c r="A116" s="2">
        <f>IFERROR(__xludf.DUMMYFUNCTION("""COMPUTED_VALUE"""),489442.0)</f>
        <v>489442</v>
      </c>
      <c r="B116" s="2" t="str">
        <f>IFERROR(__xludf.DUMMYFUNCTION("""COMPUTED_VALUE"""),"21430")</f>
        <v>21430</v>
      </c>
      <c r="C116" s="2" t="str">
        <f>IFERROR(__xludf.DUMMYFUNCTION("""COMPUTED_VALUE"""),"SET/3 RED GINGHAM ROSE STORAGE BOX")</f>
        <v>SET/3 RED GINGHAM ROSE STORAGE BOX</v>
      </c>
      <c r="D116" s="2">
        <f>IFERROR(__xludf.DUMMYFUNCTION("""COMPUTED_VALUE"""),4.0)</f>
        <v>4</v>
      </c>
      <c r="E116" s="6">
        <f>IFERROR(__xludf.DUMMYFUNCTION("""COMPUTED_VALUE"""),40148.40694444445)</f>
        <v>40148.40694</v>
      </c>
      <c r="F116" s="2">
        <f>IFERROR(__xludf.DUMMYFUNCTION("""COMPUTED_VALUE"""),3.75)</f>
        <v>3.75</v>
      </c>
      <c r="G116" s="2">
        <f>IFERROR(__xludf.DUMMYFUNCTION("""COMPUTED_VALUE"""),13635.0)</f>
        <v>13635</v>
      </c>
      <c r="H116" s="2" t="str">
        <f>IFERROR(__xludf.DUMMYFUNCTION("""COMPUTED_VALUE"""),"United Kingdom")</f>
        <v>United Kingdom</v>
      </c>
      <c r="I116" s="7">
        <f>IFERROR(__xludf.DUMMYFUNCTION("""COMPUTED_VALUE"""),40148.0)</f>
        <v>40148</v>
      </c>
      <c r="J116" s="8">
        <f>IFERROR(__xludf.DUMMYFUNCTION("""COMPUTED_VALUE"""),0.4069444444430701)</f>
        <v>0.4069444444</v>
      </c>
      <c r="K116" s="2">
        <f>IFERROR(__xludf.DUMMYFUNCTION("""COMPUTED_VALUE"""),9.0)</f>
        <v>9</v>
      </c>
      <c r="L116" s="2">
        <f>IFERROR(__xludf.DUMMYFUNCTION("""COMPUTED_VALUE"""),15.0)</f>
        <v>15</v>
      </c>
    </row>
    <row r="117">
      <c r="A117" s="2">
        <f>IFERROR(__xludf.DUMMYFUNCTION("""COMPUTED_VALUE"""),489442.0)</f>
        <v>489442</v>
      </c>
      <c r="B117" s="2" t="str">
        <f>IFERROR(__xludf.DUMMYFUNCTION("""COMPUTED_VALUE"""),"21916")</f>
        <v>21916</v>
      </c>
      <c r="C117" s="2" t="str">
        <f>IFERROR(__xludf.DUMMYFUNCTION("""COMPUTED_VALUE"""),"SET 12 RETRO WHITE CHALK STICKS")</f>
        <v>SET 12 RETRO WHITE CHALK STICKS</v>
      </c>
      <c r="D117" s="2">
        <f>IFERROR(__xludf.DUMMYFUNCTION("""COMPUTED_VALUE"""),24.0)</f>
        <v>24</v>
      </c>
      <c r="E117" s="6">
        <f>IFERROR(__xludf.DUMMYFUNCTION("""COMPUTED_VALUE"""),40148.40694444445)</f>
        <v>40148.40694</v>
      </c>
      <c r="F117" s="2">
        <f>IFERROR(__xludf.DUMMYFUNCTION("""COMPUTED_VALUE"""),0.42)</f>
        <v>0.42</v>
      </c>
      <c r="G117" s="2">
        <f>IFERROR(__xludf.DUMMYFUNCTION("""COMPUTED_VALUE"""),13635.0)</f>
        <v>13635</v>
      </c>
      <c r="H117" s="2" t="str">
        <f>IFERROR(__xludf.DUMMYFUNCTION("""COMPUTED_VALUE"""),"United Kingdom")</f>
        <v>United Kingdom</v>
      </c>
      <c r="I117" s="7">
        <f>IFERROR(__xludf.DUMMYFUNCTION("""COMPUTED_VALUE"""),40148.0)</f>
        <v>40148</v>
      </c>
      <c r="J117" s="8">
        <f>IFERROR(__xludf.DUMMYFUNCTION("""COMPUTED_VALUE"""),0.4069444444430701)</f>
        <v>0.4069444444</v>
      </c>
      <c r="K117" s="2">
        <f>IFERROR(__xludf.DUMMYFUNCTION("""COMPUTED_VALUE"""),9.0)</f>
        <v>9</v>
      </c>
      <c r="L117" s="2">
        <f>IFERROR(__xludf.DUMMYFUNCTION("""COMPUTED_VALUE"""),10.08)</f>
        <v>10.08</v>
      </c>
    </row>
    <row r="118">
      <c r="A118" s="2">
        <f>IFERROR(__xludf.DUMMYFUNCTION("""COMPUTED_VALUE"""),489442.0)</f>
        <v>489442</v>
      </c>
      <c r="B118" s="2" t="str">
        <f>IFERROR(__xludf.DUMMYFUNCTION("""COMPUTED_VALUE"""),"21790")</f>
        <v>21790</v>
      </c>
      <c r="C118" s="2" t="str">
        <f>IFERROR(__xludf.DUMMYFUNCTION("""COMPUTED_VALUE"""),"VINTAGE SNAP CARDS")</f>
        <v>VINTAGE SNAP CARDS</v>
      </c>
      <c r="D118" s="2">
        <f>IFERROR(__xludf.DUMMYFUNCTION("""COMPUTED_VALUE"""),12.0)</f>
        <v>12</v>
      </c>
      <c r="E118" s="6">
        <f>IFERROR(__xludf.DUMMYFUNCTION("""COMPUTED_VALUE"""),40148.40694444445)</f>
        <v>40148.40694</v>
      </c>
      <c r="F118" s="2">
        <f>IFERROR(__xludf.DUMMYFUNCTION("""COMPUTED_VALUE"""),0.85)</f>
        <v>0.85</v>
      </c>
      <c r="G118" s="2">
        <f>IFERROR(__xludf.DUMMYFUNCTION("""COMPUTED_VALUE"""),13635.0)</f>
        <v>13635</v>
      </c>
      <c r="H118" s="2" t="str">
        <f>IFERROR(__xludf.DUMMYFUNCTION("""COMPUTED_VALUE"""),"United Kingdom")</f>
        <v>United Kingdom</v>
      </c>
      <c r="I118" s="7">
        <f>IFERROR(__xludf.DUMMYFUNCTION("""COMPUTED_VALUE"""),40148.0)</f>
        <v>40148</v>
      </c>
      <c r="J118" s="8">
        <f>IFERROR(__xludf.DUMMYFUNCTION("""COMPUTED_VALUE"""),0.4069444444430701)</f>
        <v>0.4069444444</v>
      </c>
      <c r="K118" s="2">
        <f>IFERROR(__xludf.DUMMYFUNCTION("""COMPUTED_VALUE"""),9.0)</f>
        <v>9</v>
      </c>
      <c r="L118" s="2">
        <f>IFERROR(__xludf.DUMMYFUNCTION("""COMPUTED_VALUE"""),10.2)</f>
        <v>10.2</v>
      </c>
    </row>
    <row r="119">
      <c r="A119" s="2">
        <f>IFERROR(__xludf.DUMMYFUNCTION("""COMPUTED_VALUE"""),489442.0)</f>
        <v>489442</v>
      </c>
      <c r="B119" s="2" t="str">
        <f>IFERROR(__xludf.DUMMYFUNCTION("""COMPUTED_VALUE"""),"21888")</f>
        <v>21888</v>
      </c>
      <c r="C119" s="2" t="str">
        <f>IFERROR(__xludf.DUMMYFUNCTION("""COMPUTED_VALUE"""),"BINGO SET")</f>
        <v>BINGO SET</v>
      </c>
      <c r="D119" s="2">
        <f>IFERROR(__xludf.DUMMYFUNCTION("""COMPUTED_VALUE"""),8.0)</f>
        <v>8</v>
      </c>
      <c r="E119" s="6">
        <f>IFERROR(__xludf.DUMMYFUNCTION("""COMPUTED_VALUE"""),40148.40694444445)</f>
        <v>40148.40694</v>
      </c>
      <c r="F119" s="2">
        <f>IFERROR(__xludf.DUMMYFUNCTION("""COMPUTED_VALUE"""),3.75)</f>
        <v>3.75</v>
      </c>
      <c r="G119" s="2">
        <f>IFERROR(__xludf.DUMMYFUNCTION("""COMPUTED_VALUE"""),13635.0)</f>
        <v>13635</v>
      </c>
      <c r="H119" s="2" t="str">
        <f>IFERROR(__xludf.DUMMYFUNCTION("""COMPUTED_VALUE"""),"United Kingdom")</f>
        <v>United Kingdom</v>
      </c>
      <c r="I119" s="7">
        <f>IFERROR(__xludf.DUMMYFUNCTION("""COMPUTED_VALUE"""),40148.0)</f>
        <v>40148</v>
      </c>
      <c r="J119" s="8">
        <f>IFERROR(__xludf.DUMMYFUNCTION("""COMPUTED_VALUE"""),0.4069444444430701)</f>
        <v>0.4069444444</v>
      </c>
      <c r="K119" s="2">
        <f>IFERROR(__xludf.DUMMYFUNCTION("""COMPUTED_VALUE"""),9.0)</f>
        <v>9</v>
      </c>
      <c r="L119" s="2">
        <f>IFERROR(__xludf.DUMMYFUNCTION("""COMPUTED_VALUE"""),30.0)</f>
        <v>30</v>
      </c>
    </row>
    <row r="120">
      <c r="A120" s="2">
        <f>IFERROR(__xludf.DUMMYFUNCTION("""COMPUTED_VALUE"""),489442.0)</f>
        <v>489442</v>
      </c>
      <c r="B120" s="2" t="str">
        <f>IFERROR(__xludf.DUMMYFUNCTION("""COMPUTED_VALUE"""),"85178")</f>
        <v>85178</v>
      </c>
      <c r="C120" s="2" t="str">
        <f>IFERROR(__xludf.DUMMYFUNCTION("""COMPUTED_VALUE"""),"VICTORIAN SEWING KIT")</f>
        <v>VICTORIAN SEWING KIT</v>
      </c>
      <c r="D120" s="2">
        <f>IFERROR(__xludf.DUMMYFUNCTION("""COMPUTED_VALUE"""),12.0)</f>
        <v>12</v>
      </c>
      <c r="E120" s="6">
        <f>IFERROR(__xludf.DUMMYFUNCTION("""COMPUTED_VALUE"""),40148.40694444445)</f>
        <v>40148.40694</v>
      </c>
      <c r="F120" s="2">
        <f>IFERROR(__xludf.DUMMYFUNCTION("""COMPUTED_VALUE"""),1.25)</f>
        <v>1.25</v>
      </c>
      <c r="G120" s="2">
        <f>IFERROR(__xludf.DUMMYFUNCTION("""COMPUTED_VALUE"""),13635.0)</f>
        <v>13635</v>
      </c>
      <c r="H120" s="2" t="str">
        <f>IFERROR(__xludf.DUMMYFUNCTION("""COMPUTED_VALUE"""),"United Kingdom")</f>
        <v>United Kingdom</v>
      </c>
      <c r="I120" s="7">
        <f>IFERROR(__xludf.DUMMYFUNCTION("""COMPUTED_VALUE"""),40148.0)</f>
        <v>40148</v>
      </c>
      <c r="J120" s="8">
        <f>IFERROR(__xludf.DUMMYFUNCTION("""COMPUTED_VALUE"""),0.4069444444430701)</f>
        <v>0.4069444444</v>
      </c>
      <c r="K120" s="2">
        <f>IFERROR(__xludf.DUMMYFUNCTION("""COMPUTED_VALUE"""),9.0)</f>
        <v>9</v>
      </c>
      <c r="L120" s="2">
        <f>IFERROR(__xludf.DUMMYFUNCTION("""COMPUTED_VALUE"""),15.0)</f>
        <v>15</v>
      </c>
    </row>
    <row r="121">
      <c r="A121" s="2">
        <f>IFERROR(__xludf.DUMMYFUNCTION("""COMPUTED_VALUE"""),489443.0)</f>
        <v>489443</v>
      </c>
      <c r="B121" s="2" t="str">
        <f>IFERROR(__xludf.DUMMYFUNCTION("""COMPUTED_VALUE"""),"20754")</f>
        <v>20754</v>
      </c>
      <c r="C121" s="2" t="str">
        <f>IFERROR(__xludf.DUMMYFUNCTION("""COMPUTED_VALUE"""),"RETRO RED SPOTTY WASHING UP GLOVES")</f>
        <v>RETRO RED SPOTTY WASHING UP GLOVES</v>
      </c>
      <c r="D121" s="2">
        <f>IFERROR(__xludf.DUMMYFUNCTION("""COMPUTED_VALUE"""),6.0)</f>
        <v>6</v>
      </c>
      <c r="E121" s="6">
        <f>IFERROR(__xludf.DUMMYFUNCTION("""COMPUTED_VALUE"""),40148.40972222222)</f>
        <v>40148.40972</v>
      </c>
      <c r="F121" s="2">
        <f>IFERROR(__xludf.DUMMYFUNCTION("""COMPUTED_VALUE"""),2.1)</f>
        <v>2.1</v>
      </c>
      <c r="G121" s="2">
        <f>IFERROR(__xludf.DUMMYFUNCTION("""COMPUTED_VALUE"""),14110.0)</f>
        <v>14110</v>
      </c>
      <c r="H121" s="2" t="str">
        <f>IFERROR(__xludf.DUMMYFUNCTION("""COMPUTED_VALUE"""),"United Kingdom")</f>
        <v>United Kingdom</v>
      </c>
      <c r="I121" s="7">
        <f>IFERROR(__xludf.DUMMYFUNCTION("""COMPUTED_VALUE"""),40148.0)</f>
        <v>40148</v>
      </c>
      <c r="J121" s="8">
        <f>IFERROR(__xludf.DUMMYFUNCTION("""COMPUTED_VALUE"""),0.40972222222262644)</f>
        <v>0.4097222222</v>
      </c>
      <c r="K121" s="2">
        <f>IFERROR(__xludf.DUMMYFUNCTION("""COMPUTED_VALUE"""),9.0)</f>
        <v>9</v>
      </c>
      <c r="L121" s="2">
        <f>IFERROR(__xludf.DUMMYFUNCTION("""COMPUTED_VALUE"""),12.6)</f>
        <v>12.6</v>
      </c>
    </row>
    <row r="122">
      <c r="A122" s="2">
        <f>IFERROR(__xludf.DUMMYFUNCTION("""COMPUTED_VALUE"""),489443.0)</f>
        <v>489443</v>
      </c>
      <c r="B122" s="2" t="str">
        <f>IFERROR(__xludf.DUMMYFUNCTION("""COMPUTED_VALUE"""),"21035")</f>
        <v>21035</v>
      </c>
      <c r="C122" s="2" t="str">
        <f>IFERROR(__xludf.DUMMYFUNCTION("""COMPUTED_VALUE"""),"SET/2 RED SPOTTY TEA TOWELS")</f>
        <v>SET/2 RED SPOTTY TEA TOWELS</v>
      </c>
      <c r="D122" s="2">
        <f>IFERROR(__xludf.DUMMYFUNCTION("""COMPUTED_VALUE"""),12.0)</f>
        <v>12</v>
      </c>
      <c r="E122" s="6">
        <f>IFERROR(__xludf.DUMMYFUNCTION("""COMPUTED_VALUE"""),40148.40972222222)</f>
        <v>40148.40972</v>
      </c>
      <c r="F122" s="2">
        <f>IFERROR(__xludf.DUMMYFUNCTION("""COMPUTED_VALUE"""),2.95)</f>
        <v>2.95</v>
      </c>
      <c r="G122" s="2">
        <f>IFERROR(__xludf.DUMMYFUNCTION("""COMPUTED_VALUE"""),14110.0)</f>
        <v>14110</v>
      </c>
      <c r="H122" s="2" t="str">
        <f>IFERROR(__xludf.DUMMYFUNCTION("""COMPUTED_VALUE"""),"United Kingdom")</f>
        <v>United Kingdom</v>
      </c>
      <c r="I122" s="7">
        <f>IFERROR(__xludf.DUMMYFUNCTION("""COMPUTED_VALUE"""),40148.0)</f>
        <v>40148</v>
      </c>
      <c r="J122" s="8">
        <f>IFERROR(__xludf.DUMMYFUNCTION("""COMPUTED_VALUE"""),0.40972222222262644)</f>
        <v>0.4097222222</v>
      </c>
      <c r="K122" s="2">
        <f>IFERROR(__xludf.DUMMYFUNCTION("""COMPUTED_VALUE"""),9.0)</f>
        <v>9</v>
      </c>
      <c r="L122" s="2">
        <f>IFERROR(__xludf.DUMMYFUNCTION("""COMPUTED_VALUE"""),35.4)</f>
        <v>35.4</v>
      </c>
    </row>
    <row r="123">
      <c r="A123" s="2">
        <f>IFERROR(__xludf.DUMMYFUNCTION("""COMPUTED_VALUE"""),489443.0)</f>
        <v>489443</v>
      </c>
      <c r="B123" s="2" t="str">
        <f>IFERROR(__xludf.DUMMYFUNCTION("""COMPUTED_VALUE"""),"22041")</f>
        <v>22041</v>
      </c>
      <c r="C123" s="2" t="str">
        <f>IFERROR(__xludf.DUMMYFUNCTION("""COMPUTED_VALUE"""),"RECORD FRAME 7"" SINGLE SIZE")</f>
        <v>RECORD FRAME 7" SINGLE SIZE</v>
      </c>
      <c r="D123" s="2">
        <f>IFERROR(__xludf.DUMMYFUNCTION("""COMPUTED_VALUE"""),48.0)</f>
        <v>48</v>
      </c>
      <c r="E123" s="6">
        <f>IFERROR(__xludf.DUMMYFUNCTION("""COMPUTED_VALUE"""),40148.40972222222)</f>
        <v>40148.40972</v>
      </c>
      <c r="F123" s="2">
        <f>IFERROR(__xludf.DUMMYFUNCTION("""COMPUTED_VALUE"""),2.1)</f>
        <v>2.1</v>
      </c>
      <c r="G123" s="2">
        <f>IFERROR(__xludf.DUMMYFUNCTION("""COMPUTED_VALUE"""),14110.0)</f>
        <v>14110</v>
      </c>
      <c r="H123" s="2" t="str">
        <f>IFERROR(__xludf.DUMMYFUNCTION("""COMPUTED_VALUE"""),"United Kingdom")</f>
        <v>United Kingdom</v>
      </c>
      <c r="I123" s="7">
        <f>IFERROR(__xludf.DUMMYFUNCTION("""COMPUTED_VALUE"""),40148.0)</f>
        <v>40148</v>
      </c>
      <c r="J123" s="8">
        <f>IFERROR(__xludf.DUMMYFUNCTION("""COMPUTED_VALUE"""),0.40972222222262644)</f>
        <v>0.4097222222</v>
      </c>
      <c r="K123" s="2">
        <f>IFERROR(__xludf.DUMMYFUNCTION("""COMPUTED_VALUE"""),9.0)</f>
        <v>9</v>
      </c>
      <c r="L123" s="2">
        <f>IFERROR(__xludf.DUMMYFUNCTION("""COMPUTED_VALUE"""),100.8)</f>
        <v>100.8</v>
      </c>
    </row>
    <row r="124">
      <c r="A124" s="2">
        <f>IFERROR(__xludf.DUMMYFUNCTION("""COMPUTED_VALUE"""),489443.0)</f>
        <v>489443</v>
      </c>
      <c r="B124" s="2" t="str">
        <f>IFERROR(__xludf.DUMMYFUNCTION("""COMPUTED_VALUE"""),"82001S")</f>
        <v>82001S</v>
      </c>
      <c r="C124" s="2" t="str">
        <f>IFERROR(__xludf.DUMMYFUNCTION("""COMPUTED_VALUE"""),"VINYL RECORD FRAME SILVER")</f>
        <v>VINYL RECORD FRAME SILVER</v>
      </c>
      <c r="D124" s="2">
        <f>IFERROR(__xludf.DUMMYFUNCTION("""COMPUTED_VALUE"""),24.0)</f>
        <v>24</v>
      </c>
      <c r="E124" s="6">
        <f>IFERROR(__xludf.DUMMYFUNCTION("""COMPUTED_VALUE"""),40148.40972222222)</f>
        <v>40148.40972</v>
      </c>
      <c r="F124" s="2">
        <f>IFERROR(__xludf.DUMMYFUNCTION("""COMPUTED_VALUE"""),3.39)</f>
        <v>3.39</v>
      </c>
      <c r="G124" s="2">
        <f>IFERROR(__xludf.DUMMYFUNCTION("""COMPUTED_VALUE"""),14110.0)</f>
        <v>14110</v>
      </c>
      <c r="H124" s="2" t="str">
        <f>IFERROR(__xludf.DUMMYFUNCTION("""COMPUTED_VALUE"""),"United Kingdom")</f>
        <v>United Kingdom</v>
      </c>
      <c r="I124" s="7">
        <f>IFERROR(__xludf.DUMMYFUNCTION("""COMPUTED_VALUE"""),40148.0)</f>
        <v>40148</v>
      </c>
      <c r="J124" s="8">
        <f>IFERROR(__xludf.DUMMYFUNCTION("""COMPUTED_VALUE"""),0.40972222222262644)</f>
        <v>0.4097222222</v>
      </c>
      <c r="K124" s="2">
        <f>IFERROR(__xludf.DUMMYFUNCTION("""COMPUTED_VALUE"""),9.0)</f>
        <v>9</v>
      </c>
      <c r="L124" s="2">
        <f>IFERROR(__xludf.DUMMYFUNCTION("""COMPUTED_VALUE"""),81.36)</f>
        <v>81.36</v>
      </c>
    </row>
    <row r="125">
      <c r="A125" s="2">
        <f>IFERROR(__xludf.DUMMYFUNCTION("""COMPUTED_VALUE"""),489443.0)</f>
        <v>489443</v>
      </c>
      <c r="B125" s="2" t="str">
        <f>IFERROR(__xludf.DUMMYFUNCTION("""COMPUTED_VALUE"""),"82580")</f>
        <v>82580</v>
      </c>
      <c r="C125" s="2" t="str">
        <f>IFERROR(__xludf.DUMMYFUNCTION("""COMPUTED_VALUE"""),"BATHROOM METAL SIGN")</f>
        <v>BATHROOM METAL SIGN</v>
      </c>
      <c r="D125" s="2">
        <f>IFERROR(__xludf.DUMMYFUNCTION("""COMPUTED_VALUE"""),12.0)</f>
        <v>12</v>
      </c>
      <c r="E125" s="6">
        <f>IFERROR(__xludf.DUMMYFUNCTION("""COMPUTED_VALUE"""),40148.40972222222)</f>
        <v>40148.40972</v>
      </c>
      <c r="F125" s="2">
        <f>IFERROR(__xludf.DUMMYFUNCTION("""COMPUTED_VALUE"""),0.55)</f>
        <v>0.55</v>
      </c>
      <c r="G125" s="2">
        <f>IFERROR(__xludf.DUMMYFUNCTION("""COMPUTED_VALUE"""),14110.0)</f>
        <v>14110</v>
      </c>
      <c r="H125" s="2" t="str">
        <f>IFERROR(__xludf.DUMMYFUNCTION("""COMPUTED_VALUE"""),"United Kingdom")</f>
        <v>United Kingdom</v>
      </c>
      <c r="I125" s="7">
        <f>IFERROR(__xludf.DUMMYFUNCTION("""COMPUTED_VALUE"""),40148.0)</f>
        <v>40148</v>
      </c>
      <c r="J125" s="8">
        <f>IFERROR(__xludf.DUMMYFUNCTION("""COMPUTED_VALUE"""),0.40972222222262644)</f>
        <v>0.4097222222</v>
      </c>
      <c r="K125" s="2">
        <f>IFERROR(__xludf.DUMMYFUNCTION("""COMPUTED_VALUE"""),9.0)</f>
        <v>9</v>
      </c>
      <c r="L125" s="2">
        <f>IFERROR(__xludf.DUMMYFUNCTION("""COMPUTED_VALUE"""),6.6)</f>
        <v>6.6</v>
      </c>
    </row>
    <row r="126">
      <c r="A126" s="2">
        <f>IFERROR(__xludf.DUMMYFUNCTION("""COMPUTED_VALUE"""),489443.0)</f>
        <v>489443</v>
      </c>
      <c r="B126" s="2" t="str">
        <f>IFERROR(__xludf.DUMMYFUNCTION("""COMPUTED_VALUE"""),"85150")</f>
        <v>85150</v>
      </c>
      <c r="C126" s="2" t="str">
        <f>IFERROR(__xludf.DUMMYFUNCTION("""COMPUTED_VALUE"""),"LADIES &amp; GENTLEMEN METAL SIGN")</f>
        <v>LADIES &amp; GENTLEMEN METAL SIGN</v>
      </c>
      <c r="D126" s="2">
        <f>IFERROR(__xludf.DUMMYFUNCTION("""COMPUTED_VALUE"""),12.0)</f>
        <v>12</v>
      </c>
      <c r="E126" s="6">
        <f>IFERROR(__xludf.DUMMYFUNCTION("""COMPUTED_VALUE"""),40148.40972222222)</f>
        <v>40148.40972</v>
      </c>
      <c r="F126" s="2">
        <f>IFERROR(__xludf.DUMMYFUNCTION("""COMPUTED_VALUE"""),2.55)</f>
        <v>2.55</v>
      </c>
      <c r="G126" s="2">
        <f>IFERROR(__xludf.DUMMYFUNCTION("""COMPUTED_VALUE"""),14110.0)</f>
        <v>14110</v>
      </c>
      <c r="H126" s="2" t="str">
        <f>IFERROR(__xludf.DUMMYFUNCTION("""COMPUTED_VALUE"""),"United Kingdom")</f>
        <v>United Kingdom</v>
      </c>
      <c r="I126" s="7">
        <f>IFERROR(__xludf.DUMMYFUNCTION("""COMPUTED_VALUE"""),40148.0)</f>
        <v>40148</v>
      </c>
      <c r="J126" s="8">
        <f>IFERROR(__xludf.DUMMYFUNCTION("""COMPUTED_VALUE"""),0.40972222222262644)</f>
        <v>0.4097222222</v>
      </c>
      <c r="K126" s="2">
        <f>IFERROR(__xludf.DUMMYFUNCTION("""COMPUTED_VALUE"""),9.0)</f>
        <v>9</v>
      </c>
      <c r="L126" s="2">
        <f>IFERROR(__xludf.DUMMYFUNCTION("""COMPUTED_VALUE"""),30.5999999999999)</f>
        <v>30.6</v>
      </c>
    </row>
    <row r="127">
      <c r="A127" s="2">
        <f>IFERROR(__xludf.DUMMYFUNCTION("""COMPUTED_VALUE"""),489443.0)</f>
        <v>489443</v>
      </c>
      <c r="B127" s="2" t="str">
        <f>IFERROR(__xludf.DUMMYFUNCTION("""COMPUTED_VALUE"""),"21041")</f>
        <v>21041</v>
      </c>
      <c r="C127" s="2" t="str">
        <f>IFERROR(__xludf.DUMMYFUNCTION("""COMPUTED_VALUE"""),"RED SPOTTY OVEN GLOVE DOUBLE")</f>
        <v>RED SPOTTY OVEN GLOVE DOUBLE</v>
      </c>
      <c r="D127" s="2">
        <f>IFERROR(__xludf.DUMMYFUNCTION("""COMPUTED_VALUE"""),6.0)</f>
        <v>6</v>
      </c>
      <c r="E127" s="6">
        <f>IFERROR(__xludf.DUMMYFUNCTION("""COMPUTED_VALUE"""),40148.40972222222)</f>
        <v>40148.40972</v>
      </c>
      <c r="F127" s="2">
        <f>IFERROR(__xludf.DUMMYFUNCTION("""COMPUTED_VALUE"""),2.95)</f>
        <v>2.95</v>
      </c>
      <c r="G127" s="2">
        <f>IFERROR(__xludf.DUMMYFUNCTION("""COMPUTED_VALUE"""),14110.0)</f>
        <v>14110</v>
      </c>
      <c r="H127" s="2" t="str">
        <f>IFERROR(__xludf.DUMMYFUNCTION("""COMPUTED_VALUE"""),"United Kingdom")</f>
        <v>United Kingdom</v>
      </c>
      <c r="I127" s="7">
        <f>IFERROR(__xludf.DUMMYFUNCTION("""COMPUTED_VALUE"""),40148.0)</f>
        <v>40148</v>
      </c>
      <c r="J127" s="8">
        <f>IFERROR(__xludf.DUMMYFUNCTION("""COMPUTED_VALUE"""),0.40972222222262644)</f>
        <v>0.4097222222</v>
      </c>
      <c r="K127" s="2">
        <f>IFERROR(__xludf.DUMMYFUNCTION("""COMPUTED_VALUE"""),9.0)</f>
        <v>9</v>
      </c>
      <c r="L127" s="2">
        <f>IFERROR(__xludf.DUMMYFUNCTION("""COMPUTED_VALUE"""),17.7)</f>
        <v>17.7</v>
      </c>
    </row>
    <row r="128">
      <c r="A128" s="2">
        <f>IFERROR(__xludf.DUMMYFUNCTION("""COMPUTED_VALUE"""),489444.0)</f>
        <v>489444</v>
      </c>
      <c r="B128" s="2" t="str">
        <f>IFERROR(__xludf.DUMMYFUNCTION("""COMPUTED_VALUE"""),"POST")</f>
        <v>POST</v>
      </c>
      <c r="C128" s="2" t="str">
        <f>IFERROR(__xludf.DUMMYFUNCTION("""COMPUTED_VALUE"""),"POSTAGE")</f>
        <v>POSTAGE</v>
      </c>
      <c r="D128" s="2">
        <f>IFERROR(__xludf.DUMMYFUNCTION("""COMPUTED_VALUE"""),1.0)</f>
        <v>1</v>
      </c>
      <c r="E128" s="6">
        <f>IFERROR(__xludf.DUMMYFUNCTION("""COMPUTED_VALUE"""),40148.413194444445)</f>
        <v>40148.41319</v>
      </c>
      <c r="F128" s="2">
        <f>IFERROR(__xludf.DUMMYFUNCTION("""COMPUTED_VALUE"""),141.0)</f>
        <v>141</v>
      </c>
      <c r="G128" s="2">
        <f>IFERROR(__xludf.DUMMYFUNCTION("""COMPUTED_VALUE"""),12636.0)</f>
        <v>12636</v>
      </c>
      <c r="H128" s="2" t="str">
        <f>IFERROR(__xludf.DUMMYFUNCTION("""COMPUTED_VALUE"""),"USA")</f>
        <v>USA</v>
      </c>
      <c r="I128" s="7">
        <f>IFERROR(__xludf.DUMMYFUNCTION("""COMPUTED_VALUE"""),40148.0)</f>
        <v>40148</v>
      </c>
      <c r="J128" s="8">
        <f>IFERROR(__xludf.DUMMYFUNCTION("""COMPUTED_VALUE"""),0.4131944444452529)</f>
        <v>0.4131944444</v>
      </c>
      <c r="K128" s="2">
        <f>IFERROR(__xludf.DUMMYFUNCTION("""COMPUTED_VALUE"""),9.0)</f>
        <v>9</v>
      </c>
      <c r="L128" s="2">
        <f>IFERROR(__xludf.DUMMYFUNCTION("""COMPUTED_VALUE"""),141.0)</f>
        <v>141</v>
      </c>
    </row>
    <row r="129">
      <c r="A129" s="2">
        <f>IFERROR(__xludf.DUMMYFUNCTION("""COMPUTED_VALUE"""),489445.0)</f>
        <v>489445</v>
      </c>
      <c r="B129" s="2" t="str">
        <f>IFERROR(__xludf.DUMMYFUNCTION("""COMPUTED_VALUE"""),"35916C")</f>
        <v>35916C</v>
      </c>
      <c r="C129" s="2" t="str">
        <f>IFERROR(__xludf.DUMMYFUNCTION("""COMPUTED_VALUE"""),"PINK FELT HANGING HEART W FLOWER")</f>
        <v>PINK FELT HANGING HEART W FLOWER</v>
      </c>
      <c r="D129" s="2">
        <f>IFERROR(__xludf.DUMMYFUNCTION("""COMPUTED_VALUE"""),12.0)</f>
        <v>12</v>
      </c>
      <c r="E129" s="6">
        <f>IFERROR(__xludf.DUMMYFUNCTION("""COMPUTED_VALUE"""),40148.41458333333)</f>
        <v>40148.41458</v>
      </c>
      <c r="F129" s="2">
        <f>IFERROR(__xludf.DUMMYFUNCTION("""COMPUTED_VALUE"""),0.85)</f>
        <v>0.85</v>
      </c>
      <c r="G129" s="2">
        <f>IFERROR(__xludf.DUMMYFUNCTION("""COMPUTED_VALUE"""),17519.0)</f>
        <v>17519</v>
      </c>
      <c r="H129" s="2" t="str">
        <f>IFERROR(__xludf.DUMMYFUNCTION("""COMPUTED_VALUE"""),"United Kingdom")</f>
        <v>United Kingdom</v>
      </c>
      <c r="I129" s="7">
        <f>IFERROR(__xludf.DUMMYFUNCTION("""COMPUTED_VALUE"""),40148.0)</f>
        <v>40148</v>
      </c>
      <c r="J129" s="8">
        <f>IFERROR(__xludf.DUMMYFUNCTION("""COMPUTED_VALUE"""),0.41458333333503106)</f>
        <v>0.4145833333</v>
      </c>
      <c r="K129" s="2">
        <f>IFERROR(__xludf.DUMMYFUNCTION("""COMPUTED_VALUE"""),9.0)</f>
        <v>9</v>
      </c>
      <c r="L129" s="2">
        <f>IFERROR(__xludf.DUMMYFUNCTION("""COMPUTED_VALUE"""),10.2)</f>
        <v>10.2</v>
      </c>
    </row>
    <row r="130">
      <c r="A130" s="2">
        <f>IFERROR(__xludf.DUMMYFUNCTION("""COMPUTED_VALUE"""),489445.0)</f>
        <v>489445</v>
      </c>
      <c r="B130" s="2" t="str">
        <f>IFERROR(__xludf.DUMMYFUNCTION("""COMPUTED_VALUE"""),"35916B")</f>
        <v>35916B</v>
      </c>
      <c r="C130" s="2" t="str">
        <f>IFERROR(__xludf.DUMMYFUNCTION("""COMPUTED_VALUE"""),"BLUE FELT HANGING HEART W FLOWER")</f>
        <v>BLUE FELT HANGING HEART W FLOWER</v>
      </c>
      <c r="D130" s="2">
        <f>IFERROR(__xludf.DUMMYFUNCTION("""COMPUTED_VALUE"""),12.0)</f>
        <v>12</v>
      </c>
      <c r="E130" s="6">
        <f>IFERROR(__xludf.DUMMYFUNCTION("""COMPUTED_VALUE"""),40148.41458333333)</f>
        <v>40148.41458</v>
      </c>
      <c r="F130" s="2">
        <f>IFERROR(__xludf.DUMMYFUNCTION("""COMPUTED_VALUE"""),0.85)</f>
        <v>0.85</v>
      </c>
      <c r="G130" s="2">
        <f>IFERROR(__xludf.DUMMYFUNCTION("""COMPUTED_VALUE"""),17519.0)</f>
        <v>17519</v>
      </c>
      <c r="H130" s="2" t="str">
        <f>IFERROR(__xludf.DUMMYFUNCTION("""COMPUTED_VALUE"""),"United Kingdom")</f>
        <v>United Kingdom</v>
      </c>
      <c r="I130" s="7">
        <f>IFERROR(__xludf.DUMMYFUNCTION("""COMPUTED_VALUE"""),40148.0)</f>
        <v>40148</v>
      </c>
      <c r="J130" s="8">
        <f>IFERROR(__xludf.DUMMYFUNCTION("""COMPUTED_VALUE"""),0.41458333333503106)</f>
        <v>0.4145833333</v>
      </c>
      <c r="K130" s="2">
        <f>IFERROR(__xludf.DUMMYFUNCTION("""COMPUTED_VALUE"""),9.0)</f>
        <v>9</v>
      </c>
      <c r="L130" s="2">
        <f>IFERROR(__xludf.DUMMYFUNCTION("""COMPUTED_VALUE"""),10.2)</f>
        <v>10.2</v>
      </c>
    </row>
    <row r="131">
      <c r="A131" s="2">
        <f>IFERROR(__xludf.DUMMYFUNCTION("""COMPUTED_VALUE"""),489445.0)</f>
        <v>489445</v>
      </c>
      <c r="B131" s="2" t="str">
        <f>IFERROR(__xludf.DUMMYFUNCTION("""COMPUTED_VALUE"""),"22321")</f>
        <v>22321</v>
      </c>
      <c r="C131" s="2" t="str">
        <f>IFERROR(__xludf.DUMMYFUNCTION("""COMPUTED_VALUE"""),"BIRD DECORATION RED SPOT")</f>
        <v>BIRD DECORATION RED SPOT</v>
      </c>
      <c r="D131" s="2">
        <f>IFERROR(__xludf.DUMMYFUNCTION("""COMPUTED_VALUE"""),24.0)</f>
        <v>24</v>
      </c>
      <c r="E131" s="6">
        <f>IFERROR(__xludf.DUMMYFUNCTION("""COMPUTED_VALUE"""),40148.41458333333)</f>
        <v>40148.41458</v>
      </c>
      <c r="F131" s="2">
        <f>IFERROR(__xludf.DUMMYFUNCTION("""COMPUTED_VALUE"""),0.85)</f>
        <v>0.85</v>
      </c>
      <c r="G131" s="2">
        <f>IFERROR(__xludf.DUMMYFUNCTION("""COMPUTED_VALUE"""),17519.0)</f>
        <v>17519</v>
      </c>
      <c r="H131" s="2" t="str">
        <f>IFERROR(__xludf.DUMMYFUNCTION("""COMPUTED_VALUE"""),"United Kingdom")</f>
        <v>United Kingdom</v>
      </c>
      <c r="I131" s="7">
        <f>IFERROR(__xludf.DUMMYFUNCTION("""COMPUTED_VALUE"""),40148.0)</f>
        <v>40148</v>
      </c>
      <c r="J131" s="8">
        <f>IFERROR(__xludf.DUMMYFUNCTION("""COMPUTED_VALUE"""),0.41458333333503106)</f>
        <v>0.4145833333</v>
      </c>
      <c r="K131" s="2">
        <f>IFERROR(__xludf.DUMMYFUNCTION("""COMPUTED_VALUE"""),9.0)</f>
        <v>9</v>
      </c>
      <c r="L131" s="2">
        <f>IFERROR(__xludf.DUMMYFUNCTION("""COMPUTED_VALUE"""),20.4)</f>
        <v>20.4</v>
      </c>
    </row>
    <row r="132">
      <c r="A132" s="2">
        <f>IFERROR(__xludf.DUMMYFUNCTION("""COMPUTED_VALUE"""),489445.0)</f>
        <v>489445</v>
      </c>
      <c r="B132" s="2" t="str">
        <f>IFERROR(__xludf.DUMMYFUNCTION("""COMPUTED_VALUE"""),"22130")</f>
        <v>22130</v>
      </c>
      <c r="C132" s="2" t="str">
        <f>IFERROR(__xludf.DUMMYFUNCTION("""COMPUTED_VALUE"""),"PARTY CONE CHRISTMAS DECORATION")</f>
        <v>PARTY CONE CHRISTMAS DECORATION</v>
      </c>
      <c r="D132" s="2">
        <f>IFERROR(__xludf.DUMMYFUNCTION("""COMPUTED_VALUE"""),12.0)</f>
        <v>12</v>
      </c>
      <c r="E132" s="6">
        <f>IFERROR(__xludf.DUMMYFUNCTION("""COMPUTED_VALUE"""),40148.41458333333)</f>
        <v>40148.41458</v>
      </c>
      <c r="F132" s="2">
        <f>IFERROR(__xludf.DUMMYFUNCTION("""COMPUTED_VALUE"""),0.85)</f>
        <v>0.85</v>
      </c>
      <c r="G132" s="2">
        <f>IFERROR(__xludf.DUMMYFUNCTION("""COMPUTED_VALUE"""),17519.0)</f>
        <v>17519</v>
      </c>
      <c r="H132" s="2" t="str">
        <f>IFERROR(__xludf.DUMMYFUNCTION("""COMPUTED_VALUE"""),"United Kingdom")</f>
        <v>United Kingdom</v>
      </c>
      <c r="I132" s="7">
        <f>IFERROR(__xludf.DUMMYFUNCTION("""COMPUTED_VALUE"""),40148.0)</f>
        <v>40148</v>
      </c>
      <c r="J132" s="8">
        <f>IFERROR(__xludf.DUMMYFUNCTION("""COMPUTED_VALUE"""),0.41458333333503106)</f>
        <v>0.4145833333</v>
      </c>
      <c r="K132" s="2">
        <f>IFERROR(__xludf.DUMMYFUNCTION("""COMPUTED_VALUE"""),9.0)</f>
        <v>9</v>
      </c>
      <c r="L132" s="2">
        <f>IFERROR(__xludf.DUMMYFUNCTION("""COMPUTED_VALUE"""),10.2)</f>
        <v>10.2</v>
      </c>
    </row>
    <row r="133">
      <c r="A133" s="2">
        <f>IFERROR(__xludf.DUMMYFUNCTION("""COMPUTED_VALUE"""),489445.0)</f>
        <v>489445</v>
      </c>
      <c r="B133" s="2" t="str">
        <f>IFERROR(__xludf.DUMMYFUNCTION("""COMPUTED_VALUE"""),"22180")</f>
        <v>22180</v>
      </c>
      <c r="C133" s="2" t="str">
        <f>IFERROR(__xludf.DUMMYFUNCTION("""COMPUTED_VALUE"""),"RETRO SPOT LAMP")</f>
        <v>RETRO SPOT LAMP</v>
      </c>
      <c r="D133" s="2">
        <f>IFERROR(__xludf.DUMMYFUNCTION("""COMPUTED_VALUE"""),2.0)</f>
        <v>2</v>
      </c>
      <c r="E133" s="6">
        <f>IFERROR(__xludf.DUMMYFUNCTION("""COMPUTED_VALUE"""),40148.41458333333)</f>
        <v>40148.41458</v>
      </c>
      <c r="F133" s="2">
        <f>IFERROR(__xludf.DUMMYFUNCTION("""COMPUTED_VALUE"""),9.95)</f>
        <v>9.95</v>
      </c>
      <c r="G133" s="2">
        <f>IFERROR(__xludf.DUMMYFUNCTION("""COMPUTED_VALUE"""),17519.0)</f>
        <v>17519</v>
      </c>
      <c r="H133" s="2" t="str">
        <f>IFERROR(__xludf.DUMMYFUNCTION("""COMPUTED_VALUE"""),"United Kingdom")</f>
        <v>United Kingdom</v>
      </c>
      <c r="I133" s="7">
        <f>IFERROR(__xludf.DUMMYFUNCTION("""COMPUTED_VALUE"""),40148.0)</f>
        <v>40148</v>
      </c>
      <c r="J133" s="8">
        <f>IFERROR(__xludf.DUMMYFUNCTION("""COMPUTED_VALUE"""),0.41458333333503106)</f>
        <v>0.4145833333</v>
      </c>
      <c r="K133" s="2">
        <f>IFERROR(__xludf.DUMMYFUNCTION("""COMPUTED_VALUE"""),9.0)</f>
        <v>9</v>
      </c>
      <c r="L133" s="2">
        <f>IFERROR(__xludf.DUMMYFUNCTION("""COMPUTED_VALUE"""),19.9)</f>
        <v>19.9</v>
      </c>
    </row>
    <row r="134">
      <c r="A134" s="2">
        <f>IFERROR(__xludf.DUMMYFUNCTION("""COMPUTED_VALUE"""),489445.0)</f>
        <v>489445</v>
      </c>
      <c r="B134" s="2" t="str">
        <f>IFERROR(__xludf.DUMMYFUNCTION("""COMPUTED_VALUE"""),"22128")</f>
        <v>22128</v>
      </c>
      <c r="C134" s="2" t="str">
        <f>IFERROR(__xludf.DUMMYFUNCTION("""COMPUTED_VALUE"""),"PARTY CONES CANDY ASSORTED")</f>
        <v>PARTY CONES CANDY ASSORTED</v>
      </c>
      <c r="D134" s="2">
        <f>IFERROR(__xludf.DUMMYFUNCTION("""COMPUTED_VALUE"""),12.0)</f>
        <v>12</v>
      </c>
      <c r="E134" s="6">
        <f>IFERROR(__xludf.DUMMYFUNCTION("""COMPUTED_VALUE"""),40148.41458333333)</f>
        <v>40148.41458</v>
      </c>
      <c r="F134" s="2">
        <f>IFERROR(__xludf.DUMMYFUNCTION("""COMPUTED_VALUE"""),1.25)</f>
        <v>1.25</v>
      </c>
      <c r="G134" s="2">
        <f>IFERROR(__xludf.DUMMYFUNCTION("""COMPUTED_VALUE"""),17519.0)</f>
        <v>17519</v>
      </c>
      <c r="H134" s="2" t="str">
        <f>IFERROR(__xludf.DUMMYFUNCTION("""COMPUTED_VALUE"""),"United Kingdom")</f>
        <v>United Kingdom</v>
      </c>
      <c r="I134" s="7">
        <f>IFERROR(__xludf.DUMMYFUNCTION("""COMPUTED_VALUE"""),40148.0)</f>
        <v>40148</v>
      </c>
      <c r="J134" s="8">
        <f>IFERROR(__xludf.DUMMYFUNCTION("""COMPUTED_VALUE"""),0.41458333333503106)</f>
        <v>0.4145833333</v>
      </c>
      <c r="K134" s="2">
        <f>IFERROR(__xludf.DUMMYFUNCTION("""COMPUTED_VALUE"""),9.0)</f>
        <v>9</v>
      </c>
      <c r="L134" s="2">
        <f>IFERROR(__xludf.DUMMYFUNCTION("""COMPUTED_VALUE"""),15.0)</f>
        <v>15</v>
      </c>
    </row>
    <row r="135">
      <c r="A135" s="2">
        <f>IFERROR(__xludf.DUMMYFUNCTION("""COMPUTED_VALUE"""),489445.0)</f>
        <v>489445</v>
      </c>
      <c r="B135" s="2" t="str">
        <f>IFERROR(__xludf.DUMMYFUNCTION("""COMPUTED_VALUE"""),"22163")</f>
        <v>22163</v>
      </c>
      <c r="C135" s="2" t="str">
        <f>IFERROR(__xludf.DUMMYFUNCTION("""COMPUTED_VALUE"""),"HEART STRING MEMO HOLDER HANGING")</f>
        <v>HEART STRING MEMO HOLDER HANGING</v>
      </c>
      <c r="D135" s="2">
        <f>IFERROR(__xludf.DUMMYFUNCTION("""COMPUTED_VALUE"""),6.0)</f>
        <v>6</v>
      </c>
      <c r="E135" s="6">
        <f>IFERROR(__xludf.DUMMYFUNCTION("""COMPUTED_VALUE"""),40148.41458333333)</f>
        <v>40148.41458</v>
      </c>
      <c r="F135" s="2">
        <f>IFERROR(__xludf.DUMMYFUNCTION("""COMPUTED_VALUE"""),2.95)</f>
        <v>2.95</v>
      </c>
      <c r="G135" s="2">
        <f>IFERROR(__xludf.DUMMYFUNCTION("""COMPUTED_VALUE"""),17519.0)</f>
        <v>17519</v>
      </c>
      <c r="H135" s="2" t="str">
        <f>IFERROR(__xludf.DUMMYFUNCTION("""COMPUTED_VALUE"""),"United Kingdom")</f>
        <v>United Kingdom</v>
      </c>
      <c r="I135" s="7">
        <f>IFERROR(__xludf.DUMMYFUNCTION("""COMPUTED_VALUE"""),40148.0)</f>
        <v>40148</v>
      </c>
      <c r="J135" s="8">
        <f>IFERROR(__xludf.DUMMYFUNCTION("""COMPUTED_VALUE"""),0.41458333333503106)</f>
        <v>0.4145833333</v>
      </c>
      <c r="K135" s="2">
        <f>IFERROR(__xludf.DUMMYFUNCTION("""COMPUTED_VALUE"""),9.0)</f>
        <v>9</v>
      </c>
      <c r="L135" s="2">
        <f>IFERROR(__xludf.DUMMYFUNCTION("""COMPUTED_VALUE"""),17.7)</f>
        <v>17.7</v>
      </c>
    </row>
    <row r="136">
      <c r="A136" s="2">
        <f>IFERROR(__xludf.DUMMYFUNCTION("""COMPUTED_VALUE"""),489445.0)</f>
        <v>489445</v>
      </c>
      <c r="B136" s="2" t="str">
        <f>IFERROR(__xludf.DUMMYFUNCTION("""COMPUTED_VALUE"""),"35951")</f>
        <v>35951</v>
      </c>
      <c r="C136" s="2" t="str">
        <f>IFERROR(__xludf.DUMMYFUNCTION("""COMPUTED_VALUE"""),"FOLKART BAUBLE CHRISTMAS DECORATION")</f>
        <v>FOLKART BAUBLE CHRISTMAS DECORATION</v>
      </c>
      <c r="D136" s="2">
        <f>IFERROR(__xludf.DUMMYFUNCTION("""COMPUTED_VALUE"""),48.0)</f>
        <v>48</v>
      </c>
      <c r="E136" s="6">
        <f>IFERROR(__xludf.DUMMYFUNCTION("""COMPUTED_VALUE"""),40148.41458333333)</f>
        <v>40148.41458</v>
      </c>
      <c r="F136" s="2">
        <f>IFERROR(__xludf.DUMMYFUNCTION("""COMPUTED_VALUE"""),0.38)</f>
        <v>0.38</v>
      </c>
      <c r="G136" s="2">
        <f>IFERROR(__xludf.DUMMYFUNCTION("""COMPUTED_VALUE"""),17519.0)</f>
        <v>17519</v>
      </c>
      <c r="H136" s="2" t="str">
        <f>IFERROR(__xludf.DUMMYFUNCTION("""COMPUTED_VALUE"""),"United Kingdom")</f>
        <v>United Kingdom</v>
      </c>
      <c r="I136" s="7">
        <f>IFERROR(__xludf.DUMMYFUNCTION("""COMPUTED_VALUE"""),40148.0)</f>
        <v>40148</v>
      </c>
      <c r="J136" s="8">
        <f>IFERROR(__xludf.DUMMYFUNCTION("""COMPUTED_VALUE"""),0.41458333333503106)</f>
        <v>0.4145833333</v>
      </c>
      <c r="K136" s="2">
        <f>IFERROR(__xludf.DUMMYFUNCTION("""COMPUTED_VALUE"""),9.0)</f>
        <v>9</v>
      </c>
      <c r="L136" s="2">
        <f>IFERROR(__xludf.DUMMYFUNCTION("""COMPUTED_VALUE"""),18.24)</f>
        <v>18.24</v>
      </c>
    </row>
    <row r="137">
      <c r="A137" s="2">
        <f>IFERROR(__xludf.DUMMYFUNCTION("""COMPUTED_VALUE"""),489445.0)</f>
        <v>489445</v>
      </c>
      <c r="B137" s="2" t="str">
        <f>IFERROR(__xludf.DUMMYFUNCTION("""COMPUTED_VALUE"""),"22253")</f>
        <v>22253</v>
      </c>
      <c r="C137" s="2" t="str">
        <f>IFERROR(__xludf.DUMMYFUNCTION("""COMPUTED_VALUE"""),"6 CROCHET STRAWBERRIES")</f>
        <v>6 CROCHET STRAWBERRIES</v>
      </c>
      <c r="D137" s="2">
        <f>IFERROR(__xludf.DUMMYFUNCTION("""COMPUTED_VALUE"""),12.0)</f>
        <v>12</v>
      </c>
      <c r="E137" s="6">
        <f>IFERROR(__xludf.DUMMYFUNCTION("""COMPUTED_VALUE"""),40148.41458333333)</f>
        <v>40148.41458</v>
      </c>
      <c r="F137" s="2">
        <f>IFERROR(__xludf.DUMMYFUNCTION("""COMPUTED_VALUE"""),1.25)</f>
        <v>1.25</v>
      </c>
      <c r="G137" s="2">
        <f>IFERROR(__xludf.DUMMYFUNCTION("""COMPUTED_VALUE"""),17519.0)</f>
        <v>17519</v>
      </c>
      <c r="H137" s="2" t="str">
        <f>IFERROR(__xludf.DUMMYFUNCTION("""COMPUTED_VALUE"""),"United Kingdom")</f>
        <v>United Kingdom</v>
      </c>
      <c r="I137" s="7">
        <f>IFERROR(__xludf.DUMMYFUNCTION("""COMPUTED_VALUE"""),40148.0)</f>
        <v>40148</v>
      </c>
      <c r="J137" s="8">
        <f>IFERROR(__xludf.DUMMYFUNCTION("""COMPUTED_VALUE"""),0.41458333333503106)</f>
        <v>0.4145833333</v>
      </c>
      <c r="K137" s="2">
        <f>IFERROR(__xludf.DUMMYFUNCTION("""COMPUTED_VALUE"""),9.0)</f>
        <v>9</v>
      </c>
      <c r="L137" s="2">
        <f>IFERROR(__xludf.DUMMYFUNCTION("""COMPUTED_VALUE"""),15.0)</f>
        <v>15</v>
      </c>
    </row>
    <row r="138">
      <c r="A138" s="2">
        <f>IFERROR(__xludf.DUMMYFUNCTION("""COMPUTED_VALUE"""),489445.0)</f>
        <v>489445</v>
      </c>
      <c r="B138" s="2" t="str">
        <f>IFERROR(__xludf.DUMMYFUNCTION("""COMPUTED_VALUE"""),"84988")</f>
        <v>84988</v>
      </c>
      <c r="C138" s="2" t="str">
        <f>IFERROR(__xludf.DUMMYFUNCTION("""COMPUTED_VALUE"""),"SET OF 72 PINK HEART PAPER DOILIES")</f>
        <v>SET OF 72 PINK HEART PAPER DOILIES</v>
      </c>
      <c r="D138" s="2">
        <f>IFERROR(__xludf.DUMMYFUNCTION("""COMPUTED_VALUE"""),12.0)</f>
        <v>12</v>
      </c>
      <c r="E138" s="6">
        <f>IFERROR(__xludf.DUMMYFUNCTION("""COMPUTED_VALUE"""),40148.41458333333)</f>
        <v>40148.41458</v>
      </c>
      <c r="F138" s="2">
        <f>IFERROR(__xludf.DUMMYFUNCTION("""COMPUTED_VALUE"""),1.45)</f>
        <v>1.45</v>
      </c>
      <c r="G138" s="2">
        <f>IFERROR(__xludf.DUMMYFUNCTION("""COMPUTED_VALUE"""),17519.0)</f>
        <v>17519</v>
      </c>
      <c r="H138" s="2" t="str">
        <f>IFERROR(__xludf.DUMMYFUNCTION("""COMPUTED_VALUE"""),"United Kingdom")</f>
        <v>United Kingdom</v>
      </c>
      <c r="I138" s="7">
        <f>IFERROR(__xludf.DUMMYFUNCTION("""COMPUTED_VALUE"""),40148.0)</f>
        <v>40148</v>
      </c>
      <c r="J138" s="8">
        <f>IFERROR(__xludf.DUMMYFUNCTION("""COMPUTED_VALUE"""),0.41458333333503106)</f>
        <v>0.4145833333</v>
      </c>
      <c r="K138" s="2">
        <f>IFERROR(__xludf.DUMMYFUNCTION("""COMPUTED_VALUE"""),9.0)</f>
        <v>9</v>
      </c>
      <c r="L138" s="2">
        <f>IFERROR(__xludf.DUMMYFUNCTION("""COMPUTED_VALUE"""),17.4)</f>
        <v>17.4</v>
      </c>
    </row>
    <row r="139">
      <c r="A139" s="2">
        <f>IFERROR(__xludf.DUMMYFUNCTION("""COMPUTED_VALUE"""),489445.0)</f>
        <v>489445</v>
      </c>
      <c r="B139" s="2" t="str">
        <f>IFERROR(__xludf.DUMMYFUNCTION("""COMPUTED_VALUE"""),"22219")</f>
        <v>22219</v>
      </c>
      <c r="C139" s="2" t="str">
        <f>IFERROR(__xludf.DUMMYFUNCTION("""COMPUTED_VALUE"""),"LOVEBIRD HANGING DECORATION WHITE")</f>
        <v>LOVEBIRD HANGING DECORATION WHITE</v>
      </c>
      <c r="D139" s="2">
        <f>IFERROR(__xludf.DUMMYFUNCTION("""COMPUTED_VALUE"""),24.0)</f>
        <v>24</v>
      </c>
      <c r="E139" s="6">
        <f>IFERROR(__xludf.DUMMYFUNCTION("""COMPUTED_VALUE"""),40148.41458333333)</f>
        <v>40148.41458</v>
      </c>
      <c r="F139" s="2">
        <f>IFERROR(__xludf.DUMMYFUNCTION("""COMPUTED_VALUE"""),0.85)</f>
        <v>0.85</v>
      </c>
      <c r="G139" s="2">
        <f>IFERROR(__xludf.DUMMYFUNCTION("""COMPUTED_VALUE"""),17519.0)</f>
        <v>17519</v>
      </c>
      <c r="H139" s="2" t="str">
        <f>IFERROR(__xludf.DUMMYFUNCTION("""COMPUTED_VALUE"""),"United Kingdom")</f>
        <v>United Kingdom</v>
      </c>
      <c r="I139" s="7">
        <f>IFERROR(__xludf.DUMMYFUNCTION("""COMPUTED_VALUE"""),40148.0)</f>
        <v>40148</v>
      </c>
      <c r="J139" s="8">
        <f>IFERROR(__xludf.DUMMYFUNCTION("""COMPUTED_VALUE"""),0.41458333333503106)</f>
        <v>0.4145833333</v>
      </c>
      <c r="K139" s="2">
        <f>IFERROR(__xludf.DUMMYFUNCTION("""COMPUTED_VALUE"""),9.0)</f>
        <v>9</v>
      </c>
      <c r="L139" s="2">
        <f>IFERROR(__xludf.DUMMYFUNCTION("""COMPUTED_VALUE"""),20.4)</f>
        <v>20.4</v>
      </c>
    </row>
    <row r="140">
      <c r="A140" s="2">
        <f>IFERROR(__xludf.DUMMYFUNCTION("""COMPUTED_VALUE"""),489445.0)</f>
        <v>489445</v>
      </c>
      <c r="B140" s="2" t="str">
        <f>IFERROR(__xludf.DUMMYFUNCTION("""COMPUTED_VALUE"""),"18097C")</f>
        <v>18097C</v>
      </c>
      <c r="C140" s="2" t="str">
        <f>IFERROR(__xludf.DUMMYFUNCTION("""COMPUTED_VALUE"""),"WHITE TALL PORCELAIN T-LIGHT HOLDER")</f>
        <v>WHITE TALL PORCELAIN T-LIGHT HOLDER</v>
      </c>
      <c r="D140" s="2">
        <f>IFERROR(__xludf.DUMMYFUNCTION("""COMPUTED_VALUE"""),6.0)</f>
        <v>6</v>
      </c>
      <c r="E140" s="6">
        <f>IFERROR(__xludf.DUMMYFUNCTION("""COMPUTED_VALUE"""),40148.41458333333)</f>
        <v>40148.41458</v>
      </c>
      <c r="F140" s="2">
        <f>IFERROR(__xludf.DUMMYFUNCTION("""COMPUTED_VALUE"""),2.55)</f>
        <v>2.55</v>
      </c>
      <c r="G140" s="2">
        <f>IFERROR(__xludf.DUMMYFUNCTION("""COMPUTED_VALUE"""),17519.0)</f>
        <v>17519</v>
      </c>
      <c r="H140" s="2" t="str">
        <f>IFERROR(__xludf.DUMMYFUNCTION("""COMPUTED_VALUE"""),"United Kingdom")</f>
        <v>United Kingdom</v>
      </c>
      <c r="I140" s="7">
        <f>IFERROR(__xludf.DUMMYFUNCTION("""COMPUTED_VALUE"""),40148.0)</f>
        <v>40148</v>
      </c>
      <c r="J140" s="8">
        <f>IFERROR(__xludf.DUMMYFUNCTION("""COMPUTED_VALUE"""),0.41458333333503106)</f>
        <v>0.4145833333</v>
      </c>
      <c r="K140" s="2">
        <f>IFERROR(__xludf.DUMMYFUNCTION("""COMPUTED_VALUE"""),9.0)</f>
        <v>9</v>
      </c>
      <c r="L140" s="2">
        <f>IFERROR(__xludf.DUMMYFUNCTION("""COMPUTED_VALUE"""),15.2999999999999)</f>
        <v>15.3</v>
      </c>
    </row>
    <row r="141">
      <c r="A141" s="2">
        <f>IFERROR(__xludf.DUMMYFUNCTION("""COMPUTED_VALUE"""),489445.0)</f>
        <v>489445</v>
      </c>
      <c r="B141" s="2" t="str">
        <f>IFERROR(__xludf.DUMMYFUNCTION("""COMPUTED_VALUE"""),"22138")</f>
        <v>22138</v>
      </c>
      <c r="C141" s="2" t="str">
        <f>IFERROR(__xludf.DUMMYFUNCTION("""COMPUTED_VALUE"""),"BAKING SET 9 PIECE RETROSPOT")</f>
        <v>BAKING SET 9 PIECE RETROSPOT</v>
      </c>
      <c r="D141" s="2">
        <f>IFERROR(__xludf.DUMMYFUNCTION("""COMPUTED_VALUE"""),3.0)</f>
        <v>3</v>
      </c>
      <c r="E141" s="6">
        <f>IFERROR(__xludf.DUMMYFUNCTION("""COMPUTED_VALUE"""),40148.41458333333)</f>
        <v>40148.41458</v>
      </c>
      <c r="F141" s="2">
        <f>IFERROR(__xludf.DUMMYFUNCTION("""COMPUTED_VALUE"""),4.95)</f>
        <v>4.95</v>
      </c>
      <c r="G141" s="2">
        <f>IFERROR(__xludf.DUMMYFUNCTION("""COMPUTED_VALUE"""),17519.0)</f>
        <v>17519</v>
      </c>
      <c r="H141" s="2" t="str">
        <f>IFERROR(__xludf.DUMMYFUNCTION("""COMPUTED_VALUE"""),"United Kingdom")</f>
        <v>United Kingdom</v>
      </c>
      <c r="I141" s="7">
        <f>IFERROR(__xludf.DUMMYFUNCTION("""COMPUTED_VALUE"""),40148.0)</f>
        <v>40148</v>
      </c>
      <c r="J141" s="8">
        <f>IFERROR(__xludf.DUMMYFUNCTION("""COMPUTED_VALUE"""),0.41458333333503106)</f>
        <v>0.4145833333</v>
      </c>
      <c r="K141" s="2">
        <f>IFERROR(__xludf.DUMMYFUNCTION("""COMPUTED_VALUE"""),9.0)</f>
        <v>9</v>
      </c>
      <c r="L141" s="2">
        <f>IFERROR(__xludf.DUMMYFUNCTION("""COMPUTED_VALUE"""),14.85)</f>
        <v>14.85</v>
      </c>
    </row>
    <row r="142">
      <c r="A142" s="2">
        <f>IFERROR(__xludf.DUMMYFUNCTION("""COMPUTED_VALUE"""),489445.0)</f>
        <v>489445</v>
      </c>
      <c r="B142" s="2" t="str">
        <f>IFERROR(__xludf.DUMMYFUNCTION("""COMPUTED_VALUE"""),"21299")</f>
        <v>21299</v>
      </c>
      <c r="C142" s="2" t="str">
        <f>IFERROR(__xludf.DUMMYFUNCTION("""COMPUTED_VALUE"""),"EDWARDIAN TOILET ROLL UNIT")</f>
        <v>EDWARDIAN TOILET ROLL UNIT</v>
      </c>
      <c r="D142" s="2">
        <f>IFERROR(__xludf.DUMMYFUNCTION("""COMPUTED_VALUE"""),1.0)</f>
        <v>1</v>
      </c>
      <c r="E142" s="6">
        <f>IFERROR(__xludf.DUMMYFUNCTION("""COMPUTED_VALUE"""),40148.41458333333)</f>
        <v>40148.41458</v>
      </c>
      <c r="F142" s="2">
        <f>IFERROR(__xludf.DUMMYFUNCTION("""COMPUTED_VALUE"""),12.75)</f>
        <v>12.75</v>
      </c>
      <c r="G142" s="2">
        <f>IFERROR(__xludf.DUMMYFUNCTION("""COMPUTED_VALUE"""),17519.0)</f>
        <v>17519</v>
      </c>
      <c r="H142" s="2" t="str">
        <f>IFERROR(__xludf.DUMMYFUNCTION("""COMPUTED_VALUE"""),"United Kingdom")</f>
        <v>United Kingdom</v>
      </c>
      <c r="I142" s="7">
        <f>IFERROR(__xludf.DUMMYFUNCTION("""COMPUTED_VALUE"""),40148.0)</f>
        <v>40148</v>
      </c>
      <c r="J142" s="8">
        <f>IFERROR(__xludf.DUMMYFUNCTION("""COMPUTED_VALUE"""),0.41458333333503106)</f>
        <v>0.4145833333</v>
      </c>
      <c r="K142" s="2">
        <f>IFERROR(__xludf.DUMMYFUNCTION("""COMPUTED_VALUE"""),9.0)</f>
        <v>9</v>
      </c>
      <c r="L142" s="2">
        <f>IFERROR(__xludf.DUMMYFUNCTION("""COMPUTED_VALUE"""),12.75)</f>
        <v>12.75</v>
      </c>
    </row>
    <row r="143">
      <c r="A143" s="2">
        <f>IFERROR(__xludf.DUMMYFUNCTION("""COMPUTED_VALUE"""),489445.0)</f>
        <v>489445</v>
      </c>
      <c r="B143" s="2" t="str">
        <f>IFERROR(__xludf.DUMMYFUNCTION("""COMPUTED_VALUE"""),"21099")</f>
        <v>21099</v>
      </c>
      <c r="C143" s="2" t="str">
        <f>IFERROR(__xludf.DUMMYFUNCTION("""COMPUTED_VALUE"""),"SET/6 STRAWBERRY PAPER CUPS")</f>
        <v>SET/6 STRAWBERRY PAPER CUPS</v>
      </c>
      <c r="D143" s="2">
        <f>IFERROR(__xludf.DUMMYFUNCTION("""COMPUTED_VALUE"""),24.0)</f>
        <v>24</v>
      </c>
      <c r="E143" s="6">
        <f>IFERROR(__xludf.DUMMYFUNCTION("""COMPUTED_VALUE"""),40148.41458333333)</f>
        <v>40148.41458</v>
      </c>
      <c r="F143" s="2">
        <f>IFERROR(__xludf.DUMMYFUNCTION("""COMPUTED_VALUE"""),0.65)</f>
        <v>0.65</v>
      </c>
      <c r="G143" s="2">
        <f>IFERROR(__xludf.DUMMYFUNCTION("""COMPUTED_VALUE"""),17519.0)</f>
        <v>17519</v>
      </c>
      <c r="H143" s="2" t="str">
        <f>IFERROR(__xludf.DUMMYFUNCTION("""COMPUTED_VALUE"""),"United Kingdom")</f>
        <v>United Kingdom</v>
      </c>
      <c r="I143" s="7">
        <f>IFERROR(__xludf.DUMMYFUNCTION("""COMPUTED_VALUE"""),40148.0)</f>
        <v>40148</v>
      </c>
      <c r="J143" s="8">
        <f>IFERROR(__xludf.DUMMYFUNCTION("""COMPUTED_VALUE"""),0.41458333333503106)</f>
        <v>0.4145833333</v>
      </c>
      <c r="K143" s="2">
        <f>IFERROR(__xludf.DUMMYFUNCTION("""COMPUTED_VALUE"""),9.0)</f>
        <v>9</v>
      </c>
      <c r="L143" s="2">
        <f>IFERROR(__xludf.DUMMYFUNCTION("""COMPUTED_VALUE"""),15.6)</f>
        <v>15.6</v>
      </c>
    </row>
    <row r="144">
      <c r="A144" s="2">
        <f>IFERROR(__xludf.DUMMYFUNCTION("""COMPUTED_VALUE"""),489445.0)</f>
        <v>489445</v>
      </c>
      <c r="B144" s="2" t="str">
        <f>IFERROR(__xludf.DUMMYFUNCTION("""COMPUTED_VALUE"""),"21085")</f>
        <v>21085</v>
      </c>
      <c r="C144" s="2" t="str">
        <f>IFERROR(__xludf.DUMMYFUNCTION("""COMPUTED_VALUE"""),"SET/6 WOODLAND PAPER CUPS")</f>
        <v>SET/6 WOODLAND PAPER CUPS</v>
      </c>
      <c r="D144" s="2">
        <f>IFERROR(__xludf.DUMMYFUNCTION("""COMPUTED_VALUE"""),24.0)</f>
        <v>24</v>
      </c>
      <c r="E144" s="6">
        <f>IFERROR(__xludf.DUMMYFUNCTION("""COMPUTED_VALUE"""),40148.41458333333)</f>
        <v>40148.41458</v>
      </c>
      <c r="F144" s="2">
        <f>IFERROR(__xludf.DUMMYFUNCTION("""COMPUTED_VALUE"""),0.65)</f>
        <v>0.65</v>
      </c>
      <c r="G144" s="2">
        <f>IFERROR(__xludf.DUMMYFUNCTION("""COMPUTED_VALUE"""),17519.0)</f>
        <v>17519</v>
      </c>
      <c r="H144" s="2" t="str">
        <f>IFERROR(__xludf.DUMMYFUNCTION("""COMPUTED_VALUE"""),"United Kingdom")</f>
        <v>United Kingdom</v>
      </c>
      <c r="I144" s="7">
        <f>IFERROR(__xludf.DUMMYFUNCTION("""COMPUTED_VALUE"""),40148.0)</f>
        <v>40148</v>
      </c>
      <c r="J144" s="8">
        <f>IFERROR(__xludf.DUMMYFUNCTION("""COMPUTED_VALUE"""),0.41458333333503106)</f>
        <v>0.4145833333</v>
      </c>
      <c r="K144" s="2">
        <f>IFERROR(__xludf.DUMMYFUNCTION("""COMPUTED_VALUE"""),9.0)</f>
        <v>9</v>
      </c>
      <c r="L144" s="2">
        <f>IFERROR(__xludf.DUMMYFUNCTION("""COMPUTED_VALUE"""),15.6)</f>
        <v>15.6</v>
      </c>
    </row>
    <row r="145">
      <c r="A145" s="2">
        <f>IFERROR(__xludf.DUMMYFUNCTION("""COMPUTED_VALUE"""),489445.0)</f>
        <v>489445</v>
      </c>
      <c r="B145" s="2" t="str">
        <f>IFERROR(__xludf.DUMMYFUNCTION("""COMPUTED_VALUE"""),"21929")</f>
        <v>21929</v>
      </c>
      <c r="C145" s="2" t="str">
        <f>IFERROR(__xludf.DUMMYFUNCTION("""COMPUTED_VALUE"""),"JUMBO BAG PINK VINTAGE PAISLEY")</f>
        <v>JUMBO BAG PINK VINTAGE PAISLEY</v>
      </c>
      <c r="D145" s="2">
        <f>IFERROR(__xludf.DUMMYFUNCTION("""COMPUTED_VALUE"""),10.0)</f>
        <v>10</v>
      </c>
      <c r="E145" s="6">
        <f>IFERROR(__xludf.DUMMYFUNCTION("""COMPUTED_VALUE"""),40148.41458333333)</f>
        <v>40148.41458</v>
      </c>
      <c r="F145" s="2">
        <f>IFERROR(__xludf.DUMMYFUNCTION("""COMPUTED_VALUE"""),1.95)</f>
        <v>1.95</v>
      </c>
      <c r="G145" s="2">
        <f>IFERROR(__xludf.DUMMYFUNCTION("""COMPUTED_VALUE"""),17519.0)</f>
        <v>17519</v>
      </c>
      <c r="H145" s="2" t="str">
        <f>IFERROR(__xludf.DUMMYFUNCTION("""COMPUTED_VALUE"""),"United Kingdom")</f>
        <v>United Kingdom</v>
      </c>
      <c r="I145" s="7">
        <f>IFERROR(__xludf.DUMMYFUNCTION("""COMPUTED_VALUE"""),40148.0)</f>
        <v>40148</v>
      </c>
      <c r="J145" s="8">
        <f>IFERROR(__xludf.DUMMYFUNCTION("""COMPUTED_VALUE"""),0.41458333333503106)</f>
        <v>0.4145833333</v>
      </c>
      <c r="K145" s="2">
        <f>IFERROR(__xludf.DUMMYFUNCTION("""COMPUTED_VALUE"""),9.0)</f>
        <v>9</v>
      </c>
      <c r="L145" s="2">
        <f>IFERROR(__xludf.DUMMYFUNCTION("""COMPUTED_VALUE"""),19.5)</f>
        <v>19.5</v>
      </c>
    </row>
    <row r="146">
      <c r="A146" s="2">
        <f>IFERROR(__xludf.DUMMYFUNCTION("""COMPUTED_VALUE"""),489445.0)</f>
        <v>489445</v>
      </c>
      <c r="B146" s="2" t="str">
        <f>IFERROR(__xludf.DUMMYFUNCTION("""COMPUTED_VALUE"""),"22241")</f>
        <v>22241</v>
      </c>
      <c r="C146" s="2" t="str">
        <f>IFERROR(__xludf.DUMMYFUNCTION("""COMPUTED_VALUE"""),"GARLAND , WOODEN "" HAPPY EASTER""")</f>
        <v>GARLAND , WOODEN " HAPPY EASTER"</v>
      </c>
      <c r="D146" s="2">
        <f>IFERROR(__xludf.DUMMYFUNCTION("""COMPUTED_VALUE"""),24.0)</f>
        <v>24</v>
      </c>
      <c r="E146" s="6">
        <f>IFERROR(__xludf.DUMMYFUNCTION("""COMPUTED_VALUE"""),40148.41458333333)</f>
        <v>40148.41458</v>
      </c>
      <c r="F146" s="2">
        <f>IFERROR(__xludf.DUMMYFUNCTION("""COMPUTED_VALUE"""),1.25)</f>
        <v>1.25</v>
      </c>
      <c r="G146" s="2">
        <f>IFERROR(__xludf.DUMMYFUNCTION("""COMPUTED_VALUE"""),17519.0)</f>
        <v>17519</v>
      </c>
      <c r="H146" s="2" t="str">
        <f>IFERROR(__xludf.DUMMYFUNCTION("""COMPUTED_VALUE"""),"United Kingdom")</f>
        <v>United Kingdom</v>
      </c>
      <c r="I146" s="7">
        <f>IFERROR(__xludf.DUMMYFUNCTION("""COMPUTED_VALUE"""),40148.0)</f>
        <v>40148</v>
      </c>
      <c r="J146" s="8">
        <f>IFERROR(__xludf.DUMMYFUNCTION("""COMPUTED_VALUE"""),0.41458333333503106)</f>
        <v>0.4145833333</v>
      </c>
      <c r="K146" s="2">
        <f>IFERROR(__xludf.DUMMYFUNCTION("""COMPUTED_VALUE"""),9.0)</f>
        <v>9</v>
      </c>
      <c r="L146" s="2">
        <f>IFERROR(__xludf.DUMMYFUNCTION("""COMPUTED_VALUE"""),30.0)</f>
        <v>30</v>
      </c>
    </row>
    <row r="147">
      <c r="A147" s="2">
        <f>IFERROR(__xludf.DUMMYFUNCTION("""COMPUTED_VALUE"""),489445.0)</f>
        <v>489445</v>
      </c>
      <c r="B147" s="2" t="str">
        <f>IFERROR(__xludf.DUMMYFUNCTION("""COMPUTED_VALUE"""),"21091")</f>
        <v>21091</v>
      </c>
      <c r="C147" s="2" t="str">
        <f>IFERROR(__xludf.DUMMYFUNCTION("""COMPUTED_VALUE"""),"SET/6 WOODLAND PAPER PLATES")</f>
        <v>SET/6 WOODLAND PAPER PLATES</v>
      </c>
      <c r="D147" s="2">
        <f>IFERROR(__xludf.DUMMYFUNCTION("""COMPUTED_VALUE"""),12.0)</f>
        <v>12</v>
      </c>
      <c r="E147" s="6">
        <f>IFERROR(__xludf.DUMMYFUNCTION("""COMPUTED_VALUE"""),40148.41458333333)</f>
        <v>40148.41458</v>
      </c>
      <c r="F147" s="2">
        <f>IFERROR(__xludf.DUMMYFUNCTION("""COMPUTED_VALUE"""),0.85)</f>
        <v>0.85</v>
      </c>
      <c r="G147" s="2">
        <f>IFERROR(__xludf.DUMMYFUNCTION("""COMPUTED_VALUE"""),17519.0)</f>
        <v>17519</v>
      </c>
      <c r="H147" s="2" t="str">
        <f>IFERROR(__xludf.DUMMYFUNCTION("""COMPUTED_VALUE"""),"United Kingdom")</f>
        <v>United Kingdom</v>
      </c>
      <c r="I147" s="7">
        <f>IFERROR(__xludf.DUMMYFUNCTION("""COMPUTED_VALUE"""),40148.0)</f>
        <v>40148</v>
      </c>
      <c r="J147" s="8">
        <f>IFERROR(__xludf.DUMMYFUNCTION("""COMPUTED_VALUE"""),0.41458333333503106)</f>
        <v>0.4145833333</v>
      </c>
      <c r="K147" s="2">
        <f>IFERROR(__xludf.DUMMYFUNCTION("""COMPUTED_VALUE"""),9.0)</f>
        <v>9</v>
      </c>
      <c r="L147" s="2">
        <f>IFERROR(__xludf.DUMMYFUNCTION("""COMPUTED_VALUE"""),10.2)</f>
        <v>10.2</v>
      </c>
    </row>
    <row r="148">
      <c r="A148" s="2">
        <f>IFERROR(__xludf.DUMMYFUNCTION("""COMPUTED_VALUE"""),489446.0)</f>
        <v>489446</v>
      </c>
      <c r="B148" s="2" t="str">
        <f>IFERROR(__xludf.DUMMYFUNCTION("""COMPUTED_VALUE"""),"21733")</f>
        <v>21733</v>
      </c>
      <c r="C148" s="2" t="str">
        <f>IFERROR(__xludf.DUMMYFUNCTION("""COMPUTED_VALUE"""),"RED HANGING HEART T-LIGHT HOLDER")</f>
        <v>RED HANGING HEART T-LIGHT HOLDER</v>
      </c>
      <c r="D148" s="2">
        <f>IFERROR(__xludf.DUMMYFUNCTION("""COMPUTED_VALUE"""),32.0)</f>
        <v>32</v>
      </c>
      <c r="E148" s="6">
        <f>IFERROR(__xludf.DUMMYFUNCTION("""COMPUTED_VALUE"""),40148.42083333334)</f>
        <v>40148.42083</v>
      </c>
      <c r="F148" s="2">
        <f>IFERROR(__xludf.DUMMYFUNCTION("""COMPUTED_VALUE"""),2.55)</f>
        <v>2.55</v>
      </c>
      <c r="G148" s="2">
        <f>IFERROR(__xludf.DUMMYFUNCTION("""COMPUTED_VALUE"""),13758.0)</f>
        <v>13758</v>
      </c>
      <c r="H148" s="2" t="str">
        <f>IFERROR(__xludf.DUMMYFUNCTION("""COMPUTED_VALUE"""),"United Kingdom")</f>
        <v>United Kingdom</v>
      </c>
      <c r="I148" s="7">
        <f>IFERROR(__xludf.DUMMYFUNCTION("""COMPUTED_VALUE"""),40148.0)</f>
        <v>40148</v>
      </c>
      <c r="J148" s="8">
        <f>IFERROR(__xludf.DUMMYFUNCTION("""COMPUTED_VALUE"""),0.42083333333357587)</f>
        <v>0.4208333333</v>
      </c>
      <c r="K148" s="2">
        <f>IFERROR(__xludf.DUMMYFUNCTION("""COMPUTED_VALUE"""),10.0)</f>
        <v>10</v>
      </c>
      <c r="L148" s="2">
        <f>IFERROR(__xludf.DUMMYFUNCTION("""COMPUTED_VALUE"""),81.6)</f>
        <v>81.6</v>
      </c>
    </row>
    <row r="149">
      <c r="A149" s="2">
        <f>IFERROR(__xludf.DUMMYFUNCTION("""COMPUTED_VALUE"""),489446.0)</f>
        <v>489446</v>
      </c>
      <c r="B149" s="2" t="str">
        <f>IFERROR(__xludf.DUMMYFUNCTION("""COMPUTED_VALUE"""),"85123A")</f>
        <v>85123A</v>
      </c>
      <c r="C149" s="2" t="str">
        <f>IFERROR(__xludf.DUMMYFUNCTION("""COMPUTED_VALUE"""),"WHITE HANGING HEART T-LIGHT HOLDER")</f>
        <v>WHITE HANGING HEART T-LIGHT HOLDER</v>
      </c>
      <c r="D149" s="2">
        <f>IFERROR(__xludf.DUMMYFUNCTION("""COMPUTED_VALUE"""),32.0)</f>
        <v>32</v>
      </c>
      <c r="E149" s="6">
        <f>IFERROR(__xludf.DUMMYFUNCTION("""COMPUTED_VALUE"""),40148.42083333334)</f>
        <v>40148.42083</v>
      </c>
      <c r="F149" s="2">
        <f>IFERROR(__xludf.DUMMYFUNCTION("""COMPUTED_VALUE"""),2.55)</f>
        <v>2.55</v>
      </c>
      <c r="G149" s="2">
        <f>IFERROR(__xludf.DUMMYFUNCTION("""COMPUTED_VALUE"""),13758.0)</f>
        <v>13758</v>
      </c>
      <c r="H149" s="2" t="str">
        <f>IFERROR(__xludf.DUMMYFUNCTION("""COMPUTED_VALUE"""),"United Kingdom")</f>
        <v>United Kingdom</v>
      </c>
      <c r="I149" s="7">
        <f>IFERROR(__xludf.DUMMYFUNCTION("""COMPUTED_VALUE"""),40148.0)</f>
        <v>40148</v>
      </c>
      <c r="J149" s="8">
        <f>IFERROR(__xludf.DUMMYFUNCTION("""COMPUTED_VALUE"""),0.42083333333357587)</f>
        <v>0.4208333333</v>
      </c>
      <c r="K149" s="2">
        <f>IFERROR(__xludf.DUMMYFUNCTION("""COMPUTED_VALUE"""),10.0)</f>
        <v>10</v>
      </c>
      <c r="L149" s="2">
        <f>IFERROR(__xludf.DUMMYFUNCTION("""COMPUTED_VALUE"""),81.6)</f>
        <v>81.6</v>
      </c>
    </row>
    <row r="150">
      <c r="A150" s="2">
        <f>IFERROR(__xludf.DUMMYFUNCTION("""COMPUTED_VALUE"""),489446.0)</f>
        <v>489446</v>
      </c>
      <c r="B150" s="2" t="str">
        <f>IFERROR(__xludf.DUMMYFUNCTION("""COMPUTED_VALUE"""),"22178")</f>
        <v>22178</v>
      </c>
      <c r="C150" s="2" t="str">
        <f>IFERROR(__xludf.DUMMYFUNCTION("""COMPUTED_VALUE"""),"VICTORIAN GLASS HANGING T-LIGHT")</f>
        <v>VICTORIAN GLASS HANGING T-LIGHT</v>
      </c>
      <c r="D150" s="2">
        <f>IFERROR(__xludf.DUMMYFUNCTION("""COMPUTED_VALUE"""),12.0)</f>
        <v>12</v>
      </c>
      <c r="E150" s="6">
        <f>IFERROR(__xludf.DUMMYFUNCTION("""COMPUTED_VALUE"""),40148.42083333334)</f>
        <v>40148.42083</v>
      </c>
      <c r="F150" s="2">
        <f>IFERROR(__xludf.DUMMYFUNCTION("""COMPUTED_VALUE"""),1.25)</f>
        <v>1.25</v>
      </c>
      <c r="G150" s="2">
        <f>IFERROR(__xludf.DUMMYFUNCTION("""COMPUTED_VALUE"""),13758.0)</f>
        <v>13758</v>
      </c>
      <c r="H150" s="2" t="str">
        <f>IFERROR(__xludf.DUMMYFUNCTION("""COMPUTED_VALUE"""),"United Kingdom")</f>
        <v>United Kingdom</v>
      </c>
      <c r="I150" s="7">
        <f>IFERROR(__xludf.DUMMYFUNCTION("""COMPUTED_VALUE"""),40148.0)</f>
        <v>40148</v>
      </c>
      <c r="J150" s="8">
        <f>IFERROR(__xludf.DUMMYFUNCTION("""COMPUTED_VALUE"""),0.42083333333357587)</f>
        <v>0.4208333333</v>
      </c>
      <c r="K150" s="2">
        <f>IFERROR(__xludf.DUMMYFUNCTION("""COMPUTED_VALUE"""),10.0)</f>
        <v>10</v>
      </c>
      <c r="L150" s="2">
        <f>IFERROR(__xludf.DUMMYFUNCTION("""COMPUTED_VALUE"""),15.0)</f>
        <v>15</v>
      </c>
    </row>
    <row r="151">
      <c r="A151" s="2">
        <f>IFERROR(__xludf.DUMMYFUNCTION("""COMPUTED_VALUE"""),489446.0)</f>
        <v>489446</v>
      </c>
      <c r="B151" s="2" t="str">
        <f>IFERROR(__xludf.DUMMYFUNCTION("""COMPUTED_VALUE"""),"22125")</f>
        <v>22125</v>
      </c>
      <c r="C151" s="2" t="str">
        <f>IFERROR(__xludf.DUMMYFUNCTION("""COMPUTED_VALUE"""),"UNION JACK HOT WATER BOTTLE")</f>
        <v>UNION JACK HOT WATER BOTTLE</v>
      </c>
      <c r="D151" s="2">
        <f>IFERROR(__xludf.DUMMYFUNCTION("""COMPUTED_VALUE"""),12.0)</f>
        <v>12</v>
      </c>
      <c r="E151" s="6">
        <f>IFERROR(__xludf.DUMMYFUNCTION("""COMPUTED_VALUE"""),40148.42083333334)</f>
        <v>40148.42083</v>
      </c>
      <c r="F151" s="2">
        <f>IFERROR(__xludf.DUMMYFUNCTION("""COMPUTED_VALUE"""),5.95)</f>
        <v>5.95</v>
      </c>
      <c r="G151" s="2">
        <f>IFERROR(__xludf.DUMMYFUNCTION("""COMPUTED_VALUE"""),13758.0)</f>
        <v>13758</v>
      </c>
      <c r="H151" s="2" t="str">
        <f>IFERROR(__xludf.DUMMYFUNCTION("""COMPUTED_VALUE"""),"United Kingdom")</f>
        <v>United Kingdom</v>
      </c>
      <c r="I151" s="7">
        <f>IFERROR(__xludf.DUMMYFUNCTION("""COMPUTED_VALUE"""),40148.0)</f>
        <v>40148</v>
      </c>
      <c r="J151" s="8">
        <f>IFERROR(__xludf.DUMMYFUNCTION("""COMPUTED_VALUE"""),0.42083333333357587)</f>
        <v>0.4208333333</v>
      </c>
      <c r="K151" s="2">
        <f>IFERROR(__xludf.DUMMYFUNCTION("""COMPUTED_VALUE"""),10.0)</f>
        <v>10</v>
      </c>
      <c r="L151" s="2">
        <f>IFERROR(__xludf.DUMMYFUNCTION("""COMPUTED_VALUE"""),71.4)</f>
        <v>71.4</v>
      </c>
    </row>
    <row r="152">
      <c r="A152" s="2">
        <f>IFERROR(__xludf.DUMMYFUNCTION("""COMPUTED_VALUE"""),489446.0)</f>
        <v>489446</v>
      </c>
      <c r="B152" s="2" t="str">
        <f>IFERROR(__xludf.DUMMYFUNCTION("""COMPUTED_VALUE"""),"21671")</f>
        <v>21671</v>
      </c>
      <c r="C152" s="2" t="str">
        <f>IFERROR(__xludf.DUMMYFUNCTION("""COMPUTED_VALUE"""),"RED SPOT CERAMIC DRAWER KNOB")</f>
        <v>RED SPOT CERAMIC DRAWER KNOB</v>
      </c>
      <c r="D152" s="2">
        <f>IFERROR(__xludf.DUMMYFUNCTION("""COMPUTED_VALUE"""),12.0)</f>
        <v>12</v>
      </c>
      <c r="E152" s="6">
        <f>IFERROR(__xludf.DUMMYFUNCTION("""COMPUTED_VALUE"""),40148.42083333334)</f>
        <v>40148.42083</v>
      </c>
      <c r="F152" s="2">
        <f>IFERROR(__xludf.DUMMYFUNCTION("""COMPUTED_VALUE"""),1.25)</f>
        <v>1.25</v>
      </c>
      <c r="G152" s="2">
        <f>IFERROR(__xludf.DUMMYFUNCTION("""COMPUTED_VALUE"""),13758.0)</f>
        <v>13758</v>
      </c>
      <c r="H152" s="2" t="str">
        <f>IFERROR(__xludf.DUMMYFUNCTION("""COMPUTED_VALUE"""),"United Kingdom")</f>
        <v>United Kingdom</v>
      </c>
      <c r="I152" s="7">
        <f>IFERROR(__xludf.DUMMYFUNCTION("""COMPUTED_VALUE"""),40148.0)</f>
        <v>40148</v>
      </c>
      <c r="J152" s="8">
        <f>IFERROR(__xludf.DUMMYFUNCTION("""COMPUTED_VALUE"""),0.42083333333357587)</f>
        <v>0.4208333333</v>
      </c>
      <c r="K152" s="2">
        <f>IFERROR(__xludf.DUMMYFUNCTION("""COMPUTED_VALUE"""),10.0)</f>
        <v>10</v>
      </c>
      <c r="L152" s="2">
        <f>IFERROR(__xludf.DUMMYFUNCTION("""COMPUTED_VALUE"""),15.0)</f>
        <v>15</v>
      </c>
    </row>
    <row r="153">
      <c r="A153" s="2">
        <f>IFERROR(__xludf.DUMMYFUNCTION("""COMPUTED_VALUE"""),489446.0)</f>
        <v>489446</v>
      </c>
      <c r="B153" s="2" t="str">
        <f>IFERROR(__xludf.DUMMYFUNCTION("""COMPUTED_VALUE"""),"22086")</f>
        <v>22086</v>
      </c>
      <c r="C153" s="2" t="str">
        <f>IFERROR(__xludf.DUMMYFUNCTION("""COMPUTED_VALUE"""),"PAPER CHAIN KIT 50'S CHRISTMAS")</f>
        <v>PAPER CHAIN KIT 50'S CHRISTMAS</v>
      </c>
      <c r="D153" s="2">
        <f>IFERROR(__xludf.DUMMYFUNCTION("""COMPUTED_VALUE"""),12.0)</f>
        <v>12</v>
      </c>
      <c r="E153" s="6">
        <f>IFERROR(__xludf.DUMMYFUNCTION("""COMPUTED_VALUE"""),40148.42083333334)</f>
        <v>40148.42083</v>
      </c>
      <c r="F153" s="2">
        <f>IFERROR(__xludf.DUMMYFUNCTION("""COMPUTED_VALUE"""),2.95)</f>
        <v>2.95</v>
      </c>
      <c r="G153" s="2">
        <f>IFERROR(__xludf.DUMMYFUNCTION("""COMPUTED_VALUE"""),13758.0)</f>
        <v>13758</v>
      </c>
      <c r="H153" s="2" t="str">
        <f>IFERROR(__xludf.DUMMYFUNCTION("""COMPUTED_VALUE"""),"United Kingdom")</f>
        <v>United Kingdom</v>
      </c>
      <c r="I153" s="7">
        <f>IFERROR(__xludf.DUMMYFUNCTION("""COMPUTED_VALUE"""),40148.0)</f>
        <v>40148</v>
      </c>
      <c r="J153" s="8">
        <f>IFERROR(__xludf.DUMMYFUNCTION("""COMPUTED_VALUE"""),0.42083333333357587)</f>
        <v>0.4208333333</v>
      </c>
      <c r="K153" s="2">
        <f>IFERROR(__xludf.DUMMYFUNCTION("""COMPUTED_VALUE"""),10.0)</f>
        <v>10</v>
      </c>
      <c r="L153" s="2">
        <f>IFERROR(__xludf.DUMMYFUNCTION("""COMPUTED_VALUE"""),35.4)</f>
        <v>35.4</v>
      </c>
    </row>
    <row r="154">
      <c r="A154" s="2">
        <f>IFERROR(__xludf.DUMMYFUNCTION("""COMPUTED_VALUE"""),489446.0)</f>
        <v>489446</v>
      </c>
      <c r="B154" s="2" t="str">
        <f>IFERROR(__xludf.DUMMYFUNCTION("""COMPUTED_VALUE"""),"22111")</f>
        <v>22111</v>
      </c>
      <c r="C154" s="2" t="str">
        <f>IFERROR(__xludf.DUMMYFUNCTION("""COMPUTED_VALUE"""),"SCOTTIE DOG HOT WATER BOTTLE")</f>
        <v>SCOTTIE DOG HOT WATER BOTTLE</v>
      </c>
      <c r="D154" s="2">
        <f>IFERROR(__xludf.DUMMYFUNCTION("""COMPUTED_VALUE"""),6.0)</f>
        <v>6</v>
      </c>
      <c r="E154" s="6">
        <f>IFERROR(__xludf.DUMMYFUNCTION("""COMPUTED_VALUE"""),40148.42083333334)</f>
        <v>40148.42083</v>
      </c>
      <c r="F154" s="2">
        <f>IFERROR(__xludf.DUMMYFUNCTION("""COMPUTED_VALUE"""),4.95)</f>
        <v>4.95</v>
      </c>
      <c r="G154" s="2">
        <f>IFERROR(__xludf.DUMMYFUNCTION("""COMPUTED_VALUE"""),13758.0)</f>
        <v>13758</v>
      </c>
      <c r="H154" s="2" t="str">
        <f>IFERROR(__xludf.DUMMYFUNCTION("""COMPUTED_VALUE"""),"United Kingdom")</f>
        <v>United Kingdom</v>
      </c>
      <c r="I154" s="7">
        <f>IFERROR(__xludf.DUMMYFUNCTION("""COMPUTED_VALUE"""),40148.0)</f>
        <v>40148</v>
      </c>
      <c r="J154" s="8">
        <f>IFERROR(__xludf.DUMMYFUNCTION("""COMPUTED_VALUE"""),0.42083333333357587)</f>
        <v>0.4208333333</v>
      </c>
      <c r="K154" s="2">
        <f>IFERROR(__xludf.DUMMYFUNCTION("""COMPUTED_VALUE"""),10.0)</f>
        <v>10</v>
      </c>
      <c r="L154" s="2">
        <f>IFERROR(__xludf.DUMMYFUNCTION("""COMPUTED_VALUE"""),29.7)</f>
        <v>29.7</v>
      </c>
    </row>
    <row r="155">
      <c r="A155" s="2">
        <f>IFERROR(__xludf.DUMMYFUNCTION("""COMPUTED_VALUE"""),489446.0)</f>
        <v>489446</v>
      </c>
      <c r="B155" s="2" t="str">
        <f>IFERROR(__xludf.DUMMYFUNCTION("""COMPUTED_VALUE"""),"22112")</f>
        <v>22112</v>
      </c>
      <c r="C155" s="2" t="str">
        <f>IFERROR(__xludf.DUMMYFUNCTION("""COMPUTED_VALUE"""),"CHOCOLATE HOT WATER BOTTLE")</f>
        <v>CHOCOLATE HOT WATER BOTTLE</v>
      </c>
      <c r="D155" s="2">
        <f>IFERROR(__xludf.DUMMYFUNCTION("""COMPUTED_VALUE"""),12.0)</f>
        <v>12</v>
      </c>
      <c r="E155" s="6">
        <f>IFERROR(__xludf.DUMMYFUNCTION("""COMPUTED_VALUE"""),40148.42083333334)</f>
        <v>40148.42083</v>
      </c>
      <c r="F155" s="2">
        <f>IFERROR(__xludf.DUMMYFUNCTION("""COMPUTED_VALUE"""),4.95)</f>
        <v>4.95</v>
      </c>
      <c r="G155" s="2">
        <f>IFERROR(__xludf.DUMMYFUNCTION("""COMPUTED_VALUE"""),13758.0)</f>
        <v>13758</v>
      </c>
      <c r="H155" s="2" t="str">
        <f>IFERROR(__xludf.DUMMYFUNCTION("""COMPUTED_VALUE"""),"United Kingdom")</f>
        <v>United Kingdom</v>
      </c>
      <c r="I155" s="7">
        <f>IFERROR(__xludf.DUMMYFUNCTION("""COMPUTED_VALUE"""),40148.0)</f>
        <v>40148</v>
      </c>
      <c r="J155" s="8">
        <f>IFERROR(__xludf.DUMMYFUNCTION("""COMPUTED_VALUE"""),0.42083333333357587)</f>
        <v>0.4208333333</v>
      </c>
      <c r="K155" s="2">
        <f>IFERROR(__xludf.DUMMYFUNCTION("""COMPUTED_VALUE"""),10.0)</f>
        <v>10</v>
      </c>
      <c r="L155" s="2">
        <f>IFERROR(__xludf.DUMMYFUNCTION("""COMPUTED_VALUE"""),59.4)</f>
        <v>59.4</v>
      </c>
    </row>
    <row r="156">
      <c r="A156" s="2">
        <f>IFERROR(__xludf.DUMMYFUNCTION("""COMPUTED_VALUE"""),489446.0)</f>
        <v>489446</v>
      </c>
      <c r="B156" s="2" t="str">
        <f>IFERROR(__xludf.DUMMYFUNCTION("""COMPUTED_VALUE"""),"22294")</f>
        <v>22294</v>
      </c>
      <c r="C156" s="2" t="str">
        <f>IFERROR(__xludf.DUMMYFUNCTION("""COMPUTED_VALUE"""),"HEART FILIGREE DOVE SMALL")</f>
        <v>HEART FILIGREE DOVE SMALL</v>
      </c>
      <c r="D156" s="2">
        <f>IFERROR(__xludf.DUMMYFUNCTION("""COMPUTED_VALUE"""),24.0)</f>
        <v>24</v>
      </c>
      <c r="E156" s="6">
        <f>IFERROR(__xludf.DUMMYFUNCTION("""COMPUTED_VALUE"""),40148.42083333334)</f>
        <v>40148.42083</v>
      </c>
      <c r="F156" s="2">
        <f>IFERROR(__xludf.DUMMYFUNCTION("""COMPUTED_VALUE"""),1.25)</f>
        <v>1.25</v>
      </c>
      <c r="G156" s="2">
        <f>IFERROR(__xludf.DUMMYFUNCTION("""COMPUTED_VALUE"""),13758.0)</f>
        <v>13758</v>
      </c>
      <c r="H156" s="2" t="str">
        <f>IFERROR(__xludf.DUMMYFUNCTION("""COMPUTED_VALUE"""),"United Kingdom")</f>
        <v>United Kingdom</v>
      </c>
      <c r="I156" s="7">
        <f>IFERROR(__xludf.DUMMYFUNCTION("""COMPUTED_VALUE"""),40148.0)</f>
        <v>40148</v>
      </c>
      <c r="J156" s="8">
        <f>IFERROR(__xludf.DUMMYFUNCTION("""COMPUTED_VALUE"""),0.42083333333357587)</f>
        <v>0.4208333333</v>
      </c>
      <c r="K156" s="2">
        <f>IFERROR(__xludf.DUMMYFUNCTION("""COMPUTED_VALUE"""),10.0)</f>
        <v>10</v>
      </c>
      <c r="L156" s="2">
        <f>IFERROR(__xludf.DUMMYFUNCTION("""COMPUTED_VALUE"""),30.0)</f>
        <v>30</v>
      </c>
    </row>
    <row r="157">
      <c r="A157" s="2">
        <f>IFERROR(__xludf.DUMMYFUNCTION("""COMPUTED_VALUE"""),489446.0)</f>
        <v>489446</v>
      </c>
      <c r="B157" s="2" t="str">
        <f>IFERROR(__xludf.DUMMYFUNCTION("""COMPUTED_VALUE"""),"22199")</f>
        <v>22199</v>
      </c>
      <c r="C157" s="2" t="str">
        <f>IFERROR(__xludf.DUMMYFUNCTION("""COMPUTED_VALUE"""),"FRYING PAN RED POLKADOT")</f>
        <v>FRYING PAN RED POLKADOT</v>
      </c>
      <c r="D157" s="2">
        <f>IFERROR(__xludf.DUMMYFUNCTION("""COMPUTED_VALUE"""),4.0)</f>
        <v>4</v>
      </c>
      <c r="E157" s="6">
        <f>IFERROR(__xludf.DUMMYFUNCTION("""COMPUTED_VALUE"""),40148.42083333334)</f>
        <v>40148.42083</v>
      </c>
      <c r="F157" s="2">
        <f>IFERROR(__xludf.DUMMYFUNCTION("""COMPUTED_VALUE"""),4.25)</f>
        <v>4.25</v>
      </c>
      <c r="G157" s="2">
        <f>IFERROR(__xludf.DUMMYFUNCTION("""COMPUTED_VALUE"""),13758.0)</f>
        <v>13758</v>
      </c>
      <c r="H157" s="2" t="str">
        <f>IFERROR(__xludf.DUMMYFUNCTION("""COMPUTED_VALUE"""),"United Kingdom")</f>
        <v>United Kingdom</v>
      </c>
      <c r="I157" s="7">
        <f>IFERROR(__xludf.DUMMYFUNCTION("""COMPUTED_VALUE"""),40148.0)</f>
        <v>40148</v>
      </c>
      <c r="J157" s="8">
        <f>IFERROR(__xludf.DUMMYFUNCTION("""COMPUTED_VALUE"""),0.42083333333357587)</f>
        <v>0.4208333333</v>
      </c>
      <c r="K157" s="2">
        <f>IFERROR(__xludf.DUMMYFUNCTION("""COMPUTED_VALUE"""),10.0)</f>
        <v>10</v>
      </c>
      <c r="L157" s="2">
        <f>IFERROR(__xludf.DUMMYFUNCTION("""COMPUTED_VALUE"""),17.0)</f>
        <v>17</v>
      </c>
    </row>
    <row r="158">
      <c r="A158" s="2">
        <f>IFERROR(__xludf.DUMMYFUNCTION("""COMPUTED_VALUE"""),489446.0)</f>
        <v>489446</v>
      </c>
      <c r="B158" s="2" t="str">
        <f>IFERROR(__xludf.DUMMYFUNCTION("""COMPUTED_VALUE"""),"22083")</f>
        <v>22083</v>
      </c>
      <c r="C158" s="2" t="str">
        <f>IFERROR(__xludf.DUMMYFUNCTION("""COMPUTED_VALUE"""),"PAPER CHAIN KIT RETRO SPOT")</f>
        <v>PAPER CHAIN KIT RETRO SPOT</v>
      </c>
      <c r="D158" s="2">
        <f>IFERROR(__xludf.DUMMYFUNCTION("""COMPUTED_VALUE"""),24.0)</f>
        <v>24</v>
      </c>
      <c r="E158" s="6">
        <f>IFERROR(__xludf.DUMMYFUNCTION("""COMPUTED_VALUE"""),40148.42083333334)</f>
        <v>40148.42083</v>
      </c>
      <c r="F158" s="2">
        <f>IFERROR(__xludf.DUMMYFUNCTION("""COMPUTED_VALUE"""),2.95)</f>
        <v>2.95</v>
      </c>
      <c r="G158" s="2">
        <f>IFERROR(__xludf.DUMMYFUNCTION("""COMPUTED_VALUE"""),13758.0)</f>
        <v>13758</v>
      </c>
      <c r="H158" s="2" t="str">
        <f>IFERROR(__xludf.DUMMYFUNCTION("""COMPUTED_VALUE"""),"United Kingdom")</f>
        <v>United Kingdom</v>
      </c>
      <c r="I158" s="7">
        <f>IFERROR(__xludf.DUMMYFUNCTION("""COMPUTED_VALUE"""),40148.0)</f>
        <v>40148</v>
      </c>
      <c r="J158" s="8">
        <f>IFERROR(__xludf.DUMMYFUNCTION("""COMPUTED_VALUE"""),0.42083333333357587)</f>
        <v>0.4208333333</v>
      </c>
      <c r="K158" s="2">
        <f>IFERROR(__xludf.DUMMYFUNCTION("""COMPUTED_VALUE"""),10.0)</f>
        <v>10</v>
      </c>
      <c r="L158" s="2">
        <f>IFERROR(__xludf.DUMMYFUNCTION("""COMPUTED_VALUE"""),70.8)</f>
        <v>70.8</v>
      </c>
    </row>
    <row r="159">
      <c r="A159" s="2">
        <f>IFERROR(__xludf.DUMMYFUNCTION("""COMPUTED_VALUE"""),489446.0)</f>
        <v>489446</v>
      </c>
      <c r="B159" s="2" t="str">
        <f>IFERROR(__xludf.DUMMYFUNCTION("""COMPUTED_VALUE"""),"22114")</f>
        <v>22114</v>
      </c>
      <c r="C159" s="2" t="str">
        <f>IFERROR(__xludf.DUMMYFUNCTION("""COMPUTED_VALUE"""),"HOT WATER BOTTLE TEA AND SYMPATHY")</f>
        <v>HOT WATER BOTTLE TEA AND SYMPATHY</v>
      </c>
      <c r="D159" s="2">
        <f>IFERROR(__xludf.DUMMYFUNCTION("""COMPUTED_VALUE"""),12.0)</f>
        <v>12</v>
      </c>
      <c r="E159" s="6">
        <f>IFERROR(__xludf.DUMMYFUNCTION("""COMPUTED_VALUE"""),40148.42083333334)</f>
        <v>40148.42083</v>
      </c>
      <c r="F159" s="2">
        <f>IFERROR(__xludf.DUMMYFUNCTION("""COMPUTED_VALUE"""),3.95)</f>
        <v>3.95</v>
      </c>
      <c r="G159" s="2">
        <f>IFERROR(__xludf.DUMMYFUNCTION("""COMPUTED_VALUE"""),13758.0)</f>
        <v>13758</v>
      </c>
      <c r="H159" s="2" t="str">
        <f>IFERROR(__xludf.DUMMYFUNCTION("""COMPUTED_VALUE"""),"United Kingdom")</f>
        <v>United Kingdom</v>
      </c>
      <c r="I159" s="7">
        <f>IFERROR(__xludf.DUMMYFUNCTION("""COMPUTED_VALUE"""),40148.0)</f>
        <v>40148</v>
      </c>
      <c r="J159" s="8">
        <f>IFERROR(__xludf.DUMMYFUNCTION("""COMPUTED_VALUE"""),0.42083333333357587)</f>
        <v>0.4208333333</v>
      </c>
      <c r="K159" s="2">
        <f>IFERROR(__xludf.DUMMYFUNCTION("""COMPUTED_VALUE"""),10.0)</f>
        <v>10</v>
      </c>
      <c r="L159" s="2">
        <f>IFERROR(__xludf.DUMMYFUNCTION("""COMPUTED_VALUE"""),47.4)</f>
        <v>47.4</v>
      </c>
    </row>
    <row r="160">
      <c r="A160" s="2">
        <f>IFERROR(__xludf.DUMMYFUNCTION("""COMPUTED_VALUE"""),489446.0)</f>
        <v>489446</v>
      </c>
      <c r="B160" s="2" t="str">
        <f>IFERROR(__xludf.DUMMYFUNCTION("""COMPUTED_VALUE"""),"21485")</f>
        <v>21485</v>
      </c>
      <c r="C160" s="2" t="str">
        <f>IFERROR(__xludf.DUMMYFUNCTION("""COMPUTED_VALUE"""),"RED SPOT HEART HOT WATER BOTTLE")</f>
        <v>RED SPOT HEART HOT WATER BOTTLE</v>
      </c>
      <c r="D160" s="2">
        <f>IFERROR(__xludf.DUMMYFUNCTION("""COMPUTED_VALUE"""),12.0)</f>
        <v>12</v>
      </c>
      <c r="E160" s="6">
        <f>IFERROR(__xludf.DUMMYFUNCTION("""COMPUTED_VALUE"""),40148.42083333334)</f>
        <v>40148.42083</v>
      </c>
      <c r="F160" s="2">
        <f>IFERROR(__xludf.DUMMYFUNCTION("""COMPUTED_VALUE"""),4.95)</f>
        <v>4.95</v>
      </c>
      <c r="G160" s="2">
        <f>IFERROR(__xludf.DUMMYFUNCTION("""COMPUTED_VALUE"""),13758.0)</f>
        <v>13758</v>
      </c>
      <c r="H160" s="2" t="str">
        <f>IFERROR(__xludf.DUMMYFUNCTION("""COMPUTED_VALUE"""),"United Kingdom")</f>
        <v>United Kingdom</v>
      </c>
      <c r="I160" s="7">
        <f>IFERROR(__xludf.DUMMYFUNCTION("""COMPUTED_VALUE"""),40148.0)</f>
        <v>40148</v>
      </c>
      <c r="J160" s="8">
        <f>IFERROR(__xludf.DUMMYFUNCTION("""COMPUTED_VALUE"""),0.42083333333357587)</f>
        <v>0.4208333333</v>
      </c>
      <c r="K160" s="2">
        <f>IFERROR(__xludf.DUMMYFUNCTION("""COMPUTED_VALUE"""),10.0)</f>
        <v>10</v>
      </c>
      <c r="L160" s="2">
        <f>IFERROR(__xludf.DUMMYFUNCTION("""COMPUTED_VALUE"""),59.4)</f>
        <v>59.4</v>
      </c>
    </row>
    <row r="161">
      <c r="A161" s="2">
        <f>IFERROR(__xludf.DUMMYFUNCTION("""COMPUTED_VALUE"""),489446.0)</f>
        <v>489446</v>
      </c>
      <c r="B161" s="2" t="str">
        <f>IFERROR(__xludf.DUMMYFUNCTION("""COMPUTED_VALUE"""),"21928")</f>
        <v>21928</v>
      </c>
      <c r="C161" s="2" t="str">
        <f>IFERROR(__xludf.DUMMYFUNCTION("""COMPUTED_VALUE"""),"JUMBO BAG SCANDINAVIAN PAISLEY")</f>
        <v>JUMBO BAG SCANDINAVIAN PAISLEY</v>
      </c>
      <c r="D161" s="2">
        <f>IFERROR(__xludf.DUMMYFUNCTION("""COMPUTED_VALUE"""),10.0)</f>
        <v>10</v>
      </c>
      <c r="E161" s="6">
        <f>IFERROR(__xludf.DUMMYFUNCTION("""COMPUTED_VALUE"""),40148.42083333334)</f>
        <v>40148.42083</v>
      </c>
      <c r="F161" s="2">
        <f>IFERROR(__xludf.DUMMYFUNCTION("""COMPUTED_VALUE"""),1.95)</f>
        <v>1.95</v>
      </c>
      <c r="G161" s="2">
        <f>IFERROR(__xludf.DUMMYFUNCTION("""COMPUTED_VALUE"""),13758.0)</f>
        <v>13758</v>
      </c>
      <c r="H161" s="2" t="str">
        <f>IFERROR(__xludf.DUMMYFUNCTION("""COMPUTED_VALUE"""),"United Kingdom")</f>
        <v>United Kingdom</v>
      </c>
      <c r="I161" s="7">
        <f>IFERROR(__xludf.DUMMYFUNCTION("""COMPUTED_VALUE"""),40148.0)</f>
        <v>40148</v>
      </c>
      <c r="J161" s="8">
        <f>IFERROR(__xludf.DUMMYFUNCTION("""COMPUTED_VALUE"""),0.42083333333357587)</f>
        <v>0.4208333333</v>
      </c>
      <c r="K161" s="2">
        <f>IFERROR(__xludf.DUMMYFUNCTION("""COMPUTED_VALUE"""),10.0)</f>
        <v>10</v>
      </c>
      <c r="L161" s="2">
        <f>IFERROR(__xludf.DUMMYFUNCTION("""COMPUTED_VALUE"""),19.5)</f>
        <v>19.5</v>
      </c>
    </row>
    <row r="162">
      <c r="A162" s="2">
        <f>IFERROR(__xludf.DUMMYFUNCTION("""COMPUTED_VALUE"""),489446.0)</f>
        <v>489446</v>
      </c>
      <c r="B162" s="2" t="str">
        <f>IFERROR(__xludf.DUMMYFUNCTION("""COMPUTED_VALUE"""),"21929")</f>
        <v>21929</v>
      </c>
      <c r="C162" s="2" t="str">
        <f>IFERROR(__xludf.DUMMYFUNCTION("""COMPUTED_VALUE"""),"JUMBO BAG PINK VINTAGE PAISLEY")</f>
        <v>JUMBO BAG PINK VINTAGE PAISLEY</v>
      </c>
      <c r="D162" s="2">
        <f>IFERROR(__xludf.DUMMYFUNCTION("""COMPUTED_VALUE"""),10.0)</f>
        <v>10</v>
      </c>
      <c r="E162" s="6">
        <f>IFERROR(__xludf.DUMMYFUNCTION("""COMPUTED_VALUE"""),40148.42083333334)</f>
        <v>40148.42083</v>
      </c>
      <c r="F162" s="2">
        <f>IFERROR(__xludf.DUMMYFUNCTION("""COMPUTED_VALUE"""),1.95)</f>
        <v>1.95</v>
      </c>
      <c r="G162" s="2">
        <f>IFERROR(__xludf.DUMMYFUNCTION("""COMPUTED_VALUE"""),13758.0)</f>
        <v>13758</v>
      </c>
      <c r="H162" s="2" t="str">
        <f>IFERROR(__xludf.DUMMYFUNCTION("""COMPUTED_VALUE"""),"United Kingdom")</f>
        <v>United Kingdom</v>
      </c>
      <c r="I162" s="7">
        <f>IFERROR(__xludf.DUMMYFUNCTION("""COMPUTED_VALUE"""),40148.0)</f>
        <v>40148</v>
      </c>
      <c r="J162" s="8">
        <f>IFERROR(__xludf.DUMMYFUNCTION("""COMPUTED_VALUE"""),0.42083333333357587)</f>
        <v>0.4208333333</v>
      </c>
      <c r="K162" s="2">
        <f>IFERROR(__xludf.DUMMYFUNCTION("""COMPUTED_VALUE"""),10.0)</f>
        <v>10</v>
      </c>
      <c r="L162" s="2">
        <f>IFERROR(__xludf.DUMMYFUNCTION("""COMPUTED_VALUE"""),19.5)</f>
        <v>19.5</v>
      </c>
    </row>
    <row r="163">
      <c r="A163" s="2">
        <f>IFERROR(__xludf.DUMMYFUNCTION("""COMPUTED_VALUE"""),489446.0)</f>
        <v>489446</v>
      </c>
      <c r="B163" s="2" t="str">
        <f>IFERROR(__xludf.DUMMYFUNCTION("""COMPUTED_VALUE"""),"85099B")</f>
        <v>85099B</v>
      </c>
      <c r="C163" s="2" t="str">
        <f>IFERROR(__xludf.DUMMYFUNCTION("""COMPUTED_VALUE"""),"JUMBO BAG RED WHITE SPOTTY")</f>
        <v>JUMBO BAG RED WHITE SPOTTY</v>
      </c>
      <c r="D163" s="2">
        <f>IFERROR(__xludf.DUMMYFUNCTION("""COMPUTED_VALUE"""),20.0)</f>
        <v>20</v>
      </c>
      <c r="E163" s="6">
        <f>IFERROR(__xludf.DUMMYFUNCTION("""COMPUTED_VALUE"""),40148.42083333334)</f>
        <v>40148.42083</v>
      </c>
      <c r="F163" s="2">
        <f>IFERROR(__xludf.DUMMYFUNCTION("""COMPUTED_VALUE"""),1.95)</f>
        <v>1.95</v>
      </c>
      <c r="G163" s="2">
        <f>IFERROR(__xludf.DUMMYFUNCTION("""COMPUTED_VALUE"""),13758.0)</f>
        <v>13758</v>
      </c>
      <c r="H163" s="2" t="str">
        <f>IFERROR(__xludf.DUMMYFUNCTION("""COMPUTED_VALUE"""),"United Kingdom")</f>
        <v>United Kingdom</v>
      </c>
      <c r="I163" s="7">
        <f>IFERROR(__xludf.DUMMYFUNCTION("""COMPUTED_VALUE"""),40148.0)</f>
        <v>40148</v>
      </c>
      <c r="J163" s="8">
        <f>IFERROR(__xludf.DUMMYFUNCTION("""COMPUTED_VALUE"""),0.42083333333357587)</f>
        <v>0.4208333333</v>
      </c>
      <c r="K163" s="2">
        <f>IFERROR(__xludf.DUMMYFUNCTION("""COMPUTED_VALUE"""),10.0)</f>
        <v>10</v>
      </c>
      <c r="L163" s="2">
        <f>IFERROR(__xludf.DUMMYFUNCTION("""COMPUTED_VALUE"""),39.0)</f>
        <v>39</v>
      </c>
    </row>
    <row r="164">
      <c r="A164" s="2">
        <f>IFERROR(__xludf.DUMMYFUNCTION("""COMPUTED_VALUE"""),489446.0)</f>
        <v>489446</v>
      </c>
      <c r="B164" s="2" t="str">
        <f>IFERROR(__xludf.DUMMYFUNCTION("""COMPUTED_VALUE"""),"22356")</f>
        <v>22356</v>
      </c>
      <c r="C164" s="2" t="str">
        <f>IFERROR(__xludf.DUMMYFUNCTION("""COMPUTED_VALUE"""),"CHARLOTTE BAG , PINK/WHITE SPOTS")</f>
        <v>CHARLOTTE BAG , PINK/WHITE SPOTS</v>
      </c>
      <c r="D164" s="2">
        <f>IFERROR(__xludf.DUMMYFUNCTION("""COMPUTED_VALUE"""),10.0)</f>
        <v>10</v>
      </c>
      <c r="E164" s="6">
        <f>IFERROR(__xludf.DUMMYFUNCTION("""COMPUTED_VALUE"""),40148.42083333334)</f>
        <v>40148.42083</v>
      </c>
      <c r="F164" s="2">
        <f>IFERROR(__xludf.DUMMYFUNCTION("""COMPUTED_VALUE"""),0.85)</f>
        <v>0.85</v>
      </c>
      <c r="G164" s="2">
        <f>IFERROR(__xludf.DUMMYFUNCTION("""COMPUTED_VALUE"""),13758.0)</f>
        <v>13758</v>
      </c>
      <c r="H164" s="2" t="str">
        <f>IFERROR(__xludf.DUMMYFUNCTION("""COMPUTED_VALUE"""),"United Kingdom")</f>
        <v>United Kingdom</v>
      </c>
      <c r="I164" s="7">
        <f>IFERROR(__xludf.DUMMYFUNCTION("""COMPUTED_VALUE"""),40148.0)</f>
        <v>40148</v>
      </c>
      <c r="J164" s="8">
        <f>IFERROR(__xludf.DUMMYFUNCTION("""COMPUTED_VALUE"""),0.42083333333357587)</f>
        <v>0.4208333333</v>
      </c>
      <c r="K164" s="2">
        <f>IFERROR(__xludf.DUMMYFUNCTION("""COMPUTED_VALUE"""),10.0)</f>
        <v>10</v>
      </c>
      <c r="L164" s="2">
        <f>IFERROR(__xludf.DUMMYFUNCTION("""COMPUTED_VALUE"""),8.5)</f>
        <v>8.5</v>
      </c>
    </row>
    <row r="165">
      <c r="A165" s="2">
        <f>IFERROR(__xludf.DUMMYFUNCTION("""COMPUTED_VALUE"""),489446.0)</f>
        <v>489446</v>
      </c>
      <c r="B165" s="2" t="str">
        <f>IFERROR(__xludf.DUMMYFUNCTION("""COMPUTED_VALUE"""),"20724")</f>
        <v>20724</v>
      </c>
      <c r="C165" s="2" t="str">
        <f>IFERROR(__xludf.DUMMYFUNCTION("""COMPUTED_VALUE"""),"RED SPOTTY CHARLOTTE BAG")</f>
        <v>RED SPOTTY CHARLOTTE BAG</v>
      </c>
      <c r="D165" s="2">
        <f>IFERROR(__xludf.DUMMYFUNCTION("""COMPUTED_VALUE"""),10.0)</f>
        <v>10</v>
      </c>
      <c r="E165" s="6">
        <f>IFERROR(__xludf.DUMMYFUNCTION("""COMPUTED_VALUE"""),40148.42083333334)</f>
        <v>40148.42083</v>
      </c>
      <c r="F165" s="2">
        <f>IFERROR(__xludf.DUMMYFUNCTION("""COMPUTED_VALUE"""),0.85)</f>
        <v>0.85</v>
      </c>
      <c r="G165" s="2">
        <f>IFERROR(__xludf.DUMMYFUNCTION("""COMPUTED_VALUE"""),13758.0)</f>
        <v>13758</v>
      </c>
      <c r="H165" s="2" t="str">
        <f>IFERROR(__xludf.DUMMYFUNCTION("""COMPUTED_VALUE"""),"United Kingdom")</f>
        <v>United Kingdom</v>
      </c>
      <c r="I165" s="7">
        <f>IFERROR(__xludf.DUMMYFUNCTION("""COMPUTED_VALUE"""),40148.0)</f>
        <v>40148</v>
      </c>
      <c r="J165" s="8">
        <f>IFERROR(__xludf.DUMMYFUNCTION("""COMPUTED_VALUE"""),0.42083333333357587)</f>
        <v>0.4208333333</v>
      </c>
      <c r="K165" s="2">
        <f>IFERROR(__xludf.DUMMYFUNCTION("""COMPUTED_VALUE"""),10.0)</f>
        <v>10</v>
      </c>
      <c r="L165" s="2">
        <f>IFERROR(__xludf.DUMMYFUNCTION("""COMPUTED_VALUE"""),8.5)</f>
        <v>8.5</v>
      </c>
    </row>
    <row r="166">
      <c r="A166" s="2">
        <f>IFERROR(__xludf.DUMMYFUNCTION("""COMPUTED_VALUE"""),489446.0)</f>
        <v>489446</v>
      </c>
      <c r="B166" s="2" t="str">
        <f>IFERROR(__xludf.DUMMYFUNCTION("""COMPUTED_VALUE"""),"21590")</f>
        <v>21590</v>
      </c>
      <c r="C166" s="2" t="str">
        <f>IFERROR(__xludf.DUMMYFUNCTION("""COMPUTED_VALUE"""),"KINGS CHOICE CIGAR BOX MATCHES")</f>
        <v>KINGS CHOICE CIGAR BOX MATCHES</v>
      </c>
      <c r="D166" s="2">
        <f>IFERROR(__xludf.DUMMYFUNCTION("""COMPUTED_VALUE"""),24.0)</f>
        <v>24</v>
      </c>
      <c r="E166" s="6">
        <f>IFERROR(__xludf.DUMMYFUNCTION("""COMPUTED_VALUE"""),40148.42083333334)</f>
        <v>40148.42083</v>
      </c>
      <c r="F166" s="2">
        <f>IFERROR(__xludf.DUMMYFUNCTION("""COMPUTED_VALUE"""),1.25)</f>
        <v>1.25</v>
      </c>
      <c r="G166" s="2">
        <f>IFERROR(__xludf.DUMMYFUNCTION("""COMPUTED_VALUE"""),13758.0)</f>
        <v>13758</v>
      </c>
      <c r="H166" s="2" t="str">
        <f>IFERROR(__xludf.DUMMYFUNCTION("""COMPUTED_VALUE"""),"United Kingdom")</f>
        <v>United Kingdom</v>
      </c>
      <c r="I166" s="7">
        <f>IFERROR(__xludf.DUMMYFUNCTION("""COMPUTED_VALUE"""),40148.0)</f>
        <v>40148</v>
      </c>
      <c r="J166" s="8">
        <f>IFERROR(__xludf.DUMMYFUNCTION("""COMPUTED_VALUE"""),0.42083333333357587)</f>
        <v>0.4208333333</v>
      </c>
      <c r="K166" s="2">
        <f>IFERROR(__xludf.DUMMYFUNCTION("""COMPUTED_VALUE"""),10.0)</f>
        <v>10</v>
      </c>
      <c r="L166" s="2">
        <f>IFERROR(__xludf.DUMMYFUNCTION("""COMPUTED_VALUE"""),30.0)</f>
        <v>30</v>
      </c>
    </row>
    <row r="167">
      <c r="A167" s="2">
        <f>IFERROR(__xludf.DUMMYFUNCTION("""COMPUTED_VALUE"""),489446.0)</f>
        <v>489446</v>
      </c>
      <c r="B167" s="2" t="str">
        <f>IFERROR(__xludf.DUMMYFUNCTION("""COMPUTED_VALUE"""),"21592")</f>
        <v>21592</v>
      </c>
      <c r="C167" s="2" t="str">
        <f>IFERROR(__xludf.DUMMYFUNCTION("""COMPUTED_VALUE"""),"RETRO SPOT CIGAR BOX MATCHES")</f>
        <v>RETRO SPOT CIGAR BOX MATCHES</v>
      </c>
      <c r="D167" s="2">
        <f>IFERROR(__xludf.DUMMYFUNCTION("""COMPUTED_VALUE"""),24.0)</f>
        <v>24</v>
      </c>
      <c r="E167" s="6">
        <f>IFERROR(__xludf.DUMMYFUNCTION("""COMPUTED_VALUE"""),40148.42083333334)</f>
        <v>40148.42083</v>
      </c>
      <c r="F167" s="2">
        <f>IFERROR(__xludf.DUMMYFUNCTION("""COMPUTED_VALUE"""),1.25)</f>
        <v>1.25</v>
      </c>
      <c r="G167" s="2">
        <f>IFERROR(__xludf.DUMMYFUNCTION("""COMPUTED_VALUE"""),13758.0)</f>
        <v>13758</v>
      </c>
      <c r="H167" s="2" t="str">
        <f>IFERROR(__xludf.DUMMYFUNCTION("""COMPUTED_VALUE"""),"United Kingdom")</f>
        <v>United Kingdom</v>
      </c>
      <c r="I167" s="7">
        <f>IFERROR(__xludf.DUMMYFUNCTION("""COMPUTED_VALUE"""),40148.0)</f>
        <v>40148</v>
      </c>
      <c r="J167" s="8">
        <f>IFERROR(__xludf.DUMMYFUNCTION("""COMPUTED_VALUE"""),0.42083333333357587)</f>
        <v>0.4208333333</v>
      </c>
      <c r="K167" s="2">
        <f>IFERROR(__xludf.DUMMYFUNCTION("""COMPUTED_VALUE"""),10.0)</f>
        <v>10</v>
      </c>
      <c r="L167" s="2">
        <f>IFERROR(__xludf.DUMMYFUNCTION("""COMPUTED_VALUE"""),30.0)</f>
        <v>30</v>
      </c>
    </row>
    <row r="168">
      <c r="A168" s="2">
        <f>IFERROR(__xludf.DUMMYFUNCTION("""COMPUTED_VALUE"""),489446.0)</f>
        <v>489446</v>
      </c>
      <c r="B168" s="2" t="str">
        <f>IFERROR(__xludf.DUMMYFUNCTION("""COMPUTED_VALUE"""),"20725")</f>
        <v>20725</v>
      </c>
      <c r="C168" s="2" t="str">
        <f>IFERROR(__xludf.DUMMYFUNCTION("""COMPUTED_VALUE"""),"LUNCH BAG RED SPOTTY")</f>
        <v>LUNCH BAG RED SPOTTY</v>
      </c>
      <c r="D168" s="2">
        <f>IFERROR(__xludf.DUMMYFUNCTION("""COMPUTED_VALUE"""),10.0)</f>
        <v>10</v>
      </c>
      <c r="E168" s="6">
        <f>IFERROR(__xludf.DUMMYFUNCTION("""COMPUTED_VALUE"""),40148.42083333334)</f>
        <v>40148.42083</v>
      </c>
      <c r="F168" s="2">
        <f>IFERROR(__xludf.DUMMYFUNCTION("""COMPUTED_VALUE"""),1.65)</f>
        <v>1.65</v>
      </c>
      <c r="G168" s="2">
        <f>IFERROR(__xludf.DUMMYFUNCTION("""COMPUTED_VALUE"""),13758.0)</f>
        <v>13758</v>
      </c>
      <c r="H168" s="2" t="str">
        <f>IFERROR(__xludf.DUMMYFUNCTION("""COMPUTED_VALUE"""),"United Kingdom")</f>
        <v>United Kingdom</v>
      </c>
      <c r="I168" s="7">
        <f>IFERROR(__xludf.DUMMYFUNCTION("""COMPUTED_VALUE"""),40148.0)</f>
        <v>40148</v>
      </c>
      <c r="J168" s="8">
        <f>IFERROR(__xludf.DUMMYFUNCTION("""COMPUTED_VALUE"""),0.42083333333357587)</f>
        <v>0.4208333333</v>
      </c>
      <c r="K168" s="2">
        <f>IFERROR(__xludf.DUMMYFUNCTION("""COMPUTED_VALUE"""),10.0)</f>
        <v>10</v>
      </c>
      <c r="L168" s="2">
        <f>IFERROR(__xludf.DUMMYFUNCTION("""COMPUTED_VALUE"""),16.5)</f>
        <v>16.5</v>
      </c>
    </row>
    <row r="169">
      <c r="A169" s="2">
        <f>IFERROR(__xludf.DUMMYFUNCTION("""COMPUTED_VALUE"""),489446.0)</f>
        <v>489446</v>
      </c>
      <c r="B169" s="2" t="str">
        <f>IFERROR(__xludf.DUMMYFUNCTION("""COMPUTED_VALUE"""),"20728")</f>
        <v>20728</v>
      </c>
      <c r="C169" s="2" t="str">
        <f>IFERROR(__xludf.DUMMYFUNCTION("""COMPUTED_VALUE"""),"LUNCH BAG CARS BLUE")</f>
        <v>LUNCH BAG CARS BLUE</v>
      </c>
      <c r="D169" s="2">
        <f>IFERROR(__xludf.DUMMYFUNCTION("""COMPUTED_VALUE"""),10.0)</f>
        <v>10</v>
      </c>
      <c r="E169" s="6">
        <f>IFERROR(__xludf.DUMMYFUNCTION("""COMPUTED_VALUE"""),40148.42083333334)</f>
        <v>40148.42083</v>
      </c>
      <c r="F169" s="2">
        <f>IFERROR(__xludf.DUMMYFUNCTION("""COMPUTED_VALUE"""),1.65)</f>
        <v>1.65</v>
      </c>
      <c r="G169" s="2">
        <f>IFERROR(__xludf.DUMMYFUNCTION("""COMPUTED_VALUE"""),13758.0)</f>
        <v>13758</v>
      </c>
      <c r="H169" s="2" t="str">
        <f>IFERROR(__xludf.DUMMYFUNCTION("""COMPUTED_VALUE"""),"United Kingdom")</f>
        <v>United Kingdom</v>
      </c>
      <c r="I169" s="7">
        <f>IFERROR(__xludf.DUMMYFUNCTION("""COMPUTED_VALUE"""),40148.0)</f>
        <v>40148</v>
      </c>
      <c r="J169" s="8">
        <f>IFERROR(__xludf.DUMMYFUNCTION("""COMPUTED_VALUE"""),0.42083333333357587)</f>
        <v>0.4208333333</v>
      </c>
      <c r="K169" s="2">
        <f>IFERROR(__xludf.DUMMYFUNCTION("""COMPUTED_VALUE"""),10.0)</f>
        <v>10</v>
      </c>
      <c r="L169" s="2">
        <f>IFERROR(__xludf.DUMMYFUNCTION("""COMPUTED_VALUE"""),16.5)</f>
        <v>16.5</v>
      </c>
    </row>
    <row r="170">
      <c r="A170" s="2">
        <f>IFERROR(__xludf.DUMMYFUNCTION("""COMPUTED_VALUE"""),489446.0)</f>
        <v>489446</v>
      </c>
      <c r="B170" s="2" t="str">
        <f>IFERROR(__xludf.DUMMYFUNCTION("""COMPUTED_VALUE"""),"20726")</f>
        <v>20726</v>
      </c>
      <c r="C170" s="2" t="str">
        <f>IFERROR(__xludf.DUMMYFUNCTION("""COMPUTED_VALUE"""),"LUNCH BAG WOODLAND")</f>
        <v>LUNCH BAG WOODLAND</v>
      </c>
      <c r="D170" s="2">
        <f>IFERROR(__xludf.DUMMYFUNCTION("""COMPUTED_VALUE"""),10.0)</f>
        <v>10</v>
      </c>
      <c r="E170" s="6">
        <f>IFERROR(__xludf.DUMMYFUNCTION("""COMPUTED_VALUE"""),40148.42083333334)</f>
        <v>40148.42083</v>
      </c>
      <c r="F170" s="2">
        <f>IFERROR(__xludf.DUMMYFUNCTION("""COMPUTED_VALUE"""),1.65)</f>
        <v>1.65</v>
      </c>
      <c r="G170" s="2">
        <f>IFERROR(__xludf.DUMMYFUNCTION("""COMPUTED_VALUE"""),13758.0)</f>
        <v>13758</v>
      </c>
      <c r="H170" s="2" t="str">
        <f>IFERROR(__xludf.DUMMYFUNCTION("""COMPUTED_VALUE"""),"United Kingdom")</f>
        <v>United Kingdom</v>
      </c>
      <c r="I170" s="7">
        <f>IFERROR(__xludf.DUMMYFUNCTION("""COMPUTED_VALUE"""),40148.0)</f>
        <v>40148</v>
      </c>
      <c r="J170" s="8">
        <f>IFERROR(__xludf.DUMMYFUNCTION("""COMPUTED_VALUE"""),0.42083333333357587)</f>
        <v>0.4208333333</v>
      </c>
      <c r="K170" s="2">
        <f>IFERROR(__xludf.DUMMYFUNCTION("""COMPUTED_VALUE"""),10.0)</f>
        <v>10</v>
      </c>
      <c r="L170" s="2">
        <f>IFERROR(__xludf.DUMMYFUNCTION("""COMPUTED_VALUE"""),16.5)</f>
        <v>16.5</v>
      </c>
    </row>
    <row r="171">
      <c r="A171" s="2">
        <f>IFERROR(__xludf.DUMMYFUNCTION("""COMPUTED_VALUE"""),489446.0)</f>
        <v>489446</v>
      </c>
      <c r="B171" s="2" t="str">
        <f>IFERROR(__xludf.DUMMYFUNCTION("""COMPUTED_VALUE"""),"20754")</f>
        <v>20754</v>
      </c>
      <c r="C171" s="2" t="str">
        <f>IFERROR(__xludf.DUMMYFUNCTION("""COMPUTED_VALUE"""),"RETRO RED SPOTTY WASHING UP GLOVES")</f>
        <v>RETRO RED SPOTTY WASHING UP GLOVES</v>
      </c>
      <c r="D171" s="2">
        <f>IFERROR(__xludf.DUMMYFUNCTION("""COMPUTED_VALUE"""),12.0)</f>
        <v>12</v>
      </c>
      <c r="E171" s="6">
        <f>IFERROR(__xludf.DUMMYFUNCTION("""COMPUTED_VALUE"""),40148.42083333334)</f>
        <v>40148.42083</v>
      </c>
      <c r="F171" s="2">
        <f>IFERROR(__xludf.DUMMYFUNCTION("""COMPUTED_VALUE"""),2.1)</f>
        <v>2.1</v>
      </c>
      <c r="G171" s="2">
        <f>IFERROR(__xludf.DUMMYFUNCTION("""COMPUTED_VALUE"""),13758.0)</f>
        <v>13758</v>
      </c>
      <c r="H171" s="2" t="str">
        <f>IFERROR(__xludf.DUMMYFUNCTION("""COMPUTED_VALUE"""),"United Kingdom")</f>
        <v>United Kingdom</v>
      </c>
      <c r="I171" s="7">
        <f>IFERROR(__xludf.DUMMYFUNCTION("""COMPUTED_VALUE"""),40148.0)</f>
        <v>40148</v>
      </c>
      <c r="J171" s="8">
        <f>IFERROR(__xludf.DUMMYFUNCTION("""COMPUTED_VALUE"""),0.42083333333357587)</f>
        <v>0.4208333333</v>
      </c>
      <c r="K171" s="2">
        <f>IFERROR(__xludf.DUMMYFUNCTION("""COMPUTED_VALUE"""),10.0)</f>
        <v>10</v>
      </c>
      <c r="L171" s="2">
        <f>IFERROR(__xludf.DUMMYFUNCTION("""COMPUTED_VALUE"""),25.2)</f>
        <v>25.2</v>
      </c>
    </row>
    <row r="172">
      <c r="A172" s="2">
        <f>IFERROR(__xludf.DUMMYFUNCTION("""COMPUTED_VALUE"""),489446.0)</f>
        <v>489446</v>
      </c>
      <c r="B172" s="2" t="str">
        <f>IFERROR(__xludf.DUMMYFUNCTION("""COMPUTED_VALUE"""),"21217")</f>
        <v>21217</v>
      </c>
      <c r="C172" s="2" t="str">
        <f>IFERROR(__xludf.DUMMYFUNCTION("""COMPUTED_VALUE"""),"RED SPOTTY ROUND CAKE TINS")</f>
        <v>RED SPOTTY ROUND CAKE TINS</v>
      </c>
      <c r="D172" s="2">
        <f>IFERROR(__xludf.DUMMYFUNCTION("""COMPUTED_VALUE"""),12.0)</f>
        <v>12</v>
      </c>
      <c r="E172" s="6">
        <f>IFERROR(__xludf.DUMMYFUNCTION("""COMPUTED_VALUE"""),40148.42083333334)</f>
        <v>40148.42083</v>
      </c>
      <c r="F172" s="2">
        <f>IFERROR(__xludf.DUMMYFUNCTION("""COMPUTED_VALUE"""),8.95)</f>
        <v>8.95</v>
      </c>
      <c r="G172" s="2">
        <f>IFERROR(__xludf.DUMMYFUNCTION("""COMPUTED_VALUE"""),13758.0)</f>
        <v>13758</v>
      </c>
      <c r="H172" s="2" t="str">
        <f>IFERROR(__xludf.DUMMYFUNCTION("""COMPUTED_VALUE"""),"United Kingdom")</f>
        <v>United Kingdom</v>
      </c>
      <c r="I172" s="7">
        <f>IFERROR(__xludf.DUMMYFUNCTION("""COMPUTED_VALUE"""),40148.0)</f>
        <v>40148</v>
      </c>
      <c r="J172" s="8">
        <f>IFERROR(__xludf.DUMMYFUNCTION("""COMPUTED_VALUE"""),0.42083333333357587)</f>
        <v>0.4208333333</v>
      </c>
      <c r="K172" s="2">
        <f>IFERROR(__xludf.DUMMYFUNCTION("""COMPUTED_VALUE"""),10.0)</f>
        <v>10</v>
      </c>
      <c r="L172" s="2">
        <f>IFERROR(__xludf.DUMMYFUNCTION("""COMPUTED_VALUE"""),107.399999999999)</f>
        <v>107.4</v>
      </c>
    </row>
    <row r="173">
      <c r="A173" s="2">
        <f>IFERROR(__xludf.DUMMYFUNCTION("""COMPUTED_VALUE"""),489446.0)</f>
        <v>489446</v>
      </c>
      <c r="B173" s="2" t="str">
        <f>IFERROR(__xludf.DUMMYFUNCTION("""COMPUTED_VALUE"""),"22195")</f>
        <v>22195</v>
      </c>
      <c r="C173" s="2" t="str">
        <f>IFERROR(__xludf.DUMMYFUNCTION("""COMPUTED_VALUE"""),"LARGE HEART MEASURING SPOONS")</f>
        <v>LARGE HEART MEASURING SPOONS</v>
      </c>
      <c r="D173" s="2">
        <f>IFERROR(__xludf.DUMMYFUNCTION("""COMPUTED_VALUE"""),12.0)</f>
        <v>12</v>
      </c>
      <c r="E173" s="6">
        <f>IFERROR(__xludf.DUMMYFUNCTION("""COMPUTED_VALUE"""),40148.42083333334)</f>
        <v>40148.42083</v>
      </c>
      <c r="F173" s="2">
        <f>IFERROR(__xludf.DUMMYFUNCTION("""COMPUTED_VALUE"""),1.65)</f>
        <v>1.65</v>
      </c>
      <c r="G173" s="2">
        <f>IFERROR(__xludf.DUMMYFUNCTION("""COMPUTED_VALUE"""),13758.0)</f>
        <v>13758</v>
      </c>
      <c r="H173" s="2" t="str">
        <f>IFERROR(__xludf.DUMMYFUNCTION("""COMPUTED_VALUE"""),"United Kingdom")</f>
        <v>United Kingdom</v>
      </c>
      <c r="I173" s="7">
        <f>IFERROR(__xludf.DUMMYFUNCTION("""COMPUTED_VALUE"""),40148.0)</f>
        <v>40148</v>
      </c>
      <c r="J173" s="8">
        <f>IFERROR(__xludf.DUMMYFUNCTION("""COMPUTED_VALUE"""),0.42083333333357587)</f>
        <v>0.4208333333</v>
      </c>
      <c r="K173" s="2">
        <f>IFERROR(__xludf.DUMMYFUNCTION("""COMPUTED_VALUE"""),10.0)</f>
        <v>10</v>
      </c>
      <c r="L173" s="2">
        <f>IFERROR(__xludf.DUMMYFUNCTION("""COMPUTED_VALUE"""),19.7999999999999)</f>
        <v>19.8</v>
      </c>
    </row>
    <row r="174">
      <c r="A174" s="2">
        <f>IFERROR(__xludf.DUMMYFUNCTION("""COMPUTED_VALUE"""),489446.0)</f>
        <v>489446</v>
      </c>
      <c r="B174" s="2" t="str">
        <f>IFERROR(__xludf.DUMMYFUNCTION("""COMPUTED_VALUE"""),"85066")</f>
        <v>85066</v>
      </c>
      <c r="C174" s="2" t="str">
        <f>IFERROR(__xludf.DUMMYFUNCTION("""COMPUTED_VALUE"""),"CREAM SWEETHEART MINI CHEST")</f>
        <v>CREAM SWEETHEART MINI CHEST</v>
      </c>
      <c r="D174" s="2">
        <f>IFERROR(__xludf.DUMMYFUNCTION("""COMPUTED_VALUE"""),2.0)</f>
        <v>2</v>
      </c>
      <c r="E174" s="6">
        <f>IFERROR(__xludf.DUMMYFUNCTION("""COMPUTED_VALUE"""),40148.42083333334)</f>
        <v>40148.42083</v>
      </c>
      <c r="F174" s="2">
        <f>IFERROR(__xludf.DUMMYFUNCTION("""COMPUTED_VALUE"""),12.75)</f>
        <v>12.75</v>
      </c>
      <c r="G174" s="2">
        <f>IFERROR(__xludf.DUMMYFUNCTION("""COMPUTED_VALUE"""),13758.0)</f>
        <v>13758</v>
      </c>
      <c r="H174" s="2" t="str">
        <f>IFERROR(__xludf.DUMMYFUNCTION("""COMPUTED_VALUE"""),"United Kingdom")</f>
        <v>United Kingdom</v>
      </c>
      <c r="I174" s="7">
        <f>IFERROR(__xludf.DUMMYFUNCTION("""COMPUTED_VALUE"""),40148.0)</f>
        <v>40148</v>
      </c>
      <c r="J174" s="8">
        <f>IFERROR(__xludf.DUMMYFUNCTION("""COMPUTED_VALUE"""),0.42083333333357587)</f>
        <v>0.4208333333</v>
      </c>
      <c r="K174" s="2">
        <f>IFERROR(__xludf.DUMMYFUNCTION("""COMPUTED_VALUE"""),10.0)</f>
        <v>10</v>
      </c>
      <c r="L174" s="2">
        <f>IFERROR(__xludf.DUMMYFUNCTION("""COMPUTED_VALUE"""),25.5)</f>
        <v>25.5</v>
      </c>
    </row>
    <row r="175">
      <c r="A175" s="2">
        <f>IFERROR(__xludf.DUMMYFUNCTION("""COMPUTED_VALUE"""),489447.0)</f>
        <v>489447</v>
      </c>
      <c r="B175" s="2" t="str">
        <f>IFERROR(__xludf.DUMMYFUNCTION("""COMPUTED_VALUE"""),"POST")</f>
        <v>POST</v>
      </c>
      <c r="C175" s="2" t="str">
        <f>IFERROR(__xludf.DUMMYFUNCTION("""COMPUTED_VALUE"""),"POSTAGE")</f>
        <v>POSTAGE</v>
      </c>
      <c r="D175" s="2">
        <f>IFERROR(__xludf.DUMMYFUNCTION("""COMPUTED_VALUE"""),1.0)</f>
        <v>1</v>
      </c>
      <c r="E175" s="6">
        <f>IFERROR(__xludf.DUMMYFUNCTION("""COMPUTED_VALUE"""),40148.42361111111)</f>
        <v>40148.42361</v>
      </c>
      <c r="F175" s="2">
        <f>IFERROR(__xludf.DUMMYFUNCTION("""COMPUTED_VALUE"""),130.0)</f>
        <v>130</v>
      </c>
      <c r="G175" s="2">
        <f>IFERROR(__xludf.DUMMYFUNCTION("""COMPUTED_VALUE"""),12362.0)</f>
        <v>12362</v>
      </c>
      <c r="H175" s="2" t="str">
        <f>IFERROR(__xludf.DUMMYFUNCTION("""COMPUTED_VALUE"""),"Belgium")</f>
        <v>Belgium</v>
      </c>
      <c r="I175" s="7">
        <f>IFERROR(__xludf.DUMMYFUNCTION("""COMPUTED_VALUE"""),40148.0)</f>
        <v>40148</v>
      </c>
      <c r="J175" s="8">
        <f>IFERROR(__xludf.DUMMYFUNCTION("""COMPUTED_VALUE"""),0.42361111110949423)</f>
        <v>0.4236111111</v>
      </c>
      <c r="K175" s="2">
        <f>IFERROR(__xludf.DUMMYFUNCTION("""COMPUTED_VALUE"""),10.0)</f>
        <v>10</v>
      </c>
      <c r="L175" s="2">
        <f>IFERROR(__xludf.DUMMYFUNCTION("""COMPUTED_VALUE"""),130.0)</f>
        <v>130</v>
      </c>
    </row>
    <row r="176">
      <c r="A176" s="2">
        <f>IFERROR(__xludf.DUMMYFUNCTION("""COMPUTED_VALUE"""),489448.0)</f>
        <v>489448</v>
      </c>
      <c r="B176" s="2" t="str">
        <f>IFERROR(__xludf.DUMMYFUNCTION("""COMPUTED_VALUE"""),"20827")</f>
        <v>20827</v>
      </c>
      <c r="C176" s="2" t="str">
        <f>IFERROR(__xludf.DUMMYFUNCTION("""COMPUTED_VALUE"""),"GOLD APERITIF GLASS")</f>
        <v>GOLD APERITIF GLASS</v>
      </c>
      <c r="D176" s="2">
        <f>IFERROR(__xludf.DUMMYFUNCTION("""COMPUTED_VALUE"""),48.0)</f>
        <v>48</v>
      </c>
      <c r="E176" s="6">
        <f>IFERROR(__xludf.DUMMYFUNCTION("""COMPUTED_VALUE"""),40148.42916666667)</f>
        <v>40148.42917</v>
      </c>
      <c r="F176" s="2">
        <f>IFERROR(__xludf.DUMMYFUNCTION("""COMPUTED_VALUE"""),2.12)</f>
        <v>2.12</v>
      </c>
      <c r="G176" s="2">
        <f>IFERROR(__xludf.DUMMYFUNCTION("""COMPUTED_VALUE"""),15413.0)</f>
        <v>15413</v>
      </c>
      <c r="H176" s="2" t="str">
        <f>IFERROR(__xludf.DUMMYFUNCTION("""COMPUTED_VALUE"""),"United Kingdom")</f>
        <v>United Kingdom</v>
      </c>
      <c r="I176" s="7">
        <f>IFERROR(__xludf.DUMMYFUNCTION("""COMPUTED_VALUE"""),40148.0)</f>
        <v>40148</v>
      </c>
      <c r="J176" s="8">
        <f>IFERROR(__xludf.DUMMYFUNCTION("""COMPUTED_VALUE"""),0.42916666666496894)</f>
        <v>0.4291666667</v>
      </c>
      <c r="K176" s="2">
        <f>IFERROR(__xludf.DUMMYFUNCTION("""COMPUTED_VALUE"""),10.0)</f>
        <v>10</v>
      </c>
      <c r="L176" s="2">
        <f>IFERROR(__xludf.DUMMYFUNCTION("""COMPUTED_VALUE"""),101.76)</f>
        <v>101.76</v>
      </c>
    </row>
    <row r="177">
      <c r="A177" s="2">
        <f>IFERROR(__xludf.DUMMYFUNCTION("""COMPUTED_VALUE"""),489448.0)</f>
        <v>489448</v>
      </c>
      <c r="B177" s="2" t="str">
        <f>IFERROR(__xludf.DUMMYFUNCTION("""COMPUTED_VALUE"""),"20825")</f>
        <v>20825</v>
      </c>
      <c r="C177" s="2" t="str">
        <f>IFERROR(__xludf.DUMMYFUNCTION("""COMPUTED_VALUE"""),"GOLD WINE GLASS")</f>
        <v>GOLD WINE GLASS</v>
      </c>
      <c r="D177" s="2">
        <f>IFERROR(__xludf.DUMMYFUNCTION("""COMPUTED_VALUE"""),48.0)</f>
        <v>48</v>
      </c>
      <c r="E177" s="6">
        <f>IFERROR(__xludf.DUMMYFUNCTION("""COMPUTED_VALUE"""),40148.42916666667)</f>
        <v>40148.42917</v>
      </c>
      <c r="F177" s="2">
        <f>IFERROR(__xludf.DUMMYFUNCTION("""COMPUTED_VALUE"""),3.39)</f>
        <v>3.39</v>
      </c>
      <c r="G177" s="2">
        <f>IFERROR(__xludf.DUMMYFUNCTION("""COMPUTED_VALUE"""),15413.0)</f>
        <v>15413</v>
      </c>
      <c r="H177" s="2" t="str">
        <f>IFERROR(__xludf.DUMMYFUNCTION("""COMPUTED_VALUE"""),"United Kingdom")</f>
        <v>United Kingdom</v>
      </c>
      <c r="I177" s="7">
        <f>IFERROR(__xludf.DUMMYFUNCTION("""COMPUTED_VALUE"""),40148.0)</f>
        <v>40148</v>
      </c>
      <c r="J177" s="8">
        <f>IFERROR(__xludf.DUMMYFUNCTION("""COMPUTED_VALUE"""),0.42916666666496894)</f>
        <v>0.4291666667</v>
      </c>
      <c r="K177" s="2">
        <f>IFERROR(__xludf.DUMMYFUNCTION("""COMPUTED_VALUE"""),10.0)</f>
        <v>10</v>
      </c>
      <c r="L177" s="2">
        <f>IFERROR(__xludf.DUMMYFUNCTION("""COMPUTED_VALUE"""),162.72)</f>
        <v>162.72</v>
      </c>
    </row>
    <row r="178">
      <c r="A178" s="2">
        <f>IFERROR(__xludf.DUMMYFUNCTION("""COMPUTED_VALUE"""),489448.0)</f>
        <v>489448</v>
      </c>
      <c r="B178" s="2" t="str">
        <f>IFERROR(__xludf.DUMMYFUNCTION("""COMPUTED_VALUE"""),"20823")</f>
        <v>20823</v>
      </c>
      <c r="C178" s="2" t="str">
        <f>IFERROR(__xludf.DUMMYFUNCTION("""COMPUTED_VALUE"""),"GOLD WINE GOBLET")</f>
        <v>GOLD WINE GOBLET</v>
      </c>
      <c r="D178" s="2">
        <f>IFERROR(__xludf.DUMMYFUNCTION("""COMPUTED_VALUE"""),48.0)</f>
        <v>48</v>
      </c>
      <c r="E178" s="6">
        <f>IFERROR(__xludf.DUMMYFUNCTION("""COMPUTED_VALUE"""),40148.42916666667)</f>
        <v>40148.42917</v>
      </c>
      <c r="F178" s="2">
        <f>IFERROR(__xludf.DUMMYFUNCTION("""COMPUTED_VALUE"""),4.25)</f>
        <v>4.25</v>
      </c>
      <c r="G178" s="2">
        <f>IFERROR(__xludf.DUMMYFUNCTION("""COMPUTED_VALUE"""),15413.0)</f>
        <v>15413</v>
      </c>
      <c r="H178" s="2" t="str">
        <f>IFERROR(__xludf.DUMMYFUNCTION("""COMPUTED_VALUE"""),"United Kingdom")</f>
        <v>United Kingdom</v>
      </c>
      <c r="I178" s="7">
        <f>IFERROR(__xludf.DUMMYFUNCTION("""COMPUTED_VALUE"""),40148.0)</f>
        <v>40148</v>
      </c>
      <c r="J178" s="8">
        <f>IFERROR(__xludf.DUMMYFUNCTION("""COMPUTED_VALUE"""),0.42916666666496894)</f>
        <v>0.4291666667</v>
      </c>
      <c r="K178" s="2">
        <f>IFERROR(__xludf.DUMMYFUNCTION("""COMPUTED_VALUE"""),10.0)</f>
        <v>10</v>
      </c>
      <c r="L178" s="2">
        <f>IFERROR(__xludf.DUMMYFUNCTION("""COMPUTED_VALUE"""),204.0)</f>
        <v>204</v>
      </c>
    </row>
    <row r="179">
      <c r="A179" s="2">
        <f>IFERROR(__xludf.DUMMYFUNCTION("""COMPUTED_VALUE"""),489448.0)</f>
        <v>489448</v>
      </c>
      <c r="B179" s="2" t="str">
        <f>IFERROR(__xludf.DUMMYFUNCTION("""COMPUTED_VALUE"""),"20826")</f>
        <v>20826</v>
      </c>
      <c r="C179" s="2" t="str">
        <f>IFERROR(__xludf.DUMMYFUNCTION("""COMPUTED_VALUE"""),"SILVER APERITIF GLASS")</f>
        <v>SILVER APERITIF GLASS</v>
      </c>
      <c r="D179" s="2">
        <f>IFERROR(__xludf.DUMMYFUNCTION("""COMPUTED_VALUE"""),48.0)</f>
        <v>48</v>
      </c>
      <c r="E179" s="6">
        <f>IFERROR(__xludf.DUMMYFUNCTION("""COMPUTED_VALUE"""),40148.42916666667)</f>
        <v>40148.42917</v>
      </c>
      <c r="F179" s="2">
        <f>IFERROR(__xludf.DUMMYFUNCTION("""COMPUTED_VALUE"""),2.12)</f>
        <v>2.12</v>
      </c>
      <c r="G179" s="2">
        <f>IFERROR(__xludf.DUMMYFUNCTION("""COMPUTED_VALUE"""),15413.0)</f>
        <v>15413</v>
      </c>
      <c r="H179" s="2" t="str">
        <f>IFERROR(__xludf.DUMMYFUNCTION("""COMPUTED_VALUE"""),"United Kingdom")</f>
        <v>United Kingdom</v>
      </c>
      <c r="I179" s="7">
        <f>IFERROR(__xludf.DUMMYFUNCTION("""COMPUTED_VALUE"""),40148.0)</f>
        <v>40148</v>
      </c>
      <c r="J179" s="8">
        <f>IFERROR(__xludf.DUMMYFUNCTION("""COMPUTED_VALUE"""),0.42916666666496894)</f>
        <v>0.4291666667</v>
      </c>
      <c r="K179" s="2">
        <f>IFERROR(__xludf.DUMMYFUNCTION("""COMPUTED_VALUE"""),10.0)</f>
        <v>10</v>
      </c>
      <c r="L179" s="2">
        <f>IFERROR(__xludf.DUMMYFUNCTION("""COMPUTED_VALUE"""),101.76)</f>
        <v>101.76</v>
      </c>
    </row>
    <row r="180">
      <c r="A180" s="2"/>
      <c r="B180" s="2" t="str">
        <f>IFERROR(__xludf.DUMMYFUNCTION("""COMPUTED_VALUE"""),"22087")</f>
        <v>22087</v>
      </c>
      <c r="C180" s="2" t="str">
        <f>IFERROR(__xludf.DUMMYFUNCTION("""COMPUTED_VALUE"""),"PAPER BUNTING WHITE LACE")</f>
        <v>PAPER BUNTING WHITE LACE</v>
      </c>
      <c r="D180" s="2">
        <f>IFERROR(__xludf.DUMMYFUNCTION("""COMPUTED_VALUE"""),-12.0)</f>
        <v>-12</v>
      </c>
      <c r="E180" s="6">
        <f>IFERROR(__xludf.DUMMYFUNCTION("""COMPUTED_VALUE"""),40148.43958333333)</f>
        <v>40148.43958</v>
      </c>
      <c r="F180" s="2">
        <f>IFERROR(__xludf.DUMMYFUNCTION("""COMPUTED_VALUE"""),2.95)</f>
        <v>2.95</v>
      </c>
      <c r="G180" s="2">
        <f>IFERROR(__xludf.DUMMYFUNCTION("""COMPUTED_VALUE"""),16321.0)</f>
        <v>16321</v>
      </c>
      <c r="H180" s="2" t="str">
        <f>IFERROR(__xludf.DUMMYFUNCTION("""COMPUTED_VALUE"""),"Australia")</f>
        <v>Australia</v>
      </c>
      <c r="I180" s="7">
        <f>IFERROR(__xludf.DUMMYFUNCTION("""COMPUTED_VALUE"""),40148.0)</f>
        <v>40148</v>
      </c>
      <c r="J180" s="8">
        <f>IFERROR(__xludf.DUMMYFUNCTION("""COMPUTED_VALUE"""),0.43958333333284827)</f>
        <v>0.4395833333</v>
      </c>
      <c r="K180" s="2">
        <f>IFERROR(__xludf.DUMMYFUNCTION("""COMPUTED_VALUE"""),10.0)</f>
        <v>10</v>
      </c>
      <c r="L180" s="2">
        <f>IFERROR(__xludf.DUMMYFUNCTION("""COMPUTED_VALUE"""),-35.4)</f>
        <v>-35.4</v>
      </c>
    </row>
    <row r="181">
      <c r="A181" s="2"/>
      <c r="B181" s="2" t="str">
        <f>IFERROR(__xludf.DUMMYFUNCTION("""COMPUTED_VALUE"""),"85206A")</f>
        <v>85206A</v>
      </c>
      <c r="C181" s="2" t="str">
        <f>IFERROR(__xludf.DUMMYFUNCTION("""COMPUTED_VALUE"""),"CREAM FELT EASTER EGG BASKET")</f>
        <v>CREAM FELT EASTER EGG BASKET</v>
      </c>
      <c r="D181" s="2">
        <f>IFERROR(__xludf.DUMMYFUNCTION("""COMPUTED_VALUE"""),-6.0)</f>
        <v>-6</v>
      </c>
      <c r="E181" s="6">
        <f>IFERROR(__xludf.DUMMYFUNCTION("""COMPUTED_VALUE"""),40148.43958333333)</f>
        <v>40148.43958</v>
      </c>
      <c r="F181" s="2">
        <f>IFERROR(__xludf.DUMMYFUNCTION("""COMPUTED_VALUE"""),1.65)</f>
        <v>1.65</v>
      </c>
      <c r="G181" s="2">
        <f>IFERROR(__xludf.DUMMYFUNCTION("""COMPUTED_VALUE"""),16321.0)</f>
        <v>16321</v>
      </c>
      <c r="H181" s="2" t="str">
        <f>IFERROR(__xludf.DUMMYFUNCTION("""COMPUTED_VALUE"""),"Australia")</f>
        <v>Australia</v>
      </c>
      <c r="I181" s="7">
        <f>IFERROR(__xludf.DUMMYFUNCTION("""COMPUTED_VALUE"""),40148.0)</f>
        <v>40148</v>
      </c>
      <c r="J181" s="8">
        <f>IFERROR(__xludf.DUMMYFUNCTION("""COMPUTED_VALUE"""),0.43958333333284827)</f>
        <v>0.4395833333</v>
      </c>
      <c r="K181" s="2">
        <f>IFERROR(__xludf.DUMMYFUNCTION("""COMPUTED_VALUE"""),10.0)</f>
        <v>10</v>
      </c>
      <c r="L181" s="2">
        <f>IFERROR(__xludf.DUMMYFUNCTION("""COMPUTED_VALUE"""),-9.89999999999999)</f>
        <v>-9.9</v>
      </c>
    </row>
    <row r="182">
      <c r="A182" s="2"/>
      <c r="B182" s="2" t="str">
        <f>IFERROR(__xludf.DUMMYFUNCTION("""COMPUTED_VALUE"""),"21895")</f>
        <v>21895</v>
      </c>
      <c r="C182" s="2" t="str">
        <f>IFERROR(__xludf.DUMMYFUNCTION("""COMPUTED_VALUE"""),"POTTING SHED SOW 'N' GROW SET")</f>
        <v>POTTING SHED SOW 'N' GROW SET</v>
      </c>
      <c r="D182" s="2">
        <f>IFERROR(__xludf.DUMMYFUNCTION("""COMPUTED_VALUE"""),-4.0)</f>
        <v>-4</v>
      </c>
      <c r="E182" s="6">
        <f>IFERROR(__xludf.DUMMYFUNCTION("""COMPUTED_VALUE"""),40148.43958333333)</f>
        <v>40148.43958</v>
      </c>
      <c r="F182" s="2">
        <f>IFERROR(__xludf.DUMMYFUNCTION("""COMPUTED_VALUE"""),4.25)</f>
        <v>4.25</v>
      </c>
      <c r="G182" s="2">
        <f>IFERROR(__xludf.DUMMYFUNCTION("""COMPUTED_VALUE"""),16321.0)</f>
        <v>16321</v>
      </c>
      <c r="H182" s="2" t="str">
        <f>IFERROR(__xludf.DUMMYFUNCTION("""COMPUTED_VALUE"""),"Australia")</f>
        <v>Australia</v>
      </c>
      <c r="I182" s="7">
        <f>IFERROR(__xludf.DUMMYFUNCTION("""COMPUTED_VALUE"""),40148.0)</f>
        <v>40148</v>
      </c>
      <c r="J182" s="8">
        <f>IFERROR(__xludf.DUMMYFUNCTION("""COMPUTED_VALUE"""),0.43958333333284827)</f>
        <v>0.4395833333</v>
      </c>
      <c r="K182" s="2">
        <f>IFERROR(__xludf.DUMMYFUNCTION("""COMPUTED_VALUE"""),10.0)</f>
        <v>10</v>
      </c>
      <c r="L182" s="2">
        <f>IFERROR(__xludf.DUMMYFUNCTION("""COMPUTED_VALUE"""),-17.0)</f>
        <v>-17</v>
      </c>
    </row>
    <row r="183">
      <c r="A183" s="2"/>
      <c r="B183" s="2" t="str">
        <f>IFERROR(__xludf.DUMMYFUNCTION("""COMPUTED_VALUE"""),"21896")</f>
        <v>21896</v>
      </c>
      <c r="C183" s="2" t="str">
        <f>IFERROR(__xludf.DUMMYFUNCTION("""COMPUTED_VALUE"""),"POTTING SHED TWINE")</f>
        <v>POTTING SHED TWINE</v>
      </c>
      <c r="D183" s="2">
        <f>IFERROR(__xludf.DUMMYFUNCTION("""COMPUTED_VALUE"""),-6.0)</f>
        <v>-6</v>
      </c>
      <c r="E183" s="6">
        <f>IFERROR(__xludf.DUMMYFUNCTION("""COMPUTED_VALUE"""),40148.43958333333)</f>
        <v>40148.43958</v>
      </c>
      <c r="F183" s="2">
        <f>IFERROR(__xludf.DUMMYFUNCTION("""COMPUTED_VALUE"""),2.1)</f>
        <v>2.1</v>
      </c>
      <c r="G183" s="2">
        <f>IFERROR(__xludf.DUMMYFUNCTION("""COMPUTED_VALUE"""),16321.0)</f>
        <v>16321</v>
      </c>
      <c r="H183" s="2" t="str">
        <f>IFERROR(__xludf.DUMMYFUNCTION("""COMPUTED_VALUE"""),"Australia")</f>
        <v>Australia</v>
      </c>
      <c r="I183" s="7">
        <f>IFERROR(__xludf.DUMMYFUNCTION("""COMPUTED_VALUE"""),40148.0)</f>
        <v>40148</v>
      </c>
      <c r="J183" s="8">
        <f>IFERROR(__xludf.DUMMYFUNCTION("""COMPUTED_VALUE"""),0.43958333333284827)</f>
        <v>0.4395833333</v>
      </c>
      <c r="K183" s="2">
        <f>IFERROR(__xludf.DUMMYFUNCTION("""COMPUTED_VALUE"""),10.0)</f>
        <v>10</v>
      </c>
      <c r="L183" s="2">
        <f>IFERROR(__xludf.DUMMYFUNCTION("""COMPUTED_VALUE"""),-12.6)</f>
        <v>-12.6</v>
      </c>
    </row>
    <row r="184">
      <c r="A184" s="2"/>
      <c r="B184" s="2" t="str">
        <f>IFERROR(__xludf.DUMMYFUNCTION("""COMPUTED_VALUE"""),"22083")</f>
        <v>22083</v>
      </c>
      <c r="C184" s="2" t="str">
        <f>IFERROR(__xludf.DUMMYFUNCTION("""COMPUTED_VALUE"""),"PAPER CHAIN KIT RETRO SPOT")</f>
        <v>PAPER CHAIN KIT RETRO SPOT</v>
      </c>
      <c r="D184" s="2">
        <f>IFERROR(__xludf.DUMMYFUNCTION("""COMPUTED_VALUE"""),-12.0)</f>
        <v>-12</v>
      </c>
      <c r="E184" s="6">
        <f>IFERROR(__xludf.DUMMYFUNCTION("""COMPUTED_VALUE"""),40148.43958333333)</f>
        <v>40148.43958</v>
      </c>
      <c r="F184" s="2">
        <f>IFERROR(__xludf.DUMMYFUNCTION("""COMPUTED_VALUE"""),2.95)</f>
        <v>2.95</v>
      </c>
      <c r="G184" s="2">
        <f>IFERROR(__xludf.DUMMYFUNCTION("""COMPUTED_VALUE"""),16321.0)</f>
        <v>16321</v>
      </c>
      <c r="H184" s="2" t="str">
        <f>IFERROR(__xludf.DUMMYFUNCTION("""COMPUTED_VALUE"""),"Australia")</f>
        <v>Australia</v>
      </c>
      <c r="I184" s="7">
        <f>IFERROR(__xludf.DUMMYFUNCTION("""COMPUTED_VALUE"""),40148.0)</f>
        <v>40148</v>
      </c>
      <c r="J184" s="8">
        <f>IFERROR(__xludf.DUMMYFUNCTION("""COMPUTED_VALUE"""),0.43958333333284827)</f>
        <v>0.4395833333</v>
      </c>
      <c r="K184" s="2">
        <f>IFERROR(__xludf.DUMMYFUNCTION("""COMPUTED_VALUE"""),10.0)</f>
        <v>10</v>
      </c>
      <c r="L184" s="2">
        <f>IFERROR(__xludf.DUMMYFUNCTION("""COMPUTED_VALUE"""),-35.4)</f>
        <v>-35.4</v>
      </c>
    </row>
    <row r="185">
      <c r="A185" s="2"/>
      <c r="B185" s="2" t="str">
        <f>IFERROR(__xludf.DUMMYFUNCTION("""COMPUTED_VALUE"""),"21871")</f>
        <v>21871</v>
      </c>
      <c r="C185" s="2" t="str">
        <f>IFERROR(__xludf.DUMMYFUNCTION("""COMPUTED_VALUE"""),"SAVE THE PLANET MUG")</f>
        <v>SAVE THE PLANET MUG</v>
      </c>
      <c r="D185" s="2">
        <f>IFERROR(__xludf.DUMMYFUNCTION("""COMPUTED_VALUE"""),-12.0)</f>
        <v>-12</v>
      </c>
      <c r="E185" s="6">
        <f>IFERROR(__xludf.DUMMYFUNCTION("""COMPUTED_VALUE"""),40148.43958333333)</f>
        <v>40148.43958</v>
      </c>
      <c r="F185" s="2">
        <f>IFERROR(__xludf.DUMMYFUNCTION("""COMPUTED_VALUE"""),1.25)</f>
        <v>1.25</v>
      </c>
      <c r="G185" s="2">
        <f>IFERROR(__xludf.DUMMYFUNCTION("""COMPUTED_VALUE"""),16321.0)</f>
        <v>16321</v>
      </c>
      <c r="H185" s="2" t="str">
        <f>IFERROR(__xludf.DUMMYFUNCTION("""COMPUTED_VALUE"""),"Australia")</f>
        <v>Australia</v>
      </c>
      <c r="I185" s="7">
        <f>IFERROR(__xludf.DUMMYFUNCTION("""COMPUTED_VALUE"""),40148.0)</f>
        <v>40148</v>
      </c>
      <c r="J185" s="8">
        <f>IFERROR(__xludf.DUMMYFUNCTION("""COMPUTED_VALUE"""),0.43958333333284827)</f>
        <v>0.4395833333</v>
      </c>
      <c r="K185" s="2">
        <f>IFERROR(__xludf.DUMMYFUNCTION("""COMPUTED_VALUE"""),10.0)</f>
        <v>10</v>
      </c>
      <c r="L185" s="2">
        <f>IFERROR(__xludf.DUMMYFUNCTION("""COMPUTED_VALUE"""),-15.0)</f>
        <v>-15</v>
      </c>
    </row>
    <row r="186">
      <c r="A186" s="2"/>
      <c r="B186" s="2" t="str">
        <f>IFERROR(__xludf.DUMMYFUNCTION("""COMPUTED_VALUE"""),"84946")</f>
        <v>84946</v>
      </c>
      <c r="C186" s="2" t="str">
        <f>IFERROR(__xludf.DUMMYFUNCTION("""COMPUTED_VALUE"""),"ANTIQUE SILVER TEA GLASS ETCHED")</f>
        <v>ANTIQUE SILVER TEA GLASS ETCHED</v>
      </c>
      <c r="D186" s="2">
        <f>IFERROR(__xludf.DUMMYFUNCTION("""COMPUTED_VALUE"""),-12.0)</f>
        <v>-12</v>
      </c>
      <c r="E186" s="6">
        <f>IFERROR(__xludf.DUMMYFUNCTION("""COMPUTED_VALUE"""),40148.43958333333)</f>
        <v>40148.43958</v>
      </c>
      <c r="F186" s="2">
        <f>IFERROR(__xludf.DUMMYFUNCTION("""COMPUTED_VALUE"""),1.25)</f>
        <v>1.25</v>
      </c>
      <c r="G186" s="2">
        <f>IFERROR(__xludf.DUMMYFUNCTION("""COMPUTED_VALUE"""),16321.0)</f>
        <v>16321</v>
      </c>
      <c r="H186" s="2" t="str">
        <f>IFERROR(__xludf.DUMMYFUNCTION("""COMPUTED_VALUE"""),"Australia")</f>
        <v>Australia</v>
      </c>
      <c r="I186" s="7">
        <f>IFERROR(__xludf.DUMMYFUNCTION("""COMPUTED_VALUE"""),40148.0)</f>
        <v>40148</v>
      </c>
      <c r="J186" s="8">
        <f>IFERROR(__xludf.DUMMYFUNCTION("""COMPUTED_VALUE"""),0.43958333333284827)</f>
        <v>0.4395833333</v>
      </c>
      <c r="K186" s="2">
        <f>IFERROR(__xludf.DUMMYFUNCTION("""COMPUTED_VALUE"""),10.0)</f>
        <v>10</v>
      </c>
      <c r="L186" s="2">
        <f>IFERROR(__xludf.DUMMYFUNCTION("""COMPUTED_VALUE"""),-15.0)</f>
        <v>-15</v>
      </c>
    </row>
    <row r="187">
      <c r="A187" s="2"/>
      <c r="B187" s="2" t="str">
        <f>IFERROR(__xludf.DUMMYFUNCTION("""COMPUTED_VALUE"""),"84970S")</f>
        <v>84970S</v>
      </c>
      <c r="C187" s="2" t="str">
        <f>IFERROR(__xludf.DUMMYFUNCTION("""COMPUTED_VALUE"""),"HANGING HEART ZINC T-LIGHT HOLDER")</f>
        <v>HANGING HEART ZINC T-LIGHT HOLDER</v>
      </c>
      <c r="D187" s="2">
        <f>IFERROR(__xludf.DUMMYFUNCTION("""COMPUTED_VALUE"""),-24.0)</f>
        <v>-24</v>
      </c>
      <c r="E187" s="6">
        <f>IFERROR(__xludf.DUMMYFUNCTION("""COMPUTED_VALUE"""),40148.43958333333)</f>
        <v>40148.43958</v>
      </c>
      <c r="F187" s="2">
        <f>IFERROR(__xludf.DUMMYFUNCTION("""COMPUTED_VALUE"""),0.85)</f>
        <v>0.85</v>
      </c>
      <c r="G187" s="2">
        <f>IFERROR(__xludf.DUMMYFUNCTION("""COMPUTED_VALUE"""),16321.0)</f>
        <v>16321</v>
      </c>
      <c r="H187" s="2" t="str">
        <f>IFERROR(__xludf.DUMMYFUNCTION("""COMPUTED_VALUE"""),"Australia")</f>
        <v>Australia</v>
      </c>
      <c r="I187" s="7">
        <f>IFERROR(__xludf.DUMMYFUNCTION("""COMPUTED_VALUE"""),40148.0)</f>
        <v>40148</v>
      </c>
      <c r="J187" s="8">
        <f>IFERROR(__xludf.DUMMYFUNCTION("""COMPUTED_VALUE"""),0.43958333333284827)</f>
        <v>0.4395833333</v>
      </c>
      <c r="K187" s="2">
        <f>IFERROR(__xludf.DUMMYFUNCTION("""COMPUTED_VALUE"""),10.0)</f>
        <v>10</v>
      </c>
      <c r="L187" s="2">
        <f>IFERROR(__xludf.DUMMYFUNCTION("""COMPUTED_VALUE"""),-20.4)</f>
        <v>-20.4</v>
      </c>
    </row>
    <row r="188">
      <c r="A188" s="2"/>
      <c r="B188" s="2" t="str">
        <f>IFERROR(__xludf.DUMMYFUNCTION("""COMPUTED_VALUE"""),"22090")</f>
        <v>22090</v>
      </c>
      <c r="C188" s="2" t="str">
        <f>IFERROR(__xludf.DUMMYFUNCTION("""COMPUTED_VALUE"""),"PAPER BUNTING RETRO SPOTS")</f>
        <v>PAPER BUNTING RETRO SPOTS</v>
      </c>
      <c r="D188" s="2">
        <f>IFERROR(__xludf.DUMMYFUNCTION("""COMPUTED_VALUE"""),-12.0)</f>
        <v>-12</v>
      </c>
      <c r="E188" s="6">
        <f>IFERROR(__xludf.DUMMYFUNCTION("""COMPUTED_VALUE"""),40148.43958333333)</f>
        <v>40148.43958</v>
      </c>
      <c r="F188" s="2">
        <f>IFERROR(__xludf.DUMMYFUNCTION("""COMPUTED_VALUE"""),2.95)</f>
        <v>2.95</v>
      </c>
      <c r="G188" s="2">
        <f>IFERROR(__xludf.DUMMYFUNCTION("""COMPUTED_VALUE"""),16321.0)</f>
        <v>16321</v>
      </c>
      <c r="H188" s="2" t="str">
        <f>IFERROR(__xludf.DUMMYFUNCTION("""COMPUTED_VALUE"""),"Australia")</f>
        <v>Australia</v>
      </c>
      <c r="I188" s="7">
        <f>IFERROR(__xludf.DUMMYFUNCTION("""COMPUTED_VALUE"""),40148.0)</f>
        <v>40148</v>
      </c>
      <c r="J188" s="8">
        <f>IFERROR(__xludf.DUMMYFUNCTION("""COMPUTED_VALUE"""),0.43958333333284827)</f>
        <v>0.4395833333</v>
      </c>
      <c r="K188" s="2">
        <f>IFERROR(__xludf.DUMMYFUNCTION("""COMPUTED_VALUE"""),10.0)</f>
        <v>10</v>
      </c>
      <c r="L188" s="2">
        <f>IFERROR(__xludf.DUMMYFUNCTION("""COMPUTED_VALUE"""),-35.4)</f>
        <v>-35.4</v>
      </c>
    </row>
    <row r="189">
      <c r="A189" s="2">
        <f>IFERROR(__xludf.DUMMYFUNCTION("""COMPUTED_VALUE"""),489450.0)</f>
        <v>489450</v>
      </c>
      <c r="B189" s="2" t="str">
        <f>IFERROR(__xludf.DUMMYFUNCTION("""COMPUTED_VALUE"""),"22087")</f>
        <v>22087</v>
      </c>
      <c r="C189" s="2" t="str">
        <f>IFERROR(__xludf.DUMMYFUNCTION("""COMPUTED_VALUE"""),"PAPER BUNTING WHITE LACE")</f>
        <v>PAPER BUNTING WHITE LACE</v>
      </c>
      <c r="D189" s="2">
        <f>IFERROR(__xludf.DUMMYFUNCTION("""COMPUTED_VALUE"""),12.0)</f>
        <v>12</v>
      </c>
      <c r="E189" s="6">
        <f>IFERROR(__xludf.DUMMYFUNCTION("""COMPUTED_VALUE"""),40148.441666666666)</f>
        <v>40148.44167</v>
      </c>
      <c r="F189" s="2">
        <f>IFERROR(__xludf.DUMMYFUNCTION("""COMPUTED_VALUE"""),2.95)</f>
        <v>2.95</v>
      </c>
      <c r="G189" s="2">
        <f>IFERROR(__xludf.DUMMYFUNCTION("""COMPUTED_VALUE"""),16321.0)</f>
        <v>16321</v>
      </c>
      <c r="H189" s="2" t="str">
        <f>IFERROR(__xludf.DUMMYFUNCTION("""COMPUTED_VALUE"""),"Australia")</f>
        <v>Australia</v>
      </c>
      <c r="I189" s="7">
        <f>IFERROR(__xludf.DUMMYFUNCTION("""COMPUTED_VALUE"""),40148.0)</f>
        <v>40148</v>
      </c>
      <c r="J189" s="8">
        <f>IFERROR(__xludf.DUMMYFUNCTION("""COMPUTED_VALUE"""),0.44166666666569654)</f>
        <v>0.4416666667</v>
      </c>
      <c r="K189" s="2">
        <f>IFERROR(__xludf.DUMMYFUNCTION("""COMPUTED_VALUE"""),10.0)</f>
        <v>10</v>
      </c>
      <c r="L189" s="2">
        <f>IFERROR(__xludf.DUMMYFUNCTION("""COMPUTED_VALUE"""),35.4)</f>
        <v>35.4</v>
      </c>
    </row>
    <row r="190">
      <c r="A190" s="2">
        <f>IFERROR(__xludf.DUMMYFUNCTION("""COMPUTED_VALUE"""),489450.0)</f>
        <v>489450</v>
      </c>
      <c r="B190" s="2" t="str">
        <f>IFERROR(__xludf.DUMMYFUNCTION("""COMPUTED_VALUE"""),"85206A")</f>
        <v>85206A</v>
      </c>
      <c r="C190" s="2" t="str">
        <f>IFERROR(__xludf.DUMMYFUNCTION("""COMPUTED_VALUE"""),"CREAM FELT EASTER EGG BASKET")</f>
        <v>CREAM FELT EASTER EGG BASKET</v>
      </c>
      <c r="D190" s="2">
        <f>IFERROR(__xludf.DUMMYFUNCTION("""COMPUTED_VALUE"""),6.0)</f>
        <v>6</v>
      </c>
      <c r="E190" s="6">
        <f>IFERROR(__xludf.DUMMYFUNCTION("""COMPUTED_VALUE"""),40148.441666666666)</f>
        <v>40148.44167</v>
      </c>
      <c r="F190" s="2">
        <f>IFERROR(__xludf.DUMMYFUNCTION("""COMPUTED_VALUE"""),1.65)</f>
        <v>1.65</v>
      </c>
      <c r="G190" s="2">
        <f>IFERROR(__xludf.DUMMYFUNCTION("""COMPUTED_VALUE"""),16321.0)</f>
        <v>16321</v>
      </c>
      <c r="H190" s="2" t="str">
        <f>IFERROR(__xludf.DUMMYFUNCTION("""COMPUTED_VALUE"""),"Australia")</f>
        <v>Australia</v>
      </c>
      <c r="I190" s="7">
        <f>IFERROR(__xludf.DUMMYFUNCTION("""COMPUTED_VALUE"""),40148.0)</f>
        <v>40148</v>
      </c>
      <c r="J190" s="8">
        <f>IFERROR(__xludf.DUMMYFUNCTION("""COMPUTED_VALUE"""),0.44166666666569654)</f>
        <v>0.4416666667</v>
      </c>
      <c r="K190" s="2">
        <f>IFERROR(__xludf.DUMMYFUNCTION("""COMPUTED_VALUE"""),10.0)</f>
        <v>10</v>
      </c>
      <c r="L190" s="2">
        <f>IFERROR(__xludf.DUMMYFUNCTION("""COMPUTED_VALUE"""),9.89999999999999)</f>
        <v>9.9</v>
      </c>
    </row>
    <row r="191">
      <c r="A191" s="2">
        <f>IFERROR(__xludf.DUMMYFUNCTION("""COMPUTED_VALUE"""),489450.0)</f>
        <v>489450</v>
      </c>
      <c r="B191" s="2" t="str">
        <f>IFERROR(__xludf.DUMMYFUNCTION("""COMPUTED_VALUE"""),"21895")</f>
        <v>21895</v>
      </c>
      <c r="C191" s="2" t="str">
        <f>IFERROR(__xludf.DUMMYFUNCTION("""COMPUTED_VALUE"""),"POTTING SHED SOW 'N' GROW SET")</f>
        <v>POTTING SHED SOW 'N' GROW SET</v>
      </c>
      <c r="D191" s="2">
        <f>IFERROR(__xludf.DUMMYFUNCTION("""COMPUTED_VALUE"""),4.0)</f>
        <v>4</v>
      </c>
      <c r="E191" s="6">
        <f>IFERROR(__xludf.DUMMYFUNCTION("""COMPUTED_VALUE"""),40148.441666666666)</f>
        <v>40148.44167</v>
      </c>
      <c r="F191" s="2">
        <f>IFERROR(__xludf.DUMMYFUNCTION("""COMPUTED_VALUE"""),4.25)</f>
        <v>4.25</v>
      </c>
      <c r="G191" s="2">
        <f>IFERROR(__xludf.DUMMYFUNCTION("""COMPUTED_VALUE"""),16321.0)</f>
        <v>16321</v>
      </c>
      <c r="H191" s="2" t="str">
        <f>IFERROR(__xludf.DUMMYFUNCTION("""COMPUTED_VALUE"""),"Australia")</f>
        <v>Australia</v>
      </c>
      <c r="I191" s="7">
        <f>IFERROR(__xludf.DUMMYFUNCTION("""COMPUTED_VALUE"""),40148.0)</f>
        <v>40148</v>
      </c>
      <c r="J191" s="8">
        <f>IFERROR(__xludf.DUMMYFUNCTION("""COMPUTED_VALUE"""),0.44166666666569654)</f>
        <v>0.4416666667</v>
      </c>
      <c r="K191" s="2">
        <f>IFERROR(__xludf.DUMMYFUNCTION("""COMPUTED_VALUE"""),10.0)</f>
        <v>10</v>
      </c>
      <c r="L191" s="2">
        <f>IFERROR(__xludf.DUMMYFUNCTION("""COMPUTED_VALUE"""),17.0)</f>
        <v>17</v>
      </c>
    </row>
    <row r="192">
      <c r="A192" s="2">
        <f>IFERROR(__xludf.DUMMYFUNCTION("""COMPUTED_VALUE"""),489450.0)</f>
        <v>489450</v>
      </c>
      <c r="B192" s="2" t="str">
        <f>IFERROR(__xludf.DUMMYFUNCTION("""COMPUTED_VALUE"""),"21896")</f>
        <v>21896</v>
      </c>
      <c r="C192" s="2" t="str">
        <f>IFERROR(__xludf.DUMMYFUNCTION("""COMPUTED_VALUE"""),"POTTING SHED TWINE")</f>
        <v>POTTING SHED TWINE</v>
      </c>
      <c r="D192" s="2">
        <f>IFERROR(__xludf.DUMMYFUNCTION("""COMPUTED_VALUE"""),6.0)</f>
        <v>6</v>
      </c>
      <c r="E192" s="6">
        <f>IFERROR(__xludf.DUMMYFUNCTION("""COMPUTED_VALUE"""),40148.441666666666)</f>
        <v>40148.44167</v>
      </c>
      <c r="F192" s="2">
        <f>IFERROR(__xludf.DUMMYFUNCTION("""COMPUTED_VALUE"""),2.1)</f>
        <v>2.1</v>
      </c>
      <c r="G192" s="2">
        <f>IFERROR(__xludf.DUMMYFUNCTION("""COMPUTED_VALUE"""),16321.0)</f>
        <v>16321</v>
      </c>
      <c r="H192" s="2" t="str">
        <f>IFERROR(__xludf.DUMMYFUNCTION("""COMPUTED_VALUE"""),"Australia")</f>
        <v>Australia</v>
      </c>
      <c r="I192" s="7">
        <f>IFERROR(__xludf.DUMMYFUNCTION("""COMPUTED_VALUE"""),40148.0)</f>
        <v>40148</v>
      </c>
      <c r="J192" s="8">
        <f>IFERROR(__xludf.DUMMYFUNCTION("""COMPUTED_VALUE"""),0.44166666666569654)</f>
        <v>0.4416666667</v>
      </c>
      <c r="K192" s="2">
        <f>IFERROR(__xludf.DUMMYFUNCTION("""COMPUTED_VALUE"""),10.0)</f>
        <v>10</v>
      </c>
      <c r="L192" s="2">
        <f>IFERROR(__xludf.DUMMYFUNCTION("""COMPUTED_VALUE"""),12.6)</f>
        <v>12.6</v>
      </c>
    </row>
    <row r="193">
      <c r="A193" s="2">
        <f>IFERROR(__xludf.DUMMYFUNCTION("""COMPUTED_VALUE"""),489450.0)</f>
        <v>489450</v>
      </c>
      <c r="B193" s="2" t="str">
        <f>IFERROR(__xludf.DUMMYFUNCTION("""COMPUTED_VALUE"""),"22083")</f>
        <v>22083</v>
      </c>
      <c r="C193" s="2" t="str">
        <f>IFERROR(__xludf.DUMMYFUNCTION("""COMPUTED_VALUE"""),"PAPER CHAIN KIT RETRO SPOT")</f>
        <v>PAPER CHAIN KIT RETRO SPOT</v>
      </c>
      <c r="D193" s="2">
        <f>IFERROR(__xludf.DUMMYFUNCTION("""COMPUTED_VALUE"""),12.0)</f>
        <v>12</v>
      </c>
      <c r="E193" s="6">
        <f>IFERROR(__xludf.DUMMYFUNCTION("""COMPUTED_VALUE"""),40148.441666666666)</f>
        <v>40148.44167</v>
      </c>
      <c r="F193" s="2">
        <f>IFERROR(__xludf.DUMMYFUNCTION("""COMPUTED_VALUE"""),2.95)</f>
        <v>2.95</v>
      </c>
      <c r="G193" s="2">
        <f>IFERROR(__xludf.DUMMYFUNCTION("""COMPUTED_VALUE"""),16321.0)</f>
        <v>16321</v>
      </c>
      <c r="H193" s="2" t="str">
        <f>IFERROR(__xludf.DUMMYFUNCTION("""COMPUTED_VALUE"""),"Australia")</f>
        <v>Australia</v>
      </c>
      <c r="I193" s="7">
        <f>IFERROR(__xludf.DUMMYFUNCTION("""COMPUTED_VALUE"""),40148.0)</f>
        <v>40148</v>
      </c>
      <c r="J193" s="8">
        <f>IFERROR(__xludf.DUMMYFUNCTION("""COMPUTED_VALUE"""),0.44166666666569654)</f>
        <v>0.4416666667</v>
      </c>
      <c r="K193" s="2">
        <f>IFERROR(__xludf.DUMMYFUNCTION("""COMPUTED_VALUE"""),10.0)</f>
        <v>10</v>
      </c>
      <c r="L193" s="2">
        <f>IFERROR(__xludf.DUMMYFUNCTION("""COMPUTED_VALUE"""),35.4)</f>
        <v>35.4</v>
      </c>
    </row>
    <row r="194">
      <c r="A194" s="2">
        <f>IFERROR(__xludf.DUMMYFUNCTION("""COMPUTED_VALUE"""),489450.0)</f>
        <v>489450</v>
      </c>
      <c r="B194" s="2" t="str">
        <f>IFERROR(__xludf.DUMMYFUNCTION("""COMPUTED_VALUE"""),"21871")</f>
        <v>21871</v>
      </c>
      <c r="C194" s="2" t="str">
        <f>IFERROR(__xludf.DUMMYFUNCTION("""COMPUTED_VALUE"""),"SAVE THE PLANET MUG")</f>
        <v>SAVE THE PLANET MUG</v>
      </c>
      <c r="D194" s="2">
        <f>IFERROR(__xludf.DUMMYFUNCTION("""COMPUTED_VALUE"""),12.0)</f>
        <v>12</v>
      </c>
      <c r="E194" s="6">
        <f>IFERROR(__xludf.DUMMYFUNCTION("""COMPUTED_VALUE"""),40148.441666666666)</f>
        <v>40148.44167</v>
      </c>
      <c r="F194" s="2">
        <f>IFERROR(__xludf.DUMMYFUNCTION("""COMPUTED_VALUE"""),1.25)</f>
        <v>1.25</v>
      </c>
      <c r="G194" s="2">
        <f>IFERROR(__xludf.DUMMYFUNCTION("""COMPUTED_VALUE"""),16321.0)</f>
        <v>16321</v>
      </c>
      <c r="H194" s="2" t="str">
        <f>IFERROR(__xludf.DUMMYFUNCTION("""COMPUTED_VALUE"""),"Australia")</f>
        <v>Australia</v>
      </c>
      <c r="I194" s="7">
        <f>IFERROR(__xludf.DUMMYFUNCTION("""COMPUTED_VALUE"""),40148.0)</f>
        <v>40148</v>
      </c>
      <c r="J194" s="8">
        <f>IFERROR(__xludf.DUMMYFUNCTION("""COMPUTED_VALUE"""),0.44166666666569654)</f>
        <v>0.4416666667</v>
      </c>
      <c r="K194" s="2">
        <f>IFERROR(__xludf.DUMMYFUNCTION("""COMPUTED_VALUE"""),10.0)</f>
        <v>10</v>
      </c>
      <c r="L194" s="2">
        <f>IFERROR(__xludf.DUMMYFUNCTION("""COMPUTED_VALUE"""),15.0)</f>
        <v>15</v>
      </c>
    </row>
    <row r="195">
      <c r="A195" s="2">
        <f>IFERROR(__xludf.DUMMYFUNCTION("""COMPUTED_VALUE"""),489450.0)</f>
        <v>489450</v>
      </c>
      <c r="B195" s="2" t="str">
        <f>IFERROR(__xludf.DUMMYFUNCTION("""COMPUTED_VALUE"""),"84946")</f>
        <v>84946</v>
      </c>
      <c r="C195" s="2" t="str">
        <f>IFERROR(__xludf.DUMMYFUNCTION("""COMPUTED_VALUE"""),"ANTIQUE SILVER TEA GLASS ETCHED")</f>
        <v>ANTIQUE SILVER TEA GLASS ETCHED</v>
      </c>
      <c r="D195" s="2">
        <f>IFERROR(__xludf.DUMMYFUNCTION("""COMPUTED_VALUE"""),12.0)</f>
        <v>12</v>
      </c>
      <c r="E195" s="6">
        <f>IFERROR(__xludf.DUMMYFUNCTION("""COMPUTED_VALUE"""),40148.441666666666)</f>
        <v>40148.44167</v>
      </c>
      <c r="F195" s="2">
        <f>IFERROR(__xludf.DUMMYFUNCTION("""COMPUTED_VALUE"""),1.25)</f>
        <v>1.25</v>
      </c>
      <c r="G195" s="2">
        <f>IFERROR(__xludf.DUMMYFUNCTION("""COMPUTED_VALUE"""),16321.0)</f>
        <v>16321</v>
      </c>
      <c r="H195" s="2" t="str">
        <f>IFERROR(__xludf.DUMMYFUNCTION("""COMPUTED_VALUE"""),"Australia")</f>
        <v>Australia</v>
      </c>
      <c r="I195" s="7">
        <f>IFERROR(__xludf.DUMMYFUNCTION("""COMPUTED_VALUE"""),40148.0)</f>
        <v>40148</v>
      </c>
      <c r="J195" s="8">
        <f>IFERROR(__xludf.DUMMYFUNCTION("""COMPUTED_VALUE"""),0.44166666666569654)</f>
        <v>0.4416666667</v>
      </c>
      <c r="K195" s="2">
        <f>IFERROR(__xludf.DUMMYFUNCTION("""COMPUTED_VALUE"""),10.0)</f>
        <v>10</v>
      </c>
      <c r="L195" s="2">
        <f>IFERROR(__xludf.DUMMYFUNCTION("""COMPUTED_VALUE"""),15.0)</f>
        <v>15</v>
      </c>
    </row>
    <row r="196">
      <c r="A196" s="2">
        <f>IFERROR(__xludf.DUMMYFUNCTION("""COMPUTED_VALUE"""),489450.0)</f>
        <v>489450</v>
      </c>
      <c r="B196" s="2" t="str">
        <f>IFERROR(__xludf.DUMMYFUNCTION("""COMPUTED_VALUE"""),"84970S")</f>
        <v>84970S</v>
      </c>
      <c r="C196" s="2" t="str">
        <f>IFERROR(__xludf.DUMMYFUNCTION("""COMPUTED_VALUE"""),"HANGING HEART ZINC T-LIGHT HOLDER")</f>
        <v>HANGING HEART ZINC T-LIGHT HOLDER</v>
      </c>
      <c r="D196" s="2">
        <f>IFERROR(__xludf.DUMMYFUNCTION("""COMPUTED_VALUE"""),24.0)</f>
        <v>24</v>
      </c>
      <c r="E196" s="6">
        <f>IFERROR(__xludf.DUMMYFUNCTION("""COMPUTED_VALUE"""),40148.441666666666)</f>
        <v>40148.44167</v>
      </c>
      <c r="F196" s="2">
        <f>IFERROR(__xludf.DUMMYFUNCTION("""COMPUTED_VALUE"""),0.85)</f>
        <v>0.85</v>
      </c>
      <c r="G196" s="2">
        <f>IFERROR(__xludf.DUMMYFUNCTION("""COMPUTED_VALUE"""),16321.0)</f>
        <v>16321</v>
      </c>
      <c r="H196" s="2" t="str">
        <f>IFERROR(__xludf.DUMMYFUNCTION("""COMPUTED_VALUE"""),"Australia")</f>
        <v>Australia</v>
      </c>
      <c r="I196" s="7">
        <f>IFERROR(__xludf.DUMMYFUNCTION("""COMPUTED_VALUE"""),40148.0)</f>
        <v>40148</v>
      </c>
      <c r="J196" s="8">
        <f>IFERROR(__xludf.DUMMYFUNCTION("""COMPUTED_VALUE"""),0.44166666666569654)</f>
        <v>0.4416666667</v>
      </c>
      <c r="K196" s="2">
        <f>IFERROR(__xludf.DUMMYFUNCTION("""COMPUTED_VALUE"""),10.0)</f>
        <v>10</v>
      </c>
      <c r="L196" s="2">
        <f>IFERROR(__xludf.DUMMYFUNCTION("""COMPUTED_VALUE"""),20.4)</f>
        <v>20.4</v>
      </c>
    </row>
    <row r="197">
      <c r="A197" s="2">
        <f>IFERROR(__xludf.DUMMYFUNCTION("""COMPUTED_VALUE"""),489450.0)</f>
        <v>489450</v>
      </c>
      <c r="B197" s="2" t="str">
        <f>IFERROR(__xludf.DUMMYFUNCTION("""COMPUTED_VALUE"""),"22090")</f>
        <v>22090</v>
      </c>
      <c r="C197" s="2" t="str">
        <f>IFERROR(__xludf.DUMMYFUNCTION("""COMPUTED_VALUE"""),"PAPER BUNTING RETRO SPOTS")</f>
        <v>PAPER BUNTING RETRO SPOTS</v>
      </c>
      <c r="D197" s="2">
        <f>IFERROR(__xludf.DUMMYFUNCTION("""COMPUTED_VALUE"""),12.0)</f>
        <v>12</v>
      </c>
      <c r="E197" s="6">
        <f>IFERROR(__xludf.DUMMYFUNCTION("""COMPUTED_VALUE"""),40148.441666666666)</f>
        <v>40148.44167</v>
      </c>
      <c r="F197" s="2">
        <f>IFERROR(__xludf.DUMMYFUNCTION("""COMPUTED_VALUE"""),2.95)</f>
        <v>2.95</v>
      </c>
      <c r="G197" s="2">
        <f>IFERROR(__xludf.DUMMYFUNCTION("""COMPUTED_VALUE"""),16321.0)</f>
        <v>16321</v>
      </c>
      <c r="H197" s="2" t="str">
        <f>IFERROR(__xludf.DUMMYFUNCTION("""COMPUTED_VALUE"""),"Australia")</f>
        <v>Australia</v>
      </c>
      <c r="I197" s="7">
        <f>IFERROR(__xludf.DUMMYFUNCTION("""COMPUTED_VALUE"""),40148.0)</f>
        <v>40148</v>
      </c>
      <c r="J197" s="8">
        <f>IFERROR(__xludf.DUMMYFUNCTION("""COMPUTED_VALUE"""),0.44166666666569654)</f>
        <v>0.4416666667</v>
      </c>
      <c r="K197" s="2">
        <f>IFERROR(__xludf.DUMMYFUNCTION("""COMPUTED_VALUE"""),10.0)</f>
        <v>10</v>
      </c>
      <c r="L197" s="2">
        <f>IFERROR(__xludf.DUMMYFUNCTION("""COMPUTED_VALUE"""),35.4)</f>
        <v>35.4</v>
      </c>
    </row>
    <row r="198">
      <c r="A198" s="2"/>
      <c r="B198" s="2" t="str">
        <f>IFERROR(__xludf.DUMMYFUNCTION("""COMPUTED_VALUE"""),"90200A")</f>
        <v>90200A</v>
      </c>
      <c r="C198" s="2" t="str">
        <f>IFERROR(__xludf.DUMMYFUNCTION("""COMPUTED_VALUE"""),"PURPLE SWEETHEART BRACELET")</f>
        <v>PURPLE SWEETHEART BRACELET</v>
      </c>
      <c r="D198" s="2">
        <f>IFERROR(__xludf.DUMMYFUNCTION("""COMPUTED_VALUE"""),-3.0)</f>
        <v>-3</v>
      </c>
      <c r="E198" s="6">
        <f>IFERROR(__xludf.DUMMYFUNCTION("""COMPUTED_VALUE"""),40148.447222222225)</f>
        <v>40148.44722</v>
      </c>
      <c r="F198" s="2">
        <f>IFERROR(__xludf.DUMMYFUNCTION("""COMPUTED_VALUE"""),4.25)</f>
        <v>4.25</v>
      </c>
      <c r="G198" s="2">
        <f>IFERROR(__xludf.DUMMYFUNCTION("""COMPUTED_VALUE"""),17592.0)</f>
        <v>17592</v>
      </c>
      <c r="H198" s="2" t="str">
        <f>IFERROR(__xludf.DUMMYFUNCTION("""COMPUTED_VALUE"""),"United Kingdom")</f>
        <v>United Kingdom</v>
      </c>
      <c r="I198" s="7">
        <f>IFERROR(__xludf.DUMMYFUNCTION("""COMPUTED_VALUE"""),40148.0)</f>
        <v>40148</v>
      </c>
      <c r="J198" s="8">
        <f>IFERROR(__xludf.DUMMYFUNCTION("""COMPUTED_VALUE"""),0.44722222222117125)</f>
        <v>0.4472222222</v>
      </c>
      <c r="K198" s="2">
        <f>IFERROR(__xludf.DUMMYFUNCTION("""COMPUTED_VALUE"""),10.0)</f>
        <v>10</v>
      </c>
      <c r="L198" s="2">
        <f>IFERROR(__xludf.DUMMYFUNCTION("""COMPUTED_VALUE"""),-12.75)</f>
        <v>-12.75</v>
      </c>
    </row>
    <row r="199">
      <c r="A199" s="2"/>
      <c r="B199" s="2" t="str">
        <f>IFERROR(__xludf.DUMMYFUNCTION("""COMPUTED_VALUE"""),"90200D")</f>
        <v>90200D</v>
      </c>
      <c r="C199" s="2" t="str">
        <f>IFERROR(__xludf.DUMMYFUNCTION("""COMPUTED_VALUE"""),"PINK SWEETHEART BRACELET")</f>
        <v>PINK SWEETHEART BRACELET</v>
      </c>
      <c r="D199" s="2">
        <f>IFERROR(__xludf.DUMMYFUNCTION("""COMPUTED_VALUE"""),-3.0)</f>
        <v>-3</v>
      </c>
      <c r="E199" s="6">
        <f>IFERROR(__xludf.DUMMYFUNCTION("""COMPUTED_VALUE"""),40148.447222222225)</f>
        <v>40148.44722</v>
      </c>
      <c r="F199" s="2">
        <f>IFERROR(__xludf.DUMMYFUNCTION("""COMPUTED_VALUE"""),4.25)</f>
        <v>4.25</v>
      </c>
      <c r="G199" s="2">
        <f>IFERROR(__xludf.DUMMYFUNCTION("""COMPUTED_VALUE"""),17592.0)</f>
        <v>17592</v>
      </c>
      <c r="H199" s="2" t="str">
        <f>IFERROR(__xludf.DUMMYFUNCTION("""COMPUTED_VALUE"""),"United Kingdom")</f>
        <v>United Kingdom</v>
      </c>
      <c r="I199" s="7">
        <f>IFERROR(__xludf.DUMMYFUNCTION("""COMPUTED_VALUE"""),40148.0)</f>
        <v>40148</v>
      </c>
      <c r="J199" s="8">
        <f>IFERROR(__xludf.DUMMYFUNCTION("""COMPUTED_VALUE"""),0.44722222222117125)</f>
        <v>0.4472222222</v>
      </c>
      <c r="K199" s="2">
        <f>IFERROR(__xludf.DUMMYFUNCTION("""COMPUTED_VALUE"""),10.0)</f>
        <v>10</v>
      </c>
      <c r="L199" s="2">
        <f>IFERROR(__xludf.DUMMYFUNCTION("""COMPUTED_VALUE"""),-12.75)</f>
        <v>-12.75</v>
      </c>
    </row>
    <row r="200">
      <c r="A200" s="2"/>
      <c r="B200" s="2" t="str">
        <f>IFERROR(__xludf.DUMMYFUNCTION("""COMPUTED_VALUE"""),"90200B")</f>
        <v>90200B</v>
      </c>
      <c r="C200" s="2" t="str">
        <f>IFERROR(__xludf.DUMMYFUNCTION("""COMPUTED_VALUE"""),"BLACK SWEETHEART BRACELET")</f>
        <v>BLACK SWEETHEART BRACELET</v>
      </c>
      <c r="D200" s="2">
        <f>IFERROR(__xludf.DUMMYFUNCTION("""COMPUTED_VALUE"""),-3.0)</f>
        <v>-3</v>
      </c>
      <c r="E200" s="6">
        <f>IFERROR(__xludf.DUMMYFUNCTION("""COMPUTED_VALUE"""),40148.447222222225)</f>
        <v>40148.44722</v>
      </c>
      <c r="F200" s="2">
        <f>IFERROR(__xludf.DUMMYFUNCTION("""COMPUTED_VALUE"""),4.25)</f>
        <v>4.25</v>
      </c>
      <c r="G200" s="2">
        <f>IFERROR(__xludf.DUMMYFUNCTION("""COMPUTED_VALUE"""),17592.0)</f>
        <v>17592</v>
      </c>
      <c r="H200" s="2" t="str">
        <f>IFERROR(__xludf.DUMMYFUNCTION("""COMPUTED_VALUE"""),"United Kingdom")</f>
        <v>United Kingdom</v>
      </c>
      <c r="I200" s="7">
        <f>IFERROR(__xludf.DUMMYFUNCTION("""COMPUTED_VALUE"""),40148.0)</f>
        <v>40148</v>
      </c>
      <c r="J200" s="8">
        <f>IFERROR(__xludf.DUMMYFUNCTION("""COMPUTED_VALUE"""),0.44722222222117125)</f>
        <v>0.4472222222</v>
      </c>
      <c r="K200" s="2">
        <f>IFERROR(__xludf.DUMMYFUNCTION("""COMPUTED_VALUE"""),10.0)</f>
        <v>10</v>
      </c>
      <c r="L200" s="2">
        <f>IFERROR(__xludf.DUMMYFUNCTION("""COMPUTED_VALUE"""),-12.75)</f>
        <v>-12.75</v>
      </c>
    </row>
    <row r="201">
      <c r="A201" s="2"/>
      <c r="B201" s="2" t="str">
        <f>IFERROR(__xludf.DUMMYFUNCTION("""COMPUTED_VALUE"""),"90200E")</f>
        <v>90200E</v>
      </c>
      <c r="C201" s="2" t="str">
        <f>IFERROR(__xludf.DUMMYFUNCTION("""COMPUTED_VALUE"""),"GREEN SWEETHEART BRACELET")</f>
        <v>GREEN SWEETHEART BRACELET</v>
      </c>
      <c r="D201" s="2">
        <f>IFERROR(__xludf.DUMMYFUNCTION("""COMPUTED_VALUE"""),-3.0)</f>
        <v>-3</v>
      </c>
      <c r="E201" s="6">
        <f>IFERROR(__xludf.DUMMYFUNCTION("""COMPUTED_VALUE"""),40148.447222222225)</f>
        <v>40148.44722</v>
      </c>
      <c r="F201" s="2">
        <f>IFERROR(__xludf.DUMMYFUNCTION("""COMPUTED_VALUE"""),4.25)</f>
        <v>4.25</v>
      </c>
      <c r="G201" s="2">
        <f>IFERROR(__xludf.DUMMYFUNCTION("""COMPUTED_VALUE"""),17592.0)</f>
        <v>17592</v>
      </c>
      <c r="H201" s="2" t="str">
        <f>IFERROR(__xludf.DUMMYFUNCTION("""COMPUTED_VALUE"""),"United Kingdom")</f>
        <v>United Kingdom</v>
      </c>
      <c r="I201" s="7">
        <f>IFERROR(__xludf.DUMMYFUNCTION("""COMPUTED_VALUE"""),40148.0)</f>
        <v>40148</v>
      </c>
      <c r="J201" s="8">
        <f>IFERROR(__xludf.DUMMYFUNCTION("""COMPUTED_VALUE"""),0.44722222222117125)</f>
        <v>0.4472222222</v>
      </c>
      <c r="K201" s="2">
        <f>IFERROR(__xludf.DUMMYFUNCTION("""COMPUTED_VALUE"""),10.0)</f>
        <v>10</v>
      </c>
      <c r="L201" s="2">
        <f>IFERROR(__xludf.DUMMYFUNCTION("""COMPUTED_VALUE"""),-12.75)</f>
        <v>-12.75</v>
      </c>
    </row>
    <row r="202">
      <c r="A202" s="2"/>
      <c r="B202" s="2" t="str">
        <f>IFERROR(__xludf.DUMMYFUNCTION("""COMPUTED_VALUE"""),"90200C")</f>
        <v>90200C</v>
      </c>
      <c r="C202" s="2" t="str">
        <f>IFERROR(__xludf.DUMMYFUNCTION("""COMPUTED_VALUE"""),"BLUE SWEETHEART BRACELET")</f>
        <v>BLUE SWEETHEART BRACELET</v>
      </c>
      <c r="D202" s="2">
        <f>IFERROR(__xludf.DUMMYFUNCTION("""COMPUTED_VALUE"""),-3.0)</f>
        <v>-3</v>
      </c>
      <c r="E202" s="6">
        <f>IFERROR(__xludf.DUMMYFUNCTION("""COMPUTED_VALUE"""),40148.447222222225)</f>
        <v>40148.44722</v>
      </c>
      <c r="F202" s="2">
        <f>IFERROR(__xludf.DUMMYFUNCTION("""COMPUTED_VALUE"""),4.25)</f>
        <v>4.25</v>
      </c>
      <c r="G202" s="2">
        <f>IFERROR(__xludf.DUMMYFUNCTION("""COMPUTED_VALUE"""),17592.0)</f>
        <v>17592</v>
      </c>
      <c r="H202" s="2" t="str">
        <f>IFERROR(__xludf.DUMMYFUNCTION("""COMPUTED_VALUE"""),"United Kingdom")</f>
        <v>United Kingdom</v>
      </c>
      <c r="I202" s="7">
        <f>IFERROR(__xludf.DUMMYFUNCTION("""COMPUTED_VALUE"""),40148.0)</f>
        <v>40148</v>
      </c>
      <c r="J202" s="8">
        <f>IFERROR(__xludf.DUMMYFUNCTION("""COMPUTED_VALUE"""),0.44722222222117125)</f>
        <v>0.4472222222</v>
      </c>
      <c r="K202" s="2">
        <f>IFERROR(__xludf.DUMMYFUNCTION("""COMPUTED_VALUE"""),10.0)</f>
        <v>10</v>
      </c>
      <c r="L202" s="2">
        <f>IFERROR(__xludf.DUMMYFUNCTION("""COMPUTED_VALUE"""),-12.75)</f>
        <v>-12.75</v>
      </c>
    </row>
    <row r="203">
      <c r="A203" s="2"/>
      <c r="B203" s="2" t="str">
        <f>IFERROR(__xludf.DUMMYFUNCTION("""COMPUTED_VALUE"""),"90185C")</f>
        <v>90185C</v>
      </c>
      <c r="C203" s="2" t="str">
        <f>IFERROR(__xludf.DUMMYFUNCTION("""COMPUTED_VALUE"""),"BLACK DIAMANTE EXPANDABLE RING")</f>
        <v>BLACK DIAMANTE EXPANDABLE RING</v>
      </c>
      <c r="D203" s="2">
        <f>IFERROR(__xludf.DUMMYFUNCTION("""COMPUTED_VALUE"""),-3.0)</f>
        <v>-3</v>
      </c>
      <c r="E203" s="6">
        <f>IFERROR(__xludf.DUMMYFUNCTION("""COMPUTED_VALUE"""),40148.447222222225)</f>
        <v>40148.44722</v>
      </c>
      <c r="F203" s="2">
        <f>IFERROR(__xludf.DUMMYFUNCTION("""COMPUTED_VALUE"""),4.25)</f>
        <v>4.25</v>
      </c>
      <c r="G203" s="2">
        <f>IFERROR(__xludf.DUMMYFUNCTION("""COMPUTED_VALUE"""),17592.0)</f>
        <v>17592</v>
      </c>
      <c r="H203" s="2" t="str">
        <f>IFERROR(__xludf.DUMMYFUNCTION("""COMPUTED_VALUE"""),"United Kingdom")</f>
        <v>United Kingdom</v>
      </c>
      <c r="I203" s="7">
        <f>IFERROR(__xludf.DUMMYFUNCTION("""COMPUTED_VALUE"""),40148.0)</f>
        <v>40148</v>
      </c>
      <c r="J203" s="8">
        <f>IFERROR(__xludf.DUMMYFUNCTION("""COMPUTED_VALUE"""),0.44722222222117125)</f>
        <v>0.4472222222</v>
      </c>
      <c r="K203" s="2">
        <f>IFERROR(__xludf.DUMMYFUNCTION("""COMPUTED_VALUE"""),10.0)</f>
        <v>10</v>
      </c>
      <c r="L203" s="2">
        <f>IFERROR(__xludf.DUMMYFUNCTION("""COMPUTED_VALUE"""),-12.75)</f>
        <v>-12.75</v>
      </c>
    </row>
    <row r="204">
      <c r="A204" s="2"/>
      <c r="B204" s="2" t="str">
        <f>IFERROR(__xludf.DUMMYFUNCTION("""COMPUTED_VALUE"""),"90185B")</f>
        <v>90185B</v>
      </c>
      <c r="C204" s="2" t="str">
        <f>IFERROR(__xludf.DUMMYFUNCTION("""COMPUTED_VALUE"""),"AMETHYST DIAMANTE EXPANDABLE RING")</f>
        <v>AMETHYST DIAMANTE EXPANDABLE RING</v>
      </c>
      <c r="D204" s="2">
        <f>IFERROR(__xludf.DUMMYFUNCTION("""COMPUTED_VALUE"""),-3.0)</f>
        <v>-3</v>
      </c>
      <c r="E204" s="6">
        <f>IFERROR(__xludf.DUMMYFUNCTION("""COMPUTED_VALUE"""),40148.447222222225)</f>
        <v>40148.44722</v>
      </c>
      <c r="F204" s="2">
        <f>IFERROR(__xludf.DUMMYFUNCTION("""COMPUTED_VALUE"""),4.25)</f>
        <v>4.25</v>
      </c>
      <c r="G204" s="2">
        <f>IFERROR(__xludf.DUMMYFUNCTION("""COMPUTED_VALUE"""),17592.0)</f>
        <v>17592</v>
      </c>
      <c r="H204" s="2" t="str">
        <f>IFERROR(__xludf.DUMMYFUNCTION("""COMPUTED_VALUE"""),"United Kingdom")</f>
        <v>United Kingdom</v>
      </c>
      <c r="I204" s="7">
        <f>IFERROR(__xludf.DUMMYFUNCTION("""COMPUTED_VALUE"""),40148.0)</f>
        <v>40148</v>
      </c>
      <c r="J204" s="8">
        <f>IFERROR(__xludf.DUMMYFUNCTION("""COMPUTED_VALUE"""),0.44722222222117125)</f>
        <v>0.4472222222</v>
      </c>
      <c r="K204" s="2">
        <f>IFERROR(__xludf.DUMMYFUNCTION("""COMPUTED_VALUE"""),10.0)</f>
        <v>10</v>
      </c>
      <c r="L204" s="2">
        <f>IFERROR(__xludf.DUMMYFUNCTION("""COMPUTED_VALUE"""),-12.75)</f>
        <v>-12.75</v>
      </c>
    </row>
    <row r="205">
      <c r="A205" s="2"/>
      <c r="B205" s="2" t="str">
        <f>IFERROR(__xludf.DUMMYFUNCTION("""COMPUTED_VALUE"""),"90003C")</f>
        <v>90003C</v>
      </c>
      <c r="C205" s="2" t="str">
        <f>IFERROR(__xludf.DUMMYFUNCTION("""COMPUTED_VALUE"""),"MIDNIGHT BLUE PAIR HEART HAIR SLIDE")</f>
        <v>MIDNIGHT BLUE PAIR HEART HAIR SLIDE</v>
      </c>
      <c r="D205" s="2">
        <f>IFERROR(__xludf.DUMMYFUNCTION("""COMPUTED_VALUE"""),-3.0)</f>
        <v>-3</v>
      </c>
      <c r="E205" s="6">
        <f>IFERROR(__xludf.DUMMYFUNCTION("""COMPUTED_VALUE"""),40148.447222222225)</f>
        <v>40148.44722</v>
      </c>
      <c r="F205" s="2">
        <f>IFERROR(__xludf.DUMMYFUNCTION("""COMPUTED_VALUE"""),3.75)</f>
        <v>3.75</v>
      </c>
      <c r="G205" s="2">
        <f>IFERROR(__xludf.DUMMYFUNCTION("""COMPUTED_VALUE"""),17592.0)</f>
        <v>17592</v>
      </c>
      <c r="H205" s="2" t="str">
        <f>IFERROR(__xludf.DUMMYFUNCTION("""COMPUTED_VALUE"""),"United Kingdom")</f>
        <v>United Kingdom</v>
      </c>
      <c r="I205" s="7">
        <f>IFERROR(__xludf.DUMMYFUNCTION("""COMPUTED_VALUE"""),40148.0)</f>
        <v>40148</v>
      </c>
      <c r="J205" s="8">
        <f>IFERROR(__xludf.DUMMYFUNCTION("""COMPUTED_VALUE"""),0.44722222222117125)</f>
        <v>0.4472222222</v>
      </c>
      <c r="K205" s="2">
        <f>IFERROR(__xludf.DUMMYFUNCTION("""COMPUTED_VALUE"""),10.0)</f>
        <v>10</v>
      </c>
      <c r="L205" s="2">
        <f>IFERROR(__xludf.DUMMYFUNCTION("""COMPUTED_VALUE"""),-11.25)</f>
        <v>-11.25</v>
      </c>
    </row>
    <row r="206">
      <c r="A206" s="2"/>
      <c r="B206" s="2" t="str">
        <f>IFERROR(__xludf.DUMMYFUNCTION("""COMPUTED_VALUE"""),"90003D")</f>
        <v>90003D</v>
      </c>
      <c r="C206" s="2" t="str">
        <f>IFERROR(__xludf.DUMMYFUNCTION("""COMPUTED_VALUE"""),"CRYSTAL PAIR HEART HAIR SLIDES")</f>
        <v>CRYSTAL PAIR HEART HAIR SLIDES</v>
      </c>
      <c r="D206" s="2">
        <f>IFERROR(__xludf.DUMMYFUNCTION("""COMPUTED_VALUE"""),-3.0)</f>
        <v>-3</v>
      </c>
      <c r="E206" s="6">
        <f>IFERROR(__xludf.DUMMYFUNCTION("""COMPUTED_VALUE"""),40148.447222222225)</f>
        <v>40148.44722</v>
      </c>
      <c r="F206" s="2">
        <f>IFERROR(__xludf.DUMMYFUNCTION("""COMPUTED_VALUE"""),3.75)</f>
        <v>3.75</v>
      </c>
      <c r="G206" s="2">
        <f>IFERROR(__xludf.DUMMYFUNCTION("""COMPUTED_VALUE"""),17592.0)</f>
        <v>17592</v>
      </c>
      <c r="H206" s="2" t="str">
        <f>IFERROR(__xludf.DUMMYFUNCTION("""COMPUTED_VALUE"""),"United Kingdom")</f>
        <v>United Kingdom</v>
      </c>
      <c r="I206" s="7">
        <f>IFERROR(__xludf.DUMMYFUNCTION("""COMPUTED_VALUE"""),40148.0)</f>
        <v>40148</v>
      </c>
      <c r="J206" s="8">
        <f>IFERROR(__xludf.DUMMYFUNCTION("""COMPUTED_VALUE"""),0.44722222222117125)</f>
        <v>0.4472222222</v>
      </c>
      <c r="K206" s="2">
        <f>IFERROR(__xludf.DUMMYFUNCTION("""COMPUTED_VALUE"""),10.0)</f>
        <v>10</v>
      </c>
      <c r="L206" s="2">
        <f>IFERROR(__xludf.DUMMYFUNCTION("""COMPUTED_VALUE"""),-11.25)</f>
        <v>-11.25</v>
      </c>
    </row>
    <row r="207">
      <c r="A207" s="2"/>
      <c r="B207" s="2" t="str">
        <f>IFERROR(__xludf.DUMMYFUNCTION("""COMPUTED_VALUE"""),"90003B")</f>
        <v>90003B</v>
      </c>
      <c r="C207" s="2" t="str">
        <f>IFERROR(__xludf.DUMMYFUNCTION("""COMPUTED_VALUE"""),"ROSE COLOUR PAIR HEART HAIR SLIDES")</f>
        <v>ROSE COLOUR PAIR HEART HAIR SLIDES</v>
      </c>
      <c r="D207" s="2">
        <f>IFERROR(__xludf.DUMMYFUNCTION("""COMPUTED_VALUE"""),-3.0)</f>
        <v>-3</v>
      </c>
      <c r="E207" s="6">
        <f>IFERROR(__xludf.DUMMYFUNCTION("""COMPUTED_VALUE"""),40148.447222222225)</f>
        <v>40148.44722</v>
      </c>
      <c r="F207" s="2">
        <f>IFERROR(__xludf.DUMMYFUNCTION("""COMPUTED_VALUE"""),3.75)</f>
        <v>3.75</v>
      </c>
      <c r="G207" s="2">
        <f>IFERROR(__xludf.DUMMYFUNCTION("""COMPUTED_VALUE"""),17592.0)</f>
        <v>17592</v>
      </c>
      <c r="H207" s="2" t="str">
        <f>IFERROR(__xludf.DUMMYFUNCTION("""COMPUTED_VALUE"""),"United Kingdom")</f>
        <v>United Kingdom</v>
      </c>
      <c r="I207" s="7">
        <f>IFERROR(__xludf.DUMMYFUNCTION("""COMPUTED_VALUE"""),40148.0)</f>
        <v>40148</v>
      </c>
      <c r="J207" s="8">
        <f>IFERROR(__xludf.DUMMYFUNCTION("""COMPUTED_VALUE"""),0.44722222222117125)</f>
        <v>0.4472222222</v>
      </c>
      <c r="K207" s="2">
        <f>IFERROR(__xludf.DUMMYFUNCTION("""COMPUTED_VALUE"""),10.0)</f>
        <v>10</v>
      </c>
      <c r="L207" s="2">
        <f>IFERROR(__xludf.DUMMYFUNCTION("""COMPUTED_VALUE"""),-11.25)</f>
        <v>-11.25</v>
      </c>
    </row>
    <row r="208">
      <c r="A208" s="2"/>
      <c r="B208" s="2" t="str">
        <f>IFERROR(__xludf.DUMMYFUNCTION("""COMPUTED_VALUE"""),"90209C")</f>
        <v>90209C</v>
      </c>
      <c r="C208" s="2" t="str">
        <f>IFERROR(__xludf.DUMMYFUNCTION("""COMPUTED_VALUE"""),"PINK ENAMEL+GLASS HAIR COMB")</f>
        <v>PINK ENAMEL+GLASS HAIR COMB</v>
      </c>
      <c r="D208" s="2">
        <f>IFERROR(__xludf.DUMMYFUNCTION("""COMPUTED_VALUE"""),-3.0)</f>
        <v>-3</v>
      </c>
      <c r="E208" s="6">
        <f>IFERROR(__xludf.DUMMYFUNCTION("""COMPUTED_VALUE"""),40148.447222222225)</f>
        <v>40148.44722</v>
      </c>
      <c r="F208" s="2">
        <f>IFERROR(__xludf.DUMMYFUNCTION("""COMPUTED_VALUE"""),2.1)</f>
        <v>2.1</v>
      </c>
      <c r="G208" s="2">
        <f>IFERROR(__xludf.DUMMYFUNCTION("""COMPUTED_VALUE"""),17592.0)</f>
        <v>17592</v>
      </c>
      <c r="H208" s="2" t="str">
        <f>IFERROR(__xludf.DUMMYFUNCTION("""COMPUTED_VALUE"""),"United Kingdom")</f>
        <v>United Kingdom</v>
      </c>
      <c r="I208" s="7">
        <f>IFERROR(__xludf.DUMMYFUNCTION("""COMPUTED_VALUE"""),40148.0)</f>
        <v>40148</v>
      </c>
      <c r="J208" s="8">
        <f>IFERROR(__xludf.DUMMYFUNCTION("""COMPUTED_VALUE"""),0.44722222222117125)</f>
        <v>0.4472222222</v>
      </c>
      <c r="K208" s="2">
        <f>IFERROR(__xludf.DUMMYFUNCTION("""COMPUTED_VALUE"""),10.0)</f>
        <v>10</v>
      </c>
      <c r="L208" s="2">
        <f>IFERROR(__xludf.DUMMYFUNCTION("""COMPUTED_VALUE"""),-6.3)</f>
        <v>-6.3</v>
      </c>
    </row>
    <row r="209">
      <c r="A209" s="2"/>
      <c r="B209" s="2" t="str">
        <f>IFERROR(__xludf.DUMMYFUNCTION("""COMPUTED_VALUE"""),"90209A")</f>
        <v>90209A</v>
      </c>
      <c r="C209" s="2" t="str">
        <f>IFERROR(__xludf.DUMMYFUNCTION("""COMPUTED_VALUE"""),"PURPLE ENAMEL+GLASS HAIR COMB")</f>
        <v>PURPLE ENAMEL+GLASS HAIR COMB</v>
      </c>
      <c r="D209" s="2">
        <f>IFERROR(__xludf.DUMMYFUNCTION("""COMPUTED_VALUE"""),-3.0)</f>
        <v>-3</v>
      </c>
      <c r="E209" s="6">
        <f>IFERROR(__xludf.DUMMYFUNCTION("""COMPUTED_VALUE"""),40148.447222222225)</f>
        <v>40148.44722</v>
      </c>
      <c r="F209" s="2">
        <f>IFERROR(__xludf.DUMMYFUNCTION("""COMPUTED_VALUE"""),2.1)</f>
        <v>2.1</v>
      </c>
      <c r="G209" s="2">
        <f>IFERROR(__xludf.DUMMYFUNCTION("""COMPUTED_VALUE"""),17592.0)</f>
        <v>17592</v>
      </c>
      <c r="H209" s="2" t="str">
        <f>IFERROR(__xludf.DUMMYFUNCTION("""COMPUTED_VALUE"""),"United Kingdom")</f>
        <v>United Kingdom</v>
      </c>
      <c r="I209" s="7">
        <f>IFERROR(__xludf.DUMMYFUNCTION("""COMPUTED_VALUE"""),40148.0)</f>
        <v>40148</v>
      </c>
      <c r="J209" s="8">
        <f>IFERROR(__xludf.DUMMYFUNCTION("""COMPUTED_VALUE"""),0.44722222222117125)</f>
        <v>0.4472222222</v>
      </c>
      <c r="K209" s="2">
        <f>IFERROR(__xludf.DUMMYFUNCTION("""COMPUTED_VALUE"""),10.0)</f>
        <v>10</v>
      </c>
      <c r="L209" s="2">
        <f>IFERROR(__xludf.DUMMYFUNCTION("""COMPUTED_VALUE"""),-6.3)</f>
        <v>-6.3</v>
      </c>
    </row>
    <row r="210">
      <c r="A210" s="2"/>
      <c r="B210" s="2" t="str">
        <f>IFERROR(__xludf.DUMMYFUNCTION("""COMPUTED_VALUE"""),"90082D")</f>
        <v>90082D</v>
      </c>
      <c r="C210" s="2" t="str">
        <f>IFERROR(__xludf.DUMMYFUNCTION("""COMPUTED_VALUE"""),"DIAMANTE BOW BROOCH BLACK COLOUR")</f>
        <v>DIAMANTE BOW BROOCH BLACK COLOUR</v>
      </c>
      <c r="D210" s="2">
        <f>IFERROR(__xludf.DUMMYFUNCTION("""COMPUTED_VALUE"""),-2.0)</f>
        <v>-2</v>
      </c>
      <c r="E210" s="6">
        <f>IFERROR(__xludf.DUMMYFUNCTION("""COMPUTED_VALUE"""),40148.447222222225)</f>
        <v>40148.44722</v>
      </c>
      <c r="F210" s="2">
        <f>IFERROR(__xludf.DUMMYFUNCTION("""COMPUTED_VALUE"""),6.35)</f>
        <v>6.35</v>
      </c>
      <c r="G210" s="2">
        <f>IFERROR(__xludf.DUMMYFUNCTION("""COMPUTED_VALUE"""),17592.0)</f>
        <v>17592</v>
      </c>
      <c r="H210" s="2" t="str">
        <f>IFERROR(__xludf.DUMMYFUNCTION("""COMPUTED_VALUE"""),"United Kingdom")</f>
        <v>United Kingdom</v>
      </c>
      <c r="I210" s="7">
        <f>IFERROR(__xludf.DUMMYFUNCTION("""COMPUTED_VALUE"""),40148.0)</f>
        <v>40148</v>
      </c>
      <c r="J210" s="8">
        <f>IFERROR(__xludf.DUMMYFUNCTION("""COMPUTED_VALUE"""),0.44722222222117125)</f>
        <v>0.4472222222</v>
      </c>
      <c r="K210" s="2">
        <f>IFERROR(__xludf.DUMMYFUNCTION("""COMPUTED_VALUE"""),10.0)</f>
        <v>10</v>
      </c>
      <c r="L210" s="2">
        <f>IFERROR(__xludf.DUMMYFUNCTION("""COMPUTED_VALUE"""),-12.7)</f>
        <v>-12.7</v>
      </c>
    </row>
    <row r="211">
      <c r="A211" s="2">
        <f>IFERROR(__xludf.DUMMYFUNCTION("""COMPUTED_VALUE"""),489460.0)</f>
        <v>489460</v>
      </c>
      <c r="B211" s="2" t="str">
        <f>IFERROR(__xludf.DUMMYFUNCTION("""COMPUTED_VALUE"""),"79323P")</f>
        <v>79323P</v>
      </c>
      <c r="C211" s="2" t="str">
        <f>IFERROR(__xludf.DUMMYFUNCTION("""COMPUTED_VALUE"""),"PINK CHERRY LIGHTS")</f>
        <v>PINK CHERRY LIGHTS</v>
      </c>
      <c r="D211" s="2">
        <f>IFERROR(__xludf.DUMMYFUNCTION("""COMPUTED_VALUE"""),8.0)</f>
        <v>8</v>
      </c>
      <c r="E211" s="6">
        <f>IFERROR(__xludf.DUMMYFUNCTION("""COMPUTED_VALUE"""),40148.44861111111)</f>
        <v>40148.44861</v>
      </c>
      <c r="F211" s="2">
        <f>IFERROR(__xludf.DUMMYFUNCTION("""COMPUTED_VALUE"""),6.75)</f>
        <v>6.75</v>
      </c>
      <c r="G211" s="2">
        <f>IFERROR(__xludf.DUMMYFUNCTION("""COMPUTED_VALUE"""),16167.0)</f>
        <v>16167</v>
      </c>
      <c r="H211" s="2" t="str">
        <f>IFERROR(__xludf.DUMMYFUNCTION("""COMPUTED_VALUE"""),"United Kingdom")</f>
        <v>United Kingdom</v>
      </c>
      <c r="I211" s="7">
        <f>IFERROR(__xludf.DUMMYFUNCTION("""COMPUTED_VALUE"""),40148.0)</f>
        <v>40148</v>
      </c>
      <c r="J211" s="8">
        <f>IFERROR(__xludf.DUMMYFUNCTION("""COMPUTED_VALUE"""),0.4486111111109494)</f>
        <v>0.4486111111</v>
      </c>
      <c r="K211" s="2">
        <f>IFERROR(__xludf.DUMMYFUNCTION("""COMPUTED_VALUE"""),10.0)</f>
        <v>10</v>
      </c>
      <c r="L211" s="2">
        <f>IFERROR(__xludf.DUMMYFUNCTION("""COMPUTED_VALUE"""),54.0)</f>
        <v>54</v>
      </c>
    </row>
    <row r="212">
      <c r="A212" s="2">
        <f>IFERROR(__xludf.DUMMYFUNCTION("""COMPUTED_VALUE"""),489460.0)</f>
        <v>489460</v>
      </c>
      <c r="B212" s="2" t="str">
        <f>IFERROR(__xludf.DUMMYFUNCTION("""COMPUTED_VALUE"""),"21977")</f>
        <v>21977</v>
      </c>
      <c r="C212" s="2" t="str">
        <f>IFERROR(__xludf.DUMMYFUNCTION("""COMPUTED_VALUE"""),"PACK OF 60 PINK PAISLEY CAKE CASES")</f>
        <v>PACK OF 60 PINK PAISLEY CAKE CASES</v>
      </c>
      <c r="D212" s="2">
        <f>IFERROR(__xludf.DUMMYFUNCTION("""COMPUTED_VALUE"""),24.0)</f>
        <v>24</v>
      </c>
      <c r="E212" s="6">
        <f>IFERROR(__xludf.DUMMYFUNCTION("""COMPUTED_VALUE"""),40148.44861111111)</f>
        <v>40148.44861</v>
      </c>
      <c r="F212" s="2">
        <f>IFERROR(__xludf.DUMMYFUNCTION("""COMPUTED_VALUE"""),0.55)</f>
        <v>0.55</v>
      </c>
      <c r="G212" s="2">
        <f>IFERROR(__xludf.DUMMYFUNCTION("""COMPUTED_VALUE"""),16167.0)</f>
        <v>16167</v>
      </c>
      <c r="H212" s="2" t="str">
        <f>IFERROR(__xludf.DUMMYFUNCTION("""COMPUTED_VALUE"""),"United Kingdom")</f>
        <v>United Kingdom</v>
      </c>
      <c r="I212" s="7">
        <f>IFERROR(__xludf.DUMMYFUNCTION("""COMPUTED_VALUE"""),40148.0)</f>
        <v>40148</v>
      </c>
      <c r="J212" s="8">
        <f>IFERROR(__xludf.DUMMYFUNCTION("""COMPUTED_VALUE"""),0.4486111111109494)</f>
        <v>0.4486111111</v>
      </c>
      <c r="K212" s="2">
        <f>IFERROR(__xludf.DUMMYFUNCTION("""COMPUTED_VALUE"""),10.0)</f>
        <v>10</v>
      </c>
      <c r="L212" s="2">
        <f>IFERROR(__xludf.DUMMYFUNCTION("""COMPUTED_VALUE"""),13.2)</f>
        <v>13.2</v>
      </c>
    </row>
    <row r="213">
      <c r="A213" s="2">
        <f>IFERROR(__xludf.DUMMYFUNCTION("""COMPUTED_VALUE"""),489460.0)</f>
        <v>489460</v>
      </c>
      <c r="B213" s="2" t="str">
        <f>IFERROR(__xludf.DUMMYFUNCTION("""COMPUTED_VALUE"""),"84991")</f>
        <v>84991</v>
      </c>
      <c r="C213" s="2" t="str">
        <f>IFERROR(__xludf.DUMMYFUNCTION("""COMPUTED_VALUE"""),"60 TEATIME FAIRY CAKE CASES")</f>
        <v>60 TEATIME FAIRY CAKE CASES</v>
      </c>
      <c r="D213" s="2">
        <f>IFERROR(__xludf.DUMMYFUNCTION("""COMPUTED_VALUE"""),24.0)</f>
        <v>24</v>
      </c>
      <c r="E213" s="6">
        <f>IFERROR(__xludf.DUMMYFUNCTION("""COMPUTED_VALUE"""),40148.44861111111)</f>
        <v>40148.44861</v>
      </c>
      <c r="F213" s="2">
        <f>IFERROR(__xludf.DUMMYFUNCTION("""COMPUTED_VALUE"""),0.55)</f>
        <v>0.55</v>
      </c>
      <c r="G213" s="2">
        <f>IFERROR(__xludf.DUMMYFUNCTION("""COMPUTED_VALUE"""),16167.0)</f>
        <v>16167</v>
      </c>
      <c r="H213" s="2" t="str">
        <f>IFERROR(__xludf.DUMMYFUNCTION("""COMPUTED_VALUE"""),"United Kingdom")</f>
        <v>United Kingdom</v>
      </c>
      <c r="I213" s="7">
        <f>IFERROR(__xludf.DUMMYFUNCTION("""COMPUTED_VALUE"""),40148.0)</f>
        <v>40148</v>
      </c>
      <c r="J213" s="8">
        <f>IFERROR(__xludf.DUMMYFUNCTION("""COMPUTED_VALUE"""),0.4486111111109494)</f>
        <v>0.4486111111</v>
      </c>
      <c r="K213" s="2">
        <f>IFERROR(__xludf.DUMMYFUNCTION("""COMPUTED_VALUE"""),10.0)</f>
        <v>10</v>
      </c>
      <c r="L213" s="2">
        <f>IFERROR(__xludf.DUMMYFUNCTION("""COMPUTED_VALUE"""),13.2)</f>
        <v>13.2</v>
      </c>
    </row>
    <row r="214">
      <c r="A214" s="2">
        <f>IFERROR(__xludf.DUMMYFUNCTION("""COMPUTED_VALUE"""),489460.0)</f>
        <v>489460</v>
      </c>
      <c r="B214" s="2" t="str">
        <f>IFERROR(__xludf.DUMMYFUNCTION("""COMPUTED_VALUE"""),"22274")</f>
        <v>22274</v>
      </c>
      <c r="C214" s="2" t="str">
        <f>IFERROR(__xludf.DUMMYFUNCTION("""COMPUTED_VALUE"""),"FELTCRAFT DOLL EMILY")</f>
        <v>FELTCRAFT DOLL EMILY</v>
      </c>
      <c r="D214" s="2">
        <f>IFERROR(__xludf.DUMMYFUNCTION("""COMPUTED_VALUE"""),6.0)</f>
        <v>6</v>
      </c>
      <c r="E214" s="6">
        <f>IFERROR(__xludf.DUMMYFUNCTION("""COMPUTED_VALUE"""),40148.44861111111)</f>
        <v>40148.44861</v>
      </c>
      <c r="F214" s="2">
        <f>IFERROR(__xludf.DUMMYFUNCTION("""COMPUTED_VALUE"""),2.95)</f>
        <v>2.95</v>
      </c>
      <c r="G214" s="2">
        <f>IFERROR(__xludf.DUMMYFUNCTION("""COMPUTED_VALUE"""),16167.0)</f>
        <v>16167</v>
      </c>
      <c r="H214" s="2" t="str">
        <f>IFERROR(__xludf.DUMMYFUNCTION("""COMPUTED_VALUE"""),"United Kingdom")</f>
        <v>United Kingdom</v>
      </c>
      <c r="I214" s="7">
        <f>IFERROR(__xludf.DUMMYFUNCTION("""COMPUTED_VALUE"""),40148.0)</f>
        <v>40148</v>
      </c>
      <c r="J214" s="8">
        <f>IFERROR(__xludf.DUMMYFUNCTION("""COMPUTED_VALUE"""),0.4486111111109494)</f>
        <v>0.4486111111</v>
      </c>
      <c r="K214" s="2">
        <f>IFERROR(__xludf.DUMMYFUNCTION("""COMPUTED_VALUE"""),10.0)</f>
        <v>10</v>
      </c>
      <c r="L214" s="2">
        <f>IFERROR(__xludf.DUMMYFUNCTION("""COMPUTED_VALUE"""),17.7)</f>
        <v>17.7</v>
      </c>
    </row>
    <row r="215">
      <c r="A215" s="2">
        <f>IFERROR(__xludf.DUMMYFUNCTION("""COMPUTED_VALUE"""),489460.0)</f>
        <v>489460</v>
      </c>
      <c r="B215" s="2" t="str">
        <f>IFERROR(__xludf.DUMMYFUNCTION("""COMPUTED_VALUE"""),"22273")</f>
        <v>22273</v>
      </c>
      <c r="C215" s="2" t="str">
        <f>IFERROR(__xludf.DUMMYFUNCTION("""COMPUTED_VALUE"""),"FELTCRAFT DOLL MOLLY")</f>
        <v>FELTCRAFT DOLL MOLLY</v>
      </c>
      <c r="D215" s="2">
        <f>IFERROR(__xludf.DUMMYFUNCTION("""COMPUTED_VALUE"""),6.0)</f>
        <v>6</v>
      </c>
      <c r="E215" s="6">
        <f>IFERROR(__xludf.DUMMYFUNCTION("""COMPUTED_VALUE"""),40148.44861111111)</f>
        <v>40148.44861</v>
      </c>
      <c r="F215" s="2">
        <f>IFERROR(__xludf.DUMMYFUNCTION("""COMPUTED_VALUE"""),2.95)</f>
        <v>2.95</v>
      </c>
      <c r="G215" s="2">
        <f>IFERROR(__xludf.DUMMYFUNCTION("""COMPUTED_VALUE"""),16167.0)</f>
        <v>16167</v>
      </c>
      <c r="H215" s="2" t="str">
        <f>IFERROR(__xludf.DUMMYFUNCTION("""COMPUTED_VALUE"""),"United Kingdom")</f>
        <v>United Kingdom</v>
      </c>
      <c r="I215" s="7">
        <f>IFERROR(__xludf.DUMMYFUNCTION("""COMPUTED_VALUE"""),40148.0)</f>
        <v>40148</v>
      </c>
      <c r="J215" s="8">
        <f>IFERROR(__xludf.DUMMYFUNCTION("""COMPUTED_VALUE"""),0.4486111111109494)</f>
        <v>0.4486111111</v>
      </c>
      <c r="K215" s="2">
        <f>IFERROR(__xludf.DUMMYFUNCTION("""COMPUTED_VALUE"""),10.0)</f>
        <v>10</v>
      </c>
      <c r="L215" s="2">
        <f>IFERROR(__xludf.DUMMYFUNCTION("""COMPUTED_VALUE"""),17.7)</f>
        <v>17.7</v>
      </c>
    </row>
    <row r="216">
      <c r="A216" s="2">
        <f>IFERROR(__xludf.DUMMYFUNCTION("""COMPUTED_VALUE"""),489460.0)</f>
        <v>489460</v>
      </c>
      <c r="B216" s="2" t="str">
        <f>IFERROR(__xludf.DUMMYFUNCTION("""COMPUTED_VALUE"""),"22179")</f>
        <v>22179</v>
      </c>
      <c r="C216" s="2" t="str">
        <f>IFERROR(__xludf.DUMMYFUNCTION("""COMPUTED_VALUE"""),"SET 10 LIGHTS NIGHT OWL")</f>
        <v>SET 10 LIGHTS NIGHT OWL</v>
      </c>
      <c r="D216" s="2">
        <f>IFERROR(__xludf.DUMMYFUNCTION("""COMPUTED_VALUE"""),4.0)</f>
        <v>4</v>
      </c>
      <c r="E216" s="6">
        <f>IFERROR(__xludf.DUMMYFUNCTION("""COMPUTED_VALUE"""),40148.44861111111)</f>
        <v>40148.44861</v>
      </c>
      <c r="F216" s="2">
        <f>IFERROR(__xludf.DUMMYFUNCTION("""COMPUTED_VALUE"""),6.75)</f>
        <v>6.75</v>
      </c>
      <c r="G216" s="2">
        <f>IFERROR(__xludf.DUMMYFUNCTION("""COMPUTED_VALUE"""),16167.0)</f>
        <v>16167</v>
      </c>
      <c r="H216" s="2" t="str">
        <f>IFERROR(__xludf.DUMMYFUNCTION("""COMPUTED_VALUE"""),"United Kingdom")</f>
        <v>United Kingdom</v>
      </c>
      <c r="I216" s="7">
        <f>IFERROR(__xludf.DUMMYFUNCTION("""COMPUTED_VALUE"""),40148.0)</f>
        <v>40148</v>
      </c>
      <c r="J216" s="8">
        <f>IFERROR(__xludf.DUMMYFUNCTION("""COMPUTED_VALUE"""),0.4486111111109494)</f>
        <v>0.4486111111</v>
      </c>
      <c r="K216" s="2">
        <f>IFERROR(__xludf.DUMMYFUNCTION("""COMPUTED_VALUE"""),10.0)</f>
        <v>10</v>
      </c>
      <c r="L216" s="2">
        <f>IFERROR(__xludf.DUMMYFUNCTION("""COMPUTED_VALUE"""),27.0)</f>
        <v>27</v>
      </c>
    </row>
    <row r="217">
      <c r="A217" s="2">
        <f>IFERROR(__xludf.DUMMYFUNCTION("""COMPUTED_VALUE"""),489460.0)</f>
        <v>489460</v>
      </c>
      <c r="B217" s="2" t="str">
        <f>IFERROR(__xludf.DUMMYFUNCTION("""COMPUTED_VALUE"""),"22320")</f>
        <v>22320</v>
      </c>
      <c r="C217" s="2" t="str">
        <f>IFERROR(__xludf.DUMMYFUNCTION("""COMPUTED_VALUE"""),"BIRDS MOBILE VINTAGE DESIGN")</f>
        <v>BIRDS MOBILE VINTAGE DESIGN</v>
      </c>
      <c r="D217" s="2">
        <f>IFERROR(__xludf.DUMMYFUNCTION("""COMPUTED_VALUE"""),3.0)</f>
        <v>3</v>
      </c>
      <c r="E217" s="6">
        <f>IFERROR(__xludf.DUMMYFUNCTION("""COMPUTED_VALUE"""),40148.44861111111)</f>
        <v>40148.44861</v>
      </c>
      <c r="F217" s="2">
        <f>IFERROR(__xludf.DUMMYFUNCTION("""COMPUTED_VALUE"""),5.95)</f>
        <v>5.95</v>
      </c>
      <c r="G217" s="2">
        <f>IFERROR(__xludf.DUMMYFUNCTION("""COMPUTED_VALUE"""),16167.0)</f>
        <v>16167</v>
      </c>
      <c r="H217" s="2" t="str">
        <f>IFERROR(__xludf.DUMMYFUNCTION("""COMPUTED_VALUE"""),"United Kingdom")</f>
        <v>United Kingdom</v>
      </c>
      <c r="I217" s="7">
        <f>IFERROR(__xludf.DUMMYFUNCTION("""COMPUTED_VALUE"""),40148.0)</f>
        <v>40148</v>
      </c>
      <c r="J217" s="8">
        <f>IFERROR(__xludf.DUMMYFUNCTION("""COMPUTED_VALUE"""),0.4486111111109494)</f>
        <v>0.4486111111</v>
      </c>
      <c r="K217" s="2">
        <f>IFERROR(__xludf.DUMMYFUNCTION("""COMPUTED_VALUE"""),10.0)</f>
        <v>10</v>
      </c>
      <c r="L217" s="2">
        <f>IFERROR(__xludf.DUMMYFUNCTION("""COMPUTED_VALUE"""),17.85)</f>
        <v>17.85</v>
      </c>
    </row>
    <row r="218">
      <c r="A218" s="2">
        <f>IFERROR(__xludf.DUMMYFUNCTION("""COMPUTED_VALUE"""),489460.0)</f>
        <v>489460</v>
      </c>
      <c r="B218" s="2" t="str">
        <f>IFERROR(__xludf.DUMMYFUNCTION("""COMPUTED_VALUE"""),"22232")</f>
        <v>22232</v>
      </c>
      <c r="C218" s="2" t="str">
        <f>IFERROR(__xludf.DUMMYFUNCTION("""COMPUTED_VALUE"""),"3 PIECE JIGSAW TOADSTOOLS")</f>
        <v>3 PIECE JIGSAW TOADSTOOLS</v>
      </c>
      <c r="D218" s="2">
        <f>IFERROR(__xludf.DUMMYFUNCTION("""COMPUTED_VALUE"""),8.0)</f>
        <v>8</v>
      </c>
      <c r="E218" s="6">
        <f>IFERROR(__xludf.DUMMYFUNCTION("""COMPUTED_VALUE"""),40148.44861111111)</f>
        <v>40148.44861</v>
      </c>
      <c r="F218" s="2">
        <f>IFERROR(__xludf.DUMMYFUNCTION("""COMPUTED_VALUE"""),1.65)</f>
        <v>1.65</v>
      </c>
      <c r="G218" s="2">
        <f>IFERROR(__xludf.DUMMYFUNCTION("""COMPUTED_VALUE"""),16167.0)</f>
        <v>16167</v>
      </c>
      <c r="H218" s="2" t="str">
        <f>IFERROR(__xludf.DUMMYFUNCTION("""COMPUTED_VALUE"""),"United Kingdom")</f>
        <v>United Kingdom</v>
      </c>
      <c r="I218" s="7">
        <f>IFERROR(__xludf.DUMMYFUNCTION("""COMPUTED_VALUE"""),40148.0)</f>
        <v>40148</v>
      </c>
      <c r="J218" s="8">
        <f>IFERROR(__xludf.DUMMYFUNCTION("""COMPUTED_VALUE"""),0.4486111111109494)</f>
        <v>0.4486111111</v>
      </c>
      <c r="K218" s="2">
        <f>IFERROR(__xludf.DUMMYFUNCTION("""COMPUTED_VALUE"""),10.0)</f>
        <v>10</v>
      </c>
      <c r="L218" s="2">
        <f>IFERROR(__xludf.DUMMYFUNCTION("""COMPUTED_VALUE"""),13.2)</f>
        <v>13.2</v>
      </c>
    </row>
    <row r="219">
      <c r="A219" s="2">
        <f>IFERROR(__xludf.DUMMYFUNCTION("""COMPUTED_VALUE"""),489460.0)</f>
        <v>489460</v>
      </c>
      <c r="B219" s="2" t="str">
        <f>IFERROR(__xludf.DUMMYFUNCTION("""COMPUTED_VALUE"""),"84598")</f>
        <v>84598</v>
      </c>
      <c r="C219" s="2" t="str">
        <f>IFERROR(__xludf.DUMMYFUNCTION("""COMPUTED_VALUE"""),"BOYS ALPHABET IRON ON PATCHES")</f>
        <v>BOYS ALPHABET IRON ON PATCHES</v>
      </c>
      <c r="D219" s="2">
        <f>IFERROR(__xludf.DUMMYFUNCTION("""COMPUTED_VALUE"""),576.0)</f>
        <v>576</v>
      </c>
      <c r="E219" s="6">
        <f>IFERROR(__xludf.DUMMYFUNCTION("""COMPUTED_VALUE"""),40148.44861111111)</f>
        <v>40148.44861</v>
      </c>
      <c r="F219" s="2">
        <f>IFERROR(__xludf.DUMMYFUNCTION("""COMPUTED_VALUE"""),0.21)</f>
        <v>0.21</v>
      </c>
      <c r="G219" s="2">
        <f>IFERROR(__xludf.DUMMYFUNCTION("""COMPUTED_VALUE"""),16167.0)</f>
        <v>16167</v>
      </c>
      <c r="H219" s="2" t="str">
        <f>IFERROR(__xludf.DUMMYFUNCTION("""COMPUTED_VALUE"""),"United Kingdom")</f>
        <v>United Kingdom</v>
      </c>
      <c r="I219" s="7">
        <f>IFERROR(__xludf.DUMMYFUNCTION("""COMPUTED_VALUE"""),40148.0)</f>
        <v>40148</v>
      </c>
      <c r="J219" s="8">
        <f>IFERROR(__xludf.DUMMYFUNCTION("""COMPUTED_VALUE"""),0.4486111111109494)</f>
        <v>0.4486111111</v>
      </c>
      <c r="K219" s="2">
        <f>IFERROR(__xludf.DUMMYFUNCTION("""COMPUTED_VALUE"""),10.0)</f>
        <v>10</v>
      </c>
      <c r="L219" s="2">
        <f>IFERROR(__xludf.DUMMYFUNCTION("""COMPUTED_VALUE"""),120.96)</f>
        <v>120.96</v>
      </c>
    </row>
    <row r="220">
      <c r="A220" s="2">
        <f>IFERROR(__xludf.DUMMYFUNCTION("""COMPUTED_VALUE"""),489460.0)</f>
        <v>489460</v>
      </c>
      <c r="B220" s="2" t="str">
        <f>IFERROR(__xludf.DUMMYFUNCTION("""COMPUTED_VALUE"""),"79323W")</f>
        <v>79323W</v>
      </c>
      <c r="C220" s="2" t="str">
        <f>IFERROR(__xludf.DUMMYFUNCTION("""COMPUTED_VALUE"""),"WHITE CHERRY LIGHTS")</f>
        <v>WHITE CHERRY LIGHTS</v>
      </c>
      <c r="D220" s="2">
        <f>IFERROR(__xludf.DUMMYFUNCTION("""COMPUTED_VALUE"""),8.0)</f>
        <v>8</v>
      </c>
      <c r="E220" s="6">
        <f>IFERROR(__xludf.DUMMYFUNCTION("""COMPUTED_VALUE"""),40148.44861111111)</f>
        <v>40148.44861</v>
      </c>
      <c r="F220" s="2">
        <f>IFERROR(__xludf.DUMMYFUNCTION("""COMPUTED_VALUE"""),6.75)</f>
        <v>6.75</v>
      </c>
      <c r="G220" s="2">
        <f>IFERROR(__xludf.DUMMYFUNCTION("""COMPUTED_VALUE"""),16167.0)</f>
        <v>16167</v>
      </c>
      <c r="H220" s="2" t="str">
        <f>IFERROR(__xludf.DUMMYFUNCTION("""COMPUTED_VALUE"""),"United Kingdom")</f>
        <v>United Kingdom</v>
      </c>
      <c r="I220" s="7">
        <f>IFERROR(__xludf.DUMMYFUNCTION("""COMPUTED_VALUE"""),40148.0)</f>
        <v>40148</v>
      </c>
      <c r="J220" s="8">
        <f>IFERROR(__xludf.DUMMYFUNCTION("""COMPUTED_VALUE"""),0.4486111111109494)</f>
        <v>0.4486111111</v>
      </c>
      <c r="K220" s="2">
        <f>IFERROR(__xludf.DUMMYFUNCTION("""COMPUTED_VALUE"""),10.0)</f>
        <v>10</v>
      </c>
      <c r="L220" s="2">
        <f>IFERROR(__xludf.DUMMYFUNCTION("""COMPUTED_VALUE"""),54.0)</f>
        <v>54</v>
      </c>
    </row>
    <row r="221">
      <c r="A221" s="2">
        <f>IFERROR(__xludf.DUMMYFUNCTION("""COMPUTED_VALUE"""),489460.0)</f>
        <v>489460</v>
      </c>
      <c r="B221" s="2" t="str">
        <f>IFERROR(__xludf.DUMMYFUNCTION("""COMPUTED_VALUE"""),"22138")</f>
        <v>22138</v>
      </c>
      <c r="C221" s="2" t="str">
        <f>IFERROR(__xludf.DUMMYFUNCTION("""COMPUTED_VALUE"""),"BAKING SET 9 PIECE RETROSPOT")</f>
        <v>BAKING SET 9 PIECE RETROSPOT</v>
      </c>
      <c r="D221" s="2">
        <f>IFERROR(__xludf.DUMMYFUNCTION("""COMPUTED_VALUE"""),3.0)</f>
        <v>3</v>
      </c>
      <c r="E221" s="6">
        <f>IFERROR(__xludf.DUMMYFUNCTION("""COMPUTED_VALUE"""),40148.44861111111)</f>
        <v>40148.44861</v>
      </c>
      <c r="F221" s="2">
        <f>IFERROR(__xludf.DUMMYFUNCTION("""COMPUTED_VALUE"""),4.95)</f>
        <v>4.95</v>
      </c>
      <c r="G221" s="2">
        <f>IFERROR(__xludf.DUMMYFUNCTION("""COMPUTED_VALUE"""),16167.0)</f>
        <v>16167</v>
      </c>
      <c r="H221" s="2" t="str">
        <f>IFERROR(__xludf.DUMMYFUNCTION("""COMPUTED_VALUE"""),"United Kingdom")</f>
        <v>United Kingdom</v>
      </c>
      <c r="I221" s="7">
        <f>IFERROR(__xludf.DUMMYFUNCTION("""COMPUTED_VALUE"""),40148.0)</f>
        <v>40148</v>
      </c>
      <c r="J221" s="8">
        <f>IFERROR(__xludf.DUMMYFUNCTION("""COMPUTED_VALUE"""),0.4486111111109494)</f>
        <v>0.4486111111</v>
      </c>
      <c r="K221" s="2">
        <f>IFERROR(__xludf.DUMMYFUNCTION("""COMPUTED_VALUE"""),10.0)</f>
        <v>10</v>
      </c>
      <c r="L221" s="2">
        <f>IFERROR(__xludf.DUMMYFUNCTION("""COMPUTED_VALUE"""),14.85)</f>
        <v>14.85</v>
      </c>
    </row>
    <row r="222">
      <c r="A222" s="2">
        <f>IFERROR(__xludf.DUMMYFUNCTION("""COMPUTED_VALUE"""),489460.0)</f>
        <v>489460</v>
      </c>
      <c r="B222" s="2" t="str">
        <f>IFERROR(__xludf.DUMMYFUNCTION("""COMPUTED_VALUE"""),"22139")</f>
        <v>22139</v>
      </c>
      <c r="C222" s="2" t="str">
        <f>IFERROR(__xludf.DUMMYFUNCTION("""COMPUTED_VALUE"""),"RETRO SPOT TEA SET CERAMIC 11 PC")</f>
        <v>RETRO SPOT TEA SET CERAMIC 11 PC</v>
      </c>
      <c r="D222" s="2">
        <f>IFERROR(__xludf.DUMMYFUNCTION("""COMPUTED_VALUE"""),3.0)</f>
        <v>3</v>
      </c>
      <c r="E222" s="6">
        <f>IFERROR(__xludf.DUMMYFUNCTION("""COMPUTED_VALUE"""),40148.44861111111)</f>
        <v>40148.44861</v>
      </c>
      <c r="F222" s="2">
        <f>IFERROR(__xludf.DUMMYFUNCTION("""COMPUTED_VALUE"""),4.95)</f>
        <v>4.95</v>
      </c>
      <c r="G222" s="2">
        <f>IFERROR(__xludf.DUMMYFUNCTION("""COMPUTED_VALUE"""),16167.0)</f>
        <v>16167</v>
      </c>
      <c r="H222" s="2" t="str">
        <f>IFERROR(__xludf.DUMMYFUNCTION("""COMPUTED_VALUE"""),"United Kingdom")</f>
        <v>United Kingdom</v>
      </c>
      <c r="I222" s="7">
        <f>IFERROR(__xludf.DUMMYFUNCTION("""COMPUTED_VALUE"""),40148.0)</f>
        <v>40148</v>
      </c>
      <c r="J222" s="8">
        <f>IFERROR(__xludf.DUMMYFUNCTION("""COMPUTED_VALUE"""),0.4486111111109494)</f>
        <v>0.4486111111</v>
      </c>
      <c r="K222" s="2">
        <f>IFERROR(__xludf.DUMMYFUNCTION("""COMPUTED_VALUE"""),10.0)</f>
        <v>10</v>
      </c>
      <c r="L222" s="2">
        <f>IFERROR(__xludf.DUMMYFUNCTION("""COMPUTED_VALUE"""),14.85)</f>
        <v>14.85</v>
      </c>
    </row>
    <row r="223">
      <c r="A223" s="2">
        <f>IFERROR(__xludf.DUMMYFUNCTION("""COMPUTED_VALUE"""),489460.0)</f>
        <v>489460</v>
      </c>
      <c r="B223" s="2" t="str">
        <f>IFERROR(__xludf.DUMMYFUNCTION("""COMPUTED_VALUE"""),"79323S")</f>
        <v>79323S</v>
      </c>
      <c r="C223" s="2" t="str">
        <f>IFERROR(__xludf.DUMMYFUNCTION("""COMPUTED_VALUE"""),"SILVER CHERRY LIGHTS")</f>
        <v>SILVER CHERRY LIGHTS</v>
      </c>
      <c r="D223" s="2">
        <f>IFERROR(__xludf.DUMMYFUNCTION("""COMPUTED_VALUE"""),4.0)</f>
        <v>4</v>
      </c>
      <c r="E223" s="6">
        <f>IFERROR(__xludf.DUMMYFUNCTION("""COMPUTED_VALUE"""),40148.44861111111)</f>
        <v>40148.44861</v>
      </c>
      <c r="F223" s="2">
        <f>IFERROR(__xludf.DUMMYFUNCTION("""COMPUTED_VALUE"""),6.75)</f>
        <v>6.75</v>
      </c>
      <c r="G223" s="2">
        <f>IFERROR(__xludf.DUMMYFUNCTION("""COMPUTED_VALUE"""),16167.0)</f>
        <v>16167</v>
      </c>
      <c r="H223" s="2" t="str">
        <f>IFERROR(__xludf.DUMMYFUNCTION("""COMPUTED_VALUE"""),"United Kingdom")</f>
        <v>United Kingdom</v>
      </c>
      <c r="I223" s="7">
        <f>IFERROR(__xludf.DUMMYFUNCTION("""COMPUTED_VALUE"""),40148.0)</f>
        <v>40148</v>
      </c>
      <c r="J223" s="8">
        <f>IFERROR(__xludf.DUMMYFUNCTION("""COMPUTED_VALUE"""),0.4486111111109494)</f>
        <v>0.4486111111</v>
      </c>
      <c r="K223" s="2">
        <f>IFERROR(__xludf.DUMMYFUNCTION("""COMPUTED_VALUE"""),10.0)</f>
        <v>10</v>
      </c>
      <c r="L223" s="2">
        <f>IFERROR(__xludf.DUMMYFUNCTION("""COMPUTED_VALUE"""),27.0)</f>
        <v>27</v>
      </c>
    </row>
    <row r="224">
      <c r="A224" s="2">
        <f>IFERROR(__xludf.DUMMYFUNCTION("""COMPUTED_VALUE"""),489460.0)</f>
        <v>489460</v>
      </c>
      <c r="B224" s="2" t="str">
        <f>IFERROR(__xludf.DUMMYFUNCTION("""COMPUTED_VALUE"""),"21731")</f>
        <v>21731</v>
      </c>
      <c r="C224" s="2" t="str">
        <f>IFERROR(__xludf.DUMMYFUNCTION("""COMPUTED_VALUE"""),"RED TOADSTOOL LED NIGHT LIGHT")</f>
        <v>RED TOADSTOOL LED NIGHT LIGHT</v>
      </c>
      <c r="D224" s="2">
        <f>IFERROR(__xludf.DUMMYFUNCTION("""COMPUTED_VALUE"""),12.0)</f>
        <v>12</v>
      </c>
      <c r="E224" s="6">
        <f>IFERROR(__xludf.DUMMYFUNCTION("""COMPUTED_VALUE"""),40148.44861111111)</f>
        <v>40148.44861</v>
      </c>
      <c r="F224" s="2">
        <f>IFERROR(__xludf.DUMMYFUNCTION("""COMPUTED_VALUE"""),1.65)</f>
        <v>1.65</v>
      </c>
      <c r="G224" s="2">
        <f>IFERROR(__xludf.DUMMYFUNCTION("""COMPUTED_VALUE"""),16167.0)</f>
        <v>16167</v>
      </c>
      <c r="H224" s="2" t="str">
        <f>IFERROR(__xludf.DUMMYFUNCTION("""COMPUTED_VALUE"""),"United Kingdom")</f>
        <v>United Kingdom</v>
      </c>
      <c r="I224" s="7">
        <f>IFERROR(__xludf.DUMMYFUNCTION("""COMPUTED_VALUE"""),40148.0)</f>
        <v>40148</v>
      </c>
      <c r="J224" s="8">
        <f>IFERROR(__xludf.DUMMYFUNCTION("""COMPUTED_VALUE"""),0.4486111111109494)</f>
        <v>0.4486111111</v>
      </c>
      <c r="K224" s="2">
        <f>IFERROR(__xludf.DUMMYFUNCTION("""COMPUTED_VALUE"""),10.0)</f>
        <v>10</v>
      </c>
      <c r="L224" s="2">
        <f>IFERROR(__xludf.DUMMYFUNCTION("""COMPUTED_VALUE"""),19.7999999999999)</f>
        <v>19.8</v>
      </c>
    </row>
    <row r="225">
      <c r="A225" s="2">
        <f>IFERROR(__xludf.DUMMYFUNCTION("""COMPUTED_VALUE"""),489460.0)</f>
        <v>489460</v>
      </c>
      <c r="B225" s="2" t="str">
        <f>IFERROR(__xludf.DUMMYFUNCTION("""COMPUTED_VALUE"""),"84568")</f>
        <v>84568</v>
      </c>
      <c r="C225" s="2" t="str">
        <f>IFERROR(__xludf.DUMMYFUNCTION("""COMPUTED_VALUE"""),"GIRLS ALPHABET IRON ON PATCHES")</f>
        <v>GIRLS ALPHABET IRON ON PATCHES</v>
      </c>
      <c r="D225" s="2">
        <f>IFERROR(__xludf.DUMMYFUNCTION("""COMPUTED_VALUE"""),288.0)</f>
        <v>288</v>
      </c>
      <c r="E225" s="6">
        <f>IFERROR(__xludf.DUMMYFUNCTION("""COMPUTED_VALUE"""),40148.44861111111)</f>
        <v>40148.44861</v>
      </c>
      <c r="F225" s="2">
        <f>IFERROR(__xludf.DUMMYFUNCTION("""COMPUTED_VALUE"""),0.21)</f>
        <v>0.21</v>
      </c>
      <c r="G225" s="2">
        <f>IFERROR(__xludf.DUMMYFUNCTION("""COMPUTED_VALUE"""),16167.0)</f>
        <v>16167</v>
      </c>
      <c r="H225" s="2" t="str">
        <f>IFERROR(__xludf.DUMMYFUNCTION("""COMPUTED_VALUE"""),"United Kingdom")</f>
        <v>United Kingdom</v>
      </c>
      <c r="I225" s="7">
        <f>IFERROR(__xludf.DUMMYFUNCTION("""COMPUTED_VALUE"""),40148.0)</f>
        <v>40148</v>
      </c>
      <c r="J225" s="8">
        <f>IFERROR(__xludf.DUMMYFUNCTION("""COMPUTED_VALUE"""),0.4486111111109494)</f>
        <v>0.4486111111</v>
      </c>
      <c r="K225" s="2">
        <f>IFERROR(__xludf.DUMMYFUNCTION("""COMPUTED_VALUE"""),10.0)</f>
        <v>10</v>
      </c>
      <c r="L225" s="2">
        <f>IFERROR(__xludf.DUMMYFUNCTION("""COMPUTED_VALUE"""),60.48)</f>
        <v>60.48</v>
      </c>
    </row>
    <row r="226">
      <c r="A226" s="2">
        <f>IFERROR(__xludf.DUMMYFUNCTION("""COMPUTED_VALUE"""),489461.0)</f>
        <v>489461</v>
      </c>
      <c r="B226" s="2" t="str">
        <f>IFERROR(__xludf.DUMMYFUNCTION("""COMPUTED_VALUE"""),"21668")</f>
        <v>21668</v>
      </c>
      <c r="C226" s="2" t="str">
        <f>IFERROR(__xludf.DUMMYFUNCTION("""COMPUTED_VALUE"""),"RED STRIPE CERAMIC DRAWER KNOB")</f>
        <v>RED STRIPE CERAMIC DRAWER KNOB</v>
      </c>
      <c r="D226" s="2">
        <f>IFERROR(__xludf.DUMMYFUNCTION("""COMPUTED_VALUE"""),24.0)</f>
        <v>24</v>
      </c>
      <c r="E226" s="6">
        <f>IFERROR(__xludf.DUMMYFUNCTION("""COMPUTED_VALUE"""),40148.450694444444)</f>
        <v>40148.45069</v>
      </c>
      <c r="F226" s="2">
        <f>IFERROR(__xludf.DUMMYFUNCTION("""COMPUTED_VALUE"""),1.25)</f>
        <v>1.25</v>
      </c>
      <c r="G226" s="2">
        <f>IFERROR(__xludf.DUMMYFUNCTION("""COMPUTED_VALUE"""),17865.0)</f>
        <v>17865</v>
      </c>
      <c r="H226" s="2" t="str">
        <f>IFERROR(__xludf.DUMMYFUNCTION("""COMPUTED_VALUE"""),"United Kingdom")</f>
        <v>United Kingdom</v>
      </c>
      <c r="I226" s="7">
        <f>IFERROR(__xludf.DUMMYFUNCTION("""COMPUTED_VALUE"""),40148.0)</f>
        <v>40148</v>
      </c>
      <c r="J226" s="8">
        <f>IFERROR(__xludf.DUMMYFUNCTION("""COMPUTED_VALUE"""),0.4506944444437977)</f>
        <v>0.4506944444</v>
      </c>
      <c r="K226" s="2">
        <f>IFERROR(__xludf.DUMMYFUNCTION("""COMPUTED_VALUE"""),10.0)</f>
        <v>10</v>
      </c>
      <c r="L226" s="2">
        <f>IFERROR(__xludf.DUMMYFUNCTION("""COMPUTED_VALUE"""),30.0)</f>
        <v>30</v>
      </c>
    </row>
    <row r="227">
      <c r="A227" s="2">
        <f>IFERROR(__xludf.DUMMYFUNCTION("""COMPUTED_VALUE"""),489461.0)</f>
        <v>489461</v>
      </c>
      <c r="B227" s="2" t="str">
        <f>IFERROR(__xludf.DUMMYFUNCTION("""COMPUTED_VALUE"""),"21669")</f>
        <v>21669</v>
      </c>
      <c r="C227" s="2" t="str">
        <f>IFERROR(__xludf.DUMMYFUNCTION("""COMPUTED_VALUE"""),"BLUE STRIPE CERAMIC DRAWER KNOB")</f>
        <v>BLUE STRIPE CERAMIC DRAWER KNOB</v>
      </c>
      <c r="D227" s="2">
        <f>IFERROR(__xludf.DUMMYFUNCTION("""COMPUTED_VALUE"""),24.0)</f>
        <v>24</v>
      </c>
      <c r="E227" s="6">
        <f>IFERROR(__xludf.DUMMYFUNCTION("""COMPUTED_VALUE"""),40148.450694444444)</f>
        <v>40148.45069</v>
      </c>
      <c r="F227" s="2">
        <f>IFERROR(__xludf.DUMMYFUNCTION("""COMPUTED_VALUE"""),1.25)</f>
        <v>1.25</v>
      </c>
      <c r="G227" s="2">
        <f>IFERROR(__xludf.DUMMYFUNCTION("""COMPUTED_VALUE"""),17865.0)</f>
        <v>17865</v>
      </c>
      <c r="H227" s="2" t="str">
        <f>IFERROR(__xludf.DUMMYFUNCTION("""COMPUTED_VALUE"""),"United Kingdom")</f>
        <v>United Kingdom</v>
      </c>
      <c r="I227" s="7">
        <f>IFERROR(__xludf.DUMMYFUNCTION("""COMPUTED_VALUE"""),40148.0)</f>
        <v>40148</v>
      </c>
      <c r="J227" s="8">
        <f>IFERROR(__xludf.DUMMYFUNCTION("""COMPUTED_VALUE"""),0.4506944444437977)</f>
        <v>0.4506944444</v>
      </c>
      <c r="K227" s="2">
        <f>IFERROR(__xludf.DUMMYFUNCTION("""COMPUTED_VALUE"""),10.0)</f>
        <v>10</v>
      </c>
      <c r="L227" s="2">
        <f>IFERROR(__xludf.DUMMYFUNCTION("""COMPUTED_VALUE"""),30.0)</f>
        <v>30</v>
      </c>
    </row>
    <row r="228">
      <c r="A228" s="2">
        <f>IFERROR(__xludf.DUMMYFUNCTION("""COMPUTED_VALUE"""),489461.0)</f>
        <v>489461</v>
      </c>
      <c r="B228" s="2" t="str">
        <f>IFERROR(__xludf.DUMMYFUNCTION("""COMPUTED_VALUE"""),"21670")</f>
        <v>21670</v>
      </c>
      <c r="C228" s="2" t="str">
        <f>IFERROR(__xludf.DUMMYFUNCTION("""COMPUTED_VALUE"""),"BLUE SPOT CERAMIC DRAWER KNOB")</f>
        <v>BLUE SPOT CERAMIC DRAWER KNOB</v>
      </c>
      <c r="D228" s="2">
        <f>IFERROR(__xludf.DUMMYFUNCTION("""COMPUTED_VALUE"""),24.0)</f>
        <v>24</v>
      </c>
      <c r="E228" s="6">
        <f>IFERROR(__xludf.DUMMYFUNCTION("""COMPUTED_VALUE"""),40148.450694444444)</f>
        <v>40148.45069</v>
      </c>
      <c r="F228" s="2">
        <f>IFERROR(__xludf.DUMMYFUNCTION("""COMPUTED_VALUE"""),1.25)</f>
        <v>1.25</v>
      </c>
      <c r="G228" s="2">
        <f>IFERROR(__xludf.DUMMYFUNCTION("""COMPUTED_VALUE"""),17865.0)</f>
        <v>17865</v>
      </c>
      <c r="H228" s="2" t="str">
        <f>IFERROR(__xludf.DUMMYFUNCTION("""COMPUTED_VALUE"""),"United Kingdom")</f>
        <v>United Kingdom</v>
      </c>
      <c r="I228" s="7">
        <f>IFERROR(__xludf.DUMMYFUNCTION("""COMPUTED_VALUE"""),40148.0)</f>
        <v>40148</v>
      </c>
      <c r="J228" s="8">
        <f>IFERROR(__xludf.DUMMYFUNCTION("""COMPUTED_VALUE"""),0.4506944444437977)</f>
        <v>0.4506944444</v>
      </c>
      <c r="K228" s="2">
        <f>IFERROR(__xludf.DUMMYFUNCTION("""COMPUTED_VALUE"""),10.0)</f>
        <v>10</v>
      </c>
      <c r="L228" s="2">
        <f>IFERROR(__xludf.DUMMYFUNCTION("""COMPUTED_VALUE"""),30.0)</f>
        <v>30</v>
      </c>
    </row>
    <row r="229">
      <c r="A229" s="2">
        <f>IFERROR(__xludf.DUMMYFUNCTION("""COMPUTED_VALUE"""),489461.0)</f>
        <v>489461</v>
      </c>
      <c r="B229" s="2" t="str">
        <f>IFERROR(__xludf.DUMMYFUNCTION("""COMPUTED_VALUE"""),"21671")</f>
        <v>21671</v>
      </c>
      <c r="C229" s="2" t="str">
        <f>IFERROR(__xludf.DUMMYFUNCTION("""COMPUTED_VALUE"""),"RED SPOT CERAMIC DRAWER KNOB")</f>
        <v>RED SPOT CERAMIC DRAWER KNOB</v>
      </c>
      <c r="D229" s="2">
        <f>IFERROR(__xludf.DUMMYFUNCTION("""COMPUTED_VALUE"""),24.0)</f>
        <v>24</v>
      </c>
      <c r="E229" s="6">
        <f>IFERROR(__xludf.DUMMYFUNCTION("""COMPUTED_VALUE"""),40148.450694444444)</f>
        <v>40148.45069</v>
      </c>
      <c r="F229" s="2">
        <f>IFERROR(__xludf.DUMMYFUNCTION("""COMPUTED_VALUE"""),1.25)</f>
        <v>1.25</v>
      </c>
      <c r="G229" s="2">
        <f>IFERROR(__xludf.DUMMYFUNCTION("""COMPUTED_VALUE"""),17865.0)</f>
        <v>17865</v>
      </c>
      <c r="H229" s="2" t="str">
        <f>IFERROR(__xludf.DUMMYFUNCTION("""COMPUTED_VALUE"""),"United Kingdom")</f>
        <v>United Kingdom</v>
      </c>
      <c r="I229" s="7">
        <f>IFERROR(__xludf.DUMMYFUNCTION("""COMPUTED_VALUE"""),40148.0)</f>
        <v>40148</v>
      </c>
      <c r="J229" s="8">
        <f>IFERROR(__xludf.DUMMYFUNCTION("""COMPUTED_VALUE"""),0.4506944444437977)</f>
        <v>0.4506944444</v>
      </c>
      <c r="K229" s="2">
        <f>IFERROR(__xludf.DUMMYFUNCTION("""COMPUTED_VALUE"""),10.0)</f>
        <v>10</v>
      </c>
      <c r="L229" s="2">
        <f>IFERROR(__xludf.DUMMYFUNCTION("""COMPUTED_VALUE"""),30.0)</f>
        <v>30</v>
      </c>
    </row>
    <row r="230">
      <c r="A230" s="2">
        <f>IFERROR(__xludf.DUMMYFUNCTION("""COMPUTED_VALUE"""),489461.0)</f>
        <v>489461</v>
      </c>
      <c r="B230" s="2" t="str">
        <f>IFERROR(__xludf.DUMMYFUNCTION("""COMPUTED_VALUE"""),"21672")</f>
        <v>21672</v>
      </c>
      <c r="C230" s="2" t="str">
        <f>IFERROR(__xludf.DUMMYFUNCTION("""COMPUTED_VALUE"""),"WHITE SPOT RED CERAMIC DRAWER KNOB")</f>
        <v>WHITE SPOT RED CERAMIC DRAWER KNOB</v>
      </c>
      <c r="D230" s="2">
        <f>IFERROR(__xludf.DUMMYFUNCTION("""COMPUTED_VALUE"""),24.0)</f>
        <v>24</v>
      </c>
      <c r="E230" s="6">
        <f>IFERROR(__xludf.DUMMYFUNCTION("""COMPUTED_VALUE"""),40148.450694444444)</f>
        <v>40148.45069</v>
      </c>
      <c r="F230" s="2">
        <f>IFERROR(__xludf.DUMMYFUNCTION("""COMPUTED_VALUE"""),1.25)</f>
        <v>1.25</v>
      </c>
      <c r="G230" s="2">
        <f>IFERROR(__xludf.DUMMYFUNCTION("""COMPUTED_VALUE"""),17865.0)</f>
        <v>17865</v>
      </c>
      <c r="H230" s="2" t="str">
        <f>IFERROR(__xludf.DUMMYFUNCTION("""COMPUTED_VALUE"""),"United Kingdom")</f>
        <v>United Kingdom</v>
      </c>
      <c r="I230" s="7">
        <f>IFERROR(__xludf.DUMMYFUNCTION("""COMPUTED_VALUE"""),40148.0)</f>
        <v>40148</v>
      </c>
      <c r="J230" s="8">
        <f>IFERROR(__xludf.DUMMYFUNCTION("""COMPUTED_VALUE"""),0.4506944444437977)</f>
        <v>0.4506944444</v>
      </c>
      <c r="K230" s="2">
        <f>IFERROR(__xludf.DUMMYFUNCTION("""COMPUTED_VALUE"""),10.0)</f>
        <v>10</v>
      </c>
      <c r="L230" s="2">
        <f>IFERROR(__xludf.DUMMYFUNCTION("""COMPUTED_VALUE"""),30.0)</f>
        <v>30</v>
      </c>
    </row>
    <row r="231">
      <c r="A231" s="2">
        <f>IFERROR(__xludf.DUMMYFUNCTION("""COMPUTED_VALUE"""),489461.0)</f>
        <v>489461</v>
      </c>
      <c r="B231" s="2" t="str">
        <f>IFERROR(__xludf.DUMMYFUNCTION("""COMPUTED_VALUE"""),"21673")</f>
        <v>21673</v>
      </c>
      <c r="C231" s="2" t="str">
        <f>IFERROR(__xludf.DUMMYFUNCTION("""COMPUTED_VALUE"""),"WHITE SPOT BLUE CERAMIC DRAWER KNOB")</f>
        <v>WHITE SPOT BLUE CERAMIC DRAWER KNOB</v>
      </c>
      <c r="D231" s="2">
        <f>IFERROR(__xludf.DUMMYFUNCTION("""COMPUTED_VALUE"""),24.0)</f>
        <v>24</v>
      </c>
      <c r="E231" s="6">
        <f>IFERROR(__xludf.DUMMYFUNCTION("""COMPUTED_VALUE"""),40148.450694444444)</f>
        <v>40148.45069</v>
      </c>
      <c r="F231" s="2">
        <f>IFERROR(__xludf.DUMMYFUNCTION("""COMPUTED_VALUE"""),1.25)</f>
        <v>1.25</v>
      </c>
      <c r="G231" s="2">
        <f>IFERROR(__xludf.DUMMYFUNCTION("""COMPUTED_VALUE"""),17865.0)</f>
        <v>17865</v>
      </c>
      <c r="H231" s="2" t="str">
        <f>IFERROR(__xludf.DUMMYFUNCTION("""COMPUTED_VALUE"""),"United Kingdom")</f>
        <v>United Kingdom</v>
      </c>
      <c r="I231" s="7">
        <f>IFERROR(__xludf.DUMMYFUNCTION("""COMPUTED_VALUE"""),40148.0)</f>
        <v>40148</v>
      </c>
      <c r="J231" s="8">
        <f>IFERROR(__xludf.DUMMYFUNCTION("""COMPUTED_VALUE"""),0.4506944444437977)</f>
        <v>0.4506944444</v>
      </c>
      <c r="K231" s="2">
        <f>IFERROR(__xludf.DUMMYFUNCTION("""COMPUTED_VALUE"""),10.0)</f>
        <v>10</v>
      </c>
      <c r="L231" s="2">
        <f>IFERROR(__xludf.DUMMYFUNCTION("""COMPUTED_VALUE"""),30.0)</f>
        <v>30</v>
      </c>
    </row>
    <row r="232">
      <c r="A232" s="2">
        <f>IFERROR(__xludf.DUMMYFUNCTION("""COMPUTED_VALUE"""),489461.0)</f>
        <v>489461</v>
      </c>
      <c r="B232" s="2" t="str">
        <f>IFERROR(__xludf.DUMMYFUNCTION("""COMPUTED_VALUE"""),"22125")</f>
        <v>22125</v>
      </c>
      <c r="C232" s="2" t="str">
        <f>IFERROR(__xludf.DUMMYFUNCTION("""COMPUTED_VALUE"""),"UNION JACK HOT WATER BOTTLE")</f>
        <v>UNION JACK HOT WATER BOTTLE</v>
      </c>
      <c r="D232" s="2">
        <f>IFERROR(__xludf.DUMMYFUNCTION("""COMPUTED_VALUE"""),3.0)</f>
        <v>3</v>
      </c>
      <c r="E232" s="6">
        <f>IFERROR(__xludf.DUMMYFUNCTION("""COMPUTED_VALUE"""),40148.450694444444)</f>
        <v>40148.45069</v>
      </c>
      <c r="F232" s="2">
        <f>IFERROR(__xludf.DUMMYFUNCTION("""COMPUTED_VALUE"""),5.95)</f>
        <v>5.95</v>
      </c>
      <c r="G232" s="2">
        <f>IFERROR(__xludf.DUMMYFUNCTION("""COMPUTED_VALUE"""),17865.0)</f>
        <v>17865</v>
      </c>
      <c r="H232" s="2" t="str">
        <f>IFERROR(__xludf.DUMMYFUNCTION("""COMPUTED_VALUE"""),"United Kingdom")</f>
        <v>United Kingdom</v>
      </c>
      <c r="I232" s="7">
        <f>IFERROR(__xludf.DUMMYFUNCTION("""COMPUTED_VALUE"""),40148.0)</f>
        <v>40148</v>
      </c>
      <c r="J232" s="8">
        <f>IFERROR(__xludf.DUMMYFUNCTION("""COMPUTED_VALUE"""),0.4506944444437977)</f>
        <v>0.4506944444</v>
      </c>
      <c r="K232" s="2">
        <f>IFERROR(__xludf.DUMMYFUNCTION("""COMPUTED_VALUE"""),10.0)</f>
        <v>10</v>
      </c>
      <c r="L232" s="2">
        <f>IFERROR(__xludf.DUMMYFUNCTION("""COMPUTED_VALUE"""),17.85)</f>
        <v>17.85</v>
      </c>
    </row>
    <row r="233">
      <c r="A233" s="2">
        <f>IFERROR(__xludf.DUMMYFUNCTION("""COMPUTED_VALUE"""),489461.0)</f>
        <v>489461</v>
      </c>
      <c r="B233" s="2" t="str">
        <f>IFERROR(__xludf.DUMMYFUNCTION("""COMPUTED_VALUE"""),"21232")</f>
        <v>21232</v>
      </c>
      <c r="C233" s="2" t="str">
        <f>IFERROR(__xludf.DUMMYFUNCTION("""COMPUTED_VALUE"""),"STRAWBERRY CERAMIC TRINKET BOX")</f>
        <v>STRAWBERRY CERAMIC TRINKET BOX</v>
      </c>
      <c r="D233" s="2">
        <f>IFERROR(__xludf.DUMMYFUNCTION("""COMPUTED_VALUE"""),48.0)</f>
        <v>48</v>
      </c>
      <c r="E233" s="6">
        <f>IFERROR(__xludf.DUMMYFUNCTION("""COMPUTED_VALUE"""),40148.450694444444)</f>
        <v>40148.45069</v>
      </c>
      <c r="F233" s="2">
        <f>IFERROR(__xludf.DUMMYFUNCTION("""COMPUTED_VALUE"""),1.25)</f>
        <v>1.25</v>
      </c>
      <c r="G233" s="2">
        <f>IFERROR(__xludf.DUMMYFUNCTION("""COMPUTED_VALUE"""),17865.0)</f>
        <v>17865</v>
      </c>
      <c r="H233" s="2" t="str">
        <f>IFERROR(__xludf.DUMMYFUNCTION("""COMPUTED_VALUE"""),"United Kingdom")</f>
        <v>United Kingdom</v>
      </c>
      <c r="I233" s="7">
        <f>IFERROR(__xludf.DUMMYFUNCTION("""COMPUTED_VALUE"""),40148.0)</f>
        <v>40148</v>
      </c>
      <c r="J233" s="8">
        <f>IFERROR(__xludf.DUMMYFUNCTION("""COMPUTED_VALUE"""),0.4506944444437977)</f>
        <v>0.4506944444</v>
      </c>
      <c r="K233" s="2">
        <f>IFERROR(__xludf.DUMMYFUNCTION("""COMPUTED_VALUE"""),10.0)</f>
        <v>10</v>
      </c>
      <c r="L233" s="2">
        <f>IFERROR(__xludf.DUMMYFUNCTION("""COMPUTED_VALUE"""),60.0)</f>
        <v>60</v>
      </c>
    </row>
    <row r="234">
      <c r="A234" s="2">
        <f>IFERROR(__xludf.DUMMYFUNCTION("""COMPUTED_VALUE"""),489461.0)</f>
        <v>489461</v>
      </c>
      <c r="B234" s="2" t="str">
        <f>IFERROR(__xludf.DUMMYFUNCTION("""COMPUTED_VALUE"""),"85071A")</f>
        <v>85071A</v>
      </c>
      <c r="C234" s="2" t="str">
        <f>IFERROR(__xludf.DUMMYFUNCTION("""COMPUTED_VALUE"""),"BLUE CHARLIE+LOLA PERSONAL DOORSIGN")</f>
        <v>BLUE CHARLIE+LOLA PERSONAL DOORSIGN</v>
      </c>
      <c r="D234" s="2">
        <f>IFERROR(__xludf.DUMMYFUNCTION("""COMPUTED_VALUE"""),6.0)</f>
        <v>6</v>
      </c>
      <c r="E234" s="6">
        <f>IFERROR(__xludf.DUMMYFUNCTION("""COMPUTED_VALUE"""),40148.450694444444)</f>
        <v>40148.45069</v>
      </c>
      <c r="F234" s="2">
        <f>IFERROR(__xludf.DUMMYFUNCTION("""COMPUTED_VALUE"""),2.95)</f>
        <v>2.95</v>
      </c>
      <c r="G234" s="2">
        <f>IFERROR(__xludf.DUMMYFUNCTION("""COMPUTED_VALUE"""),17865.0)</f>
        <v>17865</v>
      </c>
      <c r="H234" s="2" t="str">
        <f>IFERROR(__xludf.DUMMYFUNCTION("""COMPUTED_VALUE"""),"United Kingdom")</f>
        <v>United Kingdom</v>
      </c>
      <c r="I234" s="7">
        <f>IFERROR(__xludf.DUMMYFUNCTION("""COMPUTED_VALUE"""),40148.0)</f>
        <v>40148</v>
      </c>
      <c r="J234" s="8">
        <f>IFERROR(__xludf.DUMMYFUNCTION("""COMPUTED_VALUE"""),0.4506944444437977)</f>
        <v>0.4506944444</v>
      </c>
      <c r="K234" s="2">
        <f>IFERROR(__xludf.DUMMYFUNCTION("""COMPUTED_VALUE"""),10.0)</f>
        <v>10</v>
      </c>
      <c r="L234" s="2">
        <f>IFERROR(__xludf.DUMMYFUNCTION("""COMPUTED_VALUE"""),17.7)</f>
        <v>17.7</v>
      </c>
    </row>
    <row r="235">
      <c r="A235" s="2">
        <f>IFERROR(__xludf.DUMMYFUNCTION("""COMPUTED_VALUE"""),489461.0)</f>
        <v>489461</v>
      </c>
      <c r="B235" s="2" t="str">
        <f>IFERROR(__xludf.DUMMYFUNCTION("""COMPUTED_VALUE"""),"85071B")</f>
        <v>85071B</v>
      </c>
      <c r="C235" s="2" t="str">
        <f>IFERROR(__xludf.DUMMYFUNCTION("""COMPUTED_VALUE"""),"RED CHARLIE+LOLA PERSONAL DOORSIGN")</f>
        <v>RED CHARLIE+LOLA PERSONAL DOORSIGN</v>
      </c>
      <c r="D235" s="2">
        <f>IFERROR(__xludf.DUMMYFUNCTION("""COMPUTED_VALUE"""),6.0)</f>
        <v>6</v>
      </c>
      <c r="E235" s="6">
        <f>IFERROR(__xludf.DUMMYFUNCTION("""COMPUTED_VALUE"""),40148.450694444444)</f>
        <v>40148.45069</v>
      </c>
      <c r="F235" s="2">
        <f>IFERROR(__xludf.DUMMYFUNCTION("""COMPUTED_VALUE"""),2.95)</f>
        <v>2.95</v>
      </c>
      <c r="G235" s="2">
        <f>IFERROR(__xludf.DUMMYFUNCTION("""COMPUTED_VALUE"""),17865.0)</f>
        <v>17865</v>
      </c>
      <c r="H235" s="2" t="str">
        <f>IFERROR(__xludf.DUMMYFUNCTION("""COMPUTED_VALUE"""),"United Kingdom")</f>
        <v>United Kingdom</v>
      </c>
      <c r="I235" s="7">
        <f>IFERROR(__xludf.DUMMYFUNCTION("""COMPUTED_VALUE"""),40148.0)</f>
        <v>40148</v>
      </c>
      <c r="J235" s="8">
        <f>IFERROR(__xludf.DUMMYFUNCTION("""COMPUTED_VALUE"""),0.4506944444437977)</f>
        <v>0.4506944444</v>
      </c>
      <c r="K235" s="2">
        <f>IFERROR(__xludf.DUMMYFUNCTION("""COMPUTED_VALUE"""),10.0)</f>
        <v>10</v>
      </c>
      <c r="L235" s="2">
        <f>IFERROR(__xludf.DUMMYFUNCTION("""COMPUTED_VALUE"""),17.7)</f>
        <v>17.7</v>
      </c>
    </row>
    <row r="236">
      <c r="A236" s="2">
        <f>IFERROR(__xludf.DUMMYFUNCTION("""COMPUTED_VALUE"""),489461.0)</f>
        <v>489461</v>
      </c>
      <c r="B236" s="2" t="str">
        <f>IFERROR(__xludf.DUMMYFUNCTION("""COMPUTED_VALUE"""),"21161")</f>
        <v>21161</v>
      </c>
      <c r="C236" s="2" t="str">
        <f>IFERROR(__xludf.DUMMYFUNCTION("""COMPUTED_VALUE"""),"KEEP OUT BOYS DOOR HANGER")</f>
        <v>KEEP OUT BOYS DOOR HANGER</v>
      </c>
      <c r="D236" s="2">
        <f>IFERROR(__xludf.DUMMYFUNCTION("""COMPUTED_VALUE"""),12.0)</f>
        <v>12</v>
      </c>
      <c r="E236" s="6">
        <f>IFERROR(__xludf.DUMMYFUNCTION("""COMPUTED_VALUE"""),40148.450694444444)</f>
        <v>40148.45069</v>
      </c>
      <c r="F236" s="2">
        <f>IFERROR(__xludf.DUMMYFUNCTION("""COMPUTED_VALUE"""),1.45)</f>
        <v>1.45</v>
      </c>
      <c r="G236" s="2">
        <f>IFERROR(__xludf.DUMMYFUNCTION("""COMPUTED_VALUE"""),17865.0)</f>
        <v>17865</v>
      </c>
      <c r="H236" s="2" t="str">
        <f>IFERROR(__xludf.DUMMYFUNCTION("""COMPUTED_VALUE"""),"United Kingdom")</f>
        <v>United Kingdom</v>
      </c>
      <c r="I236" s="7">
        <f>IFERROR(__xludf.DUMMYFUNCTION("""COMPUTED_VALUE"""),40148.0)</f>
        <v>40148</v>
      </c>
      <c r="J236" s="8">
        <f>IFERROR(__xludf.DUMMYFUNCTION("""COMPUTED_VALUE"""),0.4506944444437977)</f>
        <v>0.4506944444</v>
      </c>
      <c r="K236" s="2">
        <f>IFERROR(__xludf.DUMMYFUNCTION("""COMPUTED_VALUE"""),10.0)</f>
        <v>10</v>
      </c>
      <c r="L236" s="2">
        <f>IFERROR(__xludf.DUMMYFUNCTION("""COMPUTED_VALUE"""),17.4)</f>
        <v>17.4</v>
      </c>
    </row>
    <row r="237">
      <c r="A237" s="2">
        <f>IFERROR(__xludf.DUMMYFUNCTION("""COMPUTED_VALUE"""),489461.0)</f>
        <v>489461</v>
      </c>
      <c r="B237" s="2" t="str">
        <f>IFERROR(__xludf.DUMMYFUNCTION("""COMPUTED_VALUE"""),"21162")</f>
        <v>21162</v>
      </c>
      <c r="C237" s="2" t="str">
        <f>IFERROR(__xludf.DUMMYFUNCTION("""COMPUTED_VALUE"""),"TOXIC AREA DOOR HANGER")</f>
        <v>TOXIC AREA DOOR HANGER</v>
      </c>
      <c r="D237" s="2">
        <f>IFERROR(__xludf.DUMMYFUNCTION("""COMPUTED_VALUE"""),12.0)</f>
        <v>12</v>
      </c>
      <c r="E237" s="6">
        <f>IFERROR(__xludf.DUMMYFUNCTION("""COMPUTED_VALUE"""),40148.450694444444)</f>
        <v>40148.45069</v>
      </c>
      <c r="F237" s="2">
        <f>IFERROR(__xludf.DUMMYFUNCTION("""COMPUTED_VALUE"""),1.45)</f>
        <v>1.45</v>
      </c>
      <c r="G237" s="2">
        <f>IFERROR(__xludf.DUMMYFUNCTION("""COMPUTED_VALUE"""),17865.0)</f>
        <v>17865</v>
      </c>
      <c r="H237" s="2" t="str">
        <f>IFERROR(__xludf.DUMMYFUNCTION("""COMPUTED_VALUE"""),"United Kingdom")</f>
        <v>United Kingdom</v>
      </c>
      <c r="I237" s="7">
        <f>IFERROR(__xludf.DUMMYFUNCTION("""COMPUTED_VALUE"""),40148.0)</f>
        <v>40148</v>
      </c>
      <c r="J237" s="8">
        <f>IFERROR(__xludf.DUMMYFUNCTION("""COMPUTED_VALUE"""),0.4506944444437977)</f>
        <v>0.4506944444</v>
      </c>
      <c r="K237" s="2">
        <f>IFERROR(__xludf.DUMMYFUNCTION("""COMPUTED_VALUE"""),10.0)</f>
        <v>10</v>
      </c>
      <c r="L237" s="2">
        <f>IFERROR(__xludf.DUMMYFUNCTION("""COMPUTED_VALUE"""),17.4)</f>
        <v>17.4</v>
      </c>
    </row>
    <row r="238">
      <c r="A238" s="2">
        <f>IFERROR(__xludf.DUMMYFUNCTION("""COMPUTED_VALUE"""),489461.0)</f>
        <v>489461</v>
      </c>
      <c r="B238" s="2" t="str">
        <f>IFERROR(__xludf.DUMMYFUNCTION("""COMPUTED_VALUE"""),"21248")</f>
        <v>21248</v>
      </c>
      <c r="C238" s="2" t="str">
        <f>IFERROR(__xludf.DUMMYFUNCTION("""COMPUTED_VALUE"""),"DOOR HANGER MUM + DADS ROOM")</f>
        <v>DOOR HANGER MUM + DADS ROOM</v>
      </c>
      <c r="D238" s="2">
        <f>IFERROR(__xludf.DUMMYFUNCTION("""COMPUTED_VALUE"""),12.0)</f>
        <v>12</v>
      </c>
      <c r="E238" s="6">
        <f>IFERROR(__xludf.DUMMYFUNCTION("""COMPUTED_VALUE"""),40148.450694444444)</f>
        <v>40148.45069</v>
      </c>
      <c r="F238" s="2">
        <f>IFERROR(__xludf.DUMMYFUNCTION("""COMPUTED_VALUE"""),1.45)</f>
        <v>1.45</v>
      </c>
      <c r="G238" s="2">
        <f>IFERROR(__xludf.DUMMYFUNCTION("""COMPUTED_VALUE"""),17865.0)</f>
        <v>17865</v>
      </c>
      <c r="H238" s="2" t="str">
        <f>IFERROR(__xludf.DUMMYFUNCTION("""COMPUTED_VALUE"""),"United Kingdom")</f>
        <v>United Kingdom</v>
      </c>
      <c r="I238" s="7">
        <f>IFERROR(__xludf.DUMMYFUNCTION("""COMPUTED_VALUE"""),40148.0)</f>
        <v>40148</v>
      </c>
      <c r="J238" s="8">
        <f>IFERROR(__xludf.DUMMYFUNCTION("""COMPUTED_VALUE"""),0.4506944444437977)</f>
        <v>0.4506944444</v>
      </c>
      <c r="K238" s="2">
        <f>IFERROR(__xludf.DUMMYFUNCTION("""COMPUTED_VALUE"""),10.0)</f>
        <v>10</v>
      </c>
      <c r="L238" s="2">
        <f>IFERROR(__xludf.DUMMYFUNCTION("""COMPUTED_VALUE"""),17.4)</f>
        <v>17.4</v>
      </c>
    </row>
    <row r="239">
      <c r="A239" s="2">
        <f>IFERROR(__xludf.DUMMYFUNCTION("""COMPUTED_VALUE"""),489461.0)</f>
        <v>489461</v>
      </c>
      <c r="B239" s="2" t="str">
        <f>IFERROR(__xludf.DUMMYFUNCTION("""COMPUTED_VALUE"""),"21159")</f>
        <v>21159</v>
      </c>
      <c r="C239" s="2" t="str">
        <f>IFERROR(__xludf.DUMMYFUNCTION("""COMPUTED_VALUE"""),"MOODY BOY DOOR HANGER")</f>
        <v>MOODY BOY DOOR HANGER</v>
      </c>
      <c r="D239" s="2">
        <f>IFERROR(__xludf.DUMMYFUNCTION("""COMPUTED_VALUE"""),12.0)</f>
        <v>12</v>
      </c>
      <c r="E239" s="6">
        <f>IFERROR(__xludf.DUMMYFUNCTION("""COMPUTED_VALUE"""),40148.450694444444)</f>
        <v>40148.45069</v>
      </c>
      <c r="F239" s="2">
        <f>IFERROR(__xludf.DUMMYFUNCTION("""COMPUTED_VALUE"""),1.45)</f>
        <v>1.45</v>
      </c>
      <c r="G239" s="2">
        <f>IFERROR(__xludf.DUMMYFUNCTION("""COMPUTED_VALUE"""),17865.0)</f>
        <v>17865</v>
      </c>
      <c r="H239" s="2" t="str">
        <f>IFERROR(__xludf.DUMMYFUNCTION("""COMPUTED_VALUE"""),"United Kingdom")</f>
        <v>United Kingdom</v>
      </c>
      <c r="I239" s="7">
        <f>IFERROR(__xludf.DUMMYFUNCTION("""COMPUTED_VALUE"""),40148.0)</f>
        <v>40148</v>
      </c>
      <c r="J239" s="8">
        <f>IFERROR(__xludf.DUMMYFUNCTION("""COMPUTED_VALUE"""),0.4506944444437977)</f>
        <v>0.4506944444</v>
      </c>
      <c r="K239" s="2">
        <f>IFERROR(__xludf.DUMMYFUNCTION("""COMPUTED_VALUE"""),10.0)</f>
        <v>10</v>
      </c>
      <c r="L239" s="2">
        <f>IFERROR(__xludf.DUMMYFUNCTION("""COMPUTED_VALUE"""),17.4)</f>
        <v>17.4</v>
      </c>
    </row>
    <row r="240">
      <c r="A240" s="2">
        <f>IFERROR(__xludf.DUMMYFUNCTION("""COMPUTED_VALUE"""),489461.0)</f>
        <v>489461</v>
      </c>
      <c r="B240" s="2" t="str">
        <f>IFERROR(__xludf.DUMMYFUNCTION("""COMPUTED_VALUE"""),"82582")</f>
        <v>82582</v>
      </c>
      <c r="C240" s="2" t="str">
        <f>IFERROR(__xludf.DUMMYFUNCTION("""COMPUTED_VALUE"""),"AREA PATROLLED METAL SIGN")</f>
        <v>AREA PATROLLED METAL SIGN</v>
      </c>
      <c r="D240" s="2">
        <f>IFERROR(__xludf.DUMMYFUNCTION("""COMPUTED_VALUE"""),12.0)</f>
        <v>12</v>
      </c>
      <c r="E240" s="6">
        <f>IFERROR(__xludf.DUMMYFUNCTION("""COMPUTED_VALUE"""),40148.450694444444)</f>
        <v>40148.45069</v>
      </c>
      <c r="F240" s="2">
        <f>IFERROR(__xludf.DUMMYFUNCTION("""COMPUTED_VALUE"""),2.1)</f>
        <v>2.1</v>
      </c>
      <c r="G240" s="2">
        <f>IFERROR(__xludf.DUMMYFUNCTION("""COMPUTED_VALUE"""),17865.0)</f>
        <v>17865</v>
      </c>
      <c r="H240" s="2" t="str">
        <f>IFERROR(__xludf.DUMMYFUNCTION("""COMPUTED_VALUE"""),"United Kingdom")</f>
        <v>United Kingdom</v>
      </c>
      <c r="I240" s="7">
        <f>IFERROR(__xludf.DUMMYFUNCTION("""COMPUTED_VALUE"""),40148.0)</f>
        <v>40148</v>
      </c>
      <c r="J240" s="8">
        <f>IFERROR(__xludf.DUMMYFUNCTION("""COMPUTED_VALUE"""),0.4506944444437977)</f>
        <v>0.4506944444</v>
      </c>
      <c r="K240" s="2">
        <f>IFERROR(__xludf.DUMMYFUNCTION("""COMPUTED_VALUE"""),10.0)</f>
        <v>10</v>
      </c>
      <c r="L240" s="2">
        <f>IFERROR(__xludf.DUMMYFUNCTION("""COMPUTED_VALUE"""),25.2)</f>
        <v>25.2</v>
      </c>
    </row>
    <row r="241">
      <c r="A241" s="2">
        <f>IFERROR(__xludf.DUMMYFUNCTION("""COMPUTED_VALUE"""),489461.0)</f>
        <v>489461</v>
      </c>
      <c r="B241" s="2" t="str">
        <f>IFERROR(__xludf.DUMMYFUNCTION("""COMPUTED_VALUE"""),"21181")</f>
        <v>21181</v>
      </c>
      <c r="C241" s="2" t="str">
        <f>IFERROR(__xludf.DUMMYFUNCTION("""COMPUTED_VALUE"""),"PLEASE ONE PERSON METAL SIGN")</f>
        <v>PLEASE ONE PERSON METAL SIGN</v>
      </c>
      <c r="D241" s="2">
        <f>IFERROR(__xludf.DUMMYFUNCTION("""COMPUTED_VALUE"""),6.0)</f>
        <v>6</v>
      </c>
      <c r="E241" s="6">
        <f>IFERROR(__xludf.DUMMYFUNCTION("""COMPUTED_VALUE"""),40148.450694444444)</f>
        <v>40148.45069</v>
      </c>
      <c r="F241" s="2">
        <f>IFERROR(__xludf.DUMMYFUNCTION("""COMPUTED_VALUE"""),2.1)</f>
        <v>2.1</v>
      </c>
      <c r="G241" s="2">
        <f>IFERROR(__xludf.DUMMYFUNCTION("""COMPUTED_VALUE"""),17865.0)</f>
        <v>17865</v>
      </c>
      <c r="H241" s="2" t="str">
        <f>IFERROR(__xludf.DUMMYFUNCTION("""COMPUTED_VALUE"""),"United Kingdom")</f>
        <v>United Kingdom</v>
      </c>
      <c r="I241" s="7">
        <f>IFERROR(__xludf.DUMMYFUNCTION("""COMPUTED_VALUE"""),40148.0)</f>
        <v>40148</v>
      </c>
      <c r="J241" s="8">
        <f>IFERROR(__xludf.DUMMYFUNCTION("""COMPUTED_VALUE"""),0.4506944444437977)</f>
        <v>0.4506944444</v>
      </c>
      <c r="K241" s="2">
        <f>IFERROR(__xludf.DUMMYFUNCTION("""COMPUTED_VALUE"""),10.0)</f>
        <v>10</v>
      </c>
      <c r="L241" s="2">
        <f>IFERROR(__xludf.DUMMYFUNCTION("""COMPUTED_VALUE"""),12.6)</f>
        <v>12.6</v>
      </c>
    </row>
    <row r="242">
      <c r="A242" s="2">
        <f>IFERROR(__xludf.DUMMYFUNCTION("""COMPUTED_VALUE"""),489461.0)</f>
        <v>489461</v>
      </c>
      <c r="B242" s="2" t="str">
        <f>IFERROR(__xludf.DUMMYFUNCTION("""COMPUTED_VALUE"""),"85150")</f>
        <v>85150</v>
      </c>
      <c r="C242" s="2" t="str">
        <f>IFERROR(__xludf.DUMMYFUNCTION("""COMPUTED_VALUE"""),"LADIES &amp; GENTLEMEN METAL SIGN")</f>
        <v>LADIES &amp; GENTLEMEN METAL SIGN</v>
      </c>
      <c r="D242" s="2">
        <f>IFERROR(__xludf.DUMMYFUNCTION("""COMPUTED_VALUE"""),6.0)</f>
        <v>6</v>
      </c>
      <c r="E242" s="6">
        <f>IFERROR(__xludf.DUMMYFUNCTION("""COMPUTED_VALUE"""),40148.450694444444)</f>
        <v>40148.45069</v>
      </c>
      <c r="F242" s="2">
        <f>IFERROR(__xludf.DUMMYFUNCTION("""COMPUTED_VALUE"""),2.55)</f>
        <v>2.55</v>
      </c>
      <c r="G242" s="2">
        <f>IFERROR(__xludf.DUMMYFUNCTION("""COMPUTED_VALUE"""),17865.0)</f>
        <v>17865</v>
      </c>
      <c r="H242" s="2" t="str">
        <f>IFERROR(__xludf.DUMMYFUNCTION("""COMPUTED_VALUE"""),"United Kingdom")</f>
        <v>United Kingdom</v>
      </c>
      <c r="I242" s="7">
        <f>IFERROR(__xludf.DUMMYFUNCTION("""COMPUTED_VALUE"""),40148.0)</f>
        <v>40148</v>
      </c>
      <c r="J242" s="8">
        <f>IFERROR(__xludf.DUMMYFUNCTION("""COMPUTED_VALUE"""),0.4506944444437977)</f>
        <v>0.4506944444</v>
      </c>
      <c r="K242" s="2">
        <f>IFERROR(__xludf.DUMMYFUNCTION("""COMPUTED_VALUE"""),10.0)</f>
        <v>10</v>
      </c>
      <c r="L242" s="2">
        <f>IFERROR(__xludf.DUMMYFUNCTION("""COMPUTED_VALUE"""),15.2999999999999)</f>
        <v>15.3</v>
      </c>
    </row>
    <row r="243">
      <c r="A243" s="2">
        <f>IFERROR(__xludf.DUMMYFUNCTION("""COMPUTED_VALUE"""),489461.0)</f>
        <v>489461</v>
      </c>
      <c r="B243" s="2" t="str">
        <f>IFERROR(__xludf.DUMMYFUNCTION("""COMPUTED_VALUE"""),"82494L")</f>
        <v>82494L</v>
      </c>
      <c r="C243" s="2" t="str">
        <f>IFERROR(__xludf.DUMMYFUNCTION("""COMPUTED_VALUE"""),"WOODEN FRAME ANTIQUE WHITE")</f>
        <v>WOODEN FRAME ANTIQUE WHITE</v>
      </c>
      <c r="D243" s="2">
        <f>IFERROR(__xludf.DUMMYFUNCTION("""COMPUTED_VALUE"""),6.0)</f>
        <v>6</v>
      </c>
      <c r="E243" s="6">
        <f>IFERROR(__xludf.DUMMYFUNCTION("""COMPUTED_VALUE"""),40148.450694444444)</f>
        <v>40148.45069</v>
      </c>
      <c r="F243" s="2">
        <f>IFERROR(__xludf.DUMMYFUNCTION("""COMPUTED_VALUE"""),2.95)</f>
        <v>2.95</v>
      </c>
      <c r="G243" s="2">
        <f>IFERROR(__xludf.DUMMYFUNCTION("""COMPUTED_VALUE"""),17865.0)</f>
        <v>17865</v>
      </c>
      <c r="H243" s="2" t="str">
        <f>IFERROR(__xludf.DUMMYFUNCTION("""COMPUTED_VALUE"""),"United Kingdom")</f>
        <v>United Kingdom</v>
      </c>
      <c r="I243" s="7">
        <f>IFERROR(__xludf.DUMMYFUNCTION("""COMPUTED_VALUE"""),40148.0)</f>
        <v>40148</v>
      </c>
      <c r="J243" s="8">
        <f>IFERROR(__xludf.DUMMYFUNCTION("""COMPUTED_VALUE"""),0.4506944444437977)</f>
        <v>0.4506944444</v>
      </c>
      <c r="K243" s="2">
        <f>IFERROR(__xludf.DUMMYFUNCTION("""COMPUTED_VALUE"""),10.0)</f>
        <v>10</v>
      </c>
      <c r="L243" s="2">
        <f>IFERROR(__xludf.DUMMYFUNCTION("""COMPUTED_VALUE"""),17.7)</f>
        <v>17.7</v>
      </c>
    </row>
    <row r="244">
      <c r="A244" s="2">
        <f>IFERROR(__xludf.DUMMYFUNCTION("""COMPUTED_VALUE"""),489461.0)</f>
        <v>489461</v>
      </c>
      <c r="B244" s="2" t="str">
        <f>IFERROR(__xludf.DUMMYFUNCTION("""COMPUTED_VALUE"""),"82486")</f>
        <v>82486</v>
      </c>
      <c r="C244" s="2" t="str">
        <f>IFERROR(__xludf.DUMMYFUNCTION("""COMPUTED_VALUE"""),"WOOD S/3 CABINET ANT WHITE FINISH")</f>
        <v>WOOD S/3 CABINET ANT WHITE FINISH</v>
      </c>
      <c r="D244" s="2">
        <f>IFERROR(__xludf.DUMMYFUNCTION("""COMPUTED_VALUE"""),2.0)</f>
        <v>2</v>
      </c>
      <c r="E244" s="6">
        <f>IFERROR(__xludf.DUMMYFUNCTION("""COMPUTED_VALUE"""),40148.450694444444)</f>
        <v>40148.45069</v>
      </c>
      <c r="F244" s="2">
        <f>IFERROR(__xludf.DUMMYFUNCTION("""COMPUTED_VALUE"""),7.95)</f>
        <v>7.95</v>
      </c>
      <c r="G244" s="2">
        <f>IFERROR(__xludf.DUMMYFUNCTION("""COMPUTED_VALUE"""),17865.0)</f>
        <v>17865</v>
      </c>
      <c r="H244" s="2" t="str">
        <f>IFERROR(__xludf.DUMMYFUNCTION("""COMPUTED_VALUE"""),"United Kingdom")</f>
        <v>United Kingdom</v>
      </c>
      <c r="I244" s="7">
        <f>IFERROR(__xludf.DUMMYFUNCTION("""COMPUTED_VALUE"""),40148.0)</f>
        <v>40148</v>
      </c>
      <c r="J244" s="8">
        <f>IFERROR(__xludf.DUMMYFUNCTION("""COMPUTED_VALUE"""),0.4506944444437977)</f>
        <v>0.4506944444</v>
      </c>
      <c r="K244" s="2">
        <f>IFERROR(__xludf.DUMMYFUNCTION("""COMPUTED_VALUE"""),10.0)</f>
        <v>10</v>
      </c>
      <c r="L244" s="2">
        <f>IFERROR(__xludf.DUMMYFUNCTION("""COMPUTED_VALUE"""),15.9)</f>
        <v>15.9</v>
      </c>
    </row>
    <row r="245">
      <c r="A245" s="2">
        <f>IFERROR(__xludf.DUMMYFUNCTION("""COMPUTED_VALUE"""),489461.0)</f>
        <v>489461</v>
      </c>
      <c r="B245" s="2" t="str">
        <f>IFERROR(__xludf.DUMMYFUNCTION("""COMPUTED_VALUE"""),"82483")</f>
        <v>82483</v>
      </c>
      <c r="C245" s="2" t="str">
        <f>IFERROR(__xludf.DUMMYFUNCTION("""COMPUTED_VALUE"""),"WOOD 2 DRAWER CABINET WHITE FINISH")</f>
        <v>WOOD 2 DRAWER CABINET WHITE FINISH</v>
      </c>
      <c r="D245" s="2">
        <f>IFERROR(__xludf.DUMMYFUNCTION("""COMPUTED_VALUE"""),3.0)</f>
        <v>3</v>
      </c>
      <c r="E245" s="6">
        <f>IFERROR(__xludf.DUMMYFUNCTION("""COMPUTED_VALUE"""),40148.450694444444)</f>
        <v>40148.45069</v>
      </c>
      <c r="F245" s="2">
        <f>IFERROR(__xludf.DUMMYFUNCTION("""COMPUTED_VALUE"""),5.95)</f>
        <v>5.95</v>
      </c>
      <c r="G245" s="2">
        <f>IFERROR(__xludf.DUMMYFUNCTION("""COMPUTED_VALUE"""),17865.0)</f>
        <v>17865</v>
      </c>
      <c r="H245" s="2" t="str">
        <f>IFERROR(__xludf.DUMMYFUNCTION("""COMPUTED_VALUE"""),"United Kingdom")</f>
        <v>United Kingdom</v>
      </c>
      <c r="I245" s="7">
        <f>IFERROR(__xludf.DUMMYFUNCTION("""COMPUTED_VALUE"""),40148.0)</f>
        <v>40148</v>
      </c>
      <c r="J245" s="8">
        <f>IFERROR(__xludf.DUMMYFUNCTION("""COMPUTED_VALUE"""),0.4506944444437977)</f>
        <v>0.4506944444</v>
      </c>
      <c r="K245" s="2">
        <f>IFERROR(__xludf.DUMMYFUNCTION("""COMPUTED_VALUE"""),10.0)</f>
        <v>10</v>
      </c>
      <c r="L245" s="2">
        <f>IFERROR(__xludf.DUMMYFUNCTION("""COMPUTED_VALUE"""),17.85)</f>
        <v>17.85</v>
      </c>
    </row>
    <row r="246">
      <c r="A246" s="2">
        <f>IFERROR(__xludf.DUMMYFUNCTION("""COMPUTED_VALUE"""),489462.0)</f>
        <v>489462</v>
      </c>
      <c r="B246" s="2" t="str">
        <f>IFERROR(__xludf.DUMMYFUNCTION("""COMPUTED_VALUE"""),"90200D")</f>
        <v>90200D</v>
      </c>
      <c r="C246" s="2" t="str">
        <f>IFERROR(__xludf.DUMMYFUNCTION("""COMPUTED_VALUE"""),"PINK SWEETHEART BRACELET")</f>
        <v>PINK SWEETHEART BRACELET</v>
      </c>
      <c r="D246" s="2">
        <f>IFERROR(__xludf.DUMMYFUNCTION("""COMPUTED_VALUE"""),3.0)</f>
        <v>3</v>
      </c>
      <c r="E246" s="6">
        <f>IFERROR(__xludf.DUMMYFUNCTION("""COMPUTED_VALUE"""),40148.450694444444)</f>
        <v>40148.45069</v>
      </c>
      <c r="F246" s="2">
        <f>IFERROR(__xludf.DUMMYFUNCTION("""COMPUTED_VALUE"""),4.25)</f>
        <v>4.25</v>
      </c>
      <c r="G246" s="2">
        <f>IFERROR(__xludf.DUMMYFUNCTION("""COMPUTED_VALUE"""),17592.0)</f>
        <v>17592</v>
      </c>
      <c r="H246" s="2" t="str">
        <f>IFERROR(__xludf.DUMMYFUNCTION("""COMPUTED_VALUE"""),"United Kingdom")</f>
        <v>United Kingdom</v>
      </c>
      <c r="I246" s="7">
        <f>IFERROR(__xludf.DUMMYFUNCTION("""COMPUTED_VALUE"""),40148.0)</f>
        <v>40148</v>
      </c>
      <c r="J246" s="8">
        <f>IFERROR(__xludf.DUMMYFUNCTION("""COMPUTED_VALUE"""),0.4506944444437977)</f>
        <v>0.4506944444</v>
      </c>
      <c r="K246" s="2">
        <f>IFERROR(__xludf.DUMMYFUNCTION("""COMPUTED_VALUE"""),10.0)</f>
        <v>10</v>
      </c>
      <c r="L246" s="2">
        <f>IFERROR(__xludf.DUMMYFUNCTION("""COMPUTED_VALUE"""),12.75)</f>
        <v>12.75</v>
      </c>
    </row>
    <row r="247">
      <c r="A247" s="2">
        <f>IFERROR(__xludf.DUMMYFUNCTION("""COMPUTED_VALUE"""),489462.0)</f>
        <v>489462</v>
      </c>
      <c r="B247" s="2" t="str">
        <f>IFERROR(__xludf.DUMMYFUNCTION("""COMPUTED_VALUE"""),"90200E")</f>
        <v>90200E</v>
      </c>
      <c r="C247" s="2" t="str">
        <f>IFERROR(__xludf.DUMMYFUNCTION("""COMPUTED_VALUE"""),"GREEN SWEETHEART BRACELET")</f>
        <v>GREEN SWEETHEART BRACELET</v>
      </c>
      <c r="D247" s="2">
        <f>IFERROR(__xludf.DUMMYFUNCTION("""COMPUTED_VALUE"""),3.0)</f>
        <v>3</v>
      </c>
      <c r="E247" s="6">
        <f>IFERROR(__xludf.DUMMYFUNCTION("""COMPUTED_VALUE"""),40148.450694444444)</f>
        <v>40148.45069</v>
      </c>
      <c r="F247" s="2">
        <f>IFERROR(__xludf.DUMMYFUNCTION("""COMPUTED_VALUE"""),4.25)</f>
        <v>4.25</v>
      </c>
      <c r="G247" s="2">
        <f>IFERROR(__xludf.DUMMYFUNCTION("""COMPUTED_VALUE"""),17592.0)</f>
        <v>17592</v>
      </c>
      <c r="H247" s="2" t="str">
        <f>IFERROR(__xludf.DUMMYFUNCTION("""COMPUTED_VALUE"""),"United Kingdom")</f>
        <v>United Kingdom</v>
      </c>
      <c r="I247" s="7">
        <f>IFERROR(__xludf.DUMMYFUNCTION("""COMPUTED_VALUE"""),40148.0)</f>
        <v>40148</v>
      </c>
      <c r="J247" s="8">
        <f>IFERROR(__xludf.DUMMYFUNCTION("""COMPUTED_VALUE"""),0.4506944444437977)</f>
        <v>0.4506944444</v>
      </c>
      <c r="K247" s="2">
        <f>IFERROR(__xludf.DUMMYFUNCTION("""COMPUTED_VALUE"""),10.0)</f>
        <v>10</v>
      </c>
      <c r="L247" s="2">
        <f>IFERROR(__xludf.DUMMYFUNCTION("""COMPUTED_VALUE"""),12.75)</f>
        <v>12.75</v>
      </c>
    </row>
    <row r="248">
      <c r="A248" s="2">
        <f>IFERROR(__xludf.DUMMYFUNCTION("""COMPUTED_VALUE"""),489461.0)</f>
        <v>489461</v>
      </c>
      <c r="B248" s="2" t="str">
        <f>IFERROR(__xludf.DUMMYFUNCTION("""COMPUTED_VALUE"""),"21212")</f>
        <v>21212</v>
      </c>
      <c r="C248" s="2" t="str">
        <f>IFERROR(__xludf.DUMMYFUNCTION("""COMPUTED_VALUE"""),"PACK OF 72 RETRO SPOT CAKE CASES")</f>
        <v>PACK OF 72 RETRO SPOT CAKE CASES</v>
      </c>
      <c r="D248" s="2">
        <f>IFERROR(__xludf.DUMMYFUNCTION("""COMPUTED_VALUE"""),24.0)</f>
        <v>24</v>
      </c>
      <c r="E248" s="6">
        <f>IFERROR(__xludf.DUMMYFUNCTION("""COMPUTED_VALUE"""),40148.450694444444)</f>
        <v>40148.45069</v>
      </c>
      <c r="F248" s="2">
        <f>IFERROR(__xludf.DUMMYFUNCTION("""COMPUTED_VALUE"""),0.55)</f>
        <v>0.55</v>
      </c>
      <c r="G248" s="2">
        <f>IFERROR(__xludf.DUMMYFUNCTION("""COMPUTED_VALUE"""),17865.0)</f>
        <v>17865</v>
      </c>
      <c r="H248" s="2" t="str">
        <f>IFERROR(__xludf.DUMMYFUNCTION("""COMPUTED_VALUE"""),"United Kingdom")</f>
        <v>United Kingdom</v>
      </c>
      <c r="I248" s="7">
        <f>IFERROR(__xludf.DUMMYFUNCTION("""COMPUTED_VALUE"""),40148.0)</f>
        <v>40148</v>
      </c>
      <c r="J248" s="8">
        <f>IFERROR(__xludf.DUMMYFUNCTION("""COMPUTED_VALUE"""),0.4506944444437977)</f>
        <v>0.4506944444</v>
      </c>
      <c r="K248" s="2">
        <f>IFERROR(__xludf.DUMMYFUNCTION("""COMPUTED_VALUE"""),10.0)</f>
        <v>10</v>
      </c>
      <c r="L248" s="2">
        <f>IFERROR(__xludf.DUMMYFUNCTION("""COMPUTED_VALUE"""),13.2)</f>
        <v>13.2</v>
      </c>
    </row>
    <row r="249">
      <c r="A249" s="2">
        <f>IFERROR(__xludf.DUMMYFUNCTION("""COMPUTED_VALUE"""),489461.0)</f>
        <v>489461</v>
      </c>
      <c r="B249" s="2" t="str">
        <f>IFERROR(__xludf.DUMMYFUNCTION("""COMPUTED_VALUE"""),"84991")</f>
        <v>84991</v>
      </c>
      <c r="C249" s="2" t="str">
        <f>IFERROR(__xludf.DUMMYFUNCTION("""COMPUTED_VALUE"""),"60 TEATIME FAIRY CAKE CASES")</f>
        <v>60 TEATIME FAIRY CAKE CASES</v>
      </c>
      <c r="D249" s="2">
        <f>IFERROR(__xludf.DUMMYFUNCTION("""COMPUTED_VALUE"""),24.0)</f>
        <v>24</v>
      </c>
      <c r="E249" s="6">
        <f>IFERROR(__xludf.DUMMYFUNCTION("""COMPUTED_VALUE"""),40148.450694444444)</f>
        <v>40148.45069</v>
      </c>
      <c r="F249" s="2">
        <f>IFERROR(__xludf.DUMMYFUNCTION("""COMPUTED_VALUE"""),0.55)</f>
        <v>0.55</v>
      </c>
      <c r="G249" s="2">
        <f>IFERROR(__xludf.DUMMYFUNCTION("""COMPUTED_VALUE"""),17865.0)</f>
        <v>17865</v>
      </c>
      <c r="H249" s="2" t="str">
        <f>IFERROR(__xludf.DUMMYFUNCTION("""COMPUTED_VALUE"""),"United Kingdom")</f>
        <v>United Kingdom</v>
      </c>
      <c r="I249" s="7">
        <f>IFERROR(__xludf.DUMMYFUNCTION("""COMPUTED_VALUE"""),40148.0)</f>
        <v>40148</v>
      </c>
      <c r="J249" s="8">
        <f>IFERROR(__xludf.DUMMYFUNCTION("""COMPUTED_VALUE"""),0.4506944444437977)</f>
        <v>0.4506944444</v>
      </c>
      <c r="K249" s="2">
        <f>IFERROR(__xludf.DUMMYFUNCTION("""COMPUTED_VALUE"""),10.0)</f>
        <v>10</v>
      </c>
      <c r="L249" s="2">
        <f>IFERROR(__xludf.DUMMYFUNCTION("""COMPUTED_VALUE"""),13.2)</f>
        <v>13.2</v>
      </c>
    </row>
    <row r="250">
      <c r="A250" s="2">
        <f>IFERROR(__xludf.DUMMYFUNCTION("""COMPUTED_VALUE"""),489461.0)</f>
        <v>489461</v>
      </c>
      <c r="B250" s="2" t="str">
        <f>IFERROR(__xludf.DUMMYFUNCTION("""COMPUTED_VALUE"""),"22180")</f>
        <v>22180</v>
      </c>
      <c r="C250" s="2" t="str">
        <f>IFERROR(__xludf.DUMMYFUNCTION("""COMPUTED_VALUE"""),"RETRO SPOT LAMP")</f>
        <v>RETRO SPOT LAMP</v>
      </c>
      <c r="D250" s="2">
        <f>IFERROR(__xludf.DUMMYFUNCTION("""COMPUTED_VALUE"""),2.0)</f>
        <v>2</v>
      </c>
      <c r="E250" s="6">
        <f>IFERROR(__xludf.DUMMYFUNCTION("""COMPUTED_VALUE"""),40148.450694444444)</f>
        <v>40148.45069</v>
      </c>
      <c r="F250" s="2">
        <f>IFERROR(__xludf.DUMMYFUNCTION("""COMPUTED_VALUE"""),9.95)</f>
        <v>9.95</v>
      </c>
      <c r="G250" s="2">
        <f>IFERROR(__xludf.DUMMYFUNCTION("""COMPUTED_VALUE"""),17865.0)</f>
        <v>17865</v>
      </c>
      <c r="H250" s="2" t="str">
        <f>IFERROR(__xludf.DUMMYFUNCTION("""COMPUTED_VALUE"""),"United Kingdom")</f>
        <v>United Kingdom</v>
      </c>
      <c r="I250" s="7">
        <f>IFERROR(__xludf.DUMMYFUNCTION("""COMPUTED_VALUE"""),40148.0)</f>
        <v>40148</v>
      </c>
      <c r="J250" s="8">
        <f>IFERROR(__xludf.DUMMYFUNCTION("""COMPUTED_VALUE"""),0.4506944444437977)</f>
        <v>0.4506944444</v>
      </c>
      <c r="K250" s="2">
        <f>IFERROR(__xludf.DUMMYFUNCTION("""COMPUTED_VALUE"""),10.0)</f>
        <v>10</v>
      </c>
      <c r="L250" s="2">
        <f>IFERROR(__xludf.DUMMYFUNCTION("""COMPUTED_VALUE"""),19.9)</f>
        <v>19.9</v>
      </c>
    </row>
    <row r="251">
      <c r="A251" s="2">
        <f>IFERROR(__xludf.DUMMYFUNCTION("""COMPUTED_VALUE"""),489461.0)</f>
        <v>489461</v>
      </c>
      <c r="B251" s="2" t="str">
        <f>IFERROR(__xludf.DUMMYFUNCTION("""COMPUTED_VALUE"""),"72756")</f>
        <v>72756</v>
      </c>
      <c r="C251" s="2" t="str">
        <f>IFERROR(__xludf.DUMMYFUNCTION("""COMPUTED_VALUE"""),"FAIRY CAKE CANDLES")</f>
        <v>FAIRY CAKE CANDLES</v>
      </c>
      <c r="D251" s="2">
        <f>IFERROR(__xludf.DUMMYFUNCTION("""COMPUTED_VALUE"""),27.0)</f>
        <v>27</v>
      </c>
      <c r="E251" s="6">
        <f>IFERROR(__xludf.DUMMYFUNCTION("""COMPUTED_VALUE"""),40148.450694444444)</f>
        <v>40148.45069</v>
      </c>
      <c r="F251" s="2">
        <f>IFERROR(__xludf.DUMMYFUNCTION("""COMPUTED_VALUE"""),1.49)</f>
        <v>1.49</v>
      </c>
      <c r="G251" s="2">
        <f>IFERROR(__xludf.DUMMYFUNCTION("""COMPUTED_VALUE"""),17865.0)</f>
        <v>17865</v>
      </c>
      <c r="H251" s="2" t="str">
        <f>IFERROR(__xludf.DUMMYFUNCTION("""COMPUTED_VALUE"""),"United Kingdom")</f>
        <v>United Kingdom</v>
      </c>
      <c r="I251" s="7">
        <f>IFERROR(__xludf.DUMMYFUNCTION("""COMPUTED_VALUE"""),40148.0)</f>
        <v>40148</v>
      </c>
      <c r="J251" s="8">
        <f>IFERROR(__xludf.DUMMYFUNCTION("""COMPUTED_VALUE"""),0.4506944444437977)</f>
        <v>0.4506944444</v>
      </c>
      <c r="K251" s="2">
        <f>IFERROR(__xludf.DUMMYFUNCTION("""COMPUTED_VALUE"""),10.0)</f>
        <v>10</v>
      </c>
      <c r="L251" s="2">
        <f>IFERROR(__xludf.DUMMYFUNCTION("""COMPUTED_VALUE"""),40.23)</f>
        <v>40.23</v>
      </c>
    </row>
    <row r="252">
      <c r="A252" s="2">
        <f>IFERROR(__xludf.DUMMYFUNCTION("""COMPUTED_VALUE"""),489461.0)</f>
        <v>489461</v>
      </c>
      <c r="B252" s="2" t="str">
        <f>IFERROR(__xludf.DUMMYFUNCTION("""COMPUTED_VALUE"""),"22063")</f>
        <v>22063</v>
      </c>
      <c r="C252" s="2" t="str">
        <f>IFERROR(__xludf.DUMMYFUNCTION("""COMPUTED_VALUE"""),"CERAMIC BOWL WITH STRAWBERRY DESIGN")</f>
        <v>CERAMIC BOWL WITH STRAWBERRY DESIGN</v>
      </c>
      <c r="D252" s="2">
        <f>IFERROR(__xludf.DUMMYFUNCTION("""COMPUTED_VALUE"""),6.0)</f>
        <v>6</v>
      </c>
      <c r="E252" s="6">
        <f>IFERROR(__xludf.DUMMYFUNCTION("""COMPUTED_VALUE"""),40148.450694444444)</f>
        <v>40148.45069</v>
      </c>
      <c r="F252" s="2">
        <f>IFERROR(__xludf.DUMMYFUNCTION("""COMPUTED_VALUE"""),2.95)</f>
        <v>2.95</v>
      </c>
      <c r="G252" s="2">
        <f>IFERROR(__xludf.DUMMYFUNCTION("""COMPUTED_VALUE"""),17865.0)</f>
        <v>17865</v>
      </c>
      <c r="H252" s="2" t="str">
        <f>IFERROR(__xludf.DUMMYFUNCTION("""COMPUTED_VALUE"""),"United Kingdom")</f>
        <v>United Kingdom</v>
      </c>
      <c r="I252" s="7">
        <f>IFERROR(__xludf.DUMMYFUNCTION("""COMPUTED_VALUE"""),40148.0)</f>
        <v>40148</v>
      </c>
      <c r="J252" s="8">
        <f>IFERROR(__xludf.DUMMYFUNCTION("""COMPUTED_VALUE"""),0.4506944444437977)</f>
        <v>0.4506944444</v>
      </c>
      <c r="K252" s="2">
        <f>IFERROR(__xludf.DUMMYFUNCTION("""COMPUTED_VALUE"""),10.0)</f>
        <v>10</v>
      </c>
      <c r="L252" s="2">
        <f>IFERROR(__xludf.DUMMYFUNCTION("""COMPUTED_VALUE"""),17.7)</f>
        <v>17.7</v>
      </c>
    </row>
    <row r="253">
      <c r="A253" s="2">
        <f>IFERROR(__xludf.DUMMYFUNCTION("""COMPUTED_VALUE"""),489461.0)</f>
        <v>489461</v>
      </c>
      <c r="B253" s="2" t="str">
        <f>IFERROR(__xludf.DUMMYFUNCTION("""COMPUTED_VALUE"""),"37450")</f>
        <v>37450</v>
      </c>
      <c r="C253" s="2" t="str">
        <f>IFERROR(__xludf.DUMMYFUNCTION("""COMPUTED_VALUE"""),"CERAMIC CAKE BOWL + HANGING CAKES")</f>
        <v>CERAMIC CAKE BOWL + HANGING CAKES</v>
      </c>
      <c r="D253" s="2">
        <f>IFERROR(__xludf.DUMMYFUNCTION("""COMPUTED_VALUE"""),6.0)</f>
        <v>6</v>
      </c>
      <c r="E253" s="6">
        <f>IFERROR(__xludf.DUMMYFUNCTION("""COMPUTED_VALUE"""),40148.450694444444)</f>
        <v>40148.45069</v>
      </c>
      <c r="F253" s="2">
        <f>IFERROR(__xludf.DUMMYFUNCTION("""COMPUTED_VALUE"""),2.95)</f>
        <v>2.95</v>
      </c>
      <c r="G253" s="2">
        <f>IFERROR(__xludf.DUMMYFUNCTION("""COMPUTED_VALUE"""),17865.0)</f>
        <v>17865</v>
      </c>
      <c r="H253" s="2" t="str">
        <f>IFERROR(__xludf.DUMMYFUNCTION("""COMPUTED_VALUE"""),"United Kingdom")</f>
        <v>United Kingdom</v>
      </c>
      <c r="I253" s="7">
        <f>IFERROR(__xludf.DUMMYFUNCTION("""COMPUTED_VALUE"""),40148.0)</f>
        <v>40148</v>
      </c>
      <c r="J253" s="8">
        <f>IFERROR(__xludf.DUMMYFUNCTION("""COMPUTED_VALUE"""),0.4506944444437977)</f>
        <v>0.4506944444</v>
      </c>
      <c r="K253" s="2">
        <f>IFERROR(__xludf.DUMMYFUNCTION("""COMPUTED_VALUE"""),10.0)</f>
        <v>10</v>
      </c>
      <c r="L253" s="2">
        <f>IFERROR(__xludf.DUMMYFUNCTION("""COMPUTED_VALUE"""),17.7)</f>
        <v>17.7</v>
      </c>
    </row>
    <row r="254">
      <c r="A254" s="2">
        <f>IFERROR(__xludf.DUMMYFUNCTION("""COMPUTED_VALUE"""),489462.0)</f>
        <v>489462</v>
      </c>
      <c r="B254" s="2" t="str">
        <f>IFERROR(__xludf.DUMMYFUNCTION("""COMPUTED_VALUE"""),"90200A")</f>
        <v>90200A</v>
      </c>
      <c r="C254" s="2" t="str">
        <f>IFERROR(__xludf.DUMMYFUNCTION("""COMPUTED_VALUE"""),"PURPLE SWEETHEART BRACELET")</f>
        <v>PURPLE SWEETHEART BRACELET</v>
      </c>
      <c r="D254" s="2">
        <f>IFERROR(__xludf.DUMMYFUNCTION("""COMPUTED_VALUE"""),3.0)</f>
        <v>3</v>
      </c>
      <c r="E254" s="6">
        <f>IFERROR(__xludf.DUMMYFUNCTION("""COMPUTED_VALUE"""),40148.450694444444)</f>
        <v>40148.45069</v>
      </c>
      <c r="F254" s="2">
        <f>IFERROR(__xludf.DUMMYFUNCTION("""COMPUTED_VALUE"""),4.25)</f>
        <v>4.25</v>
      </c>
      <c r="G254" s="2">
        <f>IFERROR(__xludf.DUMMYFUNCTION("""COMPUTED_VALUE"""),17592.0)</f>
        <v>17592</v>
      </c>
      <c r="H254" s="2" t="str">
        <f>IFERROR(__xludf.DUMMYFUNCTION("""COMPUTED_VALUE"""),"United Kingdom")</f>
        <v>United Kingdom</v>
      </c>
      <c r="I254" s="7">
        <f>IFERROR(__xludf.DUMMYFUNCTION("""COMPUTED_VALUE"""),40148.0)</f>
        <v>40148</v>
      </c>
      <c r="J254" s="8">
        <f>IFERROR(__xludf.DUMMYFUNCTION("""COMPUTED_VALUE"""),0.4506944444437977)</f>
        <v>0.4506944444</v>
      </c>
      <c r="K254" s="2">
        <f>IFERROR(__xludf.DUMMYFUNCTION("""COMPUTED_VALUE"""),10.0)</f>
        <v>10</v>
      </c>
      <c r="L254" s="2">
        <f>IFERROR(__xludf.DUMMYFUNCTION("""COMPUTED_VALUE"""),12.75)</f>
        <v>12.75</v>
      </c>
    </row>
    <row r="255">
      <c r="A255" s="2">
        <f>IFERROR(__xludf.DUMMYFUNCTION("""COMPUTED_VALUE"""),489462.0)</f>
        <v>489462</v>
      </c>
      <c r="B255" s="2" t="str">
        <f>IFERROR(__xludf.DUMMYFUNCTION("""COMPUTED_VALUE"""),"90200C")</f>
        <v>90200C</v>
      </c>
      <c r="C255" s="2" t="str">
        <f>IFERROR(__xludf.DUMMYFUNCTION("""COMPUTED_VALUE"""),"BLUE SWEETHEART BRACELET")</f>
        <v>BLUE SWEETHEART BRACELET</v>
      </c>
      <c r="D255" s="2">
        <f>IFERROR(__xludf.DUMMYFUNCTION("""COMPUTED_VALUE"""),3.0)</f>
        <v>3</v>
      </c>
      <c r="E255" s="6">
        <f>IFERROR(__xludf.DUMMYFUNCTION("""COMPUTED_VALUE"""),40148.450694444444)</f>
        <v>40148.45069</v>
      </c>
      <c r="F255" s="2">
        <f>IFERROR(__xludf.DUMMYFUNCTION("""COMPUTED_VALUE"""),4.25)</f>
        <v>4.25</v>
      </c>
      <c r="G255" s="2">
        <f>IFERROR(__xludf.DUMMYFUNCTION("""COMPUTED_VALUE"""),17592.0)</f>
        <v>17592</v>
      </c>
      <c r="H255" s="2" t="str">
        <f>IFERROR(__xludf.DUMMYFUNCTION("""COMPUTED_VALUE"""),"United Kingdom")</f>
        <v>United Kingdom</v>
      </c>
      <c r="I255" s="7">
        <f>IFERROR(__xludf.DUMMYFUNCTION("""COMPUTED_VALUE"""),40148.0)</f>
        <v>40148</v>
      </c>
      <c r="J255" s="8">
        <f>IFERROR(__xludf.DUMMYFUNCTION("""COMPUTED_VALUE"""),0.4506944444437977)</f>
        <v>0.4506944444</v>
      </c>
      <c r="K255" s="2">
        <f>IFERROR(__xludf.DUMMYFUNCTION("""COMPUTED_VALUE"""),10.0)</f>
        <v>10</v>
      </c>
      <c r="L255" s="2">
        <f>IFERROR(__xludf.DUMMYFUNCTION("""COMPUTED_VALUE"""),12.75)</f>
        <v>12.75</v>
      </c>
    </row>
    <row r="256">
      <c r="A256" s="2">
        <f>IFERROR(__xludf.DUMMYFUNCTION("""COMPUTED_VALUE"""),489462.0)</f>
        <v>489462</v>
      </c>
      <c r="B256" s="2" t="str">
        <f>IFERROR(__xludf.DUMMYFUNCTION("""COMPUTED_VALUE"""),"90200B")</f>
        <v>90200B</v>
      </c>
      <c r="C256" s="2" t="str">
        <f>IFERROR(__xludf.DUMMYFUNCTION("""COMPUTED_VALUE"""),"BLACK SWEETHEART BRACELET")</f>
        <v>BLACK SWEETHEART BRACELET</v>
      </c>
      <c r="D256" s="2">
        <f>IFERROR(__xludf.DUMMYFUNCTION("""COMPUTED_VALUE"""),3.0)</f>
        <v>3</v>
      </c>
      <c r="E256" s="6">
        <f>IFERROR(__xludf.DUMMYFUNCTION("""COMPUTED_VALUE"""),40148.450694444444)</f>
        <v>40148.45069</v>
      </c>
      <c r="F256" s="2">
        <f>IFERROR(__xludf.DUMMYFUNCTION("""COMPUTED_VALUE"""),4.25)</f>
        <v>4.25</v>
      </c>
      <c r="G256" s="2">
        <f>IFERROR(__xludf.DUMMYFUNCTION("""COMPUTED_VALUE"""),17592.0)</f>
        <v>17592</v>
      </c>
      <c r="H256" s="2" t="str">
        <f>IFERROR(__xludf.DUMMYFUNCTION("""COMPUTED_VALUE"""),"United Kingdom")</f>
        <v>United Kingdom</v>
      </c>
      <c r="I256" s="7">
        <f>IFERROR(__xludf.DUMMYFUNCTION("""COMPUTED_VALUE"""),40148.0)</f>
        <v>40148</v>
      </c>
      <c r="J256" s="8">
        <f>IFERROR(__xludf.DUMMYFUNCTION("""COMPUTED_VALUE"""),0.4506944444437977)</f>
        <v>0.4506944444</v>
      </c>
      <c r="K256" s="2">
        <f>IFERROR(__xludf.DUMMYFUNCTION("""COMPUTED_VALUE"""),10.0)</f>
        <v>10</v>
      </c>
      <c r="L256" s="2">
        <f>IFERROR(__xludf.DUMMYFUNCTION("""COMPUTED_VALUE"""),12.75)</f>
        <v>12.75</v>
      </c>
    </row>
    <row r="257">
      <c r="A257" s="2">
        <f>IFERROR(__xludf.DUMMYFUNCTION("""COMPUTED_VALUE"""),489462.0)</f>
        <v>489462</v>
      </c>
      <c r="B257" s="2" t="str">
        <f>IFERROR(__xludf.DUMMYFUNCTION("""COMPUTED_VALUE"""),"90185C")</f>
        <v>90185C</v>
      </c>
      <c r="C257" s="2" t="str">
        <f>IFERROR(__xludf.DUMMYFUNCTION("""COMPUTED_VALUE"""),"BLACK DIAMANTE EXPANDABLE RING")</f>
        <v>BLACK DIAMANTE EXPANDABLE RING</v>
      </c>
      <c r="D257" s="2">
        <f>IFERROR(__xludf.DUMMYFUNCTION("""COMPUTED_VALUE"""),3.0)</f>
        <v>3</v>
      </c>
      <c r="E257" s="6">
        <f>IFERROR(__xludf.DUMMYFUNCTION("""COMPUTED_VALUE"""),40148.450694444444)</f>
        <v>40148.45069</v>
      </c>
      <c r="F257" s="2">
        <f>IFERROR(__xludf.DUMMYFUNCTION("""COMPUTED_VALUE"""),4.25)</f>
        <v>4.25</v>
      </c>
      <c r="G257" s="2">
        <f>IFERROR(__xludf.DUMMYFUNCTION("""COMPUTED_VALUE"""),17592.0)</f>
        <v>17592</v>
      </c>
      <c r="H257" s="2" t="str">
        <f>IFERROR(__xludf.DUMMYFUNCTION("""COMPUTED_VALUE"""),"United Kingdom")</f>
        <v>United Kingdom</v>
      </c>
      <c r="I257" s="7">
        <f>IFERROR(__xludf.DUMMYFUNCTION("""COMPUTED_VALUE"""),40148.0)</f>
        <v>40148</v>
      </c>
      <c r="J257" s="8">
        <f>IFERROR(__xludf.DUMMYFUNCTION("""COMPUTED_VALUE"""),0.4506944444437977)</f>
        <v>0.4506944444</v>
      </c>
      <c r="K257" s="2">
        <f>IFERROR(__xludf.DUMMYFUNCTION("""COMPUTED_VALUE"""),10.0)</f>
        <v>10</v>
      </c>
      <c r="L257" s="2">
        <f>IFERROR(__xludf.DUMMYFUNCTION("""COMPUTED_VALUE"""),12.75)</f>
        <v>12.75</v>
      </c>
    </row>
    <row r="258">
      <c r="A258" s="2">
        <f>IFERROR(__xludf.DUMMYFUNCTION("""COMPUTED_VALUE"""),489462.0)</f>
        <v>489462</v>
      </c>
      <c r="B258" s="2" t="str">
        <f>IFERROR(__xludf.DUMMYFUNCTION("""COMPUTED_VALUE"""),"90185B")</f>
        <v>90185B</v>
      </c>
      <c r="C258" s="2" t="str">
        <f>IFERROR(__xludf.DUMMYFUNCTION("""COMPUTED_VALUE"""),"AMETHYST DIAMANTE EXPANDABLE RING")</f>
        <v>AMETHYST DIAMANTE EXPANDABLE RING</v>
      </c>
      <c r="D258" s="2">
        <f>IFERROR(__xludf.DUMMYFUNCTION("""COMPUTED_VALUE"""),3.0)</f>
        <v>3</v>
      </c>
      <c r="E258" s="6">
        <f>IFERROR(__xludf.DUMMYFUNCTION("""COMPUTED_VALUE"""),40148.450694444444)</f>
        <v>40148.45069</v>
      </c>
      <c r="F258" s="2">
        <f>IFERROR(__xludf.DUMMYFUNCTION("""COMPUTED_VALUE"""),4.25)</f>
        <v>4.25</v>
      </c>
      <c r="G258" s="2">
        <f>IFERROR(__xludf.DUMMYFUNCTION("""COMPUTED_VALUE"""),17592.0)</f>
        <v>17592</v>
      </c>
      <c r="H258" s="2" t="str">
        <f>IFERROR(__xludf.DUMMYFUNCTION("""COMPUTED_VALUE"""),"United Kingdom")</f>
        <v>United Kingdom</v>
      </c>
      <c r="I258" s="7">
        <f>IFERROR(__xludf.DUMMYFUNCTION("""COMPUTED_VALUE"""),40148.0)</f>
        <v>40148</v>
      </c>
      <c r="J258" s="8">
        <f>IFERROR(__xludf.DUMMYFUNCTION("""COMPUTED_VALUE"""),0.4506944444437977)</f>
        <v>0.4506944444</v>
      </c>
      <c r="K258" s="2">
        <f>IFERROR(__xludf.DUMMYFUNCTION("""COMPUTED_VALUE"""),10.0)</f>
        <v>10</v>
      </c>
      <c r="L258" s="2">
        <f>IFERROR(__xludf.DUMMYFUNCTION("""COMPUTED_VALUE"""),12.75)</f>
        <v>12.75</v>
      </c>
    </row>
    <row r="259">
      <c r="A259" s="2">
        <f>IFERROR(__xludf.DUMMYFUNCTION("""COMPUTED_VALUE"""),489462.0)</f>
        <v>489462</v>
      </c>
      <c r="B259" s="2" t="str">
        <f>IFERROR(__xludf.DUMMYFUNCTION("""COMPUTED_VALUE"""),"90003C")</f>
        <v>90003C</v>
      </c>
      <c r="C259" s="2" t="str">
        <f>IFERROR(__xludf.DUMMYFUNCTION("""COMPUTED_VALUE"""),"MIDNIGHT BLUE PAIR HEART HAIR SLIDE")</f>
        <v>MIDNIGHT BLUE PAIR HEART HAIR SLIDE</v>
      </c>
      <c r="D259" s="2">
        <f>IFERROR(__xludf.DUMMYFUNCTION("""COMPUTED_VALUE"""),3.0)</f>
        <v>3</v>
      </c>
      <c r="E259" s="6">
        <f>IFERROR(__xludf.DUMMYFUNCTION("""COMPUTED_VALUE"""),40148.450694444444)</f>
        <v>40148.45069</v>
      </c>
      <c r="F259" s="2">
        <f>IFERROR(__xludf.DUMMYFUNCTION("""COMPUTED_VALUE"""),3.75)</f>
        <v>3.75</v>
      </c>
      <c r="G259" s="2">
        <f>IFERROR(__xludf.DUMMYFUNCTION("""COMPUTED_VALUE"""),17592.0)</f>
        <v>17592</v>
      </c>
      <c r="H259" s="2" t="str">
        <f>IFERROR(__xludf.DUMMYFUNCTION("""COMPUTED_VALUE"""),"United Kingdom")</f>
        <v>United Kingdom</v>
      </c>
      <c r="I259" s="7">
        <f>IFERROR(__xludf.DUMMYFUNCTION("""COMPUTED_VALUE"""),40148.0)</f>
        <v>40148</v>
      </c>
      <c r="J259" s="8">
        <f>IFERROR(__xludf.DUMMYFUNCTION("""COMPUTED_VALUE"""),0.4506944444437977)</f>
        <v>0.4506944444</v>
      </c>
      <c r="K259" s="2">
        <f>IFERROR(__xludf.DUMMYFUNCTION("""COMPUTED_VALUE"""),10.0)</f>
        <v>10</v>
      </c>
      <c r="L259" s="2">
        <f>IFERROR(__xludf.DUMMYFUNCTION("""COMPUTED_VALUE"""),11.25)</f>
        <v>11.25</v>
      </c>
    </row>
    <row r="260">
      <c r="A260" s="2">
        <f>IFERROR(__xludf.DUMMYFUNCTION("""COMPUTED_VALUE"""),489462.0)</f>
        <v>489462</v>
      </c>
      <c r="B260" s="2" t="str">
        <f>IFERROR(__xludf.DUMMYFUNCTION("""COMPUTED_VALUE"""),"90003D")</f>
        <v>90003D</v>
      </c>
      <c r="C260" s="2" t="str">
        <f>IFERROR(__xludf.DUMMYFUNCTION("""COMPUTED_VALUE"""),"CRYSTAL PAIR HEART HAIR SLIDES")</f>
        <v>CRYSTAL PAIR HEART HAIR SLIDES</v>
      </c>
      <c r="D260" s="2">
        <f>IFERROR(__xludf.DUMMYFUNCTION("""COMPUTED_VALUE"""),3.0)</f>
        <v>3</v>
      </c>
      <c r="E260" s="6">
        <f>IFERROR(__xludf.DUMMYFUNCTION("""COMPUTED_VALUE"""),40148.450694444444)</f>
        <v>40148.45069</v>
      </c>
      <c r="F260" s="2">
        <f>IFERROR(__xludf.DUMMYFUNCTION("""COMPUTED_VALUE"""),3.75)</f>
        <v>3.75</v>
      </c>
      <c r="G260" s="2">
        <f>IFERROR(__xludf.DUMMYFUNCTION("""COMPUTED_VALUE"""),17592.0)</f>
        <v>17592</v>
      </c>
      <c r="H260" s="2" t="str">
        <f>IFERROR(__xludf.DUMMYFUNCTION("""COMPUTED_VALUE"""),"United Kingdom")</f>
        <v>United Kingdom</v>
      </c>
      <c r="I260" s="7">
        <f>IFERROR(__xludf.DUMMYFUNCTION("""COMPUTED_VALUE"""),40148.0)</f>
        <v>40148</v>
      </c>
      <c r="J260" s="8">
        <f>IFERROR(__xludf.DUMMYFUNCTION("""COMPUTED_VALUE"""),0.4506944444437977)</f>
        <v>0.4506944444</v>
      </c>
      <c r="K260" s="2">
        <f>IFERROR(__xludf.DUMMYFUNCTION("""COMPUTED_VALUE"""),10.0)</f>
        <v>10</v>
      </c>
      <c r="L260" s="2">
        <f>IFERROR(__xludf.DUMMYFUNCTION("""COMPUTED_VALUE"""),11.25)</f>
        <v>11.25</v>
      </c>
    </row>
    <row r="261">
      <c r="A261" s="2">
        <f>IFERROR(__xludf.DUMMYFUNCTION("""COMPUTED_VALUE"""),489462.0)</f>
        <v>489462</v>
      </c>
      <c r="B261" s="2" t="str">
        <f>IFERROR(__xludf.DUMMYFUNCTION("""COMPUTED_VALUE"""),"90003B")</f>
        <v>90003B</v>
      </c>
      <c r="C261" s="2" t="str">
        <f>IFERROR(__xludf.DUMMYFUNCTION("""COMPUTED_VALUE"""),"ROSE COLOUR PAIR HEART HAIR SLIDES")</f>
        <v>ROSE COLOUR PAIR HEART HAIR SLIDES</v>
      </c>
      <c r="D261" s="2">
        <f>IFERROR(__xludf.DUMMYFUNCTION("""COMPUTED_VALUE"""),3.0)</f>
        <v>3</v>
      </c>
      <c r="E261" s="6">
        <f>IFERROR(__xludf.DUMMYFUNCTION("""COMPUTED_VALUE"""),40148.450694444444)</f>
        <v>40148.45069</v>
      </c>
      <c r="F261" s="2">
        <f>IFERROR(__xludf.DUMMYFUNCTION("""COMPUTED_VALUE"""),3.75)</f>
        <v>3.75</v>
      </c>
      <c r="G261" s="2">
        <f>IFERROR(__xludf.DUMMYFUNCTION("""COMPUTED_VALUE"""),17592.0)</f>
        <v>17592</v>
      </c>
      <c r="H261" s="2" t="str">
        <f>IFERROR(__xludf.DUMMYFUNCTION("""COMPUTED_VALUE"""),"United Kingdom")</f>
        <v>United Kingdom</v>
      </c>
      <c r="I261" s="7">
        <f>IFERROR(__xludf.DUMMYFUNCTION("""COMPUTED_VALUE"""),40148.0)</f>
        <v>40148</v>
      </c>
      <c r="J261" s="8">
        <f>IFERROR(__xludf.DUMMYFUNCTION("""COMPUTED_VALUE"""),0.4506944444437977)</f>
        <v>0.4506944444</v>
      </c>
      <c r="K261" s="2">
        <f>IFERROR(__xludf.DUMMYFUNCTION("""COMPUTED_VALUE"""),10.0)</f>
        <v>10</v>
      </c>
      <c r="L261" s="2">
        <f>IFERROR(__xludf.DUMMYFUNCTION("""COMPUTED_VALUE"""),11.25)</f>
        <v>11.25</v>
      </c>
    </row>
    <row r="262">
      <c r="A262" s="2">
        <f>IFERROR(__xludf.DUMMYFUNCTION("""COMPUTED_VALUE"""),489462.0)</f>
        <v>489462</v>
      </c>
      <c r="B262" s="2" t="str">
        <f>IFERROR(__xludf.DUMMYFUNCTION("""COMPUTED_VALUE"""),"90209C")</f>
        <v>90209C</v>
      </c>
      <c r="C262" s="2" t="str">
        <f>IFERROR(__xludf.DUMMYFUNCTION("""COMPUTED_VALUE"""),"PINK ENAMEL+GLASS HAIR COMB")</f>
        <v>PINK ENAMEL+GLASS HAIR COMB</v>
      </c>
      <c r="D262" s="2">
        <f>IFERROR(__xludf.DUMMYFUNCTION("""COMPUTED_VALUE"""),3.0)</f>
        <v>3</v>
      </c>
      <c r="E262" s="6">
        <f>IFERROR(__xludf.DUMMYFUNCTION("""COMPUTED_VALUE"""),40148.450694444444)</f>
        <v>40148.45069</v>
      </c>
      <c r="F262" s="2">
        <f>IFERROR(__xludf.DUMMYFUNCTION("""COMPUTED_VALUE"""),2.1)</f>
        <v>2.1</v>
      </c>
      <c r="G262" s="2">
        <f>IFERROR(__xludf.DUMMYFUNCTION("""COMPUTED_VALUE"""),17592.0)</f>
        <v>17592</v>
      </c>
      <c r="H262" s="2" t="str">
        <f>IFERROR(__xludf.DUMMYFUNCTION("""COMPUTED_VALUE"""),"United Kingdom")</f>
        <v>United Kingdom</v>
      </c>
      <c r="I262" s="7">
        <f>IFERROR(__xludf.DUMMYFUNCTION("""COMPUTED_VALUE"""),40148.0)</f>
        <v>40148</v>
      </c>
      <c r="J262" s="8">
        <f>IFERROR(__xludf.DUMMYFUNCTION("""COMPUTED_VALUE"""),0.4506944444437977)</f>
        <v>0.4506944444</v>
      </c>
      <c r="K262" s="2">
        <f>IFERROR(__xludf.DUMMYFUNCTION("""COMPUTED_VALUE"""),10.0)</f>
        <v>10</v>
      </c>
      <c r="L262" s="2">
        <f>IFERROR(__xludf.DUMMYFUNCTION("""COMPUTED_VALUE"""),6.3)</f>
        <v>6.3</v>
      </c>
    </row>
    <row r="263">
      <c r="A263" s="2">
        <f>IFERROR(__xludf.DUMMYFUNCTION("""COMPUTED_VALUE"""),489462.0)</f>
        <v>489462</v>
      </c>
      <c r="B263" s="2" t="str">
        <f>IFERROR(__xludf.DUMMYFUNCTION("""COMPUTED_VALUE"""),"90209A")</f>
        <v>90209A</v>
      </c>
      <c r="C263" s="2" t="str">
        <f>IFERROR(__xludf.DUMMYFUNCTION("""COMPUTED_VALUE"""),"PURPLE ENAMEL+GLASS HAIR COMB")</f>
        <v>PURPLE ENAMEL+GLASS HAIR COMB</v>
      </c>
      <c r="D263" s="2">
        <f>IFERROR(__xludf.DUMMYFUNCTION("""COMPUTED_VALUE"""),3.0)</f>
        <v>3</v>
      </c>
      <c r="E263" s="6">
        <f>IFERROR(__xludf.DUMMYFUNCTION("""COMPUTED_VALUE"""),40148.450694444444)</f>
        <v>40148.45069</v>
      </c>
      <c r="F263" s="2">
        <f>IFERROR(__xludf.DUMMYFUNCTION("""COMPUTED_VALUE"""),2.1)</f>
        <v>2.1</v>
      </c>
      <c r="G263" s="2">
        <f>IFERROR(__xludf.DUMMYFUNCTION("""COMPUTED_VALUE"""),17592.0)</f>
        <v>17592</v>
      </c>
      <c r="H263" s="2" t="str">
        <f>IFERROR(__xludf.DUMMYFUNCTION("""COMPUTED_VALUE"""),"United Kingdom")</f>
        <v>United Kingdom</v>
      </c>
      <c r="I263" s="7">
        <f>IFERROR(__xludf.DUMMYFUNCTION("""COMPUTED_VALUE"""),40148.0)</f>
        <v>40148</v>
      </c>
      <c r="J263" s="8">
        <f>IFERROR(__xludf.DUMMYFUNCTION("""COMPUTED_VALUE"""),0.4506944444437977)</f>
        <v>0.4506944444</v>
      </c>
      <c r="K263" s="2">
        <f>IFERROR(__xludf.DUMMYFUNCTION("""COMPUTED_VALUE"""),10.0)</f>
        <v>10</v>
      </c>
      <c r="L263" s="2">
        <f>IFERROR(__xludf.DUMMYFUNCTION("""COMPUTED_VALUE"""),6.3)</f>
        <v>6.3</v>
      </c>
    </row>
    <row r="264">
      <c r="A264" s="2">
        <f>IFERROR(__xludf.DUMMYFUNCTION("""COMPUTED_VALUE"""),489462.0)</f>
        <v>489462</v>
      </c>
      <c r="B264" s="2" t="str">
        <f>IFERROR(__xludf.DUMMYFUNCTION("""COMPUTED_VALUE"""),"90082D")</f>
        <v>90082D</v>
      </c>
      <c r="C264" s="2" t="str">
        <f>IFERROR(__xludf.DUMMYFUNCTION("""COMPUTED_VALUE"""),"DIAMANTE BOW BROOCH BLACK COLOUR")</f>
        <v>DIAMANTE BOW BROOCH BLACK COLOUR</v>
      </c>
      <c r="D264" s="2">
        <f>IFERROR(__xludf.DUMMYFUNCTION("""COMPUTED_VALUE"""),2.0)</f>
        <v>2</v>
      </c>
      <c r="E264" s="6">
        <f>IFERROR(__xludf.DUMMYFUNCTION("""COMPUTED_VALUE"""),40148.450694444444)</f>
        <v>40148.45069</v>
      </c>
      <c r="F264" s="2">
        <f>IFERROR(__xludf.DUMMYFUNCTION("""COMPUTED_VALUE"""),6.35)</f>
        <v>6.35</v>
      </c>
      <c r="G264" s="2">
        <f>IFERROR(__xludf.DUMMYFUNCTION("""COMPUTED_VALUE"""),17592.0)</f>
        <v>17592</v>
      </c>
      <c r="H264" s="2" t="str">
        <f>IFERROR(__xludf.DUMMYFUNCTION("""COMPUTED_VALUE"""),"United Kingdom")</f>
        <v>United Kingdom</v>
      </c>
      <c r="I264" s="7">
        <f>IFERROR(__xludf.DUMMYFUNCTION("""COMPUTED_VALUE"""),40148.0)</f>
        <v>40148</v>
      </c>
      <c r="J264" s="8">
        <f>IFERROR(__xludf.DUMMYFUNCTION("""COMPUTED_VALUE"""),0.4506944444437977)</f>
        <v>0.4506944444</v>
      </c>
      <c r="K264" s="2">
        <f>IFERROR(__xludf.DUMMYFUNCTION("""COMPUTED_VALUE"""),10.0)</f>
        <v>10</v>
      </c>
      <c r="L264" s="2">
        <f>IFERROR(__xludf.DUMMYFUNCTION("""COMPUTED_VALUE"""),12.7)</f>
        <v>12.7</v>
      </c>
    </row>
    <row r="265">
      <c r="A265" s="2">
        <f>IFERROR(__xludf.DUMMYFUNCTION("""COMPUTED_VALUE"""),489464.0)</f>
        <v>489464</v>
      </c>
      <c r="B265" s="2" t="str">
        <f>IFERROR(__xludf.DUMMYFUNCTION("""COMPUTED_VALUE"""),"21733")</f>
        <v>21733</v>
      </c>
      <c r="C265" s="2" t="str">
        <f>IFERROR(__xludf.DUMMYFUNCTION("""COMPUTED_VALUE"""),"85123a mixed")</f>
        <v>85123a mixed</v>
      </c>
      <c r="D265" s="2">
        <f>IFERROR(__xludf.DUMMYFUNCTION("""COMPUTED_VALUE"""),-96.0)</f>
        <v>-96</v>
      </c>
      <c r="E265" s="6">
        <f>IFERROR(__xludf.DUMMYFUNCTION("""COMPUTED_VALUE"""),40148.45277777778)</f>
        <v>40148.45278</v>
      </c>
      <c r="F265" s="2">
        <f>IFERROR(__xludf.DUMMYFUNCTION("""COMPUTED_VALUE"""),2.95)</f>
        <v>2.95</v>
      </c>
      <c r="G265" s="2"/>
      <c r="H265" s="2" t="str">
        <f>IFERROR(__xludf.DUMMYFUNCTION("""COMPUTED_VALUE"""),"United Kingdom")</f>
        <v>United Kingdom</v>
      </c>
      <c r="I265" s="7">
        <f>IFERROR(__xludf.DUMMYFUNCTION("""COMPUTED_VALUE"""),40148.0)</f>
        <v>40148</v>
      </c>
      <c r="J265" s="8">
        <f>IFERROR(__xludf.DUMMYFUNCTION("""COMPUTED_VALUE"""),0.45277777777664596)</f>
        <v>0.4527777778</v>
      </c>
      <c r="K265" s="2">
        <f>IFERROR(__xludf.DUMMYFUNCTION("""COMPUTED_VALUE"""),10.0)</f>
        <v>10</v>
      </c>
      <c r="L265" s="2">
        <f>IFERROR(__xludf.DUMMYFUNCTION("""COMPUTED_VALUE"""),-283.2)</f>
        <v>-283.2</v>
      </c>
    </row>
    <row r="266">
      <c r="A266" s="2">
        <f>IFERROR(__xludf.DUMMYFUNCTION("""COMPUTED_VALUE"""),489465.0)</f>
        <v>489465</v>
      </c>
      <c r="B266" s="2" t="str">
        <f>IFERROR(__xludf.DUMMYFUNCTION("""COMPUTED_VALUE"""),"21707")</f>
        <v>21707</v>
      </c>
      <c r="C266" s="2" t="str">
        <f>IFERROR(__xludf.DUMMYFUNCTION("""COMPUTED_VALUE"""),"FOLDING UMBRELLA , BLACK/BLUE SPOT")</f>
        <v>FOLDING UMBRELLA , BLACK/BLUE SPOT</v>
      </c>
      <c r="D266" s="2">
        <f>IFERROR(__xludf.DUMMYFUNCTION("""COMPUTED_VALUE"""),12.0)</f>
        <v>12</v>
      </c>
      <c r="E266" s="6">
        <f>IFERROR(__xludf.DUMMYFUNCTION("""COMPUTED_VALUE"""),40148.45277777778)</f>
        <v>40148.45278</v>
      </c>
      <c r="F266" s="2">
        <f>IFERROR(__xludf.DUMMYFUNCTION("""COMPUTED_VALUE"""),4.95)</f>
        <v>4.95</v>
      </c>
      <c r="G266" s="2">
        <f>IFERROR(__xludf.DUMMYFUNCTION("""COMPUTED_VALUE"""),13767.0)</f>
        <v>13767</v>
      </c>
      <c r="H266" s="2" t="str">
        <f>IFERROR(__xludf.DUMMYFUNCTION("""COMPUTED_VALUE"""),"United Kingdom")</f>
        <v>United Kingdom</v>
      </c>
      <c r="I266" s="7">
        <f>IFERROR(__xludf.DUMMYFUNCTION("""COMPUTED_VALUE"""),40148.0)</f>
        <v>40148</v>
      </c>
      <c r="J266" s="8">
        <f>IFERROR(__xludf.DUMMYFUNCTION("""COMPUTED_VALUE"""),0.45277777777664596)</f>
        <v>0.4527777778</v>
      </c>
      <c r="K266" s="2">
        <f>IFERROR(__xludf.DUMMYFUNCTION("""COMPUTED_VALUE"""),10.0)</f>
        <v>10</v>
      </c>
      <c r="L266" s="2">
        <f>IFERROR(__xludf.DUMMYFUNCTION("""COMPUTED_VALUE"""),59.4)</f>
        <v>59.4</v>
      </c>
    </row>
    <row r="267">
      <c r="A267" s="2">
        <f>IFERROR(__xludf.DUMMYFUNCTION("""COMPUTED_VALUE"""),489465.0)</f>
        <v>489465</v>
      </c>
      <c r="B267" s="2" t="str">
        <f>IFERROR(__xludf.DUMMYFUNCTION("""COMPUTED_VALUE"""),"21710")</f>
        <v>21710</v>
      </c>
      <c r="C267" s="2" t="str">
        <f>IFERROR(__xludf.DUMMYFUNCTION("""COMPUTED_VALUE"""),"FOLDING UMBRELLA PINK/WHITE SPOT")</f>
        <v>FOLDING UMBRELLA PINK/WHITE SPOT</v>
      </c>
      <c r="D267" s="2">
        <f>IFERROR(__xludf.DUMMYFUNCTION("""COMPUTED_VALUE"""),12.0)</f>
        <v>12</v>
      </c>
      <c r="E267" s="6">
        <f>IFERROR(__xludf.DUMMYFUNCTION("""COMPUTED_VALUE"""),40148.45277777778)</f>
        <v>40148.45278</v>
      </c>
      <c r="F267" s="2">
        <f>IFERROR(__xludf.DUMMYFUNCTION("""COMPUTED_VALUE"""),4.95)</f>
        <v>4.95</v>
      </c>
      <c r="G267" s="2">
        <f>IFERROR(__xludf.DUMMYFUNCTION("""COMPUTED_VALUE"""),13767.0)</f>
        <v>13767</v>
      </c>
      <c r="H267" s="2" t="str">
        <f>IFERROR(__xludf.DUMMYFUNCTION("""COMPUTED_VALUE"""),"United Kingdom")</f>
        <v>United Kingdom</v>
      </c>
      <c r="I267" s="7">
        <f>IFERROR(__xludf.DUMMYFUNCTION("""COMPUTED_VALUE"""),40148.0)</f>
        <v>40148</v>
      </c>
      <c r="J267" s="8">
        <f>IFERROR(__xludf.DUMMYFUNCTION("""COMPUTED_VALUE"""),0.45277777777664596)</f>
        <v>0.4527777778</v>
      </c>
      <c r="K267" s="2">
        <f>IFERROR(__xludf.DUMMYFUNCTION("""COMPUTED_VALUE"""),10.0)</f>
        <v>10</v>
      </c>
      <c r="L267" s="2">
        <f>IFERROR(__xludf.DUMMYFUNCTION("""COMPUTED_VALUE"""),59.4)</f>
        <v>59.4</v>
      </c>
    </row>
    <row r="268">
      <c r="A268" s="2">
        <f>IFERROR(__xludf.DUMMYFUNCTION("""COMPUTED_VALUE"""),489465.0)</f>
        <v>489465</v>
      </c>
      <c r="B268" s="2" t="str">
        <f>IFERROR(__xludf.DUMMYFUNCTION("""COMPUTED_VALUE"""),"21708")</f>
        <v>21708</v>
      </c>
      <c r="C268" s="2" t="str">
        <f>IFERROR(__xludf.DUMMYFUNCTION("""COMPUTED_VALUE"""),"FOLDING UMBRELLA CREAM/MULTI SPOT")</f>
        <v>FOLDING UMBRELLA CREAM/MULTI SPOT</v>
      </c>
      <c r="D268" s="2">
        <f>IFERROR(__xludf.DUMMYFUNCTION("""COMPUTED_VALUE"""),12.0)</f>
        <v>12</v>
      </c>
      <c r="E268" s="6">
        <f>IFERROR(__xludf.DUMMYFUNCTION("""COMPUTED_VALUE"""),40148.45277777778)</f>
        <v>40148.45278</v>
      </c>
      <c r="F268" s="2">
        <f>IFERROR(__xludf.DUMMYFUNCTION("""COMPUTED_VALUE"""),4.95)</f>
        <v>4.95</v>
      </c>
      <c r="G268" s="2">
        <f>IFERROR(__xludf.DUMMYFUNCTION("""COMPUTED_VALUE"""),13767.0)</f>
        <v>13767</v>
      </c>
      <c r="H268" s="2" t="str">
        <f>IFERROR(__xludf.DUMMYFUNCTION("""COMPUTED_VALUE"""),"United Kingdom")</f>
        <v>United Kingdom</v>
      </c>
      <c r="I268" s="7">
        <f>IFERROR(__xludf.DUMMYFUNCTION("""COMPUTED_VALUE"""),40148.0)</f>
        <v>40148</v>
      </c>
      <c r="J268" s="8">
        <f>IFERROR(__xludf.DUMMYFUNCTION("""COMPUTED_VALUE"""),0.45277777777664596)</f>
        <v>0.4527777778</v>
      </c>
      <c r="K268" s="2">
        <f>IFERROR(__xludf.DUMMYFUNCTION("""COMPUTED_VALUE"""),10.0)</f>
        <v>10</v>
      </c>
      <c r="L268" s="2">
        <f>IFERROR(__xludf.DUMMYFUNCTION("""COMPUTED_VALUE"""),59.4)</f>
        <v>59.4</v>
      </c>
    </row>
    <row r="269">
      <c r="A269" s="2">
        <f>IFERROR(__xludf.DUMMYFUNCTION("""COMPUTED_VALUE"""),489465.0)</f>
        <v>489465</v>
      </c>
      <c r="B269" s="2" t="str">
        <f>IFERROR(__xludf.DUMMYFUNCTION("""COMPUTED_VALUE"""),"21706")</f>
        <v>21706</v>
      </c>
      <c r="C269" s="2" t="str">
        <f>IFERROR(__xludf.DUMMYFUNCTION("""COMPUTED_VALUE"""),"FOLDING UMBRELLA , RED/WHITE SPOT")</f>
        <v>FOLDING UMBRELLA , RED/WHITE SPOT</v>
      </c>
      <c r="D269" s="2">
        <f>IFERROR(__xludf.DUMMYFUNCTION("""COMPUTED_VALUE"""),12.0)</f>
        <v>12</v>
      </c>
      <c r="E269" s="6">
        <f>IFERROR(__xludf.DUMMYFUNCTION("""COMPUTED_VALUE"""),40148.45277777778)</f>
        <v>40148.45278</v>
      </c>
      <c r="F269" s="2">
        <f>IFERROR(__xludf.DUMMYFUNCTION("""COMPUTED_VALUE"""),4.95)</f>
        <v>4.95</v>
      </c>
      <c r="G269" s="2">
        <f>IFERROR(__xludf.DUMMYFUNCTION("""COMPUTED_VALUE"""),13767.0)</f>
        <v>13767</v>
      </c>
      <c r="H269" s="2" t="str">
        <f>IFERROR(__xludf.DUMMYFUNCTION("""COMPUTED_VALUE"""),"United Kingdom")</f>
        <v>United Kingdom</v>
      </c>
      <c r="I269" s="7">
        <f>IFERROR(__xludf.DUMMYFUNCTION("""COMPUTED_VALUE"""),40148.0)</f>
        <v>40148</v>
      </c>
      <c r="J269" s="8">
        <f>IFERROR(__xludf.DUMMYFUNCTION("""COMPUTED_VALUE"""),0.45277777777664596)</f>
        <v>0.4527777778</v>
      </c>
      <c r="K269" s="2">
        <f>IFERROR(__xludf.DUMMYFUNCTION("""COMPUTED_VALUE"""),10.0)</f>
        <v>10</v>
      </c>
      <c r="L269" s="2">
        <f>IFERROR(__xludf.DUMMYFUNCTION("""COMPUTED_VALUE"""),59.4)</f>
        <v>59.4</v>
      </c>
    </row>
    <row r="270">
      <c r="A270" s="2">
        <f>IFERROR(__xludf.DUMMYFUNCTION("""COMPUTED_VALUE"""),489465.0)</f>
        <v>489465</v>
      </c>
      <c r="B270" s="2" t="str">
        <f>IFERROR(__xludf.DUMMYFUNCTION("""COMPUTED_VALUE"""),"21711")</f>
        <v>21711</v>
      </c>
      <c r="C270" s="2" t="str">
        <f>IFERROR(__xludf.DUMMYFUNCTION("""COMPUTED_VALUE"""),"FOLDING UMBRELLA WHITE/RED SPOT")</f>
        <v>FOLDING UMBRELLA WHITE/RED SPOT</v>
      </c>
      <c r="D270" s="2">
        <f>IFERROR(__xludf.DUMMYFUNCTION("""COMPUTED_VALUE"""),12.0)</f>
        <v>12</v>
      </c>
      <c r="E270" s="6">
        <f>IFERROR(__xludf.DUMMYFUNCTION("""COMPUTED_VALUE"""),40148.45277777778)</f>
        <v>40148.45278</v>
      </c>
      <c r="F270" s="2">
        <f>IFERROR(__xludf.DUMMYFUNCTION("""COMPUTED_VALUE"""),4.95)</f>
        <v>4.95</v>
      </c>
      <c r="G270" s="2">
        <f>IFERROR(__xludf.DUMMYFUNCTION("""COMPUTED_VALUE"""),13767.0)</f>
        <v>13767</v>
      </c>
      <c r="H270" s="2" t="str">
        <f>IFERROR(__xludf.DUMMYFUNCTION("""COMPUTED_VALUE"""),"United Kingdom")</f>
        <v>United Kingdom</v>
      </c>
      <c r="I270" s="7">
        <f>IFERROR(__xludf.DUMMYFUNCTION("""COMPUTED_VALUE"""),40148.0)</f>
        <v>40148</v>
      </c>
      <c r="J270" s="8">
        <f>IFERROR(__xludf.DUMMYFUNCTION("""COMPUTED_VALUE"""),0.45277777777664596)</f>
        <v>0.4527777778</v>
      </c>
      <c r="K270" s="2">
        <f>IFERROR(__xludf.DUMMYFUNCTION("""COMPUTED_VALUE"""),10.0)</f>
        <v>10</v>
      </c>
      <c r="L270" s="2">
        <f>IFERROR(__xludf.DUMMYFUNCTION("""COMPUTED_VALUE"""),59.4)</f>
        <v>59.4</v>
      </c>
    </row>
    <row r="271">
      <c r="A271" s="2">
        <f>IFERROR(__xludf.DUMMYFUNCTION("""COMPUTED_VALUE"""),489465.0)</f>
        <v>489465</v>
      </c>
      <c r="B271" s="2" t="str">
        <f>IFERROR(__xludf.DUMMYFUNCTION("""COMPUTED_VALUE"""),"20747")</f>
        <v>20747</v>
      </c>
      <c r="C271" s="2" t="str">
        <f>IFERROR(__xludf.DUMMYFUNCTION("""COMPUTED_VALUE"""),"PICCADILLY TEA SET")</f>
        <v>PICCADILLY TEA SET</v>
      </c>
      <c r="D271" s="2">
        <f>IFERROR(__xludf.DUMMYFUNCTION("""COMPUTED_VALUE"""),4.0)</f>
        <v>4</v>
      </c>
      <c r="E271" s="6">
        <f>IFERROR(__xludf.DUMMYFUNCTION("""COMPUTED_VALUE"""),40148.45277777778)</f>
        <v>40148.45278</v>
      </c>
      <c r="F271" s="2">
        <f>IFERROR(__xludf.DUMMYFUNCTION("""COMPUTED_VALUE"""),14.95)</f>
        <v>14.95</v>
      </c>
      <c r="G271" s="2">
        <f>IFERROR(__xludf.DUMMYFUNCTION("""COMPUTED_VALUE"""),13767.0)</f>
        <v>13767</v>
      </c>
      <c r="H271" s="2" t="str">
        <f>IFERROR(__xludf.DUMMYFUNCTION("""COMPUTED_VALUE"""),"United Kingdom")</f>
        <v>United Kingdom</v>
      </c>
      <c r="I271" s="7">
        <f>IFERROR(__xludf.DUMMYFUNCTION("""COMPUTED_VALUE"""),40148.0)</f>
        <v>40148</v>
      </c>
      <c r="J271" s="8">
        <f>IFERROR(__xludf.DUMMYFUNCTION("""COMPUTED_VALUE"""),0.45277777777664596)</f>
        <v>0.4527777778</v>
      </c>
      <c r="K271" s="2">
        <f>IFERROR(__xludf.DUMMYFUNCTION("""COMPUTED_VALUE"""),10.0)</f>
        <v>10</v>
      </c>
      <c r="L271" s="2">
        <f>IFERROR(__xludf.DUMMYFUNCTION("""COMPUTED_VALUE"""),59.8)</f>
        <v>59.8</v>
      </c>
    </row>
    <row r="272">
      <c r="A272" s="2">
        <f>IFERROR(__xludf.DUMMYFUNCTION("""COMPUTED_VALUE"""),489465.0)</f>
        <v>489465</v>
      </c>
      <c r="B272" s="2" t="str">
        <f>IFERROR(__xludf.DUMMYFUNCTION("""COMPUTED_VALUE"""),"22125")</f>
        <v>22125</v>
      </c>
      <c r="C272" s="2" t="str">
        <f>IFERROR(__xludf.DUMMYFUNCTION("""COMPUTED_VALUE"""),"UNION JACK HOT WATER BOTTLE")</f>
        <v>UNION JACK HOT WATER BOTTLE</v>
      </c>
      <c r="D272" s="2">
        <f>IFERROR(__xludf.DUMMYFUNCTION("""COMPUTED_VALUE"""),12.0)</f>
        <v>12</v>
      </c>
      <c r="E272" s="6">
        <f>IFERROR(__xludf.DUMMYFUNCTION("""COMPUTED_VALUE"""),40148.45277777778)</f>
        <v>40148.45278</v>
      </c>
      <c r="F272" s="2">
        <f>IFERROR(__xludf.DUMMYFUNCTION("""COMPUTED_VALUE"""),5.95)</f>
        <v>5.95</v>
      </c>
      <c r="G272" s="2">
        <f>IFERROR(__xludf.DUMMYFUNCTION("""COMPUTED_VALUE"""),13767.0)</f>
        <v>13767</v>
      </c>
      <c r="H272" s="2" t="str">
        <f>IFERROR(__xludf.DUMMYFUNCTION("""COMPUTED_VALUE"""),"United Kingdom")</f>
        <v>United Kingdom</v>
      </c>
      <c r="I272" s="7">
        <f>IFERROR(__xludf.DUMMYFUNCTION("""COMPUTED_VALUE"""),40148.0)</f>
        <v>40148</v>
      </c>
      <c r="J272" s="8">
        <f>IFERROR(__xludf.DUMMYFUNCTION("""COMPUTED_VALUE"""),0.45277777777664596)</f>
        <v>0.4527777778</v>
      </c>
      <c r="K272" s="2">
        <f>IFERROR(__xludf.DUMMYFUNCTION("""COMPUTED_VALUE"""),10.0)</f>
        <v>10</v>
      </c>
      <c r="L272" s="2">
        <f>IFERROR(__xludf.DUMMYFUNCTION("""COMPUTED_VALUE"""),71.4)</f>
        <v>71.4</v>
      </c>
    </row>
    <row r="273">
      <c r="A273" s="2">
        <f>IFERROR(__xludf.DUMMYFUNCTION("""COMPUTED_VALUE"""),489465.0)</f>
        <v>489465</v>
      </c>
      <c r="B273" s="2" t="str">
        <f>IFERROR(__xludf.DUMMYFUNCTION("""COMPUTED_VALUE"""),"85123A")</f>
        <v>85123A</v>
      </c>
      <c r="C273" s="2" t="str">
        <f>IFERROR(__xludf.DUMMYFUNCTION("""COMPUTED_VALUE"""),"WHITE HANGING HEART T-LIGHT HOLDER")</f>
        <v>WHITE HANGING HEART T-LIGHT HOLDER</v>
      </c>
      <c r="D273" s="2">
        <f>IFERROR(__xludf.DUMMYFUNCTION("""COMPUTED_VALUE"""),64.0)</f>
        <v>64</v>
      </c>
      <c r="E273" s="6">
        <f>IFERROR(__xludf.DUMMYFUNCTION("""COMPUTED_VALUE"""),40148.45277777778)</f>
        <v>40148.45278</v>
      </c>
      <c r="F273" s="2">
        <f>IFERROR(__xludf.DUMMYFUNCTION("""COMPUTED_VALUE"""),2.55)</f>
        <v>2.55</v>
      </c>
      <c r="G273" s="2">
        <f>IFERROR(__xludf.DUMMYFUNCTION("""COMPUTED_VALUE"""),13767.0)</f>
        <v>13767</v>
      </c>
      <c r="H273" s="2" t="str">
        <f>IFERROR(__xludf.DUMMYFUNCTION("""COMPUTED_VALUE"""),"United Kingdom")</f>
        <v>United Kingdom</v>
      </c>
      <c r="I273" s="7">
        <f>IFERROR(__xludf.DUMMYFUNCTION("""COMPUTED_VALUE"""),40148.0)</f>
        <v>40148</v>
      </c>
      <c r="J273" s="8">
        <f>IFERROR(__xludf.DUMMYFUNCTION("""COMPUTED_VALUE"""),0.45277777777664596)</f>
        <v>0.4527777778</v>
      </c>
      <c r="K273" s="2">
        <f>IFERROR(__xludf.DUMMYFUNCTION("""COMPUTED_VALUE"""),10.0)</f>
        <v>10</v>
      </c>
      <c r="L273" s="2">
        <f>IFERROR(__xludf.DUMMYFUNCTION("""COMPUTED_VALUE"""),163.2)</f>
        <v>163.2</v>
      </c>
    </row>
    <row r="274">
      <c r="A274" s="2">
        <f>IFERROR(__xludf.DUMMYFUNCTION("""COMPUTED_VALUE"""),489465.0)</f>
        <v>489465</v>
      </c>
      <c r="B274" s="2" t="str">
        <f>IFERROR(__xludf.DUMMYFUNCTION("""COMPUTED_VALUE"""),"21733")</f>
        <v>21733</v>
      </c>
      <c r="C274" s="2" t="str">
        <f>IFERROR(__xludf.DUMMYFUNCTION("""COMPUTED_VALUE"""),"RED HANGING HEART T-LIGHT HOLDER")</f>
        <v>RED HANGING HEART T-LIGHT HOLDER</v>
      </c>
      <c r="D274" s="2">
        <f>IFERROR(__xludf.DUMMYFUNCTION("""COMPUTED_VALUE"""),20.0)</f>
        <v>20</v>
      </c>
      <c r="E274" s="6">
        <f>IFERROR(__xludf.DUMMYFUNCTION("""COMPUTED_VALUE"""),40148.45277777778)</f>
        <v>40148.45278</v>
      </c>
      <c r="F274" s="2">
        <f>IFERROR(__xludf.DUMMYFUNCTION("""COMPUTED_VALUE"""),2.95)</f>
        <v>2.95</v>
      </c>
      <c r="G274" s="2">
        <f>IFERROR(__xludf.DUMMYFUNCTION("""COMPUTED_VALUE"""),13767.0)</f>
        <v>13767</v>
      </c>
      <c r="H274" s="2" t="str">
        <f>IFERROR(__xludf.DUMMYFUNCTION("""COMPUTED_VALUE"""),"United Kingdom")</f>
        <v>United Kingdom</v>
      </c>
      <c r="I274" s="7">
        <f>IFERROR(__xludf.DUMMYFUNCTION("""COMPUTED_VALUE"""),40148.0)</f>
        <v>40148</v>
      </c>
      <c r="J274" s="8">
        <f>IFERROR(__xludf.DUMMYFUNCTION("""COMPUTED_VALUE"""),0.45277777777664596)</f>
        <v>0.4527777778</v>
      </c>
      <c r="K274" s="2">
        <f>IFERROR(__xludf.DUMMYFUNCTION("""COMPUTED_VALUE"""),10.0)</f>
        <v>10</v>
      </c>
      <c r="L274" s="2">
        <f>IFERROR(__xludf.DUMMYFUNCTION("""COMPUTED_VALUE"""),59.0)</f>
        <v>59</v>
      </c>
    </row>
    <row r="275">
      <c r="A275" s="2">
        <f>IFERROR(__xludf.DUMMYFUNCTION("""COMPUTED_VALUE"""),489465.0)</f>
        <v>489465</v>
      </c>
      <c r="B275" s="2" t="str">
        <f>IFERROR(__xludf.DUMMYFUNCTION("""COMPUTED_VALUE"""),"20752")</f>
        <v>20752</v>
      </c>
      <c r="C275" s="2" t="str">
        <f>IFERROR(__xludf.DUMMYFUNCTION("""COMPUTED_VALUE"""),"RETRO BLUE SPOTTY WASHING UP GLOVES")</f>
        <v>RETRO BLUE SPOTTY WASHING UP GLOVES</v>
      </c>
      <c r="D275" s="2">
        <f>IFERROR(__xludf.DUMMYFUNCTION("""COMPUTED_VALUE"""),8.0)</f>
        <v>8</v>
      </c>
      <c r="E275" s="6">
        <f>IFERROR(__xludf.DUMMYFUNCTION("""COMPUTED_VALUE"""),40148.45277777778)</f>
        <v>40148.45278</v>
      </c>
      <c r="F275" s="2">
        <f>IFERROR(__xludf.DUMMYFUNCTION("""COMPUTED_VALUE"""),2.1)</f>
        <v>2.1</v>
      </c>
      <c r="G275" s="2">
        <f>IFERROR(__xludf.DUMMYFUNCTION("""COMPUTED_VALUE"""),13767.0)</f>
        <v>13767</v>
      </c>
      <c r="H275" s="2" t="str">
        <f>IFERROR(__xludf.DUMMYFUNCTION("""COMPUTED_VALUE"""),"United Kingdom")</f>
        <v>United Kingdom</v>
      </c>
      <c r="I275" s="7">
        <f>IFERROR(__xludf.DUMMYFUNCTION("""COMPUTED_VALUE"""),40148.0)</f>
        <v>40148</v>
      </c>
      <c r="J275" s="8">
        <f>IFERROR(__xludf.DUMMYFUNCTION("""COMPUTED_VALUE"""),0.45277777777664596)</f>
        <v>0.4527777778</v>
      </c>
      <c r="K275" s="2">
        <f>IFERROR(__xludf.DUMMYFUNCTION("""COMPUTED_VALUE"""),10.0)</f>
        <v>10</v>
      </c>
      <c r="L275" s="2">
        <f>IFERROR(__xludf.DUMMYFUNCTION("""COMPUTED_VALUE"""),16.8)</f>
        <v>16.8</v>
      </c>
    </row>
    <row r="276">
      <c r="A276" s="2">
        <f>IFERROR(__xludf.DUMMYFUNCTION("""COMPUTED_VALUE"""),489465.0)</f>
        <v>489465</v>
      </c>
      <c r="B276" s="2" t="str">
        <f>IFERROR(__xludf.DUMMYFUNCTION("""COMPUTED_VALUE"""),"20753")</f>
        <v>20753</v>
      </c>
      <c r="C276" s="2" t="str">
        <f>IFERROR(__xludf.DUMMYFUNCTION("""COMPUTED_VALUE"""),"RETRO PINK SPOT WASHING UP GLOVES")</f>
        <v>RETRO PINK SPOT WASHING UP GLOVES</v>
      </c>
      <c r="D276" s="2">
        <f>IFERROR(__xludf.DUMMYFUNCTION("""COMPUTED_VALUE"""),8.0)</f>
        <v>8</v>
      </c>
      <c r="E276" s="6">
        <f>IFERROR(__xludf.DUMMYFUNCTION("""COMPUTED_VALUE"""),40148.45277777778)</f>
        <v>40148.45278</v>
      </c>
      <c r="F276" s="2">
        <f>IFERROR(__xludf.DUMMYFUNCTION("""COMPUTED_VALUE"""),2.1)</f>
        <v>2.1</v>
      </c>
      <c r="G276" s="2">
        <f>IFERROR(__xludf.DUMMYFUNCTION("""COMPUTED_VALUE"""),13767.0)</f>
        <v>13767</v>
      </c>
      <c r="H276" s="2" t="str">
        <f>IFERROR(__xludf.DUMMYFUNCTION("""COMPUTED_VALUE"""),"United Kingdom")</f>
        <v>United Kingdom</v>
      </c>
      <c r="I276" s="7">
        <f>IFERROR(__xludf.DUMMYFUNCTION("""COMPUTED_VALUE"""),40148.0)</f>
        <v>40148</v>
      </c>
      <c r="J276" s="8">
        <f>IFERROR(__xludf.DUMMYFUNCTION("""COMPUTED_VALUE"""),0.45277777777664596)</f>
        <v>0.4527777778</v>
      </c>
      <c r="K276" s="2">
        <f>IFERROR(__xludf.DUMMYFUNCTION("""COMPUTED_VALUE"""),10.0)</f>
        <v>10</v>
      </c>
      <c r="L276" s="2">
        <f>IFERROR(__xludf.DUMMYFUNCTION("""COMPUTED_VALUE"""),16.8)</f>
        <v>16.8</v>
      </c>
    </row>
    <row r="277">
      <c r="A277" s="2">
        <f>IFERROR(__xludf.DUMMYFUNCTION("""COMPUTED_VALUE"""),489465.0)</f>
        <v>489465</v>
      </c>
      <c r="B277" s="2" t="str">
        <f>IFERROR(__xludf.DUMMYFUNCTION("""COMPUTED_VALUE"""),"20754")</f>
        <v>20754</v>
      </c>
      <c r="C277" s="2" t="str">
        <f>IFERROR(__xludf.DUMMYFUNCTION("""COMPUTED_VALUE"""),"RETRO RED SPOTTY WASHING UP GLOVES")</f>
        <v>RETRO RED SPOTTY WASHING UP GLOVES</v>
      </c>
      <c r="D277" s="2">
        <f>IFERROR(__xludf.DUMMYFUNCTION("""COMPUTED_VALUE"""),8.0)</f>
        <v>8</v>
      </c>
      <c r="E277" s="6">
        <f>IFERROR(__xludf.DUMMYFUNCTION("""COMPUTED_VALUE"""),40148.45277777778)</f>
        <v>40148.45278</v>
      </c>
      <c r="F277" s="2">
        <f>IFERROR(__xludf.DUMMYFUNCTION("""COMPUTED_VALUE"""),2.1)</f>
        <v>2.1</v>
      </c>
      <c r="G277" s="2">
        <f>IFERROR(__xludf.DUMMYFUNCTION("""COMPUTED_VALUE"""),13767.0)</f>
        <v>13767</v>
      </c>
      <c r="H277" s="2" t="str">
        <f>IFERROR(__xludf.DUMMYFUNCTION("""COMPUTED_VALUE"""),"United Kingdom")</f>
        <v>United Kingdom</v>
      </c>
      <c r="I277" s="7">
        <f>IFERROR(__xludf.DUMMYFUNCTION("""COMPUTED_VALUE"""),40148.0)</f>
        <v>40148</v>
      </c>
      <c r="J277" s="8">
        <f>IFERROR(__xludf.DUMMYFUNCTION("""COMPUTED_VALUE"""),0.45277777777664596)</f>
        <v>0.4527777778</v>
      </c>
      <c r="K277" s="2">
        <f>IFERROR(__xludf.DUMMYFUNCTION("""COMPUTED_VALUE"""),10.0)</f>
        <v>10</v>
      </c>
      <c r="L277" s="2">
        <f>IFERROR(__xludf.DUMMYFUNCTION("""COMPUTED_VALUE"""),16.8)</f>
        <v>16.8</v>
      </c>
    </row>
    <row r="278">
      <c r="A278" s="2">
        <f>IFERROR(__xludf.DUMMYFUNCTION("""COMPUTED_VALUE"""),489465.0)</f>
        <v>489465</v>
      </c>
      <c r="B278" s="2" t="str">
        <f>IFERROR(__xludf.DUMMYFUNCTION("""COMPUTED_VALUE"""),"20751")</f>
        <v>20751</v>
      </c>
      <c r="C278" s="2" t="str">
        <f>IFERROR(__xludf.DUMMYFUNCTION("""COMPUTED_VALUE"""),"FUNKY WASHING UP GLOVES ASSORTED")</f>
        <v>FUNKY WASHING UP GLOVES ASSORTED</v>
      </c>
      <c r="D278" s="2">
        <f>IFERROR(__xludf.DUMMYFUNCTION("""COMPUTED_VALUE"""),12.0)</f>
        <v>12</v>
      </c>
      <c r="E278" s="6">
        <f>IFERROR(__xludf.DUMMYFUNCTION("""COMPUTED_VALUE"""),40148.45277777778)</f>
        <v>40148.45278</v>
      </c>
      <c r="F278" s="2">
        <f>IFERROR(__xludf.DUMMYFUNCTION("""COMPUTED_VALUE"""),2.1)</f>
        <v>2.1</v>
      </c>
      <c r="G278" s="2">
        <f>IFERROR(__xludf.DUMMYFUNCTION("""COMPUTED_VALUE"""),13767.0)</f>
        <v>13767</v>
      </c>
      <c r="H278" s="2" t="str">
        <f>IFERROR(__xludf.DUMMYFUNCTION("""COMPUTED_VALUE"""),"United Kingdom")</f>
        <v>United Kingdom</v>
      </c>
      <c r="I278" s="7">
        <f>IFERROR(__xludf.DUMMYFUNCTION("""COMPUTED_VALUE"""),40148.0)</f>
        <v>40148</v>
      </c>
      <c r="J278" s="8">
        <f>IFERROR(__xludf.DUMMYFUNCTION("""COMPUTED_VALUE"""),0.45277777777664596)</f>
        <v>0.4527777778</v>
      </c>
      <c r="K278" s="2">
        <f>IFERROR(__xludf.DUMMYFUNCTION("""COMPUTED_VALUE"""),10.0)</f>
        <v>10</v>
      </c>
      <c r="L278" s="2">
        <f>IFERROR(__xludf.DUMMYFUNCTION("""COMPUTED_VALUE"""),25.2)</f>
        <v>25.2</v>
      </c>
    </row>
    <row r="279">
      <c r="A279" s="2">
        <f>IFERROR(__xludf.DUMMYFUNCTION("""COMPUTED_VALUE"""),489465.0)</f>
        <v>489465</v>
      </c>
      <c r="B279" s="2" t="str">
        <f>IFERROR(__xludf.DUMMYFUNCTION("""COMPUTED_VALUE"""),"48185")</f>
        <v>48185</v>
      </c>
      <c r="C279" s="2" t="str">
        <f>IFERROR(__xludf.DUMMYFUNCTION("""COMPUTED_VALUE"""),"DOOR MAT FAIRY CAKE")</f>
        <v>DOOR MAT FAIRY CAKE</v>
      </c>
      <c r="D279" s="2">
        <f>IFERROR(__xludf.DUMMYFUNCTION("""COMPUTED_VALUE"""),4.0)</f>
        <v>4</v>
      </c>
      <c r="E279" s="6">
        <f>IFERROR(__xludf.DUMMYFUNCTION("""COMPUTED_VALUE"""),40148.45277777778)</f>
        <v>40148.45278</v>
      </c>
      <c r="F279" s="2">
        <f>IFERROR(__xludf.DUMMYFUNCTION("""COMPUTED_VALUE"""),6.75)</f>
        <v>6.75</v>
      </c>
      <c r="G279" s="2">
        <f>IFERROR(__xludf.DUMMYFUNCTION("""COMPUTED_VALUE"""),13767.0)</f>
        <v>13767</v>
      </c>
      <c r="H279" s="2" t="str">
        <f>IFERROR(__xludf.DUMMYFUNCTION("""COMPUTED_VALUE"""),"United Kingdom")</f>
        <v>United Kingdom</v>
      </c>
      <c r="I279" s="7">
        <f>IFERROR(__xludf.DUMMYFUNCTION("""COMPUTED_VALUE"""),40148.0)</f>
        <v>40148</v>
      </c>
      <c r="J279" s="8">
        <f>IFERROR(__xludf.DUMMYFUNCTION("""COMPUTED_VALUE"""),0.45277777777664596)</f>
        <v>0.4527777778</v>
      </c>
      <c r="K279" s="2">
        <f>IFERROR(__xludf.DUMMYFUNCTION("""COMPUTED_VALUE"""),10.0)</f>
        <v>10</v>
      </c>
      <c r="L279" s="2">
        <f>IFERROR(__xludf.DUMMYFUNCTION("""COMPUTED_VALUE"""),27.0)</f>
        <v>27</v>
      </c>
    </row>
    <row r="280">
      <c r="A280" s="2">
        <f>IFERROR(__xludf.DUMMYFUNCTION("""COMPUTED_VALUE"""),489465.0)</f>
        <v>489465</v>
      </c>
      <c r="B280" s="2" t="str">
        <f>IFERROR(__xludf.DUMMYFUNCTION("""COMPUTED_VALUE"""),"22114")</f>
        <v>22114</v>
      </c>
      <c r="C280" s="2" t="str">
        <f>IFERROR(__xludf.DUMMYFUNCTION("""COMPUTED_VALUE"""),"HOT WATER BOTTLE TEA AND SYMPATHY")</f>
        <v>HOT WATER BOTTLE TEA AND SYMPATHY</v>
      </c>
      <c r="D280" s="2">
        <f>IFERROR(__xludf.DUMMYFUNCTION("""COMPUTED_VALUE"""),12.0)</f>
        <v>12</v>
      </c>
      <c r="E280" s="6">
        <f>IFERROR(__xludf.DUMMYFUNCTION("""COMPUTED_VALUE"""),40148.45277777778)</f>
        <v>40148.45278</v>
      </c>
      <c r="F280" s="2">
        <f>IFERROR(__xludf.DUMMYFUNCTION("""COMPUTED_VALUE"""),3.95)</f>
        <v>3.95</v>
      </c>
      <c r="G280" s="2">
        <f>IFERROR(__xludf.DUMMYFUNCTION("""COMPUTED_VALUE"""),13767.0)</f>
        <v>13767</v>
      </c>
      <c r="H280" s="2" t="str">
        <f>IFERROR(__xludf.DUMMYFUNCTION("""COMPUTED_VALUE"""),"United Kingdom")</f>
        <v>United Kingdom</v>
      </c>
      <c r="I280" s="7">
        <f>IFERROR(__xludf.DUMMYFUNCTION("""COMPUTED_VALUE"""),40148.0)</f>
        <v>40148</v>
      </c>
      <c r="J280" s="8">
        <f>IFERROR(__xludf.DUMMYFUNCTION("""COMPUTED_VALUE"""),0.45277777777664596)</f>
        <v>0.4527777778</v>
      </c>
      <c r="K280" s="2">
        <f>IFERROR(__xludf.DUMMYFUNCTION("""COMPUTED_VALUE"""),10.0)</f>
        <v>10</v>
      </c>
      <c r="L280" s="2">
        <f>IFERROR(__xludf.DUMMYFUNCTION("""COMPUTED_VALUE"""),47.4)</f>
        <v>47.4</v>
      </c>
    </row>
    <row r="281">
      <c r="A281" s="2">
        <f>IFERROR(__xludf.DUMMYFUNCTION("""COMPUTED_VALUE"""),489465.0)</f>
        <v>489465</v>
      </c>
      <c r="B281" s="2" t="str">
        <f>IFERROR(__xludf.DUMMYFUNCTION("""COMPUTED_VALUE"""),"21481")</f>
        <v>21481</v>
      </c>
      <c r="C281" s="2" t="str">
        <f>IFERROR(__xludf.DUMMYFUNCTION("""COMPUTED_VALUE"""),"FAWN BLUE HOT WATER BOTTLE")</f>
        <v>FAWN BLUE HOT WATER BOTTLE</v>
      </c>
      <c r="D281" s="2">
        <f>IFERROR(__xludf.DUMMYFUNCTION("""COMPUTED_VALUE"""),8.0)</f>
        <v>8</v>
      </c>
      <c r="E281" s="6">
        <f>IFERROR(__xludf.DUMMYFUNCTION("""COMPUTED_VALUE"""),40148.45277777778)</f>
        <v>40148.45278</v>
      </c>
      <c r="F281" s="2">
        <f>IFERROR(__xludf.DUMMYFUNCTION("""COMPUTED_VALUE"""),2.95)</f>
        <v>2.95</v>
      </c>
      <c r="G281" s="2">
        <f>IFERROR(__xludf.DUMMYFUNCTION("""COMPUTED_VALUE"""),13767.0)</f>
        <v>13767</v>
      </c>
      <c r="H281" s="2" t="str">
        <f>IFERROR(__xludf.DUMMYFUNCTION("""COMPUTED_VALUE"""),"United Kingdom")</f>
        <v>United Kingdom</v>
      </c>
      <c r="I281" s="7">
        <f>IFERROR(__xludf.DUMMYFUNCTION("""COMPUTED_VALUE"""),40148.0)</f>
        <v>40148</v>
      </c>
      <c r="J281" s="8">
        <f>IFERROR(__xludf.DUMMYFUNCTION("""COMPUTED_VALUE"""),0.45277777777664596)</f>
        <v>0.4527777778</v>
      </c>
      <c r="K281" s="2">
        <f>IFERROR(__xludf.DUMMYFUNCTION("""COMPUTED_VALUE"""),10.0)</f>
        <v>10</v>
      </c>
      <c r="L281" s="2">
        <f>IFERROR(__xludf.DUMMYFUNCTION("""COMPUTED_VALUE"""),23.6)</f>
        <v>23.6</v>
      </c>
    </row>
    <row r="282">
      <c r="A282" s="2">
        <f>IFERROR(__xludf.DUMMYFUNCTION("""COMPUTED_VALUE"""),489465.0)</f>
        <v>489465</v>
      </c>
      <c r="B282" s="2" t="str">
        <f>IFERROR(__xludf.DUMMYFUNCTION("""COMPUTED_VALUE"""),"85042")</f>
        <v>85042</v>
      </c>
      <c r="C282" s="2" t="str">
        <f>IFERROR(__xludf.DUMMYFUNCTION("""COMPUTED_VALUE"""),"ANTIQUE LILY FAIRY LIGHTS")</f>
        <v>ANTIQUE LILY FAIRY LIGHTS</v>
      </c>
      <c r="D282" s="2">
        <f>IFERROR(__xludf.DUMMYFUNCTION("""COMPUTED_VALUE"""),24.0)</f>
        <v>24</v>
      </c>
      <c r="E282" s="6">
        <f>IFERROR(__xludf.DUMMYFUNCTION("""COMPUTED_VALUE"""),40148.45277777778)</f>
        <v>40148.45278</v>
      </c>
      <c r="F282" s="2">
        <f>IFERROR(__xludf.DUMMYFUNCTION("""COMPUTED_VALUE"""),4.25)</f>
        <v>4.25</v>
      </c>
      <c r="G282" s="2">
        <f>IFERROR(__xludf.DUMMYFUNCTION("""COMPUTED_VALUE"""),13767.0)</f>
        <v>13767</v>
      </c>
      <c r="H282" s="2" t="str">
        <f>IFERROR(__xludf.DUMMYFUNCTION("""COMPUTED_VALUE"""),"United Kingdom")</f>
        <v>United Kingdom</v>
      </c>
      <c r="I282" s="7">
        <f>IFERROR(__xludf.DUMMYFUNCTION("""COMPUTED_VALUE"""),40148.0)</f>
        <v>40148</v>
      </c>
      <c r="J282" s="8">
        <f>IFERROR(__xludf.DUMMYFUNCTION("""COMPUTED_VALUE"""),0.45277777777664596)</f>
        <v>0.4527777778</v>
      </c>
      <c r="K282" s="2">
        <f>IFERROR(__xludf.DUMMYFUNCTION("""COMPUTED_VALUE"""),10.0)</f>
        <v>10</v>
      </c>
      <c r="L282" s="2">
        <f>IFERROR(__xludf.DUMMYFUNCTION("""COMPUTED_VALUE"""),102.0)</f>
        <v>102</v>
      </c>
    </row>
    <row r="283">
      <c r="A283" s="2">
        <f>IFERROR(__xludf.DUMMYFUNCTION("""COMPUTED_VALUE"""),489465.0)</f>
        <v>489465</v>
      </c>
      <c r="B283" s="2" t="str">
        <f>IFERROR(__xludf.DUMMYFUNCTION("""COMPUTED_VALUE"""),"72760B")</f>
        <v>72760B</v>
      </c>
      <c r="C283" s="2" t="str">
        <f>IFERROR(__xludf.DUMMYFUNCTION("""COMPUTED_VALUE"""),"VINTAGE CREAM 3 BASKET CAKE STAND")</f>
        <v>VINTAGE CREAM 3 BASKET CAKE STAND</v>
      </c>
      <c r="D283" s="2">
        <f>IFERROR(__xludf.DUMMYFUNCTION("""COMPUTED_VALUE"""),4.0)</f>
        <v>4</v>
      </c>
      <c r="E283" s="6">
        <f>IFERROR(__xludf.DUMMYFUNCTION("""COMPUTED_VALUE"""),40148.45277777778)</f>
        <v>40148.45278</v>
      </c>
      <c r="F283" s="2">
        <f>IFERROR(__xludf.DUMMYFUNCTION("""COMPUTED_VALUE"""),9.95)</f>
        <v>9.95</v>
      </c>
      <c r="G283" s="2">
        <f>IFERROR(__xludf.DUMMYFUNCTION("""COMPUTED_VALUE"""),13767.0)</f>
        <v>13767</v>
      </c>
      <c r="H283" s="2" t="str">
        <f>IFERROR(__xludf.DUMMYFUNCTION("""COMPUTED_VALUE"""),"United Kingdom")</f>
        <v>United Kingdom</v>
      </c>
      <c r="I283" s="7">
        <f>IFERROR(__xludf.DUMMYFUNCTION("""COMPUTED_VALUE"""),40148.0)</f>
        <v>40148</v>
      </c>
      <c r="J283" s="8">
        <f>IFERROR(__xludf.DUMMYFUNCTION("""COMPUTED_VALUE"""),0.45277777777664596)</f>
        <v>0.4527777778</v>
      </c>
      <c r="K283" s="2">
        <f>IFERROR(__xludf.DUMMYFUNCTION("""COMPUTED_VALUE"""),10.0)</f>
        <v>10</v>
      </c>
      <c r="L283" s="2">
        <f>IFERROR(__xludf.DUMMYFUNCTION("""COMPUTED_VALUE"""),39.8)</f>
        <v>39.8</v>
      </c>
    </row>
    <row r="284">
      <c r="A284" s="2">
        <f>IFERROR(__xludf.DUMMYFUNCTION("""COMPUTED_VALUE"""),489465.0)</f>
        <v>489465</v>
      </c>
      <c r="B284" s="2" t="str">
        <f>IFERROR(__xludf.DUMMYFUNCTION("""COMPUTED_VALUE"""),"84879")</f>
        <v>84879</v>
      </c>
      <c r="C284" s="2" t="str">
        <f>IFERROR(__xludf.DUMMYFUNCTION("""COMPUTED_VALUE"""),"ASSORTED COLOUR BIRD ORNAMENT")</f>
        <v>ASSORTED COLOUR BIRD ORNAMENT</v>
      </c>
      <c r="D284" s="2">
        <f>IFERROR(__xludf.DUMMYFUNCTION("""COMPUTED_VALUE"""),160.0)</f>
        <v>160</v>
      </c>
      <c r="E284" s="6">
        <f>IFERROR(__xludf.DUMMYFUNCTION("""COMPUTED_VALUE"""),40148.45277777778)</f>
        <v>40148.45278</v>
      </c>
      <c r="F284" s="2">
        <f>IFERROR(__xludf.DUMMYFUNCTION("""COMPUTED_VALUE"""),1.45)</f>
        <v>1.45</v>
      </c>
      <c r="G284" s="2">
        <f>IFERROR(__xludf.DUMMYFUNCTION("""COMPUTED_VALUE"""),13767.0)</f>
        <v>13767</v>
      </c>
      <c r="H284" s="2" t="str">
        <f>IFERROR(__xludf.DUMMYFUNCTION("""COMPUTED_VALUE"""),"United Kingdom")</f>
        <v>United Kingdom</v>
      </c>
      <c r="I284" s="7">
        <f>IFERROR(__xludf.DUMMYFUNCTION("""COMPUTED_VALUE"""),40148.0)</f>
        <v>40148</v>
      </c>
      <c r="J284" s="8">
        <f>IFERROR(__xludf.DUMMYFUNCTION("""COMPUTED_VALUE"""),0.45277777777664596)</f>
        <v>0.4527777778</v>
      </c>
      <c r="K284" s="2">
        <f>IFERROR(__xludf.DUMMYFUNCTION("""COMPUTED_VALUE"""),10.0)</f>
        <v>10</v>
      </c>
      <c r="L284" s="2">
        <f>IFERROR(__xludf.DUMMYFUNCTION("""COMPUTED_VALUE"""),232.0)</f>
        <v>232</v>
      </c>
    </row>
    <row r="285">
      <c r="A285" s="2">
        <f>IFERROR(__xludf.DUMMYFUNCTION("""COMPUTED_VALUE"""),489467.0)</f>
        <v>489467</v>
      </c>
      <c r="B285" s="2" t="str">
        <f>IFERROR(__xludf.DUMMYFUNCTION("""COMPUTED_VALUE"""),"85123A")</f>
        <v>85123A</v>
      </c>
      <c r="C285" s="2" t="str">
        <f>IFERROR(__xludf.DUMMYFUNCTION("""COMPUTED_VALUE"""),"21733 mixed")</f>
        <v>21733 mixed</v>
      </c>
      <c r="D285" s="2">
        <f>IFERROR(__xludf.DUMMYFUNCTION("""COMPUTED_VALUE"""),-192.0)</f>
        <v>-192</v>
      </c>
      <c r="E285" s="6">
        <f>IFERROR(__xludf.DUMMYFUNCTION("""COMPUTED_VALUE"""),40148.45347222222)</f>
        <v>40148.45347</v>
      </c>
      <c r="F285" s="2">
        <f>IFERROR(__xludf.DUMMYFUNCTION("""COMPUTED_VALUE"""),2.95)</f>
        <v>2.95</v>
      </c>
      <c r="G285" s="2"/>
      <c r="H285" s="2" t="str">
        <f>IFERROR(__xludf.DUMMYFUNCTION("""COMPUTED_VALUE"""),"United Kingdom")</f>
        <v>United Kingdom</v>
      </c>
      <c r="I285" s="7">
        <f>IFERROR(__xludf.DUMMYFUNCTION("""COMPUTED_VALUE"""),40148.0)</f>
        <v>40148</v>
      </c>
      <c r="J285" s="8">
        <f>IFERROR(__xludf.DUMMYFUNCTION("""COMPUTED_VALUE"""),0.45347222222335404)</f>
        <v>0.4534722222</v>
      </c>
      <c r="K285" s="2">
        <f>IFERROR(__xludf.DUMMYFUNCTION("""COMPUTED_VALUE"""),10.0)</f>
        <v>10</v>
      </c>
      <c r="L285" s="2">
        <f>IFERROR(__xludf.DUMMYFUNCTION("""COMPUTED_VALUE"""),-566.4)</f>
        <v>-566.4</v>
      </c>
    </row>
    <row r="286">
      <c r="A286" s="2"/>
      <c r="B286" s="2" t="str">
        <f>IFERROR(__xludf.DUMMYFUNCTION("""COMPUTED_VALUE"""),"22149")</f>
        <v>22149</v>
      </c>
      <c r="C286" s="2" t="str">
        <f>IFERROR(__xludf.DUMMYFUNCTION("""COMPUTED_VALUE"""),"FELTCRAFT 6 FLOWER FRIENDS")</f>
        <v>FELTCRAFT 6 FLOWER FRIENDS</v>
      </c>
      <c r="D286" s="2">
        <f>IFERROR(__xludf.DUMMYFUNCTION("""COMPUTED_VALUE"""),-6.0)</f>
        <v>-6</v>
      </c>
      <c r="E286" s="6">
        <f>IFERROR(__xludf.DUMMYFUNCTION("""COMPUTED_VALUE"""),40148.45486111111)</f>
        <v>40148.45486</v>
      </c>
      <c r="F286" s="2">
        <f>IFERROR(__xludf.DUMMYFUNCTION("""COMPUTED_VALUE"""),2.1)</f>
        <v>2.1</v>
      </c>
      <c r="G286" s="2">
        <f>IFERROR(__xludf.DUMMYFUNCTION("""COMPUTED_VALUE"""),13293.0)</f>
        <v>13293</v>
      </c>
      <c r="H286" s="2" t="str">
        <f>IFERROR(__xludf.DUMMYFUNCTION("""COMPUTED_VALUE"""),"United Kingdom")</f>
        <v>United Kingdom</v>
      </c>
      <c r="I286" s="7">
        <f>IFERROR(__xludf.DUMMYFUNCTION("""COMPUTED_VALUE"""),40148.0)</f>
        <v>40148</v>
      </c>
      <c r="J286" s="8">
        <f>IFERROR(__xludf.DUMMYFUNCTION("""COMPUTED_VALUE"""),0.45486111110949423)</f>
        <v>0.4548611111</v>
      </c>
      <c r="K286" s="2">
        <f>IFERROR(__xludf.DUMMYFUNCTION("""COMPUTED_VALUE"""),10.0)</f>
        <v>10</v>
      </c>
      <c r="L286" s="2">
        <f>IFERROR(__xludf.DUMMYFUNCTION("""COMPUTED_VALUE"""),-12.6)</f>
        <v>-12.6</v>
      </c>
    </row>
    <row r="287">
      <c r="A287" s="2">
        <f>IFERROR(__xludf.DUMMYFUNCTION("""COMPUTED_VALUE"""),489488.0)</f>
        <v>489488</v>
      </c>
      <c r="B287" s="2" t="str">
        <f>IFERROR(__xludf.DUMMYFUNCTION("""COMPUTED_VALUE"""),"84031B")</f>
        <v>84031B</v>
      </c>
      <c r="C287" s="2" t="str">
        <f>IFERROR(__xludf.DUMMYFUNCTION("""COMPUTED_VALUE"""),"CHARLIE LOLA BLUE HOT WATER BOTTLE")</f>
        <v>CHARLIE LOLA BLUE HOT WATER BOTTLE</v>
      </c>
      <c r="D287" s="2">
        <f>IFERROR(__xludf.DUMMYFUNCTION("""COMPUTED_VALUE"""),1.0)</f>
        <v>1</v>
      </c>
      <c r="E287" s="6">
        <f>IFERROR(__xludf.DUMMYFUNCTION("""COMPUTED_VALUE"""),40148.45763888889)</f>
        <v>40148.45764</v>
      </c>
      <c r="F287" s="2">
        <f>IFERROR(__xludf.DUMMYFUNCTION("""COMPUTED_VALUE"""),4.65)</f>
        <v>4.65</v>
      </c>
      <c r="G287" s="2">
        <f>IFERROR(__xludf.DUMMYFUNCTION("""COMPUTED_VALUE"""),17238.0)</f>
        <v>17238</v>
      </c>
      <c r="H287" s="2" t="str">
        <f>IFERROR(__xludf.DUMMYFUNCTION("""COMPUTED_VALUE"""),"United Kingdom")</f>
        <v>United Kingdom</v>
      </c>
      <c r="I287" s="7">
        <f>IFERROR(__xludf.DUMMYFUNCTION("""COMPUTED_VALUE"""),40148.0)</f>
        <v>40148</v>
      </c>
      <c r="J287" s="8">
        <f>IFERROR(__xludf.DUMMYFUNCTION("""COMPUTED_VALUE"""),0.4576388888890506)</f>
        <v>0.4576388889</v>
      </c>
      <c r="K287" s="2">
        <f>IFERROR(__xludf.DUMMYFUNCTION("""COMPUTED_VALUE"""),10.0)</f>
        <v>10</v>
      </c>
      <c r="L287" s="2">
        <f>IFERROR(__xludf.DUMMYFUNCTION("""COMPUTED_VALUE"""),4.65)</f>
        <v>4.65</v>
      </c>
    </row>
    <row r="288">
      <c r="A288" s="2">
        <f>IFERROR(__xludf.DUMMYFUNCTION("""COMPUTED_VALUE"""),489488.0)</f>
        <v>489488</v>
      </c>
      <c r="B288" s="2" t="str">
        <f>IFERROR(__xludf.DUMMYFUNCTION("""COMPUTED_VALUE"""),"84032A")</f>
        <v>84032A</v>
      </c>
      <c r="C288" s="2" t="str">
        <f>IFERROR(__xludf.DUMMYFUNCTION("""COMPUTED_VALUE"""),"CHARLIE+LOLA PINK HOT WATER BOTTLE")</f>
        <v>CHARLIE+LOLA PINK HOT WATER BOTTLE</v>
      </c>
      <c r="D288" s="2">
        <f>IFERROR(__xludf.DUMMYFUNCTION("""COMPUTED_VALUE"""),1.0)</f>
        <v>1</v>
      </c>
      <c r="E288" s="6">
        <f>IFERROR(__xludf.DUMMYFUNCTION("""COMPUTED_VALUE"""),40148.45763888889)</f>
        <v>40148.45764</v>
      </c>
      <c r="F288" s="2">
        <f>IFERROR(__xludf.DUMMYFUNCTION("""COMPUTED_VALUE"""),2.95)</f>
        <v>2.95</v>
      </c>
      <c r="G288" s="2">
        <f>IFERROR(__xludf.DUMMYFUNCTION("""COMPUTED_VALUE"""),17238.0)</f>
        <v>17238</v>
      </c>
      <c r="H288" s="2" t="str">
        <f>IFERROR(__xludf.DUMMYFUNCTION("""COMPUTED_VALUE"""),"United Kingdom")</f>
        <v>United Kingdom</v>
      </c>
      <c r="I288" s="7">
        <f>IFERROR(__xludf.DUMMYFUNCTION("""COMPUTED_VALUE"""),40148.0)</f>
        <v>40148</v>
      </c>
      <c r="J288" s="8">
        <f>IFERROR(__xludf.DUMMYFUNCTION("""COMPUTED_VALUE"""),0.4576388888890506)</f>
        <v>0.4576388889</v>
      </c>
      <c r="K288" s="2">
        <f>IFERROR(__xludf.DUMMYFUNCTION("""COMPUTED_VALUE"""),10.0)</f>
        <v>10</v>
      </c>
      <c r="L288" s="2">
        <f>IFERROR(__xludf.DUMMYFUNCTION("""COMPUTED_VALUE"""),2.95)</f>
        <v>2.95</v>
      </c>
    </row>
    <row r="289">
      <c r="A289" s="2">
        <f>IFERROR(__xludf.DUMMYFUNCTION("""COMPUTED_VALUE"""),489488.0)</f>
        <v>489488</v>
      </c>
      <c r="B289" s="2" t="str">
        <f>IFERROR(__xludf.DUMMYFUNCTION("""COMPUTED_VALUE"""),"84032B")</f>
        <v>84032B</v>
      </c>
      <c r="C289" s="2" t="str">
        <f>IFERROR(__xludf.DUMMYFUNCTION("""COMPUTED_VALUE"""),"CHARLIE + LOLA RED HOT WATER BOTTLE")</f>
        <v>CHARLIE + LOLA RED HOT WATER BOTTLE</v>
      </c>
      <c r="D289" s="2">
        <f>IFERROR(__xludf.DUMMYFUNCTION("""COMPUTED_VALUE"""),1.0)</f>
        <v>1</v>
      </c>
      <c r="E289" s="6">
        <f>IFERROR(__xludf.DUMMYFUNCTION("""COMPUTED_VALUE"""),40148.45763888889)</f>
        <v>40148.45764</v>
      </c>
      <c r="F289" s="2">
        <f>IFERROR(__xludf.DUMMYFUNCTION("""COMPUTED_VALUE"""),2.95)</f>
        <v>2.95</v>
      </c>
      <c r="G289" s="2">
        <f>IFERROR(__xludf.DUMMYFUNCTION("""COMPUTED_VALUE"""),17238.0)</f>
        <v>17238</v>
      </c>
      <c r="H289" s="2" t="str">
        <f>IFERROR(__xludf.DUMMYFUNCTION("""COMPUTED_VALUE"""),"United Kingdom")</f>
        <v>United Kingdom</v>
      </c>
      <c r="I289" s="7">
        <f>IFERROR(__xludf.DUMMYFUNCTION("""COMPUTED_VALUE"""),40148.0)</f>
        <v>40148</v>
      </c>
      <c r="J289" s="8">
        <f>IFERROR(__xludf.DUMMYFUNCTION("""COMPUTED_VALUE"""),0.4576388888890506)</f>
        <v>0.4576388889</v>
      </c>
      <c r="K289" s="2">
        <f>IFERROR(__xludf.DUMMYFUNCTION("""COMPUTED_VALUE"""),10.0)</f>
        <v>10</v>
      </c>
      <c r="L289" s="2">
        <f>IFERROR(__xludf.DUMMYFUNCTION("""COMPUTED_VALUE"""),2.95)</f>
        <v>2.95</v>
      </c>
    </row>
    <row r="290">
      <c r="A290" s="2">
        <f>IFERROR(__xludf.DUMMYFUNCTION("""COMPUTED_VALUE"""),489488.0)</f>
        <v>489488</v>
      </c>
      <c r="B290" s="2" t="str">
        <f>IFERROR(__xludf.DUMMYFUNCTION("""COMPUTED_VALUE"""),"22125")</f>
        <v>22125</v>
      </c>
      <c r="C290" s="2" t="str">
        <f>IFERROR(__xludf.DUMMYFUNCTION("""COMPUTED_VALUE"""),"UNION JACK HOT WATER BOTTLE")</f>
        <v>UNION JACK HOT WATER BOTTLE</v>
      </c>
      <c r="D290" s="2">
        <f>IFERROR(__xludf.DUMMYFUNCTION("""COMPUTED_VALUE"""),2.0)</f>
        <v>2</v>
      </c>
      <c r="E290" s="6">
        <f>IFERROR(__xludf.DUMMYFUNCTION("""COMPUTED_VALUE"""),40148.45763888889)</f>
        <v>40148.45764</v>
      </c>
      <c r="F290" s="2">
        <f>IFERROR(__xludf.DUMMYFUNCTION("""COMPUTED_VALUE"""),5.95)</f>
        <v>5.95</v>
      </c>
      <c r="G290" s="2">
        <f>IFERROR(__xludf.DUMMYFUNCTION("""COMPUTED_VALUE"""),17238.0)</f>
        <v>17238</v>
      </c>
      <c r="H290" s="2" t="str">
        <f>IFERROR(__xludf.DUMMYFUNCTION("""COMPUTED_VALUE"""),"United Kingdom")</f>
        <v>United Kingdom</v>
      </c>
      <c r="I290" s="7">
        <f>IFERROR(__xludf.DUMMYFUNCTION("""COMPUTED_VALUE"""),40148.0)</f>
        <v>40148</v>
      </c>
      <c r="J290" s="8">
        <f>IFERROR(__xludf.DUMMYFUNCTION("""COMPUTED_VALUE"""),0.4576388888890506)</f>
        <v>0.4576388889</v>
      </c>
      <c r="K290" s="2">
        <f>IFERROR(__xludf.DUMMYFUNCTION("""COMPUTED_VALUE"""),10.0)</f>
        <v>10</v>
      </c>
      <c r="L290" s="2">
        <f>IFERROR(__xludf.DUMMYFUNCTION("""COMPUTED_VALUE"""),11.9)</f>
        <v>11.9</v>
      </c>
    </row>
    <row r="291">
      <c r="A291" s="2">
        <f>IFERROR(__xludf.DUMMYFUNCTION("""COMPUTED_VALUE"""),489488.0)</f>
        <v>489488</v>
      </c>
      <c r="B291" s="2" t="str">
        <f>IFERROR(__xludf.DUMMYFUNCTION("""COMPUTED_VALUE"""),"21482")</f>
        <v>21482</v>
      </c>
      <c r="C291" s="2" t="str">
        <f>IFERROR(__xludf.DUMMYFUNCTION("""COMPUTED_VALUE"""),"MUSHROOM BLUE HOT WATER BOTTLE")</f>
        <v>MUSHROOM BLUE HOT WATER BOTTLE</v>
      </c>
      <c r="D291" s="2">
        <f>IFERROR(__xludf.DUMMYFUNCTION("""COMPUTED_VALUE"""),2.0)</f>
        <v>2</v>
      </c>
      <c r="E291" s="6">
        <f>IFERROR(__xludf.DUMMYFUNCTION("""COMPUTED_VALUE"""),40148.45763888889)</f>
        <v>40148.45764</v>
      </c>
      <c r="F291" s="2">
        <f>IFERROR(__xludf.DUMMYFUNCTION("""COMPUTED_VALUE"""),2.95)</f>
        <v>2.95</v>
      </c>
      <c r="G291" s="2">
        <f>IFERROR(__xludf.DUMMYFUNCTION("""COMPUTED_VALUE"""),17238.0)</f>
        <v>17238</v>
      </c>
      <c r="H291" s="2" t="str">
        <f>IFERROR(__xludf.DUMMYFUNCTION("""COMPUTED_VALUE"""),"United Kingdom")</f>
        <v>United Kingdom</v>
      </c>
      <c r="I291" s="7">
        <f>IFERROR(__xludf.DUMMYFUNCTION("""COMPUTED_VALUE"""),40148.0)</f>
        <v>40148</v>
      </c>
      <c r="J291" s="8">
        <f>IFERROR(__xludf.DUMMYFUNCTION("""COMPUTED_VALUE"""),0.4576388888890506)</f>
        <v>0.4576388889</v>
      </c>
      <c r="K291" s="2">
        <f>IFERROR(__xludf.DUMMYFUNCTION("""COMPUTED_VALUE"""),10.0)</f>
        <v>10</v>
      </c>
      <c r="L291" s="2">
        <f>IFERROR(__xludf.DUMMYFUNCTION("""COMPUTED_VALUE"""),5.9)</f>
        <v>5.9</v>
      </c>
    </row>
    <row r="292">
      <c r="A292" s="2">
        <f>IFERROR(__xludf.DUMMYFUNCTION("""COMPUTED_VALUE"""),489488.0)</f>
        <v>489488</v>
      </c>
      <c r="B292" s="2" t="str">
        <f>IFERROR(__xludf.DUMMYFUNCTION("""COMPUTED_VALUE"""),"21484")</f>
        <v>21484</v>
      </c>
      <c r="C292" s="2" t="str">
        <f>IFERROR(__xludf.DUMMYFUNCTION("""COMPUTED_VALUE"""),"CHICK GREY HOT WATER BOTTLE")</f>
        <v>CHICK GREY HOT WATER BOTTLE</v>
      </c>
      <c r="D292" s="2">
        <f>IFERROR(__xludf.DUMMYFUNCTION("""COMPUTED_VALUE"""),3.0)</f>
        <v>3</v>
      </c>
      <c r="E292" s="6">
        <f>IFERROR(__xludf.DUMMYFUNCTION("""COMPUTED_VALUE"""),40148.45763888889)</f>
        <v>40148.45764</v>
      </c>
      <c r="F292" s="2">
        <f>IFERROR(__xludf.DUMMYFUNCTION("""COMPUTED_VALUE"""),3.45)</f>
        <v>3.45</v>
      </c>
      <c r="G292" s="2">
        <f>IFERROR(__xludf.DUMMYFUNCTION("""COMPUTED_VALUE"""),17238.0)</f>
        <v>17238</v>
      </c>
      <c r="H292" s="2" t="str">
        <f>IFERROR(__xludf.DUMMYFUNCTION("""COMPUTED_VALUE"""),"United Kingdom")</f>
        <v>United Kingdom</v>
      </c>
      <c r="I292" s="7">
        <f>IFERROR(__xludf.DUMMYFUNCTION("""COMPUTED_VALUE"""),40148.0)</f>
        <v>40148</v>
      </c>
      <c r="J292" s="8">
        <f>IFERROR(__xludf.DUMMYFUNCTION("""COMPUTED_VALUE"""),0.4576388888890506)</f>
        <v>0.4576388889</v>
      </c>
      <c r="K292" s="2">
        <f>IFERROR(__xludf.DUMMYFUNCTION("""COMPUTED_VALUE"""),10.0)</f>
        <v>10</v>
      </c>
      <c r="L292" s="2">
        <f>IFERROR(__xludf.DUMMYFUNCTION("""COMPUTED_VALUE"""),10.35)</f>
        <v>10.35</v>
      </c>
    </row>
    <row r="293">
      <c r="A293" s="2">
        <f>IFERROR(__xludf.DUMMYFUNCTION("""COMPUTED_VALUE"""),489488.0)</f>
        <v>489488</v>
      </c>
      <c r="B293" s="2" t="str">
        <f>IFERROR(__xludf.DUMMYFUNCTION("""COMPUTED_VALUE"""),"20967")</f>
        <v>20967</v>
      </c>
      <c r="C293" s="2" t="str">
        <f>IFERROR(__xludf.DUMMYFUNCTION("""COMPUTED_VALUE"""),"GREY FLORAL FELTCRAFT SHOULDER BAG")</f>
        <v>GREY FLORAL FELTCRAFT SHOULDER BAG</v>
      </c>
      <c r="D293" s="2">
        <f>IFERROR(__xludf.DUMMYFUNCTION("""COMPUTED_VALUE"""),1.0)</f>
        <v>1</v>
      </c>
      <c r="E293" s="6">
        <f>IFERROR(__xludf.DUMMYFUNCTION("""COMPUTED_VALUE"""),40148.45763888889)</f>
        <v>40148.45764</v>
      </c>
      <c r="F293" s="2">
        <f>IFERROR(__xludf.DUMMYFUNCTION("""COMPUTED_VALUE"""),3.75)</f>
        <v>3.75</v>
      </c>
      <c r="G293" s="2">
        <f>IFERROR(__xludf.DUMMYFUNCTION("""COMPUTED_VALUE"""),17238.0)</f>
        <v>17238</v>
      </c>
      <c r="H293" s="2" t="str">
        <f>IFERROR(__xludf.DUMMYFUNCTION("""COMPUTED_VALUE"""),"United Kingdom")</f>
        <v>United Kingdom</v>
      </c>
      <c r="I293" s="7">
        <f>IFERROR(__xludf.DUMMYFUNCTION("""COMPUTED_VALUE"""),40148.0)</f>
        <v>40148</v>
      </c>
      <c r="J293" s="8">
        <f>IFERROR(__xludf.DUMMYFUNCTION("""COMPUTED_VALUE"""),0.4576388888890506)</f>
        <v>0.4576388889</v>
      </c>
      <c r="K293" s="2">
        <f>IFERROR(__xludf.DUMMYFUNCTION("""COMPUTED_VALUE"""),10.0)</f>
        <v>10</v>
      </c>
      <c r="L293" s="2">
        <f>IFERROR(__xludf.DUMMYFUNCTION("""COMPUTED_VALUE"""),3.75)</f>
        <v>3.75</v>
      </c>
    </row>
    <row r="294">
      <c r="A294" s="2">
        <f>IFERROR(__xludf.DUMMYFUNCTION("""COMPUTED_VALUE"""),489488.0)</f>
        <v>489488</v>
      </c>
      <c r="B294" s="2" t="str">
        <f>IFERROR(__xludf.DUMMYFUNCTION("""COMPUTED_VALUE"""),"20970")</f>
        <v>20970</v>
      </c>
      <c r="C294" s="2" t="str">
        <f>IFERROR(__xludf.DUMMYFUNCTION("""COMPUTED_VALUE"""),"PINK FLORAL FELTCRAFT SHOULDER BAG")</f>
        <v>PINK FLORAL FELTCRAFT SHOULDER BAG</v>
      </c>
      <c r="D294" s="2">
        <f>IFERROR(__xludf.DUMMYFUNCTION("""COMPUTED_VALUE"""),2.0)</f>
        <v>2</v>
      </c>
      <c r="E294" s="6">
        <f>IFERROR(__xludf.DUMMYFUNCTION("""COMPUTED_VALUE"""),40148.45763888889)</f>
        <v>40148.45764</v>
      </c>
      <c r="F294" s="2">
        <f>IFERROR(__xludf.DUMMYFUNCTION("""COMPUTED_VALUE"""),3.75)</f>
        <v>3.75</v>
      </c>
      <c r="G294" s="2">
        <f>IFERROR(__xludf.DUMMYFUNCTION("""COMPUTED_VALUE"""),17238.0)</f>
        <v>17238</v>
      </c>
      <c r="H294" s="2" t="str">
        <f>IFERROR(__xludf.DUMMYFUNCTION("""COMPUTED_VALUE"""),"United Kingdom")</f>
        <v>United Kingdom</v>
      </c>
      <c r="I294" s="7">
        <f>IFERROR(__xludf.DUMMYFUNCTION("""COMPUTED_VALUE"""),40148.0)</f>
        <v>40148</v>
      </c>
      <c r="J294" s="8">
        <f>IFERROR(__xludf.DUMMYFUNCTION("""COMPUTED_VALUE"""),0.4576388888890506)</f>
        <v>0.4576388889</v>
      </c>
      <c r="K294" s="2">
        <f>IFERROR(__xludf.DUMMYFUNCTION("""COMPUTED_VALUE"""),10.0)</f>
        <v>10</v>
      </c>
      <c r="L294" s="2">
        <f>IFERROR(__xludf.DUMMYFUNCTION("""COMPUTED_VALUE"""),7.5)</f>
        <v>7.5</v>
      </c>
    </row>
    <row r="295">
      <c r="A295" s="2">
        <f>IFERROR(__xludf.DUMMYFUNCTION("""COMPUTED_VALUE"""),489488.0)</f>
        <v>489488</v>
      </c>
      <c r="B295" s="2" t="str">
        <f>IFERROR(__xludf.DUMMYFUNCTION("""COMPUTED_VALUE"""),"21100")</f>
        <v>21100</v>
      </c>
      <c r="C295" s="2" t="str">
        <f>IFERROR(__xludf.DUMMYFUNCTION("""COMPUTED_VALUE"""),"CHARLIE AND LOLA CHARLOTTE BAG")</f>
        <v>CHARLIE AND LOLA CHARLOTTE BAG</v>
      </c>
      <c r="D295" s="2">
        <f>IFERROR(__xludf.DUMMYFUNCTION("""COMPUTED_VALUE"""),2.0)</f>
        <v>2</v>
      </c>
      <c r="E295" s="6">
        <f>IFERROR(__xludf.DUMMYFUNCTION("""COMPUTED_VALUE"""),40148.45763888889)</f>
        <v>40148.45764</v>
      </c>
      <c r="F295" s="2">
        <f>IFERROR(__xludf.DUMMYFUNCTION("""COMPUTED_VALUE"""),1.65)</f>
        <v>1.65</v>
      </c>
      <c r="G295" s="2">
        <f>IFERROR(__xludf.DUMMYFUNCTION("""COMPUTED_VALUE"""),17238.0)</f>
        <v>17238</v>
      </c>
      <c r="H295" s="2" t="str">
        <f>IFERROR(__xludf.DUMMYFUNCTION("""COMPUTED_VALUE"""),"United Kingdom")</f>
        <v>United Kingdom</v>
      </c>
      <c r="I295" s="7">
        <f>IFERROR(__xludf.DUMMYFUNCTION("""COMPUTED_VALUE"""),40148.0)</f>
        <v>40148</v>
      </c>
      <c r="J295" s="8">
        <f>IFERROR(__xludf.DUMMYFUNCTION("""COMPUTED_VALUE"""),0.4576388888890506)</f>
        <v>0.4576388889</v>
      </c>
      <c r="K295" s="2">
        <f>IFERROR(__xludf.DUMMYFUNCTION("""COMPUTED_VALUE"""),10.0)</f>
        <v>10</v>
      </c>
      <c r="L295" s="2">
        <f>IFERROR(__xludf.DUMMYFUNCTION("""COMPUTED_VALUE"""),3.3)</f>
        <v>3.3</v>
      </c>
    </row>
    <row r="296">
      <c r="A296" s="2">
        <f>IFERROR(__xludf.DUMMYFUNCTION("""COMPUTED_VALUE"""),489488.0)</f>
        <v>489488</v>
      </c>
      <c r="B296" s="2" t="str">
        <f>IFERROR(__xludf.DUMMYFUNCTION("""COMPUTED_VALUE"""),"84582")</f>
        <v>84582</v>
      </c>
      <c r="C296" s="2" t="str">
        <f>IFERROR(__xludf.DUMMYFUNCTION("""COMPUTED_VALUE"""),"PINK CROCHET CAT WITH SCARF")</f>
        <v>PINK CROCHET CAT WITH SCARF</v>
      </c>
      <c r="D296" s="2">
        <f>IFERROR(__xludf.DUMMYFUNCTION("""COMPUTED_VALUE"""),2.0)</f>
        <v>2</v>
      </c>
      <c r="E296" s="6">
        <f>IFERROR(__xludf.DUMMYFUNCTION("""COMPUTED_VALUE"""),40148.45763888889)</f>
        <v>40148.45764</v>
      </c>
      <c r="F296" s="2">
        <f>IFERROR(__xludf.DUMMYFUNCTION("""COMPUTED_VALUE"""),4.25)</f>
        <v>4.25</v>
      </c>
      <c r="G296" s="2">
        <f>IFERROR(__xludf.DUMMYFUNCTION("""COMPUTED_VALUE"""),17238.0)</f>
        <v>17238</v>
      </c>
      <c r="H296" s="2" t="str">
        <f>IFERROR(__xludf.DUMMYFUNCTION("""COMPUTED_VALUE"""),"United Kingdom")</f>
        <v>United Kingdom</v>
      </c>
      <c r="I296" s="7">
        <f>IFERROR(__xludf.DUMMYFUNCTION("""COMPUTED_VALUE"""),40148.0)</f>
        <v>40148</v>
      </c>
      <c r="J296" s="8">
        <f>IFERROR(__xludf.DUMMYFUNCTION("""COMPUTED_VALUE"""),0.4576388888890506)</f>
        <v>0.4576388889</v>
      </c>
      <c r="K296" s="2">
        <f>IFERROR(__xludf.DUMMYFUNCTION("""COMPUTED_VALUE"""),10.0)</f>
        <v>10</v>
      </c>
      <c r="L296" s="2">
        <f>IFERROR(__xludf.DUMMYFUNCTION("""COMPUTED_VALUE"""),8.5)</f>
        <v>8.5</v>
      </c>
    </row>
    <row r="297">
      <c r="A297" s="2">
        <f>IFERROR(__xludf.DUMMYFUNCTION("""COMPUTED_VALUE"""),489488.0)</f>
        <v>489488</v>
      </c>
      <c r="B297" s="2" t="str">
        <f>IFERROR(__xludf.DUMMYFUNCTION("""COMPUTED_VALUE"""),"20972")</f>
        <v>20972</v>
      </c>
      <c r="C297" s="2" t="str">
        <f>IFERROR(__xludf.DUMMYFUNCTION("""COMPUTED_VALUE"""),"PINK CREAM FELT CRAFT TRINKET BOX")</f>
        <v>PINK CREAM FELT CRAFT TRINKET BOX</v>
      </c>
      <c r="D297" s="2">
        <f>IFERROR(__xludf.DUMMYFUNCTION("""COMPUTED_VALUE"""),3.0)</f>
        <v>3</v>
      </c>
      <c r="E297" s="6">
        <f>IFERROR(__xludf.DUMMYFUNCTION("""COMPUTED_VALUE"""),40148.45763888889)</f>
        <v>40148.45764</v>
      </c>
      <c r="F297" s="2">
        <f>IFERROR(__xludf.DUMMYFUNCTION("""COMPUTED_VALUE"""),1.25)</f>
        <v>1.25</v>
      </c>
      <c r="G297" s="2">
        <f>IFERROR(__xludf.DUMMYFUNCTION("""COMPUTED_VALUE"""),17238.0)</f>
        <v>17238</v>
      </c>
      <c r="H297" s="2" t="str">
        <f>IFERROR(__xludf.DUMMYFUNCTION("""COMPUTED_VALUE"""),"United Kingdom")</f>
        <v>United Kingdom</v>
      </c>
      <c r="I297" s="7">
        <f>IFERROR(__xludf.DUMMYFUNCTION("""COMPUTED_VALUE"""),40148.0)</f>
        <v>40148</v>
      </c>
      <c r="J297" s="8">
        <f>IFERROR(__xludf.DUMMYFUNCTION("""COMPUTED_VALUE"""),0.4576388888890506)</f>
        <v>0.4576388889</v>
      </c>
      <c r="K297" s="2">
        <f>IFERROR(__xludf.DUMMYFUNCTION("""COMPUTED_VALUE"""),10.0)</f>
        <v>10</v>
      </c>
      <c r="L297" s="2">
        <f>IFERROR(__xludf.DUMMYFUNCTION("""COMPUTED_VALUE"""),3.75)</f>
        <v>3.75</v>
      </c>
    </row>
    <row r="298">
      <c r="A298" s="2">
        <f>IFERROR(__xludf.DUMMYFUNCTION("""COMPUTED_VALUE"""),489488.0)</f>
        <v>489488</v>
      </c>
      <c r="B298" s="2" t="str">
        <f>IFERROR(__xludf.DUMMYFUNCTION("""COMPUTED_VALUE"""),"20971")</f>
        <v>20971</v>
      </c>
      <c r="C298" s="2" t="str">
        <f>IFERROR(__xludf.DUMMYFUNCTION("""COMPUTED_VALUE"""),"PINK BLUE FELT CRAFT TRINKET BOX")</f>
        <v>PINK BLUE FELT CRAFT TRINKET BOX</v>
      </c>
      <c r="D298" s="2">
        <f>IFERROR(__xludf.DUMMYFUNCTION("""COMPUTED_VALUE"""),1.0)</f>
        <v>1</v>
      </c>
      <c r="E298" s="6">
        <f>IFERROR(__xludf.DUMMYFUNCTION("""COMPUTED_VALUE"""),40148.45763888889)</f>
        <v>40148.45764</v>
      </c>
      <c r="F298" s="2">
        <f>IFERROR(__xludf.DUMMYFUNCTION("""COMPUTED_VALUE"""),1.25)</f>
        <v>1.25</v>
      </c>
      <c r="G298" s="2">
        <f>IFERROR(__xludf.DUMMYFUNCTION("""COMPUTED_VALUE"""),17238.0)</f>
        <v>17238</v>
      </c>
      <c r="H298" s="2" t="str">
        <f>IFERROR(__xludf.DUMMYFUNCTION("""COMPUTED_VALUE"""),"United Kingdom")</f>
        <v>United Kingdom</v>
      </c>
      <c r="I298" s="7">
        <f>IFERROR(__xludf.DUMMYFUNCTION("""COMPUTED_VALUE"""),40148.0)</f>
        <v>40148</v>
      </c>
      <c r="J298" s="8">
        <f>IFERROR(__xludf.DUMMYFUNCTION("""COMPUTED_VALUE"""),0.4576388888890506)</f>
        <v>0.4576388889</v>
      </c>
      <c r="K298" s="2">
        <f>IFERROR(__xludf.DUMMYFUNCTION("""COMPUTED_VALUE"""),10.0)</f>
        <v>10</v>
      </c>
      <c r="L298" s="2">
        <f>IFERROR(__xludf.DUMMYFUNCTION("""COMPUTED_VALUE"""),1.25)</f>
        <v>1.25</v>
      </c>
    </row>
    <row r="299">
      <c r="A299" s="2">
        <f>IFERROR(__xludf.DUMMYFUNCTION("""COMPUTED_VALUE"""),489488.0)</f>
        <v>489488</v>
      </c>
      <c r="B299" s="2" t="str">
        <f>IFERROR(__xludf.DUMMYFUNCTION("""COMPUTED_VALUE"""),"84327A")</f>
        <v>84327A</v>
      </c>
      <c r="C299" s="2" t="str">
        <f>IFERROR(__xludf.DUMMYFUNCTION("""COMPUTED_VALUE"""),"PINK JUMPER LARRY THE LAMB")</f>
        <v>PINK JUMPER LARRY THE LAMB</v>
      </c>
      <c r="D299" s="2">
        <f>IFERROR(__xludf.DUMMYFUNCTION("""COMPUTED_VALUE"""),2.0)</f>
        <v>2</v>
      </c>
      <c r="E299" s="6">
        <f>IFERROR(__xludf.DUMMYFUNCTION("""COMPUTED_VALUE"""),40148.45763888889)</f>
        <v>40148.45764</v>
      </c>
      <c r="F299" s="2">
        <f>IFERROR(__xludf.DUMMYFUNCTION("""COMPUTED_VALUE"""),2.1)</f>
        <v>2.1</v>
      </c>
      <c r="G299" s="2">
        <f>IFERROR(__xludf.DUMMYFUNCTION("""COMPUTED_VALUE"""),17238.0)</f>
        <v>17238</v>
      </c>
      <c r="H299" s="2" t="str">
        <f>IFERROR(__xludf.DUMMYFUNCTION("""COMPUTED_VALUE"""),"United Kingdom")</f>
        <v>United Kingdom</v>
      </c>
      <c r="I299" s="7">
        <f>IFERROR(__xludf.DUMMYFUNCTION("""COMPUTED_VALUE"""),40148.0)</f>
        <v>40148</v>
      </c>
      <c r="J299" s="8">
        <f>IFERROR(__xludf.DUMMYFUNCTION("""COMPUTED_VALUE"""),0.4576388888890506)</f>
        <v>0.4576388889</v>
      </c>
      <c r="K299" s="2">
        <f>IFERROR(__xludf.DUMMYFUNCTION("""COMPUTED_VALUE"""),10.0)</f>
        <v>10</v>
      </c>
      <c r="L299" s="2">
        <f>IFERROR(__xludf.DUMMYFUNCTION("""COMPUTED_VALUE"""),4.2)</f>
        <v>4.2</v>
      </c>
    </row>
    <row r="300">
      <c r="A300" s="2">
        <f>IFERROR(__xludf.DUMMYFUNCTION("""COMPUTED_VALUE"""),489488.0)</f>
        <v>489488</v>
      </c>
      <c r="B300" s="2" t="str">
        <f>IFERROR(__xludf.DUMMYFUNCTION("""COMPUTED_VALUE"""),"22125")</f>
        <v>22125</v>
      </c>
      <c r="C300" s="2" t="str">
        <f>IFERROR(__xludf.DUMMYFUNCTION("""COMPUTED_VALUE"""),"UNION JACK HOT WATER BOTTLE")</f>
        <v>UNION JACK HOT WATER BOTTLE</v>
      </c>
      <c r="D300" s="2">
        <f>IFERROR(__xludf.DUMMYFUNCTION("""COMPUTED_VALUE"""),1.0)</f>
        <v>1</v>
      </c>
      <c r="E300" s="6">
        <f>IFERROR(__xludf.DUMMYFUNCTION("""COMPUTED_VALUE"""),40148.45763888889)</f>
        <v>40148.45764</v>
      </c>
      <c r="F300" s="2">
        <f>IFERROR(__xludf.DUMMYFUNCTION("""COMPUTED_VALUE"""),5.95)</f>
        <v>5.95</v>
      </c>
      <c r="G300" s="2">
        <f>IFERROR(__xludf.DUMMYFUNCTION("""COMPUTED_VALUE"""),17238.0)</f>
        <v>17238</v>
      </c>
      <c r="H300" s="2" t="str">
        <f>IFERROR(__xludf.DUMMYFUNCTION("""COMPUTED_VALUE"""),"United Kingdom")</f>
        <v>United Kingdom</v>
      </c>
      <c r="I300" s="7">
        <f>IFERROR(__xludf.DUMMYFUNCTION("""COMPUTED_VALUE"""),40148.0)</f>
        <v>40148</v>
      </c>
      <c r="J300" s="8">
        <f>IFERROR(__xludf.DUMMYFUNCTION("""COMPUTED_VALUE"""),0.4576388888890506)</f>
        <v>0.4576388889</v>
      </c>
      <c r="K300" s="2">
        <f>IFERROR(__xludf.DUMMYFUNCTION("""COMPUTED_VALUE"""),10.0)</f>
        <v>10</v>
      </c>
      <c r="L300" s="2">
        <f>IFERROR(__xludf.DUMMYFUNCTION("""COMPUTED_VALUE"""),5.95)</f>
        <v>5.95</v>
      </c>
    </row>
    <row r="301">
      <c r="A301" s="2">
        <f>IFERROR(__xludf.DUMMYFUNCTION("""COMPUTED_VALUE"""),489488.0)</f>
        <v>489488</v>
      </c>
      <c r="B301" s="2" t="str">
        <f>IFERROR(__xludf.DUMMYFUNCTION("""COMPUTED_VALUE"""),"21490")</f>
        <v>21490</v>
      </c>
      <c r="C301" s="2" t="str">
        <f>IFERROR(__xludf.DUMMYFUNCTION("""COMPUTED_VALUE"""),"SET OF THREE 50'S GIFT WRAPS")</f>
        <v>SET OF THREE 50'S GIFT WRAPS</v>
      </c>
      <c r="D301" s="2">
        <f>IFERROR(__xludf.DUMMYFUNCTION("""COMPUTED_VALUE"""),3.0)</f>
        <v>3</v>
      </c>
      <c r="E301" s="6">
        <f>IFERROR(__xludf.DUMMYFUNCTION("""COMPUTED_VALUE"""),40148.45763888889)</f>
        <v>40148.45764</v>
      </c>
      <c r="F301" s="2">
        <f>IFERROR(__xludf.DUMMYFUNCTION("""COMPUTED_VALUE"""),1.95)</f>
        <v>1.95</v>
      </c>
      <c r="G301" s="2">
        <f>IFERROR(__xludf.DUMMYFUNCTION("""COMPUTED_VALUE"""),17238.0)</f>
        <v>17238</v>
      </c>
      <c r="H301" s="2" t="str">
        <f>IFERROR(__xludf.DUMMYFUNCTION("""COMPUTED_VALUE"""),"United Kingdom")</f>
        <v>United Kingdom</v>
      </c>
      <c r="I301" s="7">
        <f>IFERROR(__xludf.DUMMYFUNCTION("""COMPUTED_VALUE"""),40148.0)</f>
        <v>40148</v>
      </c>
      <c r="J301" s="8">
        <f>IFERROR(__xludf.DUMMYFUNCTION("""COMPUTED_VALUE"""),0.4576388888890506)</f>
        <v>0.4576388889</v>
      </c>
      <c r="K301" s="2">
        <f>IFERROR(__xludf.DUMMYFUNCTION("""COMPUTED_VALUE"""),10.0)</f>
        <v>10</v>
      </c>
      <c r="L301" s="2">
        <f>IFERROR(__xludf.DUMMYFUNCTION("""COMPUTED_VALUE"""),5.85)</f>
        <v>5.85</v>
      </c>
    </row>
    <row r="302">
      <c r="A302" s="2">
        <f>IFERROR(__xludf.DUMMYFUNCTION("""COMPUTED_VALUE"""),489488.0)</f>
        <v>489488</v>
      </c>
      <c r="B302" s="2" t="str">
        <f>IFERROR(__xludf.DUMMYFUNCTION("""COMPUTED_VALUE"""),"21063")</f>
        <v>21063</v>
      </c>
      <c r="C302" s="2" t="str">
        <f>IFERROR(__xludf.DUMMYFUNCTION("""COMPUTED_VALUE"""),"PARTY INVITES JAZZ HEARTS")</f>
        <v>PARTY INVITES JAZZ HEARTS</v>
      </c>
      <c r="D302" s="2">
        <f>IFERROR(__xludf.DUMMYFUNCTION("""COMPUTED_VALUE"""),4.0)</f>
        <v>4</v>
      </c>
      <c r="E302" s="6">
        <f>IFERROR(__xludf.DUMMYFUNCTION("""COMPUTED_VALUE"""),40148.45763888889)</f>
        <v>40148.45764</v>
      </c>
      <c r="F302" s="2">
        <f>IFERROR(__xludf.DUMMYFUNCTION("""COMPUTED_VALUE"""),0.85)</f>
        <v>0.85</v>
      </c>
      <c r="G302" s="2">
        <f>IFERROR(__xludf.DUMMYFUNCTION("""COMPUTED_VALUE"""),17238.0)</f>
        <v>17238</v>
      </c>
      <c r="H302" s="2" t="str">
        <f>IFERROR(__xludf.DUMMYFUNCTION("""COMPUTED_VALUE"""),"United Kingdom")</f>
        <v>United Kingdom</v>
      </c>
      <c r="I302" s="7">
        <f>IFERROR(__xludf.DUMMYFUNCTION("""COMPUTED_VALUE"""),40148.0)</f>
        <v>40148</v>
      </c>
      <c r="J302" s="8">
        <f>IFERROR(__xludf.DUMMYFUNCTION("""COMPUTED_VALUE"""),0.4576388888890506)</f>
        <v>0.4576388889</v>
      </c>
      <c r="K302" s="2">
        <f>IFERROR(__xludf.DUMMYFUNCTION("""COMPUTED_VALUE"""),10.0)</f>
        <v>10</v>
      </c>
      <c r="L302" s="2">
        <f>IFERROR(__xludf.DUMMYFUNCTION("""COMPUTED_VALUE"""),3.4)</f>
        <v>3.4</v>
      </c>
    </row>
    <row r="303">
      <c r="A303" s="2">
        <f>IFERROR(__xludf.DUMMYFUNCTION("""COMPUTED_VALUE"""),489488.0)</f>
        <v>489488</v>
      </c>
      <c r="B303" s="2" t="str">
        <f>IFERROR(__xludf.DUMMYFUNCTION("""COMPUTED_VALUE"""),"21058")</f>
        <v>21058</v>
      </c>
      <c r="C303" s="2" t="str">
        <f>IFERROR(__xludf.DUMMYFUNCTION("""COMPUTED_VALUE"""),"PARTY INVITES WOODLAND")</f>
        <v>PARTY INVITES WOODLAND</v>
      </c>
      <c r="D303" s="2">
        <f>IFERROR(__xludf.DUMMYFUNCTION("""COMPUTED_VALUE"""),3.0)</f>
        <v>3</v>
      </c>
      <c r="E303" s="6">
        <f>IFERROR(__xludf.DUMMYFUNCTION("""COMPUTED_VALUE"""),40148.45763888889)</f>
        <v>40148.45764</v>
      </c>
      <c r="F303" s="2">
        <f>IFERROR(__xludf.DUMMYFUNCTION("""COMPUTED_VALUE"""),0.85)</f>
        <v>0.85</v>
      </c>
      <c r="G303" s="2">
        <f>IFERROR(__xludf.DUMMYFUNCTION("""COMPUTED_VALUE"""),17238.0)</f>
        <v>17238</v>
      </c>
      <c r="H303" s="2" t="str">
        <f>IFERROR(__xludf.DUMMYFUNCTION("""COMPUTED_VALUE"""),"United Kingdom")</f>
        <v>United Kingdom</v>
      </c>
      <c r="I303" s="7">
        <f>IFERROR(__xludf.DUMMYFUNCTION("""COMPUTED_VALUE"""),40148.0)</f>
        <v>40148</v>
      </c>
      <c r="J303" s="8">
        <f>IFERROR(__xludf.DUMMYFUNCTION("""COMPUTED_VALUE"""),0.4576388888890506)</f>
        <v>0.4576388889</v>
      </c>
      <c r="K303" s="2">
        <f>IFERROR(__xludf.DUMMYFUNCTION("""COMPUTED_VALUE"""),10.0)</f>
        <v>10</v>
      </c>
      <c r="L303" s="2">
        <f>IFERROR(__xludf.DUMMYFUNCTION("""COMPUTED_VALUE"""),2.55)</f>
        <v>2.55</v>
      </c>
    </row>
    <row r="304">
      <c r="A304" s="2">
        <f>IFERROR(__xludf.DUMMYFUNCTION("""COMPUTED_VALUE"""),489488.0)</f>
        <v>489488</v>
      </c>
      <c r="B304" s="2" t="str">
        <f>IFERROR(__xludf.DUMMYFUNCTION("""COMPUTED_VALUE"""),"22086")</f>
        <v>22086</v>
      </c>
      <c r="C304" s="2" t="str">
        <f>IFERROR(__xludf.DUMMYFUNCTION("""COMPUTED_VALUE"""),"PAPER CHAIN KIT 50'S CHRISTMAS")</f>
        <v>PAPER CHAIN KIT 50'S CHRISTMAS</v>
      </c>
      <c r="D304" s="2">
        <f>IFERROR(__xludf.DUMMYFUNCTION("""COMPUTED_VALUE"""),5.0)</f>
        <v>5</v>
      </c>
      <c r="E304" s="6">
        <f>IFERROR(__xludf.DUMMYFUNCTION("""COMPUTED_VALUE"""),40148.45763888889)</f>
        <v>40148.45764</v>
      </c>
      <c r="F304" s="2">
        <f>IFERROR(__xludf.DUMMYFUNCTION("""COMPUTED_VALUE"""),2.95)</f>
        <v>2.95</v>
      </c>
      <c r="G304" s="2">
        <f>IFERROR(__xludf.DUMMYFUNCTION("""COMPUTED_VALUE"""),17238.0)</f>
        <v>17238</v>
      </c>
      <c r="H304" s="2" t="str">
        <f>IFERROR(__xludf.DUMMYFUNCTION("""COMPUTED_VALUE"""),"United Kingdom")</f>
        <v>United Kingdom</v>
      </c>
      <c r="I304" s="7">
        <f>IFERROR(__xludf.DUMMYFUNCTION("""COMPUTED_VALUE"""),40148.0)</f>
        <v>40148</v>
      </c>
      <c r="J304" s="8">
        <f>IFERROR(__xludf.DUMMYFUNCTION("""COMPUTED_VALUE"""),0.4576388888890506)</f>
        <v>0.4576388889</v>
      </c>
      <c r="K304" s="2">
        <f>IFERROR(__xludf.DUMMYFUNCTION("""COMPUTED_VALUE"""),10.0)</f>
        <v>10</v>
      </c>
      <c r="L304" s="2">
        <f>IFERROR(__xludf.DUMMYFUNCTION("""COMPUTED_VALUE"""),14.75)</f>
        <v>14.75</v>
      </c>
    </row>
    <row r="305">
      <c r="A305" s="2">
        <f>IFERROR(__xludf.DUMMYFUNCTION("""COMPUTED_VALUE"""),489488.0)</f>
        <v>489488</v>
      </c>
      <c r="B305" s="2" t="str">
        <f>IFERROR(__xludf.DUMMYFUNCTION("""COMPUTED_VALUE"""),"84997D")</f>
        <v>84997D</v>
      </c>
      <c r="C305" s="2" t="str">
        <f>IFERROR(__xludf.DUMMYFUNCTION("""COMPUTED_VALUE"""),"PINK 3 PIECE MINI DOTS CUTLERY SET")</f>
        <v>PINK 3 PIECE MINI DOTS CUTLERY SET</v>
      </c>
      <c r="D305" s="2">
        <f>IFERROR(__xludf.DUMMYFUNCTION("""COMPUTED_VALUE"""),4.0)</f>
        <v>4</v>
      </c>
      <c r="E305" s="6">
        <f>IFERROR(__xludf.DUMMYFUNCTION("""COMPUTED_VALUE"""),40148.45763888889)</f>
        <v>40148.45764</v>
      </c>
      <c r="F305" s="2">
        <f>IFERROR(__xludf.DUMMYFUNCTION("""COMPUTED_VALUE"""),3.75)</f>
        <v>3.75</v>
      </c>
      <c r="G305" s="2">
        <f>IFERROR(__xludf.DUMMYFUNCTION("""COMPUTED_VALUE"""),17238.0)</f>
        <v>17238</v>
      </c>
      <c r="H305" s="2" t="str">
        <f>IFERROR(__xludf.DUMMYFUNCTION("""COMPUTED_VALUE"""),"United Kingdom")</f>
        <v>United Kingdom</v>
      </c>
      <c r="I305" s="7">
        <f>IFERROR(__xludf.DUMMYFUNCTION("""COMPUTED_VALUE"""),40148.0)</f>
        <v>40148</v>
      </c>
      <c r="J305" s="8">
        <f>IFERROR(__xludf.DUMMYFUNCTION("""COMPUTED_VALUE"""),0.4576388888890506)</f>
        <v>0.4576388889</v>
      </c>
      <c r="K305" s="2">
        <f>IFERROR(__xludf.DUMMYFUNCTION("""COMPUTED_VALUE"""),10.0)</f>
        <v>10</v>
      </c>
      <c r="L305" s="2">
        <f>IFERROR(__xludf.DUMMYFUNCTION("""COMPUTED_VALUE"""),15.0)</f>
        <v>15</v>
      </c>
    </row>
    <row r="306">
      <c r="A306" s="2">
        <f>IFERROR(__xludf.DUMMYFUNCTION("""COMPUTED_VALUE"""),489488.0)</f>
        <v>489488</v>
      </c>
      <c r="B306" s="2" t="str">
        <f>IFERROR(__xludf.DUMMYFUNCTION("""COMPUTED_VALUE"""),"84997C")</f>
        <v>84997C</v>
      </c>
      <c r="C306" s="2" t="str">
        <f>IFERROR(__xludf.DUMMYFUNCTION("""COMPUTED_VALUE"""),"BLUE 3 PIECE MINI DOTS CUTLERY SET")</f>
        <v>BLUE 3 PIECE MINI DOTS CUTLERY SET</v>
      </c>
      <c r="D306" s="2">
        <f>IFERROR(__xludf.DUMMYFUNCTION("""COMPUTED_VALUE"""),4.0)</f>
        <v>4</v>
      </c>
      <c r="E306" s="6">
        <f>IFERROR(__xludf.DUMMYFUNCTION("""COMPUTED_VALUE"""),40148.45763888889)</f>
        <v>40148.45764</v>
      </c>
      <c r="F306" s="2">
        <f>IFERROR(__xludf.DUMMYFUNCTION("""COMPUTED_VALUE"""),3.75)</f>
        <v>3.75</v>
      </c>
      <c r="G306" s="2">
        <f>IFERROR(__xludf.DUMMYFUNCTION("""COMPUTED_VALUE"""),17238.0)</f>
        <v>17238</v>
      </c>
      <c r="H306" s="2" t="str">
        <f>IFERROR(__xludf.DUMMYFUNCTION("""COMPUTED_VALUE"""),"United Kingdom")</f>
        <v>United Kingdom</v>
      </c>
      <c r="I306" s="7">
        <f>IFERROR(__xludf.DUMMYFUNCTION("""COMPUTED_VALUE"""),40148.0)</f>
        <v>40148</v>
      </c>
      <c r="J306" s="8">
        <f>IFERROR(__xludf.DUMMYFUNCTION("""COMPUTED_VALUE"""),0.4576388888890506)</f>
        <v>0.4576388889</v>
      </c>
      <c r="K306" s="2">
        <f>IFERROR(__xludf.DUMMYFUNCTION("""COMPUTED_VALUE"""),10.0)</f>
        <v>10</v>
      </c>
      <c r="L306" s="2">
        <f>IFERROR(__xludf.DUMMYFUNCTION("""COMPUTED_VALUE"""),15.0)</f>
        <v>15</v>
      </c>
    </row>
    <row r="307">
      <c r="A307" s="2">
        <f>IFERROR(__xludf.DUMMYFUNCTION("""COMPUTED_VALUE"""),489488.0)</f>
        <v>489488</v>
      </c>
      <c r="B307" s="2" t="str">
        <f>IFERROR(__xludf.DUMMYFUNCTION("""COMPUTED_VALUE"""),"22301")</f>
        <v>22301</v>
      </c>
      <c r="C307" s="2" t="str">
        <f>IFERROR(__xludf.DUMMYFUNCTION("""COMPUTED_VALUE"""),"COFFEE MUG CAT + BIRD DESIGN")</f>
        <v>COFFEE MUG CAT + BIRD DESIGN</v>
      </c>
      <c r="D307" s="2">
        <f>IFERROR(__xludf.DUMMYFUNCTION("""COMPUTED_VALUE"""),2.0)</f>
        <v>2</v>
      </c>
      <c r="E307" s="6">
        <f>IFERROR(__xludf.DUMMYFUNCTION("""COMPUTED_VALUE"""),40148.45763888889)</f>
        <v>40148.45764</v>
      </c>
      <c r="F307" s="2">
        <f>IFERROR(__xludf.DUMMYFUNCTION("""COMPUTED_VALUE"""),2.55)</f>
        <v>2.55</v>
      </c>
      <c r="G307" s="2">
        <f>IFERROR(__xludf.DUMMYFUNCTION("""COMPUTED_VALUE"""),17238.0)</f>
        <v>17238</v>
      </c>
      <c r="H307" s="2" t="str">
        <f>IFERROR(__xludf.DUMMYFUNCTION("""COMPUTED_VALUE"""),"United Kingdom")</f>
        <v>United Kingdom</v>
      </c>
      <c r="I307" s="7">
        <f>IFERROR(__xludf.DUMMYFUNCTION("""COMPUTED_VALUE"""),40148.0)</f>
        <v>40148</v>
      </c>
      <c r="J307" s="8">
        <f>IFERROR(__xludf.DUMMYFUNCTION("""COMPUTED_VALUE"""),0.4576388888890506)</f>
        <v>0.4576388889</v>
      </c>
      <c r="K307" s="2">
        <f>IFERROR(__xludf.DUMMYFUNCTION("""COMPUTED_VALUE"""),10.0)</f>
        <v>10</v>
      </c>
      <c r="L307" s="2">
        <f>IFERROR(__xludf.DUMMYFUNCTION("""COMPUTED_VALUE"""),5.1)</f>
        <v>5.1</v>
      </c>
    </row>
    <row r="308">
      <c r="A308" s="2">
        <f>IFERROR(__xludf.DUMMYFUNCTION("""COMPUTED_VALUE"""),489488.0)</f>
        <v>489488</v>
      </c>
      <c r="B308" s="2" t="str">
        <f>IFERROR(__xludf.DUMMYFUNCTION("""COMPUTED_VALUE"""),"22300")</f>
        <v>22300</v>
      </c>
      <c r="C308" s="2" t="str">
        <f>IFERROR(__xludf.DUMMYFUNCTION("""COMPUTED_VALUE"""),"COFFEE MUG DOG + BALL DESIGN")</f>
        <v>COFFEE MUG DOG + BALL DESIGN</v>
      </c>
      <c r="D308" s="2">
        <f>IFERROR(__xludf.DUMMYFUNCTION("""COMPUTED_VALUE"""),3.0)</f>
        <v>3</v>
      </c>
      <c r="E308" s="6">
        <f>IFERROR(__xludf.DUMMYFUNCTION("""COMPUTED_VALUE"""),40148.45763888889)</f>
        <v>40148.45764</v>
      </c>
      <c r="F308" s="2">
        <f>IFERROR(__xludf.DUMMYFUNCTION("""COMPUTED_VALUE"""),2.55)</f>
        <v>2.55</v>
      </c>
      <c r="G308" s="2">
        <f>IFERROR(__xludf.DUMMYFUNCTION("""COMPUTED_VALUE"""),17238.0)</f>
        <v>17238</v>
      </c>
      <c r="H308" s="2" t="str">
        <f>IFERROR(__xludf.DUMMYFUNCTION("""COMPUTED_VALUE"""),"United Kingdom")</f>
        <v>United Kingdom</v>
      </c>
      <c r="I308" s="7">
        <f>IFERROR(__xludf.DUMMYFUNCTION("""COMPUTED_VALUE"""),40148.0)</f>
        <v>40148</v>
      </c>
      <c r="J308" s="8">
        <f>IFERROR(__xludf.DUMMYFUNCTION("""COMPUTED_VALUE"""),0.4576388888890506)</f>
        <v>0.4576388889</v>
      </c>
      <c r="K308" s="2">
        <f>IFERROR(__xludf.DUMMYFUNCTION("""COMPUTED_VALUE"""),10.0)</f>
        <v>10</v>
      </c>
      <c r="L308" s="2">
        <f>IFERROR(__xludf.DUMMYFUNCTION("""COMPUTED_VALUE"""),7.64999999999999)</f>
        <v>7.65</v>
      </c>
    </row>
    <row r="309">
      <c r="A309" s="2">
        <f>IFERROR(__xludf.DUMMYFUNCTION("""COMPUTED_VALUE"""),489488.0)</f>
        <v>489488</v>
      </c>
      <c r="B309" s="2" t="str">
        <f>IFERROR(__xludf.DUMMYFUNCTION("""COMPUTED_VALUE"""),"21493")</f>
        <v>21493</v>
      </c>
      <c r="C309" s="2" t="str">
        <f>IFERROR(__xludf.DUMMYFUNCTION("""COMPUTED_VALUE"""),"VINTAGE DESIGN GIFT TAGS")</f>
        <v>VINTAGE DESIGN GIFT TAGS</v>
      </c>
      <c r="D309" s="2">
        <f>IFERROR(__xludf.DUMMYFUNCTION("""COMPUTED_VALUE"""),6.0)</f>
        <v>6</v>
      </c>
      <c r="E309" s="6">
        <f>IFERROR(__xludf.DUMMYFUNCTION("""COMPUTED_VALUE"""),40148.45763888889)</f>
        <v>40148.45764</v>
      </c>
      <c r="F309" s="2">
        <f>IFERROR(__xludf.DUMMYFUNCTION("""COMPUTED_VALUE"""),0.85)</f>
        <v>0.85</v>
      </c>
      <c r="G309" s="2">
        <f>IFERROR(__xludf.DUMMYFUNCTION("""COMPUTED_VALUE"""),17238.0)</f>
        <v>17238</v>
      </c>
      <c r="H309" s="2" t="str">
        <f>IFERROR(__xludf.DUMMYFUNCTION("""COMPUTED_VALUE"""),"United Kingdom")</f>
        <v>United Kingdom</v>
      </c>
      <c r="I309" s="7">
        <f>IFERROR(__xludf.DUMMYFUNCTION("""COMPUTED_VALUE"""),40148.0)</f>
        <v>40148</v>
      </c>
      <c r="J309" s="8">
        <f>IFERROR(__xludf.DUMMYFUNCTION("""COMPUTED_VALUE"""),0.4576388888890506)</f>
        <v>0.4576388889</v>
      </c>
      <c r="K309" s="2">
        <f>IFERROR(__xludf.DUMMYFUNCTION("""COMPUTED_VALUE"""),10.0)</f>
        <v>10</v>
      </c>
      <c r="L309" s="2">
        <f>IFERROR(__xludf.DUMMYFUNCTION("""COMPUTED_VALUE"""),5.1)</f>
        <v>5.1</v>
      </c>
    </row>
    <row r="310">
      <c r="A310" s="2">
        <f>IFERROR(__xludf.DUMMYFUNCTION("""COMPUTED_VALUE"""),489488.0)</f>
        <v>489488</v>
      </c>
      <c r="B310" s="2" t="str">
        <f>IFERROR(__xludf.DUMMYFUNCTION("""COMPUTED_VALUE"""),"21231")</f>
        <v>21231</v>
      </c>
      <c r="C310" s="2" t="str">
        <f>IFERROR(__xludf.DUMMYFUNCTION("""COMPUTED_VALUE"""),"SWEETHEART CERAMIC TRINKET BOX")</f>
        <v>SWEETHEART CERAMIC TRINKET BOX</v>
      </c>
      <c r="D310" s="2">
        <f>IFERROR(__xludf.DUMMYFUNCTION("""COMPUTED_VALUE"""),4.0)</f>
        <v>4</v>
      </c>
      <c r="E310" s="6">
        <f>IFERROR(__xludf.DUMMYFUNCTION("""COMPUTED_VALUE"""),40148.45763888889)</f>
        <v>40148.45764</v>
      </c>
      <c r="F310" s="2">
        <f>IFERROR(__xludf.DUMMYFUNCTION("""COMPUTED_VALUE"""),1.25)</f>
        <v>1.25</v>
      </c>
      <c r="G310" s="2">
        <f>IFERROR(__xludf.DUMMYFUNCTION("""COMPUTED_VALUE"""),17238.0)</f>
        <v>17238</v>
      </c>
      <c r="H310" s="2" t="str">
        <f>IFERROR(__xludf.DUMMYFUNCTION("""COMPUTED_VALUE"""),"United Kingdom")</f>
        <v>United Kingdom</v>
      </c>
      <c r="I310" s="7">
        <f>IFERROR(__xludf.DUMMYFUNCTION("""COMPUTED_VALUE"""),40148.0)</f>
        <v>40148</v>
      </c>
      <c r="J310" s="8">
        <f>IFERROR(__xludf.DUMMYFUNCTION("""COMPUTED_VALUE"""),0.4576388888890506)</f>
        <v>0.4576388889</v>
      </c>
      <c r="K310" s="2">
        <f>IFERROR(__xludf.DUMMYFUNCTION("""COMPUTED_VALUE"""),10.0)</f>
        <v>10</v>
      </c>
      <c r="L310" s="2">
        <f>IFERROR(__xludf.DUMMYFUNCTION("""COMPUTED_VALUE"""),5.0)</f>
        <v>5</v>
      </c>
    </row>
    <row r="311">
      <c r="A311" s="2">
        <f>IFERROR(__xludf.DUMMYFUNCTION("""COMPUTED_VALUE"""),489488.0)</f>
        <v>489488</v>
      </c>
      <c r="B311" s="2" t="str">
        <f>IFERROR(__xludf.DUMMYFUNCTION("""COMPUTED_VALUE"""),"20870")</f>
        <v>20870</v>
      </c>
      <c r="C311" s="2" t="str">
        <f>IFERROR(__xludf.DUMMYFUNCTION("""COMPUTED_VALUE"""),"OPULENT VELVET CANDLE IN BOX")</f>
        <v>OPULENT VELVET CANDLE IN BOX</v>
      </c>
      <c r="D311" s="2">
        <f>IFERROR(__xludf.DUMMYFUNCTION("""COMPUTED_VALUE"""),6.0)</f>
        <v>6</v>
      </c>
      <c r="E311" s="6">
        <f>IFERROR(__xludf.DUMMYFUNCTION("""COMPUTED_VALUE"""),40148.45763888889)</f>
        <v>40148.45764</v>
      </c>
      <c r="F311" s="2">
        <f>IFERROR(__xludf.DUMMYFUNCTION("""COMPUTED_VALUE"""),2.1)</f>
        <v>2.1</v>
      </c>
      <c r="G311" s="2">
        <f>IFERROR(__xludf.DUMMYFUNCTION("""COMPUTED_VALUE"""),17238.0)</f>
        <v>17238</v>
      </c>
      <c r="H311" s="2" t="str">
        <f>IFERROR(__xludf.DUMMYFUNCTION("""COMPUTED_VALUE"""),"United Kingdom")</f>
        <v>United Kingdom</v>
      </c>
      <c r="I311" s="7">
        <f>IFERROR(__xludf.DUMMYFUNCTION("""COMPUTED_VALUE"""),40148.0)</f>
        <v>40148</v>
      </c>
      <c r="J311" s="8">
        <f>IFERROR(__xludf.DUMMYFUNCTION("""COMPUTED_VALUE"""),0.4576388888890506)</f>
        <v>0.4576388889</v>
      </c>
      <c r="K311" s="2">
        <f>IFERROR(__xludf.DUMMYFUNCTION("""COMPUTED_VALUE"""),10.0)</f>
        <v>10</v>
      </c>
      <c r="L311" s="2">
        <f>IFERROR(__xludf.DUMMYFUNCTION("""COMPUTED_VALUE"""),12.6)</f>
        <v>12.6</v>
      </c>
    </row>
    <row r="312">
      <c r="A312" s="2">
        <f>IFERROR(__xludf.DUMMYFUNCTION("""COMPUTED_VALUE"""),489488.0)</f>
        <v>489488</v>
      </c>
      <c r="B312" s="2" t="str">
        <f>IFERROR(__xludf.DUMMYFUNCTION("""COMPUTED_VALUE"""),"90121B")</f>
        <v>90121B</v>
      </c>
      <c r="C312" s="2" t="str">
        <f>IFERROR(__xludf.DUMMYFUNCTION("""COMPUTED_VALUE"""),"VINTAGE ROSE BEAD BRACELET BLUE")</f>
        <v>VINTAGE ROSE BEAD BRACELET BLUE</v>
      </c>
      <c r="D312" s="2">
        <f>IFERROR(__xludf.DUMMYFUNCTION("""COMPUTED_VALUE"""),4.0)</f>
        <v>4</v>
      </c>
      <c r="E312" s="6">
        <f>IFERROR(__xludf.DUMMYFUNCTION("""COMPUTED_VALUE"""),40148.45763888889)</f>
        <v>40148.45764</v>
      </c>
      <c r="F312" s="2">
        <f>IFERROR(__xludf.DUMMYFUNCTION("""COMPUTED_VALUE"""),4.25)</f>
        <v>4.25</v>
      </c>
      <c r="G312" s="2">
        <f>IFERROR(__xludf.DUMMYFUNCTION("""COMPUTED_VALUE"""),17238.0)</f>
        <v>17238</v>
      </c>
      <c r="H312" s="2" t="str">
        <f>IFERROR(__xludf.DUMMYFUNCTION("""COMPUTED_VALUE"""),"United Kingdom")</f>
        <v>United Kingdom</v>
      </c>
      <c r="I312" s="7">
        <f>IFERROR(__xludf.DUMMYFUNCTION("""COMPUTED_VALUE"""),40148.0)</f>
        <v>40148</v>
      </c>
      <c r="J312" s="8">
        <f>IFERROR(__xludf.DUMMYFUNCTION("""COMPUTED_VALUE"""),0.4576388888890506)</f>
        <v>0.4576388889</v>
      </c>
      <c r="K312" s="2">
        <f>IFERROR(__xludf.DUMMYFUNCTION("""COMPUTED_VALUE"""),10.0)</f>
        <v>10</v>
      </c>
      <c r="L312" s="2">
        <f>IFERROR(__xludf.DUMMYFUNCTION("""COMPUTED_VALUE"""),17.0)</f>
        <v>17</v>
      </c>
    </row>
    <row r="313">
      <c r="A313" s="2">
        <f>IFERROR(__xludf.DUMMYFUNCTION("""COMPUTED_VALUE"""),489488.0)</f>
        <v>489488</v>
      </c>
      <c r="B313" s="2" t="str">
        <f>IFERROR(__xludf.DUMMYFUNCTION("""COMPUTED_VALUE"""),"90175A")</f>
        <v>90175A</v>
      </c>
      <c r="C313" s="2" t="str">
        <f>IFERROR(__xludf.DUMMYFUNCTION("""COMPUTED_VALUE"""),"WHITE GLASS CHUNKY CHARM BRACELET")</f>
        <v>WHITE GLASS CHUNKY CHARM BRACELET</v>
      </c>
      <c r="D313" s="2">
        <f>IFERROR(__xludf.DUMMYFUNCTION("""COMPUTED_VALUE"""),2.0)</f>
        <v>2</v>
      </c>
      <c r="E313" s="6">
        <f>IFERROR(__xludf.DUMMYFUNCTION("""COMPUTED_VALUE"""),40148.45763888889)</f>
        <v>40148.45764</v>
      </c>
      <c r="F313" s="2">
        <f>IFERROR(__xludf.DUMMYFUNCTION("""COMPUTED_VALUE"""),8.95)</f>
        <v>8.95</v>
      </c>
      <c r="G313" s="2">
        <f>IFERROR(__xludf.DUMMYFUNCTION("""COMPUTED_VALUE"""),17238.0)</f>
        <v>17238</v>
      </c>
      <c r="H313" s="2" t="str">
        <f>IFERROR(__xludf.DUMMYFUNCTION("""COMPUTED_VALUE"""),"United Kingdom")</f>
        <v>United Kingdom</v>
      </c>
      <c r="I313" s="7">
        <f>IFERROR(__xludf.DUMMYFUNCTION("""COMPUTED_VALUE"""),40148.0)</f>
        <v>40148</v>
      </c>
      <c r="J313" s="8">
        <f>IFERROR(__xludf.DUMMYFUNCTION("""COMPUTED_VALUE"""),0.4576388888890506)</f>
        <v>0.4576388889</v>
      </c>
      <c r="K313" s="2">
        <f>IFERROR(__xludf.DUMMYFUNCTION("""COMPUTED_VALUE"""),10.0)</f>
        <v>10</v>
      </c>
      <c r="L313" s="2">
        <f>IFERROR(__xludf.DUMMYFUNCTION("""COMPUTED_VALUE"""),17.9)</f>
        <v>17.9</v>
      </c>
    </row>
    <row r="314">
      <c r="A314" s="2">
        <f>IFERROR(__xludf.DUMMYFUNCTION("""COMPUTED_VALUE"""),489488.0)</f>
        <v>489488</v>
      </c>
      <c r="B314" s="2" t="str">
        <f>IFERROR(__xludf.DUMMYFUNCTION("""COMPUTED_VALUE"""),"90195B")</f>
        <v>90195B</v>
      </c>
      <c r="C314" s="2" t="str">
        <f>IFERROR(__xludf.DUMMYFUNCTION("""COMPUTED_VALUE"""),"BLACK GEMSTONE BRACELET")</f>
        <v>BLACK GEMSTONE BRACELET</v>
      </c>
      <c r="D314" s="2">
        <f>IFERROR(__xludf.DUMMYFUNCTION("""COMPUTED_VALUE"""),2.0)</f>
        <v>2</v>
      </c>
      <c r="E314" s="6">
        <f>IFERROR(__xludf.DUMMYFUNCTION("""COMPUTED_VALUE"""),40148.45763888889)</f>
        <v>40148.45764</v>
      </c>
      <c r="F314" s="2">
        <f>IFERROR(__xludf.DUMMYFUNCTION("""COMPUTED_VALUE"""),8.95)</f>
        <v>8.95</v>
      </c>
      <c r="G314" s="2">
        <f>IFERROR(__xludf.DUMMYFUNCTION("""COMPUTED_VALUE"""),17238.0)</f>
        <v>17238</v>
      </c>
      <c r="H314" s="2" t="str">
        <f>IFERROR(__xludf.DUMMYFUNCTION("""COMPUTED_VALUE"""),"United Kingdom")</f>
        <v>United Kingdom</v>
      </c>
      <c r="I314" s="7">
        <f>IFERROR(__xludf.DUMMYFUNCTION("""COMPUTED_VALUE"""),40148.0)</f>
        <v>40148</v>
      </c>
      <c r="J314" s="8">
        <f>IFERROR(__xludf.DUMMYFUNCTION("""COMPUTED_VALUE"""),0.4576388888890506)</f>
        <v>0.4576388889</v>
      </c>
      <c r="K314" s="2">
        <f>IFERROR(__xludf.DUMMYFUNCTION("""COMPUTED_VALUE"""),10.0)</f>
        <v>10</v>
      </c>
      <c r="L314" s="2">
        <f>IFERROR(__xludf.DUMMYFUNCTION("""COMPUTED_VALUE"""),17.9)</f>
        <v>17.9</v>
      </c>
    </row>
    <row r="315">
      <c r="A315" s="2">
        <f>IFERROR(__xludf.DUMMYFUNCTION("""COMPUTED_VALUE"""),489488.0)</f>
        <v>489488</v>
      </c>
      <c r="B315" s="2" t="str">
        <f>IFERROR(__xludf.DUMMYFUNCTION("""COMPUTED_VALUE"""),"90062")</f>
        <v>90062</v>
      </c>
      <c r="C315" s="2" t="str">
        <f>IFERROR(__xludf.DUMMYFUNCTION("""COMPUTED_VALUE"""),"CARNIVAL BRACELET")</f>
        <v>CARNIVAL BRACELET</v>
      </c>
      <c r="D315" s="2">
        <f>IFERROR(__xludf.DUMMYFUNCTION("""COMPUTED_VALUE"""),2.0)</f>
        <v>2</v>
      </c>
      <c r="E315" s="6">
        <f>IFERROR(__xludf.DUMMYFUNCTION("""COMPUTED_VALUE"""),40148.45763888889)</f>
        <v>40148.45764</v>
      </c>
      <c r="F315" s="2">
        <f>IFERROR(__xludf.DUMMYFUNCTION("""COMPUTED_VALUE"""),12.75)</f>
        <v>12.75</v>
      </c>
      <c r="G315" s="2">
        <f>IFERROR(__xludf.DUMMYFUNCTION("""COMPUTED_VALUE"""),17238.0)</f>
        <v>17238</v>
      </c>
      <c r="H315" s="2" t="str">
        <f>IFERROR(__xludf.DUMMYFUNCTION("""COMPUTED_VALUE"""),"United Kingdom")</f>
        <v>United Kingdom</v>
      </c>
      <c r="I315" s="7">
        <f>IFERROR(__xludf.DUMMYFUNCTION("""COMPUTED_VALUE"""),40148.0)</f>
        <v>40148</v>
      </c>
      <c r="J315" s="8">
        <f>IFERROR(__xludf.DUMMYFUNCTION("""COMPUTED_VALUE"""),0.4576388888890506)</f>
        <v>0.4576388889</v>
      </c>
      <c r="K315" s="2">
        <f>IFERROR(__xludf.DUMMYFUNCTION("""COMPUTED_VALUE"""),10.0)</f>
        <v>10</v>
      </c>
      <c r="L315" s="2">
        <f>IFERROR(__xludf.DUMMYFUNCTION("""COMPUTED_VALUE"""),25.5)</f>
        <v>25.5</v>
      </c>
    </row>
    <row r="316">
      <c r="A316" s="2">
        <f>IFERROR(__xludf.DUMMYFUNCTION("""COMPUTED_VALUE"""),489488.0)</f>
        <v>489488</v>
      </c>
      <c r="B316" s="2" t="str">
        <f>IFERROR(__xludf.DUMMYFUNCTION("""COMPUTED_VALUE"""),"21930")</f>
        <v>21930</v>
      </c>
      <c r="C316" s="2" t="str">
        <f>IFERROR(__xludf.DUMMYFUNCTION("""COMPUTED_VALUE"""),"JUMBO STORAGE BAG SKULLS")</f>
        <v>JUMBO STORAGE BAG SKULLS</v>
      </c>
      <c r="D316" s="2">
        <f>IFERROR(__xludf.DUMMYFUNCTION("""COMPUTED_VALUE"""),2.0)</f>
        <v>2</v>
      </c>
      <c r="E316" s="6">
        <f>IFERROR(__xludf.DUMMYFUNCTION("""COMPUTED_VALUE"""),40148.45763888889)</f>
        <v>40148.45764</v>
      </c>
      <c r="F316" s="2">
        <f>IFERROR(__xludf.DUMMYFUNCTION("""COMPUTED_VALUE"""),1.95)</f>
        <v>1.95</v>
      </c>
      <c r="G316" s="2">
        <f>IFERROR(__xludf.DUMMYFUNCTION("""COMPUTED_VALUE"""),17238.0)</f>
        <v>17238</v>
      </c>
      <c r="H316" s="2" t="str">
        <f>IFERROR(__xludf.DUMMYFUNCTION("""COMPUTED_VALUE"""),"United Kingdom")</f>
        <v>United Kingdom</v>
      </c>
      <c r="I316" s="7">
        <f>IFERROR(__xludf.DUMMYFUNCTION("""COMPUTED_VALUE"""),40148.0)</f>
        <v>40148</v>
      </c>
      <c r="J316" s="8">
        <f>IFERROR(__xludf.DUMMYFUNCTION("""COMPUTED_VALUE"""),0.4576388888890506)</f>
        <v>0.4576388889</v>
      </c>
      <c r="K316" s="2">
        <f>IFERROR(__xludf.DUMMYFUNCTION("""COMPUTED_VALUE"""),10.0)</f>
        <v>10</v>
      </c>
      <c r="L316" s="2">
        <f>IFERROR(__xludf.DUMMYFUNCTION("""COMPUTED_VALUE"""),3.9)</f>
        <v>3.9</v>
      </c>
    </row>
    <row r="317">
      <c r="A317" s="2"/>
      <c r="B317" s="2" t="str">
        <f>IFERROR(__xludf.DUMMYFUNCTION("""COMPUTED_VALUE"""),"21540")</f>
        <v>21540</v>
      </c>
      <c r="C317" s="2" t="str">
        <f>IFERROR(__xludf.DUMMYFUNCTION("""COMPUTED_VALUE"""),"DAIRY MAID CERAMIC BUTTER DISH")</f>
        <v>DAIRY MAID CERAMIC BUTTER DISH</v>
      </c>
      <c r="D317" s="2">
        <f>IFERROR(__xludf.DUMMYFUNCTION("""COMPUTED_VALUE"""),-2.0)</f>
        <v>-2</v>
      </c>
      <c r="E317" s="6">
        <f>IFERROR(__xludf.DUMMYFUNCTION("""COMPUTED_VALUE"""),40148.461111111115)</f>
        <v>40148.46111</v>
      </c>
      <c r="F317" s="2">
        <f>IFERROR(__xludf.DUMMYFUNCTION("""COMPUTED_VALUE"""),4.25)</f>
        <v>4.25</v>
      </c>
      <c r="G317" s="2">
        <f>IFERROR(__xludf.DUMMYFUNCTION("""COMPUTED_VALUE"""),16011.0)</f>
        <v>16011</v>
      </c>
      <c r="H317" s="2" t="str">
        <f>IFERROR(__xludf.DUMMYFUNCTION("""COMPUTED_VALUE"""),"United Kingdom")</f>
        <v>United Kingdom</v>
      </c>
      <c r="I317" s="7">
        <f>IFERROR(__xludf.DUMMYFUNCTION("""COMPUTED_VALUE"""),40148.0)</f>
        <v>40148</v>
      </c>
      <c r="J317" s="8">
        <f>IFERROR(__xludf.DUMMYFUNCTION("""COMPUTED_VALUE"""),0.461111111111677)</f>
        <v>0.4611111111</v>
      </c>
      <c r="K317" s="2">
        <f>IFERROR(__xludf.DUMMYFUNCTION("""COMPUTED_VALUE"""),11.0)</f>
        <v>11</v>
      </c>
      <c r="L317" s="2">
        <f>IFERROR(__xludf.DUMMYFUNCTION("""COMPUTED_VALUE"""),-8.5)</f>
        <v>-8.5</v>
      </c>
    </row>
    <row r="318">
      <c r="A318" s="2"/>
      <c r="B318" s="2" t="str">
        <f>IFERROR(__xludf.DUMMYFUNCTION("""COMPUTED_VALUE"""),"21533")</f>
        <v>21533</v>
      </c>
      <c r="C318" s="2" t="str">
        <f>IFERROR(__xludf.DUMMYFUNCTION("""COMPUTED_VALUE"""),"RETRO SPOT LARGE MILK JUG")</f>
        <v>RETRO SPOT LARGE MILK JUG</v>
      </c>
      <c r="D318" s="2">
        <f>IFERROR(__xludf.DUMMYFUNCTION("""COMPUTED_VALUE"""),-1.0)</f>
        <v>-1</v>
      </c>
      <c r="E318" s="6">
        <f>IFERROR(__xludf.DUMMYFUNCTION("""COMPUTED_VALUE"""),40148.461111111115)</f>
        <v>40148.46111</v>
      </c>
      <c r="F318" s="2">
        <f>IFERROR(__xludf.DUMMYFUNCTION("""COMPUTED_VALUE"""),4.95)</f>
        <v>4.95</v>
      </c>
      <c r="G318" s="2">
        <f>IFERROR(__xludf.DUMMYFUNCTION("""COMPUTED_VALUE"""),16011.0)</f>
        <v>16011</v>
      </c>
      <c r="H318" s="2" t="str">
        <f>IFERROR(__xludf.DUMMYFUNCTION("""COMPUTED_VALUE"""),"United Kingdom")</f>
        <v>United Kingdom</v>
      </c>
      <c r="I318" s="7">
        <f>IFERROR(__xludf.DUMMYFUNCTION("""COMPUTED_VALUE"""),40148.0)</f>
        <v>40148</v>
      </c>
      <c r="J318" s="8">
        <f>IFERROR(__xludf.DUMMYFUNCTION("""COMPUTED_VALUE"""),0.461111111111677)</f>
        <v>0.4611111111</v>
      </c>
      <c r="K318" s="2">
        <f>IFERROR(__xludf.DUMMYFUNCTION("""COMPUTED_VALUE"""),11.0)</f>
        <v>11</v>
      </c>
      <c r="L318" s="2">
        <f>IFERROR(__xludf.DUMMYFUNCTION("""COMPUTED_VALUE"""),-4.95)</f>
        <v>-4.95</v>
      </c>
    </row>
    <row r="319">
      <c r="A319" s="2"/>
      <c r="B319" s="2" t="str">
        <f>IFERROR(__xludf.DUMMYFUNCTION("""COMPUTED_VALUE"""),"85083")</f>
        <v>85083</v>
      </c>
      <c r="C319" s="2" t="str">
        <f>IFERROR(__xludf.DUMMYFUNCTION("""COMPUTED_VALUE"""),"KISS REINDEER SCANDINAVIAN STOCKING")</f>
        <v>KISS REINDEER SCANDINAVIAN STOCKING</v>
      </c>
      <c r="D319" s="2">
        <f>IFERROR(__xludf.DUMMYFUNCTION("""COMPUTED_VALUE"""),-6.0)</f>
        <v>-6</v>
      </c>
      <c r="E319" s="6">
        <f>IFERROR(__xludf.DUMMYFUNCTION("""COMPUTED_VALUE"""),40148.46527777778)</f>
        <v>40148.46528</v>
      </c>
      <c r="F319" s="2">
        <f>IFERROR(__xludf.DUMMYFUNCTION("""COMPUTED_VALUE"""),2.55)</f>
        <v>2.55</v>
      </c>
      <c r="G319" s="2">
        <f>IFERROR(__xludf.DUMMYFUNCTION("""COMPUTED_VALUE"""),13916.0)</f>
        <v>13916</v>
      </c>
      <c r="H319" s="2" t="str">
        <f>IFERROR(__xludf.DUMMYFUNCTION("""COMPUTED_VALUE"""),"United Kingdom")</f>
        <v>United Kingdom</v>
      </c>
      <c r="I319" s="7">
        <f>IFERROR(__xludf.DUMMYFUNCTION("""COMPUTED_VALUE"""),40148.0)</f>
        <v>40148</v>
      </c>
      <c r="J319" s="8">
        <f>IFERROR(__xludf.DUMMYFUNCTION("""COMPUTED_VALUE"""),0.46527777777737356)</f>
        <v>0.4652777778</v>
      </c>
      <c r="K319" s="2">
        <f>IFERROR(__xludf.DUMMYFUNCTION("""COMPUTED_VALUE"""),11.0)</f>
        <v>11</v>
      </c>
      <c r="L319" s="2">
        <f>IFERROR(__xludf.DUMMYFUNCTION("""COMPUTED_VALUE"""),-15.2999999999999)</f>
        <v>-15.3</v>
      </c>
    </row>
    <row r="320">
      <c r="A320" s="2">
        <f>IFERROR(__xludf.DUMMYFUNCTION("""COMPUTED_VALUE"""),489505.0)</f>
        <v>489505</v>
      </c>
      <c r="B320" s="2" t="str">
        <f>IFERROR(__xludf.DUMMYFUNCTION("""COMPUTED_VALUE"""),"21472")</f>
        <v>21472</v>
      </c>
      <c r="C320" s="2" t="str">
        <f>IFERROR(__xludf.DUMMYFUNCTION("""COMPUTED_VALUE"""),"LADYBIRD + BEE RAFFIA FOOD COVER")</f>
        <v>LADYBIRD + BEE RAFFIA FOOD COVER</v>
      </c>
      <c r="D320" s="2">
        <f>IFERROR(__xludf.DUMMYFUNCTION("""COMPUTED_VALUE"""),6.0)</f>
        <v>6</v>
      </c>
      <c r="E320" s="6">
        <f>IFERROR(__xludf.DUMMYFUNCTION("""COMPUTED_VALUE"""),40148.47013888889)</f>
        <v>40148.47014</v>
      </c>
      <c r="F320" s="2">
        <f>IFERROR(__xludf.DUMMYFUNCTION("""COMPUTED_VALUE"""),3.75)</f>
        <v>3.75</v>
      </c>
      <c r="G320" s="2">
        <f>IFERROR(__xludf.DUMMYFUNCTION("""COMPUTED_VALUE"""),15712.0)</f>
        <v>15712</v>
      </c>
      <c r="H320" s="2" t="str">
        <f>IFERROR(__xludf.DUMMYFUNCTION("""COMPUTED_VALUE"""),"United Kingdom")</f>
        <v>United Kingdom</v>
      </c>
      <c r="I320" s="7">
        <f>IFERROR(__xludf.DUMMYFUNCTION("""COMPUTED_VALUE"""),40148.0)</f>
        <v>40148</v>
      </c>
      <c r="J320" s="8">
        <f>IFERROR(__xludf.DUMMYFUNCTION("""COMPUTED_VALUE"""),0.4701388888897782)</f>
        <v>0.4701388889</v>
      </c>
      <c r="K320" s="2">
        <f>IFERROR(__xludf.DUMMYFUNCTION("""COMPUTED_VALUE"""),11.0)</f>
        <v>11</v>
      </c>
      <c r="L320" s="2">
        <f>IFERROR(__xludf.DUMMYFUNCTION("""COMPUTED_VALUE"""),22.5)</f>
        <v>22.5</v>
      </c>
    </row>
    <row r="321">
      <c r="A321" s="2">
        <f>IFERROR(__xludf.DUMMYFUNCTION("""COMPUTED_VALUE"""),489505.0)</f>
        <v>489505</v>
      </c>
      <c r="B321" s="2" t="str">
        <f>IFERROR(__xludf.DUMMYFUNCTION("""COMPUTED_VALUE"""),"85099B")</f>
        <v>85099B</v>
      </c>
      <c r="C321" s="2" t="str">
        <f>IFERROR(__xludf.DUMMYFUNCTION("""COMPUTED_VALUE"""),"JUMBO BAG RED WHITE SPOTTY")</f>
        <v>JUMBO BAG RED WHITE SPOTTY</v>
      </c>
      <c r="D321" s="2">
        <f>IFERROR(__xludf.DUMMYFUNCTION("""COMPUTED_VALUE"""),10.0)</f>
        <v>10</v>
      </c>
      <c r="E321" s="6">
        <f>IFERROR(__xludf.DUMMYFUNCTION("""COMPUTED_VALUE"""),40148.47013888889)</f>
        <v>40148.47014</v>
      </c>
      <c r="F321" s="2">
        <f>IFERROR(__xludf.DUMMYFUNCTION("""COMPUTED_VALUE"""),1.95)</f>
        <v>1.95</v>
      </c>
      <c r="G321" s="2">
        <f>IFERROR(__xludf.DUMMYFUNCTION("""COMPUTED_VALUE"""),15712.0)</f>
        <v>15712</v>
      </c>
      <c r="H321" s="2" t="str">
        <f>IFERROR(__xludf.DUMMYFUNCTION("""COMPUTED_VALUE"""),"United Kingdom")</f>
        <v>United Kingdom</v>
      </c>
      <c r="I321" s="7">
        <f>IFERROR(__xludf.DUMMYFUNCTION("""COMPUTED_VALUE"""),40148.0)</f>
        <v>40148</v>
      </c>
      <c r="J321" s="8">
        <f>IFERROR(__xludf.DUMMYFUNCTION("""COMPUTED_VALUE"""),0.4701388888897782)</f>
        <v>0.4701388889</v>
      </c>
      <c r="K321" s="2">
        <f>IFERROR(__xludf.DUMMYFUNCTION("""COMPUTED_VALUE"""),11.0)</f>
        <v>11</v>
      </c>
      <c r="L321" s="2">
        <f>IFERROR(__xludf.DUMMYFUNCTION("""COMPUTED_VALUE"""),19.5)</f>
        <v>19.5</v>
      </c>
    </row>
    <row r="322">
      <c r="A322" s="2">
        <f>IFERROR(__xludf.DUMMYFUNCTION("""COMPUTED_VALUE"""),489505.0)</f>
        <v>489505</v>
      </c>
      <c r="B322" s="2" t="str">
        <f>IFERROR(__xludf.DUMMYFUNCTION("""COMPUTED_VALUE"""),"48185")</f>
        <v>48185</v>
      </c>
      <c r="C322" s="2" t="str">
        <f>IFERROR(__xludf.DUMMYFUNCTION("""COMPUTED_VALUE"""),"DOOR MAT FAIRY CAKE")</f>
        <v>DOOR MAT FAIRY CAKE</v>
      </c>
      <c r="D322" s="2">
        <f>IFERROR(__xludf.DUMMYFUNCTION("""COMPUTED_VALUE"""),10.0)</f>
        <v>10</v>
      </c>
      <c r="E322" s="6">
        <f>IFERROR(__xludf.DUMMYFUNCTION("""COMPUTED_VALUE"""),40148.47013888889)</f>
        <v>40148.47014</v>
      </c>
      <c r="F322" s="2">
        <f>IFERROR(__xludf.DUMMYFUNCTION("""COMPUTED_VALUE"""),5.95)</f>
        <v>5.95</v>
      </c>
      <c r="G322" s="2">
        <f>IFERROR(__xludf.DUMMYFUNCTION("""COMPUTED_VALUE"""),15712.0)</f>
        <v>15712</v>
      </c>
      <c r="H322" s="2" t="str">
        <f>IFERROR(__xludf.DUMMYFUNCTION("""COMPUTED_VALUE"""),"United Kingdom")</f>
        <v>United Kingdom</v>
      </c>
      <c r="I322" s="7">
        <f>IFERROR(__xludf.DUMMYFUNCTION("""COMPUTED_VALUE"""),40148.0)</f>
        <v>40148</v>
      </c>
      <c r="J322" s="8">
        <f>IFERROR(__xludf.DUMMYFUNCTION("""COMPUTED_VALUE"""),0.4701388888897782)</f>
        <v>0.4701388889</v>
      </c>
      <c r="K322" s="2">
        <f>IFERROR(__xludf.DUMMYFUNCTION("""COMPUTED_VALUE"""),11.0)</f>
        <v>11</v>
      </c>
      <c r="L322" s="2">
        <f>IFERROR(__xludf.DUMMYFUNCTION("""COMPUTED_VALUE"""),59.5)</f>
        <v>59.5</v>
      </c>
    </row>
    <row r="323">
      <c r="A323" s="2">
        <f>IFERROR(__xludf.DUMMYFUNCTION("""COMPUTED_VALUE"""),489505.0)</f>
        <v>489505</v>
      </c>
      <c r="B323" s="2" t="str">
        <f>IFERROR(__xludf.DUMMYFUNCTION("""COMPUTED_VALUE"""),"47566B")</f>
        <v>47566B</v>
      </c>
      <c r="C323" s="2" t="str">
        <f>IFERROR(__xludf.DUMMYFUNCTION("""COMPUTED_VALUE"""),"TEA TIME PARTY BUNTING")</f>
        <v>TEA TIME PARTY BUNTING</v>
      </c>
      <c r="D323" s="2">
        <f>IFERROR(__xludf.DUMMYFUNCTION("""COMPUTED_VALUE"""),5.0)</f>
        <v>5</v>
      </c>
      <c r="E323" s="6">
        <f>IFERROR(__xludf.DUMMYFUNCTION("""COMPUTED_VALUE"""),40148.47013888889)</f>
        <v>40148.47014</v>
      </c>
      <c r="F323" s="2">
        <f>IFERROR(__xludf.DUMMYFUNCTION("""COMPUTED_VALUE"""),4.65)</f>
        <v>4.65</v>
      </c>
      <c r="G323" s="2">
        <f>IFERROR(__xludf.DUMMYFUNCTION("""COMPUTED_VALUE"""),15712.0)</f>
        <v>15712</v>
      </c>
      <c r="H323" s="2" t="str">
        <f>IFERROR(__xludf.DUMMYFUNCTION("""COMPUTED_VALUE"""),"United Kingdom")</f>
        <v>United Kingdom</v>
      </c>
      <c r="I323" s="7">
        <f>IFERROR(__xludf.DUMMYFUNCTION("""COMPUTED_VALUE"""),40148.0)</f>
        <v>40148</v>
      </c>
      <c r="J323" s="8">
        <f>IFERROR(__xludf.DUMMYFUNCTION("""COMPUTED_VALUE"""),0.4701388888897782)</f>
        <v>0.4701388889</v>
      </c>
      <c r="K323" s="2">
        <f>IFERROR(__xludf.DUMMYFUNCTION("""COMPUTED_VALUE"""),11.0)</f>
        <v>11</v>
      </c>
      <c r="L323" s="2">
        <f>IFERROR(__xludf.DUMMYFUNCTION("""COMPUTED_VALUE"""),23.25)</f>
        <v>23.25</v>
      </c>
    </row>
    <row r="324">
      <c r="A324" s="2">
        <f>IFERROR(__xludf.DUMMYFUNCTION("""COMPUTED_VALUE"""),489505.0)</f>
        <v>489505</v>
      </c>
      <c r="B324" s="2" t="str">
        <f>IFERROR(__xludf.DUMMYFUNCTION("""COMPUTED_VALUE"""),"21929")</f>
        <v>21929</v>
      </c>
      <c r="C324" s="2" t="str">
        <f>IFERROR(__xludf.DUMMYFUNCTION("""COMPUTED_VALUE"""),"JUMBO BAG PINK VINTAGE PAISLEY")</f>
        <v>JUMBO BAG PINK VINTAGE PAISLEY</v>
      </c>
      <c r="D324" s="2">
        <f>IFERROR(__xludf.DUMMYFUNCTION("""COMPUTED_VALUE"""),10.0)</f>
        <v>10</v>
      </c>
      <c r="E324" s="6">
        <f>IFERROR(__xludf.DUMMYFUNCTION("""COMPUTED_VALUE"""),40148.47013888889)</f>
        <v>40148.47014</v>
      </c>
      <c r="F324" s="2">
        <f>IFERROR(__xludf.DUMMYFUNCTION("""COMPUTED_VALUE"""),1.95)</f>
        <v>1.95</v>
      </c>
      <c r="G324" s="2">
        <f>IFERROR(__xludf.DUMMYFUNCTION("""COMPUTED_VALUE"""),15712.0)</f>
        <v>15712</v>
      </c>
      <c r="H324" s="2" t="str">
        <f>IFERROR(__xludf.DUMMYFUNCTION("""COMPUTED_VALUE"""),"United Kingdom")</f>
        <v>United Kingdom</v>
      </c>
      <c r="I324" s="7">
        <f>IFERROR(__xludf.DUMMYFUNCTION("""COMPUTED_VALUE"""),40148.0)</f>
        <v>40148</v>
      </c>
      <c r="J324" s="8">
        <f>IFERROR(__xludf.DUMMYFUNCTION("""COMPUTED_VALUE"""),0.4701388888897782)</f>
        <v>0.4701388889</v>
      </c>
      <c r="K324" s="2">
        <f>IFERROR(__xludf.DUMMYFUNCTION("""COMPUTED_VALUE"""),11.0)</f>
        <v>11</v>
      </c>
      <c r="L324" s="2">
        <f>IFERROR(__xludf.DUMMYFUNCTION("""COMPUTED_VALUE"""),19.5)</f>
        <v>19.5</v>
      </c>
    </row>
    <row r="325">
      <c r="A325" s="2">
        <f>IFERROR(__xludf.DUMMYFUNCTION("""COMPUTED_VALUE"""),489505.0)</f>
        <v>489505</v>
      </c>
      <c r="B325" s="2" t="str">
        <f>IFERROR(__xludf.DUMMYFUNCTION("""COMPUTED_VALUE"""),"22139")</f>
        <v>22139</v>
      </c>
      <c r="C325" s="2" t="str">
        <f>IFERROR(__xludf.DUMMYFUNCTION("""COMPUTED_VALUE"""),"RETRO SPOT TEA SET CERAMIC 11 PC")</f>
        <v>RETRO SPOT TEA SET CERAMIC 11 PC</v>
      </c>
      <c r="D325" s="2">
        <f>IFERROR(__xludf.DUMMYFUNCTION("""COMPUTED_VALUE"""),6.0)</f>
        <v>6</v>
      </c>
      <c r="E325" s="6">
        <f>IFERROR(__xludf.DUMMYFUNCTION("""COMPUTED_VALUE"""),40148.47013888889)</f>
        <v>40148.47014</v>
      </c>
      <c r="F325" s="2">
        <f>IFERROR(__xludf.DUMMYFUNCTION("""COMPUTED_VALUE"""),4.95)</f>
        <v>4.95</v>
      </c>
      <c r="G325" s="2">
        <f>IFERROR(__xludf.DUMMYFUNCTION("""COMPUTED_VALUE"""),15712.0)</f>
        <v>15712</v>
      </c>
      <c r="H325" s="2" t="str">
        <f>IFERROR(__xludf.DUMMYFUNCTION("""COMPUTED_VALUE"""),"United Kingdom")</f>
        <v>United Kingdom</v>
      </c>
      <c r="I325" s="7">
        <f>IFERROR(__xludf.DUMMYFUNCTION("""COMPUTED_VALUE"""),40148.0)</f>
        <v>40148</v>
      </c>
      <c r="J325" s="8">
        <f>IFERROR(__xludf.DUMMYFUNCTION("""COMPUTED_VALUE"""),0.4701388888897782)</f>
        <v>0.4701388889</v>
      </c>
      <c r="K325" s="2">
        <f>IFERROR(__xludf.DUMMYFUNCTION("""COMPUTED_VALUE"""),11.0)</f>
        <v>11</v>
      </c>
      <c r="L325" s="2">
        <f>IFERROR(__xludf.DUMMYFUNCTION("""COMPUTED_VALUE"""),29.7)</f>
        <v>29.7</v>
      </c>
    </row>
    <row r="326">
      <c r="A326" s="2">
        <f>IFERROR(__xludf.DUMMYFUNCTION("""COMPUTED_VALUE"""),489505.0)</f>
        <v>489505</v>
      </c>
      <c r="B326" s="2" t="str">
        <f>IFERROR(__xludf.DUMMYFUNCTION("""COMPUTED_VALUE"""),"22086")</f>
        <v>22086</v>
      </c>
      <c r="C326" s="2" t="str">
        <f>IFERROR(__xludf.DUMMYFUNCTION("""COMPUTED_VALUE"""),"PAPER CHAIN KIT 50'S CHRISTMAS")</f>
        <v>PAPER CHAIN KIT 50'S CHRISTMAS</v>
      </c>
      <c r="D326" s="2">
        <f>IFERROR(__xludf.DUMMYFUNCTION("""COMPUTED_VALUE"""),6.0)</f>
        <v>6</v>
      </c>
      <c r="E326" s="6">
        <f>IFERROR(__xludf.DUMMYFUNCTION("""COMPUTED_VALUE"""),40148.47013888889)</f>
        <v>40148.47014</v>
      </c>
      <c r="F326" s="2">
        <f>IFERROR(__xludf.DUMMYFUNCTION("""COMPUTED_VALUE"""),2.95)</f>
        <v>2.95</v>
      </c>
      <c r="G326" s="2">
        <f>IFERROR(__xludf.DUMMYFUNCTION("""COMPUTED_VALUE"""),15712.0)</f>
        <v>15712</v>
      </c>
      <c r="H326" s="2" t="str">
        <f>IFERROR(__xludf.DUMMYFUNCTION("""COMPUTED_VALUE"""),"United Kingdom")</f>
        <v>United Kingdom</v>
      </c>
      <c r="I326" s="7">
        <f>IFERROR(__xludf.DUMMYFUNCTION("""COMPUTED_VALUE"""),40148.0)</f>
        <v>40148</v>
      </c>
      <c r="J326" s="8">
        <f>IFERROR(__xludf.DUMMYFUNCTION("""COMPUTED_VALUE"""),0.4701388888897782)</f>
        <v>0.4701388889</v>
      </c>
      <c r="K326" s="2">
        <f>IFERROR(__xludf.DUMMYFUNCTION("""COMPUTED_VALUE"""),11.0)</f>
        <v>11</v>
      </c>
      <c r="L326" s="2">
        <f>IFERROR(__xludf.DUMMYFUNCTION("""COMPUTED_VALUE"""),17.7)</f>
        <v>17.7</v>
      </c>
    </row>
    <row r="327">
      <c r="A327" s="2">
        <f>IFERROR(__xludf.DUMMYFUNCTION("""COMPUTED_VALUE"""),489505.0)</f>
        <v>489505</v>
      </c>
      <c r="B327" s="2" t="str">
        <f>IFERROR(__xludf.DUMMYFUNCTION("""COMPUTED_VALUE"""),"22275")</f>
        <v>22275</v>
      </c>
      <c r="C327" s="2" t="str">
        <f>IFERROR(__xludf.DUMMYFUNCTION("""COMPUTED_VALUE"""),"WEEKEND BAG VINTAGE ROSE PAISLEY")</f>
        <v>WEEKEND BAG VINTAGE ROSE PAISLEY</v>
      </c>
      <c r="D327" s="2">
        <f>IFERROR(__xludf.DUMMYFUNCTION("""COMPUTED_VALUE"""),4.0)</f>
        <v>4</v>
      </c>
      <c r="E327" s="6">
        <f>IFERROR(__xludf.DUMMYFUNCTION("""COMPUTED_VALUE"""),40148.47013888889)</f>
        <v>40148.47014</v>
      </c>
      <c r="F327" s="2">
        <f>IFERROR(__xludf.DUMMYFUNCTION("""COMPUTED_VALUE"""),8.5)</f>
        <v>8.5</v>
      </c>
      <c r="G327" s="2">
        <f>IFERROR(__xludf.DUMMYFUNCTION("""COMPUTED_VALUE"""),15712.0)</f>
        <v>15712</v>
      </c>
      <c r="H327" s="2" t="str">
        <f>IFERROR(__xludf.DUMMYFUNCTION("""COMPUTED_VALUE"""),"United Kingdom")</f>
        <v>United Kingdom</v>
      </c>
      <c r="I327" s="7">
        <f>IFERROR(__xludf.DUMMYFUNCTION("""COMPUTED_VALUE"""),40148.0)</f>
        <v>40148</v>
      </c>
      <c r="J327" s="8">
        <f>IFERROR(__xludf.DUMMYFUNCTION("""COMPUTED_VALUE"""),0.4701388888897782)</f>
        <v>0.4701388889</v>
      </c>
      <c r="K327" s="2">
        <f>IFERROR(__xludf.DUMMYFUNCTION("""COMPUTED_VALUE"""),11.0)</f>
        <v>11</v>
      </c>
      <c r="L327" s="2">
        <f>IFERROR(__xludf.DUMMYFUNCTION("""COMPUTED_VALUE"""),34.0)</f>
        <v>34</v>
      </c>
    </row>
    <row r="328">
      <c r="A328" s="2">
        <f>IFERROR(__xludf.DUMMYFUNCTION("""COMPUTED_VALUE"""),489505.0)</f>
        <v>489505</v>
      </c>
      <c r="B328" s="2" t="str">
        <f>IFERROR(__xludf.DUMMYFUNCTION("""COMPUTED_VALUE"""),"22138")</f>
        <v>22138</v>
      </c>
      <c r="C328" s="2" t="str">
        <f>IFERROR(__xludf.DUMMYFUNCTION("""COMPUTED_VALUE"""),"BAKING SET 9 PIECE RETROSPOT")</f>
        <v>BAKING SET 9 PIECE RETROSPOT</v>
      </c>
      <c r="D328" s="2">
        <f>IFERROR(__xludf.DUMMYFUNCTION("""COMPUTED_VALUE"""),3.0)</f>
        <v>3</v>
      </c>
      <c r="E328" s="6">
        <f>IFERROR(__xludf.DUMMYFUNCTION("""COMPUTED_VALUE"""),40148.47013888889)</f>
        <v>40148.47014</v>
      </c>
      <c r="F328" s="2">
        <f>IFERROR(__xludf.DUMMYFUNCTION("""COMPUTED_VALUE"""),4.95)</f>
        <v>4.95</v>
      </c>
      <c r="G328" s="2">
        <f>IFERROR(__xludf.DUMMYFUNCTION("""COMPUTED_VALUE"""),15712.0)</f>
        <v>15712</v>
      </c>
      <c r="H328" s="2" t="str">
        <f>IFERROR(__xludf.DUMMYFUNCTION("""COMPUTED_VALUE"""),"United Kingdom")</f>
        <v>United Kingdom</v>
      </c>
      <c r="I328" s="7">
        <f>IFERROR(__xludf.DUMMYFUNCTION("""COMPUTED_VALUE"""),40148.0)</f>
        <v>40148</v>
      </c>
      <c r="J328" s="8">
        <f>IFERROR(__xludf.DUMMYFUNCTION("""COMPUTED_VALUE"""),0.4701388888897782)</f>
        <v>0.4701388889</v>
      </c>
      <c r="K328" s="2">
        <f>IFERROR(__xludf.DUMMYFUNCTION("""COMPUTED_VALUE"""),11.0)</f>
        <v>11</v>
      </c>
      <c r="L328" s="2">
        <f>IFERROR(__xludf.DUMMYFUNCTION("""COMPUTED_VALUE"""),14.85)</f>
        <v>14.85</v>
      </c>
    </row>
    <row r="329">
      <c r="A329" s="2">
        <f>IFERROR(__xludf.DUMMYFUNCTION("""COMPUTED_VALUE"""),489505.0)</f>
        <v>489505</v>
      </c>
      <c r="B329" s="2" t="str">
        <f>IFERROR(__xludf.DUMMYFUNCTION("""COMPUTED_VALUE"""),"21479")</f>
        <v>21479</v>
      </c>
      <c r="C329" s="2" t="str">
        <f>IFERROR(__xludf.DUMMYFUNCTION("""COMPUTED_VALUE"""),"WHITE SKULL HOT WATER BOTTLE")</f>
        <v>WHITE SKULL HOT WATER BOTTLE</v>
      </c>
      <c r="D329" s="2">
        <f>IFERROR(__xludf.DUMMYFUNCTION("""COMPUTED_VALUE"""),4.0)</f>
        <v>4</v>
      </c>
      <c r="E329" s="6">
        <f>IFERROR(__xludf.DUMMYFUNCTION("""COMPUTED_VALUE"""),40148.47013888889)</f>
        <v>40148.47014</v>
      </c>
      <c r="F329" s="2">
        <f>IFERROR(__xludf.DUMMYFUNCTION("""COMPUTED_VALUE"""),3.75)</f>
        <v>3.75</v>
      </c>
      <c r="G329" s="2">
        <f>IFERROR(__xludf.DUMMYFUNCTION("""COMPUTED_VALUE"""),15712.0)</f>
        <v>15712</v>
      </c>
      <c r="H329" s="2" t="str">
        <f>IFERROR(__xludf.DUMMYFUNCTION("""COMPUTED_VALUE"""),"United Kingdom")</f>
        <v>United Kingdom</v>
      </c>
      <c r="I329" s="7">
        <f>IFERROR(__xludf.DUMMYFUNCTION("""COMPUTED_VALUE"""),40148.0)</f>
        <v>40148</v>
      </c>
      <c r="J329" s="8">
        <f>IFERROR(__xludf.DUMMYFUNCTION("""COMPUTED_VALUE"""),0.4701388888897782)</f>
        <v>0.4701388889</v>
      </c>
      <c r="K329" s="2">
        <f>IFERROR(__xludf.DUMMYFUNCTION("""COMPUTED_VALUE"""),11.0)</f>
        <v>11</v>
      </c>
      <c r="L329" s="2">
        <f>IFERROR(__xludf.DUMMYFUNCTION("""COMPUTED_VALUE"""),15.0)</f>
        <v>15</v>
      </c>
    </row>
    <row r="330">
      <c r="A330" s="2">
        <f>IFERROR(__xludf.DUMMYFUNCTION("""COMPUTED_VALUE"""),489514.0)</f>
        <v>489514</v>
      </c>
      <c r="B330" s="2" t="str">
        <f>IFERROR(__xludf.DUMMYFUNCTION("""COMPUTED_VALUE"""),"21791")</f>
        <v>21791</v>
      </c>
      <c r="C330" s="2" t="str">
        <f>IFERROR(__xludf.DUMMYFUNCTION("""COMPUTED_VALUE"""),"VINTAGE HEADS AND TAILS CARD GAME")</f>
        <v>VINTAGE HEADS AND TAILS CARD GAME</v>
      </c>
      <c r="D330" s="2">
        <f>IFERROR(__xludf.DUMMYFUNCTION("""COMPUTED_VALUE"""),72.0)</f>
        <v>72</v>
      </c>
      <c r="E330" s="6">
        <f>IFERROR(__xludf.DUMMYFUNCTION("""COMPUTED_VALUE"""),40148.472916666666)</f>
        <v>40148.47292</v>
      </c>
      <c r="F330" s="2">
        <f>IFERROR(__xludf.DUMMYFUNCTION("""COMPUTED_VALUE"""),1.06)</f>
        <v>1.06</v>
      </c>
      <c r="G330" s="2">
        <f>IFERROR(__xludf.DUMMYFUNCTION("""COMPUTED_VALUE"""),15311.0)</f>
        <v>15311</v>
      </c>
      <c r="H330" s="2" t="str">
        <f>IFERROR(__xludf.DUMMYFUNCTION("""COMPUTED_VALUE"""),"United Kingdom")</f>
        <v>United Kingdom</v>
      </c>
      <c r="I330" s="7">
        <f>IFERROR(__xludf.DUMMYFUNCTION("""COMPUTED_VALUE"""),40148.0)</f>
        <v>40148</v>
      </c>
      <c r="J330" s="8">
        <f>IFERROR(__xludf.DUMMYFUNCTION("""COMPUTED_VALUE"""),0.47291666666569654)</f>
        <v>0.4729166667</v>
      </c>
      <c r="K330" s="2">
        <f>IFERROR(__xludf.DUMMYFUNCTION("""COMPUTED_VALUE"""),11.0)</f>
        <v>11</v>
      </c>
      <c r="L330" s="2">
        <f>IFERROR(__xludf.DUMMYFUNCTION("""COMPUTED_VALUE"""),76.32)</f>
        <v>76.32</v>
      </c>
    </row>
    <row r="331">
      <c r="A331" s="2">
        <f>IFERROR(__xludf.DUMMYFUNCTION("""COMPUTED_VALUE"""),489514.0)</f>
        <v>489514</v>
      </c>
      <c r="B331" s="2" t="str">
        <f>IFERROR(__xludf.DUMMYFUNCTION("""COMPUTED_VALUE"""),"84032A")</f>
        <v>84032A</v>
      </c>
      <c r="C331" s="2" t="str">
        <f>IFERROR(__xludf.DUMMYFUNCTION("""COMPUTED_VALUE"""),"CHARLIE+LOLA PINK HOT WATER BOTTLE")</f>
        <v>CHARLIE+LOLA PINK HOT WATER BOTTLE</v>
      </c>
      <c r="D331" s="2">
        <f>IFERROR(__xludf.DUMMYFUNCTION("""COMPUTED_VALUE"""),36.0)</f>
        <v>36</v>
      </c>
      <c r="E331" s="6">
        <f>IFERROR(__xludf.DUMMYFUNCTION("""COMPUTED_VALUE"""),40148.472916666666)</f>
        <v>40148.47292</v>
      </c>
      <c r="F331" s="2">
        <f>IFERROR(__xludf.DUMMYFUNCTION("""COMPUTED_VALUE"""),2.55)</f>
        <v>2.55</v>
      </c>
      <c r="G331" s="2">
        <f>IFERROR(__xludf.DUMMYFUNCTION("""COMPUTED_VALUE"""),15311.0)</f>
        <v>15311</v>
      </c>
      <c r="H331" s="2" t="str">
        <f>IFERROR(__xludf.DUMMYFUNCTION("""COMPUTED_VALUE"""),"United Kingdom")</f>
        <v>United Kingdom</v>
      </c>
      <c r="I331" s="7">
        <f>IFERROR(__xludf.DUMMYFUNCTION("""COMPUTED_VALUE"""),40148.0)</f>
        <v>40148</v>
      </c>
      <c r="J331" s="8">
        <f>IFERROR(__xludf.DUMMYFUNCTION("""COMPUTED_VALUE"""),0.47291666666569654)</f>
        <v>0.4729166667</v>
      </c>
      <c r="K331" s="2">
        <f>IFERROR(__xludf.DUMMYFUNCTION("""COMPUTED_VALUE"""),11.0)</f>
        <v>11</v>
      </c>
      <c r="L331" s="2">
        <f>IFERROR(__xludf.DUMMYFUNCTION("""COMPUTED_VALUE"""),91.8)</f>
        <v>91.8</v>
      </c>
    </row>
    <row r="332">
      <c r="A332" s="2">
        <f>IFERROR(__xludf.DUMMYFUNCTION("""COMPUTED_VALUE"""),489514.0)</f>
        <v>489514</v>
      </c>
      <c r="B332" s="2" t="str">
        <f>IFERROR(__xludf.DUMMYFUNCTION("""COMPUTED_VALUE"""),"85042")</f>
        <v>85042</v>
      </c>
      <c r="C332" s="2" t="str">
        <f>IFERROR(__xludf.DUMMYFUNCTION("""COMPUTED_VALUE"""),"ANTIQUE LILY FAIRY LIGHTS")</f>
        <v>ANTIQUE LILY FAIRY LIGHTS</v>
      </c>
      <c r="D332" s="2">
        <f>IFERROR(__xludf.DUMMYFUNCTION("""COMPUTED_VALUE"""),24.0)</f>
        <v>24</v>
      </c>
      <c r="E332" s="6">
        <f>IFERROR(__xludf.DUMMYFUNCTION("""COMPUTED_VALUE"""),40148.472916666666)</f>
        <v>40148.47292</v>
      </c>
      <c r="F332" s="2">
        <f>IFERROR(__xludf.DUMMYFUNCTION("""COMPUTED_VALUE"""),4.25)</f>
        <v>4.25</v>
      </c>
      <c r="G332" s="2">
        <f>IFERROR(__xludf.DUMMYFUNCTION("""COMPUTED_VALUE"""),15311.0)</f>
        <v>15311</v>
      </c>
      <c r="H332" s="2" t="str">
        <f>IFERROR(__xludf.DUMMYFUNCTION("""COMPUTED_VALUE"""),"United Kingdom")</f>
        <v>United Kingdom</v>
      </c>
      <c r="I332" s="7">
        <f>IFERROR(__xludf.DUMMYFUNCTION("""COMPUTED_VALUE"""),40148.0)</f>
        <v>40148</v>
      </c>
      <c r="J332" s="8">
        <f>IFERROR(__xludf.DUMMYFUNCTION("""COMPUTED_VALUE"""),0.47291666666569654)</f>
        <v>0.4729166667</v>
      </c>
      <c r="K332" s="2">
        <f>IFERROR(__xludf.DUMMYFUNCTION("""COMPUTED_VALUE"""),11.0)</f>
        <v>11</v>
      </c>
      <c r="L332" s="2">
        <f>IFERROR(__xludf.DUMMYFUNCTION("""COMPUTED_VALUE"""),102.0)</f>
        <v>102</v>
      </c>
    </row>
    <row r="333">
      <c r="A333" s="2">
        <f>IFERROR(__xludf.DUMMYFUNCTION("""COMPUTED_VALUE"""),489514.0)</f>
        <v>489514</v>
      </c>
      <c r="B333" s="2" t="str">
        <f>IFERROR(__xludf.DUMMYFUNCTION("""COMPUTED_VALUE"""),"71477")</f>
        <v>71477</v>
      </c>
      <c r="C333" s="2" t="str">
        <f>IFERROR(__xludf.DUMMYFUNCTION("""COMPUTED_VALUE"""),"COLOUR GLASS. STAR T-LIGHT HOLDER")</f>
        <v>COLOUR GLASS. STAR T-LIGHT HOLDER</v>
      </c>
      <c r="D333" s="2">
        <f>IFERROR(__xludf.DUMMYFUNCTION("""COMPUTED_VALUE"""),24.0)</f>
        <v>24</v>
      </c>
      <c r="E333" s="6">
        <f>IFERROR(__xludf.DUMMYFUNCTION("""COMPUTED_VALUE"""),40148.472916666666)</f>
        <v>40148.47292</v>
      </c>
      <c r="F333" s="2">
        <f>IFERROR(__xludf.DUMMYFUNCTION("""COMPUTED_VALUE"""),2.75)</f>
        <v>2.75</v>
      </c>
      <c r="G333" s="2">
        <f>IFERROR(__xludf.DUMMYFUNCTION("""COMPUTED_VALUE"""),15311.0)</f>
        <v>15311</v>
      </c>
      <c r="H333" s="2" t="str">
        <f>IFERROR(__xludf.DUMMYFUNCTION("""COMPUTED_VALUE"""),"United Kingdom")</f>
        <v>United Kingdom</v>
      </c>
      <c r="I333" s="7">
        <f>IFERROR(__xludf.DUMMYFUNCTION("""COMPUTED_VALUE"""),40148.0)</f>
        <v>40148</v>
      </c>
      <c r="J333" s="8">
        <f>IFERROR(__xludf.DUMMYFUNCTION("""COMPUTED_VALUE"""),0.47291666666569654)</f>
        <v>0.4729166667</v>
      </c>
      <c r="K333" s="2">
        <f>IFERROR(__xludf.DUMMYFUNCTION("""COMPUTED_VALUE"""),11.0)</f>
        <v>11</v>
      </c>
      <c r="L333" s="2">
        <f>IFERROR(__xludf.DUMMYFUNCTION("""COMPUTED_VALUE"""),66.0)</f>
        <v>66</v>
      </c>
    </row>
    <row r="334">
      <c r="A334" s="2">
        <f>IFERROR(__xludf.DUMMYFUNCTION("""COMPUTED_VALUE"""),489514.0)</f>
        <v>489514</v>
      </c>
      <c r="B334" s="2" t="str">
        <f>IFERROR(__xludf.DUMMYFUNCTION("""COMPUTED_VALUE"""),"37449")</f>
        <v>37449</v>
      </c>
      <c r="C334" s="2" t="str">
        <f>IFERROR(__xludf.DUMMYFUNCTION("""COMPUTED_VALUE"""),"CERAMIC CAKE STAND + HANGING CAKES")</f>
        <v>CERAMIC CAKE STAND + HANGING CAKES</v>
      </c>
      <c r="D334" s="2">
        <f>IFERROR(__xludf.DUMMYFUNCTION("""COMPUTED_VALUE"""),8.0)</f>
        <v>8</v>
      </c>
      <c r="E334" s="6">
        <f>IFERROR(__xludf.DUMMYFUNCTION("""COMPUTED_VALUE"""),40148.472916666666)</f>
        <v>40148.47292</v>
      </c>
      <c r="F334" s="2">
        <f>IFERROR(__xludf.DUMMYFUNCTION("""COMPUTED_VALUE"""),8.5)</f>
        <v>8.5</v>
      </c>
      <c r="G334" s="2">
        <f>IFERROR(__xludf.DUMMYFUNCTION("""COMPUTED_VALUE"""),15311.0)</f>
        <v>15311</v>
      </c>
      <c r="H334" s="2" t="str">
        <f>IFERROR(__xludf.DUMMYFUNCTION("""COMPUTED_VALUE"""),"United Kingdom")</f>
        <v>United Kingdom</v>
      </c>
      <c r="I334" s="7">
        <f>IFERROR(__xludf.DUMMYFUNCTION("""COMPUTED_VALUE"""),40148.0)</f>
        <v>40148</v>
      </c>
      <c r="J334" s="8">
        <f>IFERROR(__xludf.DUMMYFUNCTION("""COMPUTED_VALUE"""),0.47291666666569654)</f>
        <v>0.4729166667</v>
      </c>
      <c r="K334" s="2">
        <f>IFERROR(__xludf.DUMMYFUNCTION("""COMPUTED_VALUE"""),11.0)</f>
        <v>11</v>
      </c>
      <c r="L334" s="2">
        <f>IFERROR(__xludf.DUMMYFUNCTION("""COMPUTED_VALUE"""),68.0)</f>
        <v>68</v>
      </c>
    </row>
    <row r="335">
      <c r="A335" s="2">
        <f>IFERROR(__xludf.DUMMYFUNCTION("""COMPUTED_VALUE"""),489514.0)</f>
        <v>489514</v>
      </c>
      <c r="B335" s="2" t="str">
        <f>IFERROR(__xludf.DUMMYFUNCTION("""COMPUTED_VALUE"""),"37446")</f>
        <v>37446</v>
      </c>
      <c r="C335" s="2" t="str">
        <f>IFERROR(__xludf.DUMMYFUNCTION("""COMPUTED_VALUE"""),"MINI CAKE STAND WITH HANGING CAKES")</f>
        <v>MINI CAKE STAND WITH HANGING CAKES</v>
      </c>
      <c r="D335" s="2">
        <f>IFERROR(__xludf.DUMMYFUNCTION("""COMPUTED_VALUE"""),32.0)</f>
        <v>32</v>
      </c>
      <c r="E335" s="6">
        <f>IFERROR(__xludf.DUMMYFUNCTION("""COMPUTED_VALUE"""),40148.472916666666)</f>
        <v>40148.47292</v>
      </c>
      <c r="F335" s="2">
        <f>IFERROR(__xludf.DUMMYFUNCTION("""COMPUTED_VALUE"""),1.25)</f>
        <v>1.25</v>
      </c>
      <c r="G335" s="2">
        <f>IFERROR(__xludf.DUMMYFUNCTION("""COMPUTED_VALUE"""),15311.0)</f>
        <v>15311</v>
      </c>
      <c r="H335" s="2" t="str">
        <f>IFERROR(__xludf.DUMMYFUNCTION("""COMPUTED_VALUE"""),"United Kingdom")</f>
        <v>United Kingdom</v>
      </c>
      <c r="I335" s="7">
        <f>IFERROR(__xludf.DUMMYFUNCTION("""COMPUTED_VALUE"""),40148.0)</f>
        <v>40148</v>
      </c>
      <c r="J335" s="8">
        <f>IFERROR(__xludf.DUMMYFUNCTION("""COMPUTED_VALUE"""),0.47291666666569654)</f>
        <v>0.4729166667</v>
      </c>
      <c r="K335" s="2">
        <f>IFERROR(__xludf.DUMMYFUNCTION("""COMPUTED_VALUE"""),11.0)</f>
        <v>11</v>
      </c>
      <c r="L335" s="2">
        <f>IFERROR(__xludf.DUMMYFUNCTION("""COMPUTED_VALUE"""),40.0)</f>
        <v>40</v>
      </c>
    </row>
    <row r="336">
      <c r="A336" s="2">
        <f>IFERROR(__xludf.DUMMYFUNCTION("""COMPUTED_VALUE"""),489514.0)</f>
        <v>489514</v>
      </c>
      <c r="B336" s="2" t="str">
        <f>IFERROR(__xludf.DUMMYFUNCTION("""COMPUTED_VALUE"""),"21955")</f>
        <v>21955</v>
      </c>
      <c r="C336" s="2" t="str">
        <f>IFERROR(__xludf.DUMMYFUNCTION("""COMPUTED_VALUE"""),"UNION JACK GUNS &amp; ROSES DOORMAT")</f>
        <v>UNION JACK GUNS &amp; ROSES DOORMAT</v>
      </c>
      <c r="D336" s="2">
        <f>IFERROR(__xludf.DUMMYFUNCTION("""COMPUTED_VALUE"""),10.0)</f>
        <v>10</v>
      </c>
      <c r="E336" s="6">
        <f>IFERROR(__xludf.DUMMYFUNCTION("""COMPUTED_VALUE"""),40148.472916666666)</f>
        <v>40148.47292</v>
      </c>
      <c r="F336" s="2">
        <f>IFERROR(__xludf.DUMMYFUNCTION("""COMPUTED_VALUE"""),5.95)</f>
        <v>5.95</v>
      </c>
      <c r="G336" s="2">
        <f>IFERROR(__xludf.DUMMYFUNCTION("""COMPUTED_VALUE"""),15311.0)</f>
        <v>15311</v>
      </c>
      <c r="H336" s="2" t="str">
        <f>IFERROR(__xludf.DUMMYFUNCTION("""COMPUTED_VALUE"""),"United Kingdom")</f>
        <v>United Kingdom</v>
      </c>
      <c r="I336" s="7">
        <f>IFERROR(__xludf.DUMMYFUNCTION("""COMPUTED_VALUE"""),40148.0)</f>
        <v>40148</v>
      </c>
      <c r="J336" s="8">
        <f>IFERROR(__xludf.DUMMYFUNCTION("""COMPUTED_VALUE"""),0.47291666666569654)</f>
        <v>0.4729166667</v>
      </c>
      <c r="K336" s="2">
        <f>IFERROR(__xludf.DUMMYFUNCTION("""COMPUTED_VALUE"""),11.0)</f>
        <v>11</v>
      </c>
      <c r="L336" s="2">
        <f>IFERROR(__xludf.DUMMYFUNCTION("""COMPUTED_VALUE"""),59.5)</f>
        <v>59.5</v>
      </c>
    </row>
    <row r="337">
      <c r="A337" s="2">
        <f>IFERROR(__xludf.DUMMYFUNCTION("""COMPUTED_VALUE"""),489514.0)</f>
        <v>489514</v>
      </c>
      <c r="B337" s="2" t="str">
        <f>IFERROR(__xludf.DUMMYFUNCTION("""COMPUTED_VALUE"""),"21258")</f>
        <v>21258</v>
      </c>
      <c r="C337" s="2" t="str">
        <f>IFERROR(__xludf.DUMMYFUNCTION("""COMPUTED_VALUE"""),"VICTORIAN SEWING BOX LARGE")</f>
        <v>VICTORIAN SEWING BOX LARGE</v>
      </c>
      <c r="D337" s="2">
        <f>IFERROR(__xludf.DUMMYFUNCTION("""COMPUTED_VALUE"""),8.0)</f>
        <v>8</v>
      </c>
      <c r="E337" s="6">
        <f>IFERROR(__xludf.DUMMYFUNCTION("""COMPUTED_VALUE"""),40148.472916666666)</f>
        <v>40148.47292</v>
      </c>
      <c r="F337" s="2">
        <f>IFERROR(__xludf.DUMMYFUNCTION("""COMPUTED_VALUE"""),10.95)</f>
        <v>10.95</v>
      </c>
      <c r="G337" s="2">
        <f>IFERROR(__xludf.DUMMYFUNCTION("""COMPUTED_VALUE"""),15311.0)</f>
        <v>15311</v>
      </c>
      <c r="H337" s="2" t="str">
        <f>IFERROR(__xludf.DUMMYFUNCTION("""COMPUTED_VALUE"""),"United Kingdom")</f>
        <v>United Kingdom</v>
      </c>
      <c r="I337" s="7">
        <f>IFERROR(__xludf.DUMMYFUNCTION("""COMPUTED_VALUE"""),40148.0)</f>
        <v>40148</v>
      </c>
      <c r="J337" s="8">
        <f>IFERROR(__xludf.DUMMYFUNCTION("""COMPUTED_VALUE"""),0.47291666666569654)</f>
        <v>0.4729166667</v>
      </c>
      <c r="K337" s="2">
        <f>IFERROR(__xludf.DUMMYFUNCTION("""COMPUTED_VALUE"""),11.0)</f>
        <v>11</v>
      </c>
      <c r="L337" s="2">
        <f>IFERROR(__xludf.DUMMYFUNCTION("""COMPUTED_VALUE"""),87.6)</f>
        <v>87.6</v>
      </c>
    </row>
    <row r="338">
      <c r="A338" s="2">
        <f>IFERROR(__xludf.DUMMYFUNCTION("""COMPUTED_VALUE"""),489514.0)</f>
        <v>489514</v>
      </c>
      <c r="B338" s="2" t="str">
        <f>IFERROR(__xludf.DUMMYFUNCTION("""COMPUTED_VALUE"""),"20892")</f>
        <v>20892</v>
      </c>
      <c r="C338" s="2" t="str">
        <f>IFERROR(__xludf.DUMMYFUNCTION("""COMPUTED_VALUE"""),"SET/3 TALL GLASS CANDLE HOLDER PINK")</f>
        <v>SET/3 TALL GLASS CANDLE HOLDER PINK</v>
      </c>
      <c r="D338" s="2">
        <f>IFERROR(__xludf.DUMMYFUNCTION("""COMPUTED_VALUE"""),8.0)</f>
        <v>8</v>
      </c>
      <c r="E338" s="6">
        <f>IFERROR(__xludf.DUMMYFUNCTION("""COMPUTED_VALUE"""),40148.472916666666)</f>
        <v>40148.47292</v>
      </c>
      <c r="F338" s="2">
        <f>IFERROR(__xludf.DUMMYFUNCTION("""COMPUTED_VALUE"""),3.95)</f>
        <v>3.95</v>
      </c>
      <c r="G338" s="2">
        <f>IFERROR(__xludf.DUMMYFUNCTION("""COMPUTED_VALUE"""),15311.0)</f>
        <v>15311</v>
      </c>
      <c r="H338" s="2" t="str">
        <f>IFERROR(__xludf.DUMMYFUNCTION("""COMPUTED_VALUE"""),"United Kingdom")</f>
        <v>United Kingdom</v>
      </c>
      <c r="I338" s="7">
        <f>IFERROR(__xludf.DUMMYFUNCTION("""COMPUTED_VALUE"""),40148.0)</f>
        <v>40148</v>
      </c>
      <c r="J338" s="8">
        <f>IFERROR(__xludf.DUMMYFUNCTION("""COMPUTED_VALUE"""),0.47291666666569654)</f>
        <v>0.4729166667</v>
      </c>
      <c r="K338" s="2">
        <f>IFERROR(__xludf.DUMMYFUNCTION("""COMPUTED_VALUE"""),11.0)</f>
        <v>11</v>
      </c>
      <c r="L338" s="2">
        <f>IFERROR(__xludf.DUMMYFUNCTION("""COMPUTED_VALUE"""),31.6)</f>
        <v>31.6</v>
      </c>
    </row>
    <row r="339">
      <c r="A339" s="2">
        <f>IFERROR(__xludf.DUMMYFUNCTION("""COMPUTED_VALUE"""),489514.0)</f>
        <v>489514</v>
      </c>
      <c r="B339" s="2" t="str">
        <f>IFERROR(__xludf.DUMMYFUNCTION("""COMPUTED_VALUE"""),"47591D")</f>
        <v>47591D</v>
      </c>
      <c r="C339" s="2" t="str">
        <f>IFERROR(__xludf.DUMMYFUNCTION("""COMPUTED_VALUE"""),"PINK FAIRY CAKE CHILD'S APRON")</f>
        <v>PINK FAIRY CAKE CHILD'S APRON</v>
      </c>
      <c r="D339" s="2">
        <f>IFERROR(__xludf.DUMMYFUNCTION("""COMPUTED_VALUE"""),50.0)</f>
        <v>50</v>
      </c>
      <c r="E339" s="6">
        <f>IFERROR(__xludf.DUMMYFUNCTION("""COMPUTED_VALUE"""),40148.472916666666)</f>
        <v>40148.47292</v>
      </c>
      <c r="F339" s="2">
        <f>IFERROR(__xludf.DUMMYFUNCTION("""COMPUTED_VALUE"""),1.65)</f>
        <v>1.65</v>
      </c>
      <c r="G339" s="2">
        <f>IFERROR(__xludf.DUMMYFUNCTION("""COMPUTED_VALUE"""),15311.0)</f>
        <v>15311</v>
      </c>
      <c r="H339" s="2" t="str">
        <f>IFERROR(__xludf.DUMMYFUNCTION("""COMPUTED_VALUE"""),"United Kingdom")</f>
        <v>United Kingdom</v>
      </c>
      <c r="I339" s="7">
        <f>IFERROR(__xludf.DUMMYFUNCTION("""COMPUTED_VALUE"""),40148.0)</f>
        <v>40148</v>
      </c>
      <c r="J339" s="8">
        <f>IFERROR(__xludf.DUMMYFUNCTION("""COMPUTED_VALUE"""),0.47291666666569654)</f>
        <v>0.4729166667</v>
      </c>
      <c r="K339" s="2">
        <f>IFERROR(__xludf.DUMMYFUNCTION("""COMPUTED_VALUE"""),11.0)</f>
        <v>11</v>
      </c>
      <c r="L339" s="2">
        <f>IFERROR(__xludf.DUMMYFUNCTION("""COMPUTED_VALUE"""),82.5)</f>
        <v>82.5</v>
      </c>
    </row>
    <row r="340">
      <c r="A340" s="2">
        <f>IFERROR(__xludf.DUMMYFUNCTION("""COMPUTED_VALUE"""),489514.0)</f>
        <v>489514</v>
      </c>
      <c r="B340" s="2" t="str">
        <f>IFERROR(__xludf.DUMMYFUNCTION("""COMPUTED_VALUE"""),"21867")</f>
        <v>21867</v>
      </c>
      <c r="C340" s="2" t="str">
        <f>IFERROR(__xludf.DUMMYFUNCTION("""COMPUTED_VALUE"""),"PINK UNION JACK LUGGAGE TAG")</f>
        <v>PINK UNION JACK LUGGAGE TAG</v>
      </c>
      <c r="D340" s="2">
        <f>IFERROR(__xludf.DUMMYFUNCTION("""COMPUTED_VALUE"""),1.0)</f>
        <v>1</v>
      </c>
      <c r="E340" s="6">
        <f>IFERROR(__xludf.DUMMYFUNCTION("""COMPUTED_VALUE"""),40148.472916666666)</f>
        <v>40148.47292</v>
      </c>
      <c r="F340" s="2">
        <f>IFERROR(__xludf.DUMMYFUNCTION("""COMPUTED_VALUE"""),1.25)</f>
        <v>1.25</v>
      </c>
      <c r="G340" s="2">
        <f>IFERROR(__xludf.DUMMYFUNCTION("""COMPUTED_VALUE"""),15311.0)</f>
        <v>15311</v>
      </c>
      <c r="H340" s="2" t="str">
        <f>IFERROR(__xludf.DUMMYFUNCTION("""COMPUTED_VALUE"""),"United Kingdom")</f>
        <v>United Kingdom</v>
      </c>
      <c r="I340" s="7">
        <f>IFERROR(__xludf.DUMMYFUNCTION("""COMPUTED_VALUE"""),40148.0)</f>
        <v>40148</v>
      </c>
      <c r="J340" s="8">
        <f>IFERROR(__xludf.DUMMYFUNCTION("""COMPUTED_VALUE"""),0.47291666666569654)</f>
        <v>0.4729166667</v>
      </c>
      <c r="K340" s="2">
        <f>IFERROR(__xludf.DUMMYFUNCTION("""COMPUTED_VALUE"""),11.0)</f>
        <v>11</v>
      </c>
      <c r="L340" s="2">
        <f>IFERROR(__xludf.DUMMYFUNCTION("""COMPUTED_VALUE"""),1.25)</f>
        <v>1.25</v>
      </c>
    </row>
    <row r="341">
      <c r="A341" s="2">
        <f>IFERROR(__xludf.DUMMYFUNCTION("""COMPUTED_VALUE"""),489514.0)</f>
        <v>489514</v>
      </c>
      <c r="B341" s="2" t="str">
        <f>IFERROR(__xludf.DUMMYFUNCTION("""COMPUTED_VALUE"""),"21041")</f>
        <v>21041</v>
      </c>
      <c r="C341" s="2" t="str">
        <f>IFERROR(__xludf.DUMMYFUNCTION("""COMPUTED_VALUE"""),"RED SPOTTY OVEN GLOVE DOUBLE")</f>
        <v>RED SPOTTY OVEN GLOVE DOUBLE</v>
      </c>
      <c r="D341" s="2">
        <f>IFERROR(__xludf.DUMMYFUNCTION("""COMPUTED_VALUE"""),5.0)</f>
        <v>5</v>
      </c>
      <c r="E341" s="6">
        <f>IFERROR(__xludf.DUMMYFUNCTION("""COMPUTED_VALUE"""),40148.472916666666)</f>
        <v>40148.47292</v>
      </c>
      <c r="F341" s="2">
        <f>IFERROR(__xludf.DUMMYFUNCTION("""COMPUTED_VALUE"""),2.95)</f>
        <v>2.95</v>
      </c>
      <c r="G341" s="2">
        <f>IFERROR(__xludf.DUMMYFUNCTION("""COMPUTED_VALUE"""),15311.0)</f>
        <v>15311</v>
      </c>
      <c r="H341" s="2" t="str">
        <f>IFERROR(__xludf.DUMMYFUNCTION("""COMPUTED_VALUE"""),"United Kingdom")</f>
        <v>United Kingdom</v>
      </c>
      <c r="I341" s="7">
        <f>IFERROR(__xludf.DUMMYFUNCTION("""COMPUTED_VALUE"""),40148.0)</f>
        <v>40148</v>
      </c>
      <c r="J341" s="8">
        <f>IFERROR(__xludf.DUMMYFUNCTION("""COMPUTED_VALUE"""),0.47291666666569654)</f>
        <v>0.4729166667</v>
      </c>
      <c r="K341" s="2">
        <f>IFERROR(__xludf.DUMMYFUNCTION("""COMPUTED_VALUE"""),11.0)</f>
        <v>11</v>
      </c>
      <c r="L341" s="2">
        <f>IFERROR(__xludf.DUMMYFUNCTION("""COMPUTED_VALUE"""),14.75)</f>
        <v>14.75</v>
      </c>
    </row>
    <row r="342">
      <c r="A342" s="2">
        <f>IFERROR(__xludf.DUMMYFUNCTION("""COMPUTED_VALUE"""),489514.0)</f>
        <v>489514</v>
      </c>
      <c r="B342" s="2" t="str">
        <f>IFERROR(__xludf.DUMMYFUNCTION("""COMPUTED_VALUE"""),"82551")</f>
        <v>82551</v>
      </c>
      <c r="C342" s="2" t="str">
        <f>IFERROR(__xludf.DUMMYFUNCTION("""COMPUTED_VALUE"""),"LAUNDRY 15C METAL SIGN")</f>
        <v>LAUNDRY 15C METAL SIGN</v>
      </c>
      <c r="D342" s="2">
        <f>IFERROR(__xludf.DUMMYFUNCTION("""COMPUTED_VALUE"""),2.0)</f>
        <v>2</v>
      </c>
      <c r="E342" s="6">
        <f>IFERROR(__xludf.DUMMYFUNCTION("""COMPUTED_VALUE"""),40148.472916666666)</f>
        <v>40148.47292</v>
      </c>
      <c r="F342" s="2">
        <f>IFERROR(__xludf.DUMMYFUNCTION("""COMPUTED_VALUE"""),1.25)</f>
        <v>1.25</v>
      </c>
      <c r="G342" s="2">
        <f>IFERROR(__xludf.DUMMYFUNCTION("""COMPUTED_VALUE"""),15311.0)</f>
        <v>15311</v>
      </c>
      <c r="H342" s="2" t="str">
        <f>IFERROR(__xludf.DUMMYFUNCTION("""COMPUTED_VALUE"""),"United Kingdom")</f>
        <v>United Kingdom</v>
      </c>
      <c r="I342" s="7">
        <f>IFERROR(__xludf.DUMMYFUNCTION("""COMPUTED_VALUE"""),40148.0)</f>
        <v>40148</v>
      </c>
      <c r="J342" s="8">
        <f>IFERROR(__xludf.DUMMYFUNCTION("""COMPUTED_VALUE"""),0.47291666666569654)</f>
        <v>0.4729166667</v>
      </c>
      <c r="K342" s="2">
        <f>IFERROR(__xludf.DUMMYFUNCTION("""COMPUTED_VALUE"""),11.0)</f>
        <v>11</v>
      </c>
      <c r="L342" s="2">
        <f>IFERROR(__xludf.DUMMYFUNCTION("""COMPUTED_VALUE"""),2.5)</f>
        <v>2.5</v>
      </c>
    </row>
    <row r="343">
      <c r="A343" s="2">
        <f>IFERROR(__xludf.DUMMYFUNCTION("""COMPUTED_VALUE"""),489514.0)</f>
        <v>489514</v>
      </c>
      <c r="B343" s="2" t="str">
        <f>IFERROR(__xludf.DUMMYFUNCTION("""COMPUTED_VALUE"""),"82567")</f>
        <v>82567</v>
      </c>
      <c r="C343" s="2" t="str">
        <f>IFERROR(__xludf.DUMMYFUNCTION("""COMPUTED_VALUE"""),"AIRLINE LOUNGE,METAL SIGN")</f>
        <v>AIRLINE LOUNGE,METAL SIGN</v>
      </c>
      <c r="D343" s="2">
        <f>IFERROR(__xludf.DUMMYFUNCTION("""COMPUTED_VALUE"""),1.0)</f>
        <v>1</v>
      </c>
      <c r="E343" s="6">
        <f>IFERROR(__xludf.DUMMYFUNCTION("""COMPUTED_VALUE"""),40148.472916666666)</f>
        <v>40148.47292</v>
      </c>
      <c r="F343" s="2">
        <f>IFERROR(__xludf.DUMMYFUNCTION("""COMPUTED_VALUE"""),2.1)</f>
        <v>2.1</v>
      </c>
      <c r="G343" s="2">
        <f>IFERROR(__xludf.DUMMYFUNCTION("""COMPUTED_VALUE"""),15311.0)</f>
        <v>15311</v>
      </c>
      <c r="H343" s="2" t="str">
        <f>IFERROR(__xludf.DUMMYFUNCTION("""COMPUTED_VALUE"""),"United Kingdom")</f>
        <v>United Kingdom</v>
      </c>
      <c r="I343" s="7">
        <f>IFERROR(__xludf.DUMMYFUNCTION("""COMPUTED_VALUE"""),40148.0)</f>
        <v>40148</v>
      </c>
      <c r="J343" s="8">
        <f>IFERROR(__xludf.DUMMYFUNCTION("""COMPUTED_VALUE"""),0.47291666666569654)</f>
        <v>0.4729166667</v>
      </c>
      <c r="K343" s="2">
        <f>IFERROR(__xludf.DUMMYFUNCTION("""COMPUTED_VALUE"""),11.0)</f>
        <v>11</v>
      </c>
      <c r="L343" s="2">
        <f>IFERROR(__xludf.DUMMYFUNCTION("""COMPUTED_VALUE"""),2.1)</f>
        <v>2.1</v>
      </c>
    </row>
    <row r="344">
      <c r="A344" s="2">
        <f>IFERROR(__xludf.DUMMYFUNCTION("""COMPUTED_VALUE"""),489514.0)</f>
        <v>489514</v>
      </c>
      <c r="B344" s="2" t="str">
        <f>IFERROR(__xludf.DUMMYFUNCTION("""COMPUTED_VALUE"""),"21161")</f>
        <v>21161</v>
      </c>
      <c r="C344" s="2" t="str">
        <f>IFERROR(__xludf.DUMMYFUNCTION("""COMPUTED_VALUE"""),"KEEP OUT BOYS DOOR HANGER")</f>
        <v>KEEP OUT BOYS DOOR HANGER</v>
      </c>
      <c r="D344" s="2">
        <f>IFERROR(__xludf.DUMMYFUNCTION("""COMPUTED_VALUE"""),3.0)</f>
        <v>3</v>
      </c>
      <c r="E344" s="6">
        <f>IFERROR(__xludf.DUMMYFUNCTION("""COMPUTED_VALUE"""),40148.472916666666)</f>
        <v>40148.47292</v>
      </c>
      <c r="F344" s="2">
        <f>IFERROR(__xludf.DUMMYFUNCTION("""COMPUTED_VALUE"""),1.45)</f>
        <v>1.45</v>
      </c>
      <c r="G344" s="2">
        <f>IFERROR(__xludf.DUMMYFUNCTION("""COMPUTED_VALUE"""),15311.0)</f>
        <v>15311</v>
      </c>
      <c r="H344" s="2" t="str">
        <f>IFERROR(__xludf.DUMMYFUNCTION("""COMPUTED_VALUE"""),"United Kingdom")</f>
        <v>United Kingdom</v>
      </c>
      <c r="I344" s="7">
        <f>IFERROR(__xludf.DUMMYFUNCTION("""COMPUTED_VALUE"""),40148.0)</f>
        <v>40148</v>
      </c>
      <c r="J344" s="8">
        <f>IFERROR(__xludf.DUMMYFUNCTION("""COMPUTED_VALUE"""),0.47291666666569654)</f>
        <v>0.4729166667</v>
      </c>
      <c r="K344" s="2">
        <f>IFERROR(__xludf.DUMMYFUNCTION("""COMPUTED_VALUE"""),11.0)</f>
        <v>11</v>
      </c>
      <c r="L344" s="2">
        <f>IFERROR(__xludf.DUMMYFUNCTION("""COMPUTED_VALUE"""),4.35)</f>
        <v>4.35</v>
      </c>
    </row>
    <row r="345">
      <c r="A345" s="2">
        <f>IFERROR(__xludf.DUMMYFUNCTION("""COMPUTED_VALUE"""),489514.0)</f>
        <v>489514</v>
      </c>
      <c r="B345" s="2" t="str">
        <f>IFERROR(__xludf.DUMMYFUNCTION("""COMPUTED_VALUE"""),"82613D")</f>
        <v>82613D</v>
      </c>
      <c r="C345" s="2" t="str">
        <f>IFERROR(__xludf.DUMMYFUNCTION("""COMPUTED_VALUE"""),"METAL SIGN CUPCAKE SINGLE HOOK")</f>
        <v>METAL SIGN CUPCAKE SINGLE HOOK</v>
      </c>
      <c r="D345" s="2">
        <f>IFERROR(__xludf.DUMMYFUNCTION("""COMPUTED_VALUE"""),2.0)</f>
        <v>2</v>
      </c>
      <c r="E345" s="6">
        <f>IFERROR(__xludf.DUMMYFUNCTION("""COMPUTED_VALUE"""),40148.472916666666)</f>
        <v>40148.47292</v>
      </c>
      <c r="F345" s="2">
        <f>IFERROR(__xludf.DUMMYFUNCTION("""COMPUTED_VALUE"""),1.25)</f>
        <v>1.25</v>
      </c>
      <c r="G345" s="2">
        <f>IFERROR(__xludf.DUMMYFUNCTION("""COMPUTED_VALUE"""),15311.0)</f>
        <v>15311</v>
      </c>
      <c r="H345" s="2" t="str">
        <f>IFERROR(__xludf.DUMMYFUNCTION("""COMPUTED_VALUE"""),"United Kingdom")</f>
        <v>United Kingdom</v>
      </c>
      <c r="I345" s="7">
        <f>IFERROR(__xludf.DUMMYFUNCTION("""COMPUTED_VALUE"""),40148.0)</f>
        <v>40148</v>
      </c>
      <c r="J345" s="8">
        <f>IFERROR(__xludf.DUMMYFUNCTION("""COMPUTED_VALUE"""),0.47291666666569654)</f>
        <v>0.4729166667</v>
      </c>
      <c r="K345" s="2">
        <f>IFERROR(__xludf.DUMMYFUNCTION("""COMPUTED_VALUE"""),11.0)</f>
        <v>11</v>
      </c>
      <c r="L345" s="2">
        <f>IFERROR(__xludf.DUMMYFUNCTION("""COMPUTED_VALUE"""),2.5)</f>
        <v>2.5</v>
      </c>
    </row>
    <row r="346">
      <c r="A346" s="2">
        <f>IFERROR(__xludf.DUMMYFUNCTION("""COMPUTED_VALUE"""),489514.0)</f>
        <v>489514</v>
      </c>
      <c r="B346" s="2" t="str">
        <f>IFERROR(__xludf.DUMMYFUNCTION("""COMPUTED_VALUE"""),"21179")</f>
        <v>21179</v>
      </c>
      <c r="C346" s="2" t="str">
        <f>IFERROR(__xludf.DUMMYFUNCTION("""COMPUTED_VALUE"""),"NO JUNK MAIL METAL SIGN")</f>
        <v>NO JUNK MAIL METAL SIGN</v>
      </c>
      <c r="D346" s="2">
        <f>IFERROR(__xludf.DUMMYFUNCTION("""COMPUTED_VALUE"""),2.0)</f>
        <v>2</v>
      </c>
      <c r="E346" s="6">
        <f>IFERROR(__xludf.DUMMYFUNCTION("""COMPUTED_VALUE"""),40148.472916666666)</f>
        <v>40148.47292</v>
      </c>
      <c r="F346" s="2">
        <f>IFERROR(__xludf.DUMMYFUNCTION("""COMPUTED_VALUE"""),1.25)</f>
        <v>1.25</v>
      </c>
      <c r="G346" s="2">
        <f>IFERROR(__xludf.DUMMYFUNCTION("""COMPUTED_VALUE"""),15311.0)</f>
        <v>15311</v>
      </c>
      <c r="H346" s="2" t="str">
        <f>IFERROR(__xludf.DUMMYFUNCTION("""COMPUTED_VALUE"""),"United Kingdom")</f>
        <v>United Kingdom</v>
      </c>
      <c r="I346" s="7">
        <f>IFERROR(__xludf.DUMMYFUNCTION("""COMPUTED_VALUE"""),40148.0)</f>
        <v>40148</v>
      </c>
      <c r="J346" s="8">
        <f>IFERROR(__xludf.DUMMYFUNCTION("""COMPUTED_VALUE"""),0.47291666666569654)</f>
        <v>0.4729166667</v>
      </c>
      <c r="K346" s="2">
        <f>IFERROR(__xludf.DUMMYFUNCTION("""COMPUTED_VALUE"""),11.0)</f>
        <v>11</v>
      </c>
      <c r="L346" s="2">
        <f>IFERROR(__xludf.DUMMYFUNCTION("""COMPUTED_VALUE"""),2.5)</f>
        <v>2.5</v>
      </c>
    </row>
    <row r="347">
      <c r="A347" s="2">
        <f>IFERROR(__xludf.DUMMYFUNCTION("""COMPUTED_VALUE"""),489514.0)</f>
        <v>489514</v>
      </c>
      <c r="B347" s="2" t="str">
        <f>IFERROR(__xludf.DUMMYFUNCTION("""COMPUTED_VALUE"""),"21865")</f>
        <v>21865</v>
      </c>
      <c r="C347" s="2" t="str">
        <f>IFERROR(__xludf.DUMMYFUNCTION("""COMPUTED_VALUE"""),"PINK UNION JACK PASSPORT COVER")</f>
        <v>PINK UNION JACK PASSPORT COVER</v>
      </c>
      <c r="D347" s="2">
        <f>IFERROR(__xludf.DUMMYFUNCTION("""COMPUTED_VALUE"""),3.0)</f>
        <v>3</v>
      </c>
      <c r="E347" s="6">
        <f>IFERROR(__xludf.DUMMYFUNCTION("""COMPUTED_VALUE"""),40148.472916666666)</f>
        <v>40148.47292</v>
      </c>
      <c r="F347" s="2">
        <f>IFERROR(__xludf.DUMMYFUNCTION("""COMPUTED_VALUE"""),2.1)</f>
        <v>2.1</v>
      </c>
      <c r="G347" s="2">
        <f>IFERROR(__xludf.DUMMYFUNCTION("""COMPUTED_VALUE"""),15311.0)</f>
        <v>15311</v>
      </c>
      <c r="H347" s="2" t="str">
        <f>IFERROR(__xludf.DUMMYFUNCTION("""COMPUTED_VALUE"""),"United Kingdom")</f>
        <v>United Kingdom</v>
      </c>
      <c r="I347" s="7">
        <f>IFERROR(__xludf.DUMMYFUNCTION("""COMPUTED_VALUE"""),40148.0)</f>
        <v>40148</v>
      </c>
      <c r="J347" s="8">
        <f>IFERROR(__xludf.DUMMYFUNCTION("""COMPUTED_VALUE"""),0.47291666666569654)</f>
        <v>0.4729166667</v>
      </c>
      <c r="K347" s="2">
        <f>IFERROR(__xludf.DUMMYFUNCTION("""COMPUTED_VALUE"""),11.0)</f>
        <v>11</v>
      </c>
      <c r="L347" s="2">
        <f>IFERROR(__xludf.DUMMYFUNCTION("""COMPUTED_VALUE"""),6.3)</f>
        <v>6.3</v>
      </c>
    </row>
    <row r="348">
      <c r="A348" s="2">
        <f>IFERROR(__xludf.DUMMYFUNCTION("""COMPUTED_VALUE"""),489514.0)</f>
        <v>489514</v>
      </c>
      <c r="B348" s="2" t="str">
        <f>IFERROR(__xludf.DUMMYFUNCTION("""COMPUTED_VALUE"""),"72783")</f>
        <v>72783</v>
      </c>
      <c r="C348" s="2" t="str">
        <f>IFERROR(__xludf.DUMMYFUNCTION("""COMPUTED_VALUE"""),"BLACK SIL'T SQU CANDLE PLATE")</f>
        <v>BLACK SIL'T SQU CANDLE PLATE</v>
      </c>
      <c r="D348" s="2">
        <f>IFERROR(__xludf.DUMMYFUNCTION("""COMPUTED_VALUE"""),2.0)</f>
        <v>2</v>
      </c>
      <c r="E348" s="6">
        <f>IFERROR(__xludf.DUMMYFUNCTION("""COMPUTED_VALUE"""),40148.472916666666)</f>
        <v>40148.47292</v>
      </c>
      <c r="F348" s="2">
        <f>IFERROR(__xludf.DUMMYFUNCTION("""COMPUTED_VALUE"""),2.1)</f>
        <v>2.1</v>
      </c>
      <c r="G348" s="2">
        <f>IFERROR(__xludf.DUMMYFUNCTION("""COMPUTED_VALUE"""),15311.0)</f>
        <v>15311</v>
      </c>
      <c r="H348" s="2" t="str">
        <f>IFERROR(__xludf.DUMMYFUNCTION("""COMPUTED_VALUE"""),"United Kingdom")</f>
        <v>United Kingdom</v>
      </c>
      <c r="I348" s="7">
        <f>IFERROR(__xludf.DUMMYFUNCTION("""COMPUTED_VALUE"""),40148.0)</f>
        <v>40148</v>
      </c>
      <c r="J348" s="8">
        <f>IFERROR(__xludf.DUMMYFUNCTION("""COMPUTED_VALUE"""),0.47291666666569654)</f>
        <v>0.4729166667</v>
      </c>
      <c r="K348" s="2">
        <f>IFERROR(__xludf.DUMMYFUNCTION("""COMPUTED_VALUE"""),11.0)</f>
        <v>11</v>
      </c>
      <c r="L348" s="2">
        <f>IFERROR(__xludf.DUMMYFUNCTION("""COMPUTED_VALUE"""),4.2)</f>
        <v>4.2</v>
      </c>
    </row>
    <row r="349">
      <c r="A349" s="2">
        <f>IFERROR(__xludf.DUMMYFUNCTION("""COMPUTED_VALUE"""),489514.0)</f>
        <v>489514</v>
      </c>
      <c r="B349" s="2" t="str">
        <f>IFERROR(__xludf.DUMMYFUNCTION("""COMPUTED_VALUE"""),"20719")</f>
        <v>20719</v>
      </c>
      <c r="C349" s="2" t="str">
        <f>IFERROR(__xludf.DUMMYFUNCTION("""COMPUTED_VALUE"""),"WOODLAND CHARLOTTE BAG")</f>
        <v>WOODLAND CHARLOTTE BAG</v>
      </c>
      <c r="D349" s="2">
        <f>IFERROR(__xludf.DUMMYFUNCTION("""COMPUTED_VALUE"""),3.0)</f>
        <v>3</v>
      </c>
      <c r="E349" s="6">
        <f>IFERROR(__xludf.DUMMYFUNCTION("""COMPUTED_VALUE"""),40148.472916666666)</f>
        <v>40148.47292</v>
      </c>
      <c r="F349" s="2">
        <f>IFERROR(__xludf.DUMMYFUNCTION("""COMPUTED_VALUE"""),0.85)</f>
        <v>0.85</v>
      </c>
      <c r="G349" s="2">
        <f>IFERROR(__xludf.DUMMYFUNCTION("""COMPUTED_VALUE"""),15311.0)</f>
        <v>15311</v>
      </c>
      <c r="H349" s="2" t="str">
        <f>IFERROR(__xludf.DUMMYFUNCTION("""COMPUTED_VALUE"""),"United Kingdom")</f>
        <v>United Kingdom</v>
      </c>
      <c r="I349" s="7">
        <f>IFERROR(__xludf.DUMMYFUNCTION("""COMPUTED_VALUE"""),40148.0)</f>
        <v>40148</v>
      </c>
      <c r="J349" s="8">
        <f>IFERROR(__xludf.DUMMYFUNCTION("""COMPUTED_VALUE"""),0.47291666666569654)</f>
        <v>0.4729166667</v>
      </c>
      <c r="K349" s="2">
        <f>IFERROR(__xludf.DUMMYFUNCTION("""COMPUTED_VALUE"""),11.0)</f>
        <v>11</v>
      </c>
      <c r="L349" s="2">
        <f>IFERROR(__xludf.DUMMYFUNCTION("""COMPUTED_VALUE"""),2.55)</f>
        <v>2.55</v>
      </c>
    </row>
    <row r="350">
      <c r="A350" s="2">
        <f>IFERROR(__xludf.DUMMYFUNCTION("""COMPUTED_VALUE"""),489514.0)</f>
        <v>489514</v>
      </c>
      <c r="B350" s="2" t="str">
        <f>IFERROR(__xludf.DUMMYFUNCTION("""COMPUTED_VALUE"""),"21869")</f>
        <v>21869</v>
      </c>
      <c r="C350" s="2" t="str">
        <f>IFERROR(__xludf.DUMMYFUNCTION("""COMPUTED_VALUE"""),"POTTING SHED COFFEE MUG")</f>
        <v>POTTING SHED COFFEE MUG</v>
      </c>
      <c r="D350" s="2">
        <f>IFERROR(__xludf.DUMMYFUNCTION("""COMPUTED_VALUE"""),2.0)</f>
        <v>2</v>
      </c>
      <c r="E350" s="6">
        <f>IFERROR(__xludf.DUMMYFUNCTION("""COMPUTED_VALUE"""),40148.472916666666)</f>
        <v>40148.47292</v>
      </c>
      <c r="F350" s="2">
        <f>IFERROR(__xludf.DUMMYFUNCTION("""COMPUTED_VALUE"""),1.25)</f>
        <v>1.25</v>
      </c>
      <c r="G350" s="2">
        <f>IFERROR(__xludf.DUMMYFUNCTION("""COMPUTED_VALUE"""),15311.0)</f>
        <v>15311</v>
      </c>
      <c r="H350" s="2" t="str">
        <f>IFERROR(__xludf.DUMMYFUNCTION("""COMPUTED_VALUE"""),"United Kingdom")</f>
        <v>United Kingdom</v>
      </c>
      <c r="I350" s="7">
        <f>IFERROR(__xludf.DUMMYFUNCTION("""COMPUTED_VALUE"""),40148.0)</f>
        <v>40148</v>
      </c>
      <c r="J350" s="8">
        <f>IFERROR(__xludf.DUMMYFUNCTION("""COMPUTED_VALUE"""),0.47291666666569654)</f>
        <v>0.4729166667</v>
      </c>
      <c r="K350" s="2">
        <f>IFERROR(__xludf.DUMMYFUNCTION("""COMPUTED_VALUE"""),11.0)</f>
        <v>11</v>
      </c>
      <c r="L350" s="2">
        <f>IFERROR(__xludf.DUMMYFUNCTION("""COMPUTED_VALUE"""),2.5)</f>
        <v>2.5</v>
      </c>
    </row>
    <row r="351">
      <c r="A351" s="2">
        <f>IFERROR(__xludf.DUMMYFUNCTION("""COMPUTED_VALUE"""),489514.0)</f>
        <v>489514</v>
      </c>
      <c r="B351" s="2" t="str">
        <f>IFERROR(__xludf.DUMMYFUNCTION("""COMPUTED_VALUE"""),"21876")</f>
        <v>21876</v>
      </c>
      <c r="C351" s="2" t="str">
        <f>IFERROR(__xludf.DUMMYFUNCTION("""COMPUTED_VALUE"""),"POTTERING MUG")</f>
        <v>POTTERING MUG</v>
      </c>
      <c r="D351" s="2">
        <f>IFERROR(__xludf.DUMMYFUNCTION("""COMPUTED_VALUE"""),2.0)</f>
        <v>2</v>
      </c>
      <c r="E351" s="6">
        <f>IFERROR(__xludf.DUMMYFUNCTION("""COMPUTED_VALUE"""),40148.472916666666)</f>
        <v>40148.47292</v>
      </c>
      <c r="F351" s="2">
        <f>IFERROR(__xludf.DUMMYFUNCTION("""COMPUTED_VALUE"""),1.25)</f>
        <v>1.25</v>
      </c>
      <c r="G351" s="2">
        <f>IFERROR(__xludf.DUMMYFUNCTION("""COMPUTED_VALUE"""),15311.0)</f>
        <v>15311</v>
      </c>
      <c r="H351" s="2" t="str">
        <f>IFERROR(__xludf.DUMMYFUNCTION("""COMPUTED_VALUE"""),"United Kingdom")</f>
        <v>United Kingdom</v>
      </c>
      <c r="I351" s="7">
        <f>IFERROR(__xludf.DUMMYFUNCTION("""COMPUTED_VALUE"""),40148.0)</f>
        <v>40148</v>
      </c>
      <c r="J351" s="8">
        <f>IFERROR(__xludf.DUMMYFUNCTION("""COMPUTED_VALUE"""),0.47291666666569654)</f>
        <v>0.4729166667</v>
      </c>
      <c r="K351" s="2">
        <f>IFERROR(__xludf.DUMMYFUNCTION("""COMPUTED_VALUE"""),11.0)</f>
        <v>11</v>
      </c>
      <c r="L351" s="2">
        <f>IFERROR(__xludf.DUMMYFUNCTION("""COMPUTED_VALUE"""),2.5)</f>
        <v>2.5</v>
      </c>
    </row>
    <row r="352">
      <c r="A352" s="2">
        <f>IFERROR(__xludf.DUMMYFUNCTION("""COMPUTED_VALUE"""),489514.0)</f>
        <v>489514</v>
      </c>
      <c r="B352" s="2" t="str">
        <f>IFERROR(__xludf.DUMMYFUNCTION("""COMPUTED_VALUE"""),"20754")</f>
        <v>20754</v>
      </c>
      <c r="C352" s="2" t="str">
        <f>IFERROR(__xludf.DUMMYFUNCTION("""COMPUTED_VALUE"""),"RETRO RED SPOTTY WASHING UP GLOVES")</f>
        <v>RETRO RED SPOTTY WASHING UP GLOVES</v>
      </c>
      <c r="D352" s="2">
        <f>IFERROR(__xludf.DUMMYFUNCTION("""COMPUTED_VALUE"""),3.0)</f>
        <v>3</v>
      </c>
      <c r="E352" s="6">
        <f>IFERROR(__xludf.DUMMYFUNCTION("""COMPUTED_VALUE"""),40148.472916666666)</f>
        <v>40148.47292</v>
      </c>
      <c r="F352" s="2">
        <f>IFERROR(__xludf.DUMMYFUNCTION("""COMPUTED_VALUE"""),2.1)</f>
        <v>2.1</v>
      </c>
      <c r="G352" s="2">
        <f>IFERROR(__xludf.DUMMYFUNCTION("""COMPUTED_VALUE"""),15311.0)</f>
        <v>15311</v>
      </c>
      <c r="H352" s="2" t="str">
        <f>IFERROR(__xludf.DUMMYFUNCTION("""COMPUTED_VALUE"""),"United Kingdom")</f>
        <v>United Kingdom</v>
      </c>
      <c r="I352" s="7">
        <f>IFERROR(__xludf.DUMMYFUNCTION("""COMPUTED_VALUE"""),40148.0)</f>
        <v>40148</v>
      </c>
      <c r="J352" s="8">
        <f>IFERROR(__xludf.DUMMYFUNCTION("""COMPUTED_VALUE"""),0.47291666666569654)</f>
        <v>0.4729166667</v>
      </c>
      <c r="K352" s="2">
        <f>IFERROR(__xludf.DUMMYFUNCTION("""COMPUTED_VALUE"""),11.0)</f>
        <v>11</v>
      </c>
      <c r="L352" s="2">
        <f>IFERROR(__xludf.DUMMYFUNCTION("""COMPUTED_VALUE"""),6.3)</f>
        <v>6.3</v>
      </c>
    </row>
    <row r="353">
      <c r="A353" s="2">
        <f>IFERROR(__xludf.DUMMYFUNCTION("""COMPUTED_VALUE"""),489514.0)</f>
        <v>489514</v>
      </c>
      <c r="B353" s="2" t="str">
        <f>IFERROR(__xludf.DUMMYFUNCTION("""COMPUTED_VALUE"""),"84849B")</f>
        <v>84849B</v>
      </c>
      <c r="C353" s="2" t="str">
        <f>IFERROR(__xludf.DUMMYFUNCTION("""COMPUTED_VALUE"""),"FAIRY SOAP SOAP HOLDER")</f>
        <v>FAIRY SOAP SOAP HOLDER</v>
      </c>
      <c r="D353" s="2">
        <f>IFERROR(__xludf.DUMMYFUNCTION("""COMPUTED_VALUE"""),2.0)</f>
        <v>2</v>
      </c>
      <c r="E353" s="6">
        <f>IFERROR(__xludf.DUMMYFUNCTION("""COMPUTED_VALUE"""),40148.472916666666)</f>
        <v>40148.47292</v>
      </c>
      <c r="F353" s="2">
        <f>IFERROR(__xludf.DUMMYFUNCTION("""COMPUTED_VALUE"""),1.69)</f>
        <v>1.69</v>
      </c>
      <c r="G353" s="2">
        <f>IFERROR(__xludf.DUMMYFUNCTION("""COMPUTED_VALUE"""),15311.0)</f>
        <v>15311</v>
      </c>
      <c r="H353" s="2" t="str">
        <f>IFERROR(__xludf.DUMMYFUNCTION("""COMPUTED_VALUE"""),"United Kingdom")</f>
        <v>United Kingdom</v>
      </c>
      <c r="I353" s="7">
        <f>IFERROR(__xludf.DUMMYFUNCTION("""COMPUTED_VALUE"""),40148.0)</f>
        <v>40148</v>
      </c>
      <c r="J353" s="8">
        <f>IFERROR(__xludf.DUMMYFUNCTION("""COMPUTED_VALUE"""),0.47291666666569654)</f>
        <v>0.4729166667</v>
      </c>
      <c r="K353" s="2">
        <f>IFERROR(__xludf.DUMMYFUNCTION("""COMPUTED_VALUE"""),11.0)</f>
        <v>11</v>
      </c>
      <c r="L353" s="2">
        <f>IFERROR(__xludf.DUMMYFUNCTION("""COMPUTED_VALUE"""),3.38)</f>
        <v>3.38</v>
      </c>
    </row>
    <row r="354">
      <c r="A354" s="2">
        <f>IFERROR(__xludf.DUMMYFUNCTION("""COMPUTED_VALUE"""),489514.0)</f>
        <v>489514</v>
      </c>
      <c r="B354" s="2" t="str">
        <f>IFERROR(__xludf.DUMMYFUNCTION("""COMPUTED_VALUE"""),"21864")</f>
        <v>21864</v>
      </c>
      <c r="C354" s="2" t="str">
        <f>IFERROR(__xludf.DUMMYFUNCTION("""COMPUTED_VALUE"""),"UNION JACK FLAG PASSPORT COVER")</f>
        <v>UNION JACK FLAG PASSPORT COVER</v>
      </c>
      <c r="D354" s="2">
        <f>IFERROR(__xludf.DUMMYFUNCTION("""COMPUTED_VALUE"""),5.0)</f>
        <v>5</v>
      </c>
      <c r="E354" s="6">
        <f>IFERROR(__xludf.DUMMYFUNCTION("""COMPUTED_VALUE"""),40148.472916666666)</f>
        <v>40148.47292</v>
      </c>
      <c r="F354" s="2">
        <f>IFERROR(__xludf.DUMMYFUNCTION("""COMPUTED_VALUE"""),2.1)</f>
        <v>2.1</v>
      </c>
      <c r="G354" s="2">
        <f>IFERROR(__xludf.DUMMYFUNCTION("""COMPUTED_VALUE"""),15311.0)</f>
        <v>15311</v>
      </c>
      <c r="H354" s="2" t="str">
        <f>IFERROR(__xludf.DUMMYFUNCTION("""COMPUTED_VALUE"""),"United Kingdom")</f>
        <v>United Kingdom</v>
      </c>
      <c r="I354" s="7">
        <f>IFERROR(__xludf.DUMMYFUNCTION("""COMPUTED_VALUE"""),40148.0)</f>
        <v>40148</v>
      </c>
      <c r="J354" s="8">
        <f>IFERROR(__xludf.DUMMYFUNCTION("""COMPUTED_VALUE"""),0.47291666666569654)</f>
        <v>0.4729166667</v>
      </c>
      <c r="K354" s="2">
        <f>IFERROR(__xludf.DUMMYFUNCTION("""COMPUTED_VALUE"""),11.0)</f>
        <v>11</v>
      </c>
      <c r="L354" s="2">
        <f>IFERROR(__xludf.DUMMYFUNCTION("""COMPUTED_VALUE"""),10.5)</f>
        <v>10.5</v>
      </c>
    </row>
    <row r="355">
      <c r="A355" s="2">
        <f>IFERROR(__xludf.DUMMYFUNCTION("""COMPUTED_VALUE"""),489514.0)</f>
        <v>489514</v>
      </c>
      <c r="B355" s="2" t="str">
        <f>IFERROR(__xludf.DUMMYFUNCTION("""COMPUTED_VALUE"""),"21470")</f>
        <v>21470</v>
      </c>
      <c r="C355" s="2" t="str">
        <f>IFERROR(__xludf.DUMMYFUNCTION("""COMPUTED_VALUE"""),"FLOWER VINE RAFFIA FOOD COVER")</f>
        <v>FLOWER VINE RAFFIA FOOD COVER</v>
      </c>
      <c r="D355" s="2">
        <f>IFERROR(__xludf.DUMMYFUNCTION("""COMPUTED_VALUE"""),2.0)</f>
        <v>2</v>
      </c>
      <c r="E355" s="6">
        <f>IFERROR(__xludf.DUMMYFUNCTION("""COMPUTED_VALUE"""),40148.472916666666)</f>
        <v>40148.47292</v>
      </c>
      <c r="F355" s="2">
        <f>IFERROR(__xludf.DUMMYFUNCTION("""COMPUTED_VALUE"""),3.75)</f>
        <v>3.75</v>
      </c>
      <c r="G355" s="2">
        <f>IFERROR(__xludf.DUMMYFUNCTION("""COMPUTED_VALUE"""),15311.0)</f>
        <v>15311</v>
      </c>
      <c r="H355" s="2" t="str">
        <f>IFERROR(__xludf.DUMMYFUNCTION("""COMPUTED_VALUE"""),"United Kingdom")</f>
        <v>United Kingdom</v>
      </c>
      <c r="I355" s="7">
        <f>IFERROR(__xludf.DUMMYFUNCTION("""COMPUTED_VALUE"""),40148.0)</f>
        <v>40148</v>
      </c>
      <c r="J355" s="8">
        <f>IFERROR(__xludf.DUMMYFUNCTION("""COMPUTED_VALUE"""),0.47291666666569654)</f>
        <v>0.4729166667</v>
      </c>
      <c r="K355" s="2">
        <f>IFERROR(__xludf.DUMMYFUNCTION("""COMPUTED_VALUE"""),11.0)</f>
        <v>11</v>
      </c>
      <c r="L355" s="2">
        <f>IFERROR(__xludf.DUMMYFUNCTION("""COMPUTED_VALUE"""),7.5)</f>
        <v>7.5</v>
      </c>
    </row>
    <row r="356">
      <c r="A356" s="2">
        <f>IFERROR(__xludf.DUMMYFUNCTION("""COMPUTED_VALUE"""),489514.0)</f>
        <v>489514</v>
      </c>
      <c r="B356" s="2" t="str">
        <f>IFERROR(__xludf.DUMMYFUNCTION("""COMPUTED_VALUE"""),"20897")</f>
        <v>20897</v>
      </c>
      <c r="C356" s="2" t="str">
        <f>IFERROR(__xludf.DUMMYFUNCTION("""COMPUTED_VALUE"""),"VINTAGE NOTEBOOK PARIS DAYS")</f>
        <v>VINTAGE NOTEBOOK PARIS DAYS</v>
      </c>
      <c r="D356" s="2">
        <f>IFERROR(__xludf.DUMMYFUNCTION("""COMPUTED_VALUE"""),2.0)</f>
        <v>2</v>
      </c>
      <c r="E356" s="6">
        <f>IFERROR(__xludf.DUMMYFUNCTION("""COMPUTED_VALUE"""),40148.472916666666)</f>
        <v>40148.47292</v>
      </c>
      <c r="F356" s="2">
        <f>IFERROR(__xludf.DUMMYFUNCTION("""COMPUTED_VALUE"""),2.95)</f>
        <v>2.95</v>
      </c>
      <c r="G356" s="2">
        <f>IFERROR(__xludf.DUMMYFUNCTION("""COMPUTED_VALUE"""),15311.0)</f>
        <v>15311</v>
      </c>
      <c r="H356" s="2" t="str">
        <f>IFERROR(__xludf.DUMMYFUNCTION("""COMPUTED_VALUE"""),"United Kingdom")</f>
        <v>United Kingdom</v>
      </c>
      <c r="I356" s="7">
        <f>IFERROR(__xludf.DUMMYFUNCTION("""COMPUTED_VALUE"""),40148.0)</f>
        <v>40148</v>
      </c>
      <c r="J356" s="8">
        <f>IFERROR(__xludf.DUMMYFUNCTION("""COMPUTED_VALUE"""),0.47291666666569654)</f>
        <v>0.4729166667</v>
      </c>
      <c r="K356" s="2">
        <f>IFERROR(__xludf.DUMMYFUNCTION("""COMPUTED_VALUE"""),11.0)</f>
        <v>11</v>
      </c>
      <c r="L356" s="2">
        <f>IFERROR(__xludf.DUMMYFUNCTION("""COMPUTED_VALUE"""),5.9)</f>
        <v>5.9</v>
      </c>
    </row>
    <row r="357">
      <c r="A357" s="2">
        <f>IFERROR(__xludf.DUMMYFUNCTION("""COMPUTED_VALUE"""),489514.0)</f>
        <v>489514</v>
      </c>
      <c r="B357" s="2" t="str">
        <f>IFERROR(__xludf.DUMMYFUNCTION("""COMPUTED_VALUE"""),"44230")</f>
        <v>44230</v>
      </c>
      <c r="C357" s="2" t="str">
        <f>IFERROR(__xludf.DUMMYFUNCTION("""COMPUTED_VALUE"""),"SQUARE MIRROR CURTAIN")</f>
        <v>SQUARE MIRROR CURTAIN</v>
      </c>
      <c r="D357" s="2">
        <f>IFERROR(__xludf.DUMMYFUNCTION("""COMPUTED_VALUE"""),1.0)</f>
        <v>1</v>
      </c>
      <c r="E357" s="6">
        <f>IFERROR(__xludf.DUMMYFUNCTION("""COMPUTED_VALUE"""),40148.472916666666)</f>
        <v>40148.47292</v>
      </c>
      <c r="F357" s="2">
        <f>IFERROR(__xludf.DUMMYFUNCTION("""COMPUTED_VALUE"""),7.95)</f>
        <v>7.95</v>
      </c>
      <c r="G357" s="2">
        <f>IFERROR(__xludf.DUMMYFUNCTION("""COMPUTED_VALUE"""),15311.0)</f>
        <v>15311</v>
      </c>
      <c r="H357" s="2" t="str">
        <f>IFERROR(__xludf.DUMMYFUNCTION("""COMPUTED_VALUE"""),"United Kingdom")</f>
        <v>United Kingdom</v>
      </c>
      <c r="I357" s="7">
        <f>IFERROR(__xludf.DUMMYFUNCTION("""COMPUTED_VALUE"""),40148.0)</f>
        <v>40148</v>
      </c>
      <c r="J357" s="8">
        <f>IFERROR(__xludf.DUMMYFUNCTION("""COMPUTED_VALUE"""),0.47291666666569654)</f>
        <v>0.4729166667</v>
      </c>
      <c r="K357" s="2">
        <f>IFERROR(__xludf.DUMMYFUNCTION("""COMPUTED_VALUE"""),11.0)</f>
        <v>11</v>
      </c>
      <c r="L357" s="2">
        <f>IFERROR(__xludf.DUMMYFUNCTION("""COMPUTED_VALUE"""),7.95)</f>
        <v>7.95</v>
      </c>
    </row>
    <row r="358">
      <c r="A358" s="2">
        <f>IFERROR(__xludf.DUMMYFUNCTION("""COMPUTED_VALUE"""),489514.0)</f>
        <v>489514</v>
      </c>
      <c r="B358" s="2" t="str">
        <f>IFERROR(__xludf.DUMMYFUNCTION("""COMPUTED_VALUE"""),"37485")</f>
        <v>37485</v>
      </c>
      <c r="C358" s="2" t="str">
        <f>IFERROR(__xludf.DUMMYFUNCTION("""COMPUTED_VALUE"""),"ENGLISH ROSE TEA SET IN GIFT BOX")</f>
        <v>ENGLISH ROSE TEA SET IN GIFT BOX</v>
      </c>
      <c r="D358" s="2">
        <f>IFERROR(__xludf.DUMMYFUNCTION("""COMPUTED_VALUE"""),2.0)</f>
        <v>2</v>
      </c>
      <c r="E358" s="6">
        <f>IFERROR(__xludf.DUMMYFUNCTION("""COMPUTED_VALUE"""),40148.472916666666)</f>
        <v>40148.47292</v>
      </c>
      <c r="F358" s="2">
        <f>IFERROR(__xludf.DUMMYFUNCTION("""COMPUTED_VALUE"""),4.65)</f>
        <v>4.65</v>
      </c>
      <c r="G358" s="2">
        <f>IFERROR(__xludf.DUMMYFUNCTION("""COMPUTED_VALUE"""),15311.0)</f>
        <v>15311</v>
      </c>
      <c r="H358" s="2" t="str">
        <f>IFERROR(__xludf.DUMMYFUNCTION("""COMPUTED_VALUE"""),"United Kingdom")</f>
        <v>United Kingdom</v>
      </c>
      <c r="I358" s="7">
        <f>IFERROR(__xludf.DUMMYFUNCTION("""COMPUTED_VALUE"""),40148.0)</f>
        <v>40148</v>
      </c>
      <c r="J358" s="8">
        <f>IFERROR(__xludf.DUMMYFUNCTION("""COMPUTED_VALUE"""),0.47291666666569654)</f>
        <v>0.4729166667</v>
      </c>
      <c r="K358" s="2">
        <f>IFERROR(__xludf.DUMMYFUNCTION("""COMPUTED_VALUE"""),11.0)</f>
        <v>11</v>
      </c>
      <c r="L358" s="2">
        <f>IFERROR(__xludf.DUMMYFUNCTION("""COMPUTED_VALUE"""),9.3)</f>
        <v>9.3</v>
      </c>
    </row>
    <row r="359">
      <c r="A359" s="2">
        <f>IFERROR(__xludf.DUMMYFUNCTION("""COMPUTED_VALUE"""),489514.0)</f>
        <v>489514</v>
      </c>
      <c r="B359" s="2" t="str">
        <f>IFERROR(__xludf.DUMMYFUNCTION("""COMPUTED_VALUE"""),"84997A")</f>
        <v>84997A</v>
      </c>
      <c r="C359" s="2" t="str">
        <f>IFERROR(__xludf.DUMMYFUNCTION("""COMPUTED_VALUE"""),"GREEN 3 PIECE MINI DOTS CUTLERY SET")</f>
        <v>GREEN 3 PIECE MINI DOTS CUTLERY SET</v>
      </c>
      <c r="D359" s="2">
        <f>IFERROR(__xludf.DUMMYFUNCTION("""COMPUTED_VALUE"""),3.0)</f>
        <v>3</v>
      </c>
      <c r="E359" s="6">
        <f>IFERROR(__xludf.DUMMYFUNCTION("""COMPUTED_VALUE"""),40148.472916666666)</f>
        <v>40148.47292</v>
      </c>
      <c r="F359" s="2">
        <f>IFERROR(__xludf.DUMMYFUNCTION("""COMPUTED_VALUE"""),3.75)</f>
        <v>3.75</v>
      </c>
      <c r="G359" s="2">
        <f>IFERROR(__xludf.DUMMYFUNCTION("""COMPUTED_VALUE"""),15311.0)</f>
        <v>15311</v>
      </c>
      <c r="H359" s="2" t="str">
        <f>IFERROR(__xludf.DUMMYFUNCTION("""COMPUTED_VALUE"""),"United Kingdom")</f>
        <v>United Kingdom</v>
      </c>
      <c r="I359" s="7">
        <f>IFERROR(__xludf.DUMMYFUNCTION("""COMPUTED_VALUE"""),40148.0)</f>
        <v>40148</v>
      </c>
      <c r="J359" s="8">
        <f>IFERROR(__xludf.DUMMYFUNCTION("""COMPUTED_VALUE"""),0.47291666666569654)</f>
        <v>0.4729166667</v>
      </c>
      <c r="K359" s="2">
        <f>IFERROR(__xludf.DUMMYFUNCTION("""COMPUTED_VALUE"""),11.0)</f>
        <v>11</v>
      </c>
      <c r="L359" s="2">
        <f>IFERROR(__xludf.DUMMYFUNCTION("""COMPUTED_VALUE"""),11.25)</f>
        <v>11.25</v>
      </c>
    </row>
    <row r="360">
      <c r="A360" s="2">
        <f>IFERROR(__xludf.DUMMYFUNCTION("""COMPUTED_VALUE"""),489514.0)</f>
        <v>489514</v>
      </c>
      <c r="B360" s="2" t="str">
        <f>IFERROR(__xludf.DUMMYFUNCTION("""COMPUTED_VALUE"""),"21245")</f>
        <v>21245</v>
      </c>
      <c r="C360" s="2" t="str">
        <f>IFERROR(__xludf.DUMMYFUNCTION("""COMPUTED_VALUE"""),"GREEN SPOTTY PLATE")</f>
        <v>GREEN SPOTTY PLATE</v>
      </c>
      <c r="D360" s="2">
        <f>IFERROR(__xludf.DUMMYFUNCTION("""COMPUTED_VALUE"""),3.0)</f>
        <v>3</v>
      </c>
      <c r="E360" s="6">
        <f>IFERROR(__xludf.DUMMYFUNCTION("""COMPUTED_VALUE"""),40148.472916666666)</f>
        <v>40148.47292</v>
      </c>
      <c r="F360" s="2">
        <f>IFERROR(__xludf.DUMMYFUNCTION("""COMPUTED_VALUE"""),1.69)</f>
        <v>1.69</v>
      </c>
      <c r="G360" s="2">
        <f>IFERROR(__xludf.DUMMYFUNCTION("""COMPUTED_VALUE"""),15311.0)</f>
        <v>15311</v>
      </c>
      <c r="H360" s="2" t="str">
        <f>IFERROR(__xludf.DUMMYFUNCTION("""COMPUTED_VALUE"""),"United Kingdom")</f>
        <v>United Kingdom</v>
      </c>
      <c r="I360" s="7">
        <f>IFERROR(__xludf.DUMMYFUNCTION("""COMPUTED_VALUE"""),40148.0)</f>
        <v>40148</v>
      </c>
      <c r="J360" s="8">
        <f>IFERROR(__xludf.DUMMYFUNCTION("""COMPUTED_VALUE"""),0.47291666666569654)</f>
        <v>0.4729166667</v>
      </c>
      <c r="K360" s="2">
        <f>IFERROR(__xludf.DUMMYFUNCTION("""COMPUTED_VALUE"""),11.0)</f>
        <v>11</v>
      </c>
      <c r="L360" s="2">
        <f>IFERROR(__xludf.DUMMYFUNCTION("""COMPUTED_VALUE"""),5.07)</f>
        <v>5.07</v>
      </c>
    </row>
    <row r="361">
      <c r="A361" s="2">
        <f>IFERROR(__xludf.DUMMYFUNCTION("""COMPUTED_VALUE"""),489514.0)</f>
        <v>489514</v>
      </c>
      <c r="B361" s="2" t="str">
        <f>IFERROR(__xludf.DUMMYFUNCTION("""COMPUTED_VALUE"""),"21241")</f>
        <v>21241</v>
      </c>
      <c r="C361" s="2" t="str">
        <f>IFERROR(__xludf.DUMMYFUNCTION("""COMPUTED_VALUE"""),"GREEN SPOTTY CUP")</f>
        <v>GREEN SPOTTY CUP</v>
      </c>
      <c r="D361" s="2">
        <f>IFERROR(__xludf.DUMMYFUNCTION("""COMPUTED_VALUE"""),3.0)</f>
        <v>3</v>
      </c>
      <c r="E361" s="6">
        <f>IFERROR(__xludf.DUMMYFUNCTION("""COMPUTED_VALUE"""),40148.472916666666)</f>
        <v>40148.47292</v>
      </c>
      <c r="F361" s="2">
        <f>IFERROR(__xludf.DUMMYFUNCTION("""COMPUTED_VALUE"""),0.85)</f>
        <v>0.85</v>
      </c>
      <c r="G361" s="2">
        <f>IFERROR(__xludf.DUMMYFUNCTION("""COMPUTED_VALUE"""),15311.0)</f>
        <v>15311</v>
      </c>
      <c r="H361" s="2" t="str">
        <f>IFERROR(__xludf.DUMMYFUNCTION("""COMPUTED_VALUE"""),"United Kingdom")</f>
        <v>United Kingdom</v>
      </c>
      <c r="I361" s="7">
        <f>IFERROR(__xludf.DUMMYFUNCTION("""COMPUTED_VALUE"""),40148.0)</f>
        <v>40148</v>
      </c>
      <c r="J361" s="8">
        <f>IFERROR(__xludf.DUMMYFUNCTION("""COMPUTED_VALUE"""),0.47291666666569654)</f>
        <v>0.4729166667</v>
      </c>
      <c r="K361" s="2">
        <f>IFERROR(__xludf.DUMMYFUNCTION("""COMPUTED_VALUE"""),11.0)</f>
        <v>11</v>
      </c>
      <c r="L361" s="2">
        <f>IFERROR(__xludf.DUMMYFUNCTION("""COMPUTED_VALUE"""),2.55)</f>
        <v>2.55</v>
      </c>
    </row>
    <row r="362">
      <c r="A362" s="2">
        <f>IFERROR(__xludf.DUMMYFUNCTION("""COMPUTED_VALUE"""),489517.0)</f>
        <v>489517</v>
      </c>
      <c r="B362" s="2" t="str">
        <f>IFERROR(__xludf.DUMMYFUNCTION("""COMPUTED_VALUE"""),"21705")</f>
        <v>21705</v>
      </c>
      <c r="C362" s="2" t="str">
        <f>IFERROR(__xludf.DUMMYFUNCTION("""COMPUTED_VALUE"""),"BAG 500g SWIRLY MARBLES")</f>
        <v>BAG 500g SWIRLY MARBLES</v>
      </c>
      <c r="D362" s="2">
        <f>IFERROR(__xludf.DUMMYFUNCTION("""COMPUTED_VALUE"""),1.0)</f>
        <v>1</v>
      </c>
      <c r="E362" s="6">
        <f>IFERROR(__xludf.DUMMYFUNCTION("""COMPUTED_VALUE"""),40148.481944444444)</f>
        <v>40148.48194</v>
      </c>
      <c r="F362" s="2">
        <f>IFERROR(__xludf.DUMMYFUNCTION("""COMPUTED_VALUE"""),1.65)</f>
        <v>1.65</v>
      </c>
      <c r="G362" s="2">
        <f>IFERROR(__xludf.DUMMYFUNCTION("""COMPUTED_VALUE"""),16329.0)</f>
        <v>16329</v>
      </c>
      <c r="H362" s="2" t="str">
        <f>IFERROR(__xludf.DUMMYFUNCTION("""COMPUTED_VALUE"""),"United Kingdom")</f>
        <v>United Kingdom</v>
      </c>
      <c r="I362" s="7">
        <f>IFERROR(__xludf.DUMMYFUNCTION("""COMPUTED_VALUE"""),40148.0)</f>
        <v>40148</v>
      </c>
      <c r="J362" s="8">
        <f>IFERROR(__xludf.DUMMYFUNCTION("""COMPUTED_VALUE"""),0.4819444444437977)</f>
        <v>0.4819444444</v>
      </c>
      <c r="K362" s="2">
        <f>IFERROR(__xludf.DUMMYFUNCTION("""COMPUTED_VALUE"""),11.0)</f>
        <v>11</v>
      </c>
      <c r="L362" s="2">
        <f>IFERROR(__xludf.DUMMYFUNCTION("""COMPUTED_VALUE"""),1.65)</f>
        <v>1.65</v>
      </c>
    </row>
    <row r="363">
      <c r="A363" s="2">
        <f>IFERROR(__xludf.DUMMYFUNCTION("""COMPUTED_VALUE"""),489517.0)</f>
        <v>489517</v>
      </c>
      <c r="B363" s="2" t="str">
        <f>IFERROR(__xludf.DUMMYFUNCTION("""COMPUTED_VALUE"""),"21913")</f>
        <v>21913</v>
      </c>
      <c r="C363" s="2" t="str">
        <f>IFERROR(__xludf.DUMMYFUNCTION("""COMPUTED_VALUE"""),"VINTAGE SEASIDE JIGSAW PUZZLES")</f>
        <v>VINTAGE SEASIDE JIGSAW PUZZLES</v>
      </c>
      <c r="D363" s="2">
        <f>IFERROR(__xludf.DUMMYFUNCTION("""COMPUTED_VALUE"""),1.0)</f>
        <v>1</v>
      </c>
      <c r="E363" s="6">
        <f>IFERROR(__xludf.DUMMYFUNCTION("""COMPUTED_VALUE"""),40148.481944444444)</f>
        <v>40148.48194</v>
      </c>
      <c r="F363" s="2">
        <f>IFERROR(__xludf.DUMMYFUNCTION("""COMPUTED_VALUE"""),3.75)</f>
        <v>3.75</v>
      </c>
      <c r="G363" s="2">
        <f>IFERROR(__xludf.DUMMYFUNCTION("""COMPUTED_VALUE"""),16329.0)</f>
        <v>16329</v>
      </c>
      <c r="H363" s="2" t="str">
        <f>IFERROR(__xludf.DUMMYFUNCTION("""COMPUTED_VALUE"""),"United Kingdom")</f>
        <v>United Kingdom</v>
      </c>
      <c r="I363" s="7">
        <f>IFERROR(__xludf.DUMMYFUNCTION("""COMPUTED_VALUE"""),40148.0)</f>
        <v>40148</v>
      </c>
      <c r="J363" s="8">
        <f>IFERROR(__xludf.DUMMYFUNCTION("""COMPUTED_VALUE"""),0.4819444444437977)</f>
        <v>0.4819444444</v>
      </c>
      <c r="K363" s="2">
        <f>IFERROR(__xludf.DUMMYFUNCTION("""COMPUTED_VALUE"""),11.0)</f>
        <v>11</v>
      </c>
      <c r="L363" s="2">
        <f>IFERROR(__xludf.DUMMYFUNCTION("""COMPUTED_VALUE"""),3.75)</f>
        <v>3.75</v>
      </c>
    </row>
    <row r="364">
      <c r="A364" s="2">
        <f>IFERROR(__xludf.DUMMYFUNCTION("""COMPUTED_VALUE"""),489517.0)</f>
        <v>489517</v>
      </c>
      <c r="B364" s="2" t="str">
        <f>IFERROR(__xludf.DUMMYFUNCTION("""COMPUTED_VALUE"""),"21912")</f>
        <v>21912</v>
      </c>
      <c r="C364" s="2" t="str">
        <f>IFERROR(__xludf.DUMMYFUNCTION("""COMPUTED_VALUE"""),"VINTAGE SNAKES &amp; LADDERS")</f>
        <v>VINTAGE SNAKES &amp; LADDERS</v>
      </c>
      <c r="D364" s="2">
        <f>IFERROR(__xludf.DUMMYFUNCTION("""COMPUTED_VALUE"""),1.0)</f>
        <v>1</v>
      </c>
      <c r="E364" s="6">
        <f>IFERROR(__xludf.DUMMYFUNCTION("""COMPUTED_VALUE"""),40148.481944444444)</f>
        <v>40148.48194</v>
      </c>
      <c r="F364" s="2">
        <f>IFERROR(__xludf.DUMMYFUNCTION("""COMPUTED_VALUE"""),3.75)</f>
        <v>3.75</v>
      </c>
      <c r="G364" s="2">
        <f>IFERROR(__xludf.DUMMYFUNCTION("""COMPUTED_VALUE"""),16329.0)</f>
        <v>16329</v>
      </c>
      <c r="H364" s="2" t="str">
        <f>IFERROR(__xludf.DUMMYFUNCTION("""COMPUTED_VALUE"""),"United Kingdom")</f>
        <v>United Kingdom</v>
      </c>
      <c r="I364" s="7">
        <f>IFERROR(__xludf.DUMMYFUNCTION("""COMPUTED_VALUE"""),40148.0)</f>
        <v>40148</v>
      </c>
      <c r="J364" s="8">
        <f>IFERROR(__xludf.DUMMYFUNCTION("""COMPUTED_VALUE"""),0.4819444444437977)</f>
        <v>0.4819444444</v>
      </c>
      <c r="K364" s="2">
        <f>IFERROR(__xludf.DUMMYFUNCTION("""COMPUTED_VALUE"""),11.0)</f>
        <v>11</v>
      </c>
      <c r="L364" s="2">
        <f>IFERROR(__xludf.DUMMYFUNCTION("""COMPUTED_VALUE"""),3.75)</f>
        <v>3.75</v>
      </c>
    </row>
    <row r="365">
      <c r="A365" s="2">
        <f>IFERROR(__xludf.DUMMYFUNCTION("""COMPUTED_VALUE"""),489517.0)</f>
        <v>489517</v>
      </c>
      <c r="B365" s="2" t="str">
        <f>IFERROR(__xludf.DUMMYFUNCTION("""COMPUTED_VALUE"""),"16207A")</f>
        <v>16207A</v>
      </c>
      <c r="C365" s="2" t="str">
        <f>IFERROR(__xludf.DUMMYFUNCTION("""COMPUTED_VALUE"""),"PINK STRAWBERRY HANDBAG")</f>
        <v>PINK STRAWBERRY HANDBAG</v>
      </c>
      <c r="D365" s="2">
        <f>IFERROR(__xludf.DUMMYFUNCTION("""COMPUTED_VALUE"""),2.0)</f>
        <v>2</v>
      </c>
      <c r="E365" s="6">
        <f>IFERROR(__xludf.DUMMYFUNCTION("""COMPUTED_VALUE"""),40148.481944444444)</f>
        <v>40148.48194</v>
      </c>
      <c r="F365" s="2">
        <f>IFERROR(__xludf.DUMMYFUNCTION("""COMPUTED_VALUE"""),2.95)</f>
        <v>2.95</v>
      </c>
      <c r="G365" s="2">
        <f>IFERROR(__xludf.DUMMYFUNCTION("""COMPUTED_VALUE"""),16329.0)</f>
        <v>16329</v>
      </c>
      <c r="H365" s="2" t="str">
        <f>IFERROR(__xludf.DUMMYFUNCTION("""COMPUTED_VALUE"""),"United Kingdom")</f>
        <v>United Kingdom</v>
      </c>
      <c r="I365" s="7">
        <f>IFERROR(__xludf.DUMMYFUNCTION("""COMPUTED_VALUE"""),40148.0)</f>
        <v>40148</v>
      </c>
      <c r="J365" s="8">
        <f>IFERROR(__xludf.DUMMYFUNCTION("""COMPUTED_VALUE"""),0.4819444444437977)</f>
        <v>0.4819444444</v>
      </c>
      <c r="K365" s="2">
        <f>IFERROR(__xludf.DUMMYFUNCTION("""COMPUTED_VALUE"""),11.0)</f>
        <v>11</v>
      </c>
      <c r="L365" s="2">
        <f>IFERROR(__xludf.DUMMYFUNCTION("""COMPUTED_VALUE"""),5.9)</f>
        <v>5.9</v>
      </c>
    </row>
    <row r="366">
      <c r="A366" s="2">
        <f>IFERROR(__xludf.DUMMYFUNCTION("""COMPUTED_VALUE"""),489517.0)</f>
        <v>489517</v>
      </c>
      <c r="B366" s="2" t="str">
        <f>IFERROR(__xludf.DUMMYFUNCTION("""COMPUTED_VALUE"""),"21821")</f>
        <v>21821</v>
      </c>
      <c r="C366" s="2" t="str">
        <f>IFERROR(__xludf.DUMMYFUNCTION("""COMPUTED_VALUE"""),"GLITTER STAR GARLAND WITH BELLS")</f>
        <v>GLITTER STAR GARLAND WITH BELLS</v>
      </c>
      <c r="D366" s="2">
        <f>IFERROR(__xludf.DUMMYFUNCTION("""COMPUTED_VALUE"""),1.0)</f>
        <v>1</v>
      </c>
      <c r="E366" s="6">
        <f>IFERROR(__xludf.DUMMYFUNCTION("""COMPUTED_VALUE"""),40148.481944444444)</f>
        <v>40148.48194</v>
      </c>
      <c r="F366" s="2">
        <f>IFERROR(__xludf.DUMMYFUNCTION("""COMPUTED_VALUE"""),3.75)</f>
        <v>3.75</v>
      </c>
      <c r="G366" s="2">
        <f>IFERROR(__xludf.DUMMYFUNCTION("""COMPUTED_VALUE"""),16329.0)</f>
        <v>16329</v>
      </c>
      <c r="H366" s="2" t="str">
        <f>IFERROR(__xludf.DUMMYFUNCTION("""COMPUTED_VALUE"""),"United Kingdom")</f>
        <v>United Kingdom</v>
      </c>
      <c r="I366" s="7">
        <f>IFERROR(__xludf.DUMMYFUNCTION("""COMPUTED_VALUE"""),40148.0)</f>
        <v>40148</v>
      </c>
      <c r="J366" s="8">
        <f>IFERROR(__xludf.DUMMYFUNCTION("""COMPUTED_VALUE"""),0.4819444444437977)</f>
        <v>0.4819444444</v>
      </c>
      <c r="K366" s="2">
        <f>IFERROR(__xludf.DUMMYFUNCTION("""COMPUTED_VALUE"""),11.0)</f>
        <v>11</v>
      </c>
      <c r="L366" s="2">
        <f>IFERROR(__xludf.DUMMYFUNCTION("""COMPUTED_VALUE"""),3.75)</f>
        <v>3.75</v>
      </c>
    </row>
    <row r="367">
      <c r="A367" s="2">
        <f>IFERROR(__xludf.DUMMYFUNCTION("""COMPUTED_VALUE"""),489517.0)</f>
        <v>489517</v>
      </c>
      <c r="B367" s="2" t="str">
        <f>IFERROR(__xludf.DUMMYFUNCTION("""COMPUTED_VALUE"""),"85123A")</f>
        <v>85123A</v>
      </c>
      <c r="C367" s="2" t="str">
        <f>IFERROR(__xludf.DUMMYFUNCTION("""COMPUTED_VALUE"""),"WHITE HANGING HEART T-LIGHT HOLDER")</f>
        <v>WHITE HANGING HEART T-LIGHT HOLDER</v>
      </c>
      <c r="D367" s="2">
        <f>IFERROR(__xludf.DUMMYFUNCTION("""COMPUTED_VALUE"""),1.0)</f>
        <v>1</v>
      </c>
      <c r="E367" s="6">
        <f>IFERROR(__xludf.DUMMYFUNCTION("""COMPUTED_VALUE"""),40148.481944444444)</f>
        <v>40148.48194</v>
      </c>
      <c r="F367" s="2">
        <f>IFERROR(__xludf.DUMMYFUNCTION("""COMPUTED_VALUE"""),2.95)</f>
        <v>2.95</v>
      </c>
      <c r="G367" s="2">
        <f>IFERROR(__xludf.DUMMYFUNCTION("""COMPUTED_VALUE"""),16329.0)</f>
        <v>16329</v>
      </c>
      <c r="H367" s="2" t="str">
        <f>IFERROR(__xludf.DUMMYFUNCTION("""COMPUTED_VALUE"""),"United Kingdom")</f>
        <v>United Kingdom</v>
      </c>
      <c r="I367" s="7">
        <f>IFERROR(__xludf.DUMMYFUNCTION("""COMPUTED_VALUE"""),40148.0)</f>
        <v>40148</v>
      </c>
      <c r="J367" s="8">
        <f>IFERROR(__xludf.DUMMYFUNCTION("""COMPUTED_VALUE"""),0.4819444444437977)</f>
        <v>0.4819444444</v>
      </c>
      <c r="K367" s="2">
        <f>IFERROR(__xludf.DUMMYFUNCTION("""COMPUTED_VALUE"""),11.0)</f>
        <v>11</v>
      </c>
      <c r="L367" s="2">
        <f>IFERROR(__xludf.DUMMYFUNCTION("""COMPUTED_VALUE"""),2.95)</f>
        <v>2.95</v>
      </c>
    </row>
    <row r="368">
      <c r="A368" s="2">
        <f>IFERROR(__xludf.DUMMYFUNCTION("""COMPUTED_VALUE"""),489517.0)</f>
        <v>489517</v>
      </c>
      <c r="B368" s="2" t="str">
        <f>IFERROR(__xludf.DUMMYFUNCTION("""COMPUTED_VALUE"""),"22319")</f>
        <v>22319</v>
      </c>
      <c r="C368" s="2" t="str">
        <f>IFERROR(__xludf.DUMMYFUNCTION("""COMPUTED_VALUE"""),"HAIRCLIPS FORTIES FABRIC ASSORTED")</f>
        <v>HAIRCLIPS FORTIES FABRIC ASSORTED</v>
      </c>
      <c r="D368" s="2">
        <f>IFERROR(__xludf.DUMMYFUNCTION("""COMPUTED_VALUE"""),12.0)</f>
        <v>12</v>
      </c>
      <c r="E368" s="6">
        <f>IFERROR(__xludf.DUMMYFUNCTION("""COMPUTED_VALUE"""),40148.481944444444)</f>
        <v>40148.48194</v>
      </c>
      <c r="F368" s="2">
        <f>IFERROR(__xludf.DUMMYFUNCTION("""COMPUTED_VALUE"""),0.65)</f>
        <v>0.65</v>
      </c>
      <c r="G368" s="2">
        <f>IFERROR(__xludf.DUMMYFUNCTION("""COMPUTED_VALUE"""),16329.0)</f>
        <v>16329</v>
      </c>
      <c r="H368" s="2" t="str">
        <f>IFERROR(__xludf.DUMMYFUNCTION("""COMPUTED_VALUE"""),"United Kingdom")</f>
        <v>United Kingdom</v>
      </c>
      <c r="I368" s="7">
        <f>IFERROR(__xludf.DUMMYFUNCTION("""COMPUTED_VALUE"""),40148.0)</f>
        <v>40148</v>
      </c>
      <c r="J368" s="8">
        <f>IFERROR(__xludf.DUMMYFUNCTION("""COMPUTED_VALUE"""),0.4819444444437977)</f>
        <v>0.4819444444</v>
      </c>
      <c r="K368" s="2">
        <f>IFERROR(__xludf.DUMMYFUNCTION("""COMPUTED_VALUE"""),11.0)</f>
        <v>11</v>
      </c>
      <c r="L368" s="2">
        <f>IFERROR(__xludf.DUMMYFUNCTION("""COMPUTED_VALUE"""),7.8)</f>
        <v>7.8</v>
      </c>
    </row>
    <row r="369">
      <c r="A369" s="2">
        <f>IFERROR(__xludf.DUMMYFUNCTION("""COMPUTED_VALUE"""),489517.0)</f>
        <v>489517</v>
      </c>
      <c r="B369" s="2" t="str">
        <f>IFERROR(__xludf.DUMMYFUNCTION("""COMPUTED_VALUE"""),"22130")</f>
        <v>22130</v>
      </c>
      <c r="C369" s="2" t="str">
        <f>IFERROR(__xludf.DUMMYFUNCTION("""COMPUTED_VALUE"""),"PARTY CONE CHRISTMAS DECORATION")</f>
        <v>PARTY CONE CHRISTMAS DECORATION</v>
      </c>
      <c r="D369" s="2">
        <f>IFERROR(__xludf.DUMMYFUNCTION("""COMPUTED_VALUE"""),6.0)</f>
        <v>6</v>
      </c>
      <c r="E369" s="6">
        <f>IFERROR(__xludf.DUMMYFUNCTION("""COMPUTED_VALUE"""),40148.481944444444)</f>
        <v>40148.48194</v>
      </c>
      <c r="F369" s="2">
        <f>IFERROR(__xludf.DUMMYFUNCTION("""COMPUTED_VALUE"""),0.85)</f>
        <v>0.85</v>
      </c>
      <c r="G369" s="2">
        <f>IFERROR(__xludf.DUMMYFUNCTION("""COMPUTED_VALUE"""),16329.0)</f>
        <v>16329</v>
      </c>
      <c r="H369" s="2" t="str">
        <f>IFERROR(__xludf.DUMMYFUNCTION("""COMPUTED_VALUE"""),"United Kingdom")</f>
        <v>United Kingdom</v>
      </c>
      <c r="I369" s="7">
        <f>IFERROR(__xludf.DUMMYFUNCTION("""COMPUTED_VALUE"""),40148.0)</f>
        <v>40148</v>
      </c>
      <c r="J369" s="8">
        <f>IFERROR(__xludf.DUMMYFUNCTION("""COMPUTED_VALUE"""),0.4819444444437977)</f>
        <v>0.4819444444</v>
      </c>
      <c r="K369" s="2">
        <f>IFERROR(__xludf.DUMMYFUNCTION("""COMPUTED_VALUE"""),11.0)</f>
        <v>11</v>
      </c>
      <c r="L369" s="2">
        <f>IFERROR(__xludf.DUMMYFUNCTION("""COMPUTED_VALUE"""),5.1)</f>
        <v>5.1</v>
      </c>
    </row>
    <row r="370">
      <c r="A370" s="2">
        <f>IFERROR(__xludf.DUMMYFUNCTION("""COMPUTED_VALUE"""),489517.0)</f>
        <v>489517</v>
      </c>
      <c r="B370" s="2" t="str">
        <f>IFERROR(__xludf.DUMMYFUNCTION("""COMPUTED_VALUE"""),"21584")</f>
        <v>21584</v>
      </c>
      <c r="C370" s="2" t="str">
        <f>IFERROR(__xludf.DUMMYFUNCTION("""COMPUTED_VALUE"""),"RETRO SPOT SMALL TUBE MATCHES")</f>
        <v>RETRO SPOT SMALL TUBE MATCHES</v>
      </c>
      <c r="D370" s="2">
        <f>IFERROR(__xludf.DUMMYFUNCTION("""COMPUTED_VALUE"""),20.0)</f>
        <v>20</v>
      </c>
      <c r="E370" s="6">
        <f>IFERROR(__xludf.DUMMYFUNCTION("""COMPUTED_VALUE"""),40148.481944444444)</f>
        <v>40148.48194</v>
      </c>
      <c r="F370" s="2">
        <f>IFERROR(__xludf.DUMMYFUNCTION("""COMPUTED_VALUE"""),1.65)</f>
        <v>1.65</v>
      </c>
      <c r="G370" s="2">
        <f>IFERROR(__xludf.DUMMYFUNCTION("""COMPUTED_VALUE"""),16329.0)</f>
        <v>16329</v>
      </c>
      <c r="H370" s="2" t="str">
        <f>IFERROR(__xludf.DUMMYFUNCTION("""COMPUTED_VALUE"""),"United Kingdom")</f>
        <v>United Kingdom</v>
      </c>
      <c r="I370" s="7">
        <f>IFERROR(__xludf.DUMMYFUNCTION("""COMPUTED_VALUE"""),40148.0)</f>
        <v>40148</v>
      </c>
      <c r="J370" s="8">
        <f>IFERROR(__xludf.DUMMYFUNCTION("""COMPUTED_VALUE"""),0.4819444444437977)</f>
        <v>0.4819444444</v>
      </c>
      <c r="K370" s="2">
        <f>IFERROR(__xludf.DUMMYFUNCTION("""COMPUTED_VALUE"""),11.0)</f>
        <v>11</v>
      </c>
      <c r="L370" s="2">
        <f>IFERROR(__xludf.DUMMYFUNCTION("""COMPUTED_VALUE"""),33.0)</f>
        <v>33</v>
      </c>
    </row>
    <row r="371">
      <c r="A371" s="2">
        <f>IFERROR(__xludf.DUMMYFUNCTION("""COMPUTED_VALUE"""),489517.0)</f>
        <v>489517</v>
      </c>
      <c r="B371" s="2" t="str">
        <f>IFERROR(__xludf.DUMMYFUNCTION("""COMPUTED_VALUE"""),"20972")</f>
        <v>20972</v>
      </c>
      <c r="C371" s="2" t="str">
        <f>IFERROR(__xludf.DUMMYFUNCTION("""COMPUTED_VALUE"""),"PINK CREAM FELT CRAFT TRINKET BOX")</f>
        <v>PINK CREAM FELT CRAFT TRINKET BOX</v>
      </c>
      <c r="D371" s="2">
        <f>IFERROR(__xludf.DUMMYFUNCTION("""COMPUTED_VALUE"""),1.0)</f>
        <v>1</v>
      </c>
      <c r="E371" s="6">
        <f>IFERROR(__xludf.DUMMYFUNCTION("""COMPUTED_VALUE"""),40148.481944444444)</f>
        <v>40148.48194</v>
      </c>
      <c r="F371" s="2">
        <f>IFERROR(__xludf.DUMMYFUNCTION("""COMPUTED_VALUE"""),1.25)</f>
        <v>1.25</v>
      </c>
      <c r="G371" s="2">
        <f>IFERROR(__xludf.DUMMYFUNCTION("""COMPUTED_VALUE"""),16329.0)</f>
        <v>16329</v>
      </c>
      <c r="H371" s="2" t="str">
        <f>IFERROR(__xludf.DUMMYFUNCTION("""COMPUTED_VALUE"""),"United Kingdom")</f>
        <v>United Kingdom</v>
      </c>
      <c r="I371" s="7">
        <f>IFERROR(__xludf.DUMMYFUNCTION("""COMPUTED_VALUE"""),40148.0)</f>
        <v>40148</v>
      </c>
      <c r="J371" s="8">
        <f>IFERROR(__xludf.DUMMYFUNCTION("""COMPUTED_VALUE"""),0.4819444444437977)</f>
        <v>0.4819444444</v>
      </c>
      <c r="K371" s="2">
        <f>IFERROR(__xludf.DUMMYFUNCTION("""COMPUTED_VALUE"""),11.0)</f>
        <v>11</v>
      </c>
      <c r="L371" s="2">
        <f>IFERROR(__xludf.DUMMYFUNCTION("""COMPUTED_VALUE"""),1.25)</f>
        <v>1.25</v>
      </c>
    </row>
    <row r="372">
      <c r="A372" s="2">
        <f>IFERROR(__xludf.DUMMYFUNCTION("""COMPUTED_VALUE"""),489517.0)</f>
        <v>489517</v>
      </c>
      <c r="B372" s="2" t="str">
        <f>IFERROR(__xludf.DUMMYFUNCTION("""COMPUTED_VALUE"""),"21791")</f>
        <v>21791</v>
      </c>
      <c r="C372" s="2" t="str">
        <f>IFERROR(__xludf.DUMMYFUNCTION("""COMPUTED_VALUE"""),"VINTAGE HEADS AND TAILS CARD GAME")</f>
        <v>VINTAGE HEADS AND TAILS CARD GAME</v>
      </c>
      <c r="D372" s="2">
        <f>IFERROR(__xludf.DUMMYFUNCTION("""COMPUTED_VALUE"""),6.0)</f>
        <v>6</v>
      </c>
      <c r="E372" s="6">
        <f>IFERROR(__xludf.DUMMYFUNCTION("""COMPUTED_VALUE"""),40148.481944444444)</f>
        <v>40148.48194</v>
      </c>
      <c r="F372" s="2">
        <f>IFERROR(__xludf.DUMMYFUNCTION("""COMPUTED_VALUE"""),1.25)</f>
        <v>1.25</v>
      </c>
      <c r="G372" s="2">
        <f>IFERROR(__xludf.DUMMYFUNCTION("""COMPUTED_VALUE"""),16329.0)</f>
        <v>16329</v>
      </c>
      <c r="H372" s="2" t="str">
        <f>IFERROR(__xludf.DUMMYFUNCTION("""COMPUTED_VALUE"""),"United Kingdom")</f>
        <v>United Kingdom</v>
      </c>
      <c r="I372" s="7">
        <f>IFERROR(__xludf.DUMMYFUNCTION("""COMPUTED_VALUE"""),40148.0)</f>
        <v>40148</v>
      </c>
      <c r="J372" s="8">
        <f>IFERROR(__xludf.DUMMYFUNCTION("""COMPUTED_VALUE"""),0.4819444444437977)</f>
        <v>0.4819444444</v>
      </c>
      <c r="K372" s="2">
        <f>IFERROR(__xludf.DUMMYFUNCTION("""COMPUTED_VALUE"""),11.0)</f>
        <v>11</v>
      </c>
      <c r="L372" s="2">
        <f>IFERROR(__xludf.DUMMYFUNCTION("""COMPUTED_VALUE"""),7.5)</f>
        <v>7.5</v>
      </c>
    </row>
    <row r="373">
      <c r="A373" s="2">
        <f>IFERROR(__xludf.DUMMYFUNCTION("""COMPUTED_VALUE"""),489517.0)</f>
        <v>489517</v>
      </c>
      <c r="B373" s="2" t="str">
        <f>IFERROR(__xludf.DUMMYFUNCTION("""COMPUTED_VALUE"""),"21790")</f>
        <v>21790</v>
      </c>
      <c r="C373" s="2" t="str">
        <f>IFERROR(__xludf.DUMMYFUNCTION("""COMPUTED_VALUE"""),"VINTAGE SNAP CARDS")</f>
        <v>VINTAGE SNAP CARDS</v>
      </c>
      <c r="D373" s="2">
        <f>IFERROR(__xludf.DUMMYFUNCTION("""COMPUTED_VALUE"""),4.0)</f>
        <v>4</v>
      </c>
      <c r="E373" s="6">
        <f>IFERROR(__xludf.DUMMYFUNCTION("""COMPUTED_VALUE"""),40148.481944444444)</f>
        <v>40148.48194</v>
      </c>
      <c r="F373" s="2">
        <f>IFERROR(__xludf.DUMMYFUNCTION("""COMPUTED_VALUE"""),0.85)</f>
        <v>0.85</v>
      </c>
      <c r="G373" s="2">
        <f>IFERROR(__xludf.DUMMYFUNCTION("""COMPUTED_VALUE"""),16329.0)</f>
        <v>16329</v>
      </c>
      <c r="H373" s="2" t="str">
        <f>IFERROR(__xludf.DUMMYFUNCTION("""COMPUTED_VALUE"""),"United Kingdom")</f>
        <v>United Kingdom</v>
      </c>
      <c r="I373" s="7">
        <f>IFERROR(__xludf.DUMMYFUNCTION("""COMPUTED_VALUE"""),40148.0)</f>
        <v>40148</v>
      </c>
      <c r="J373" s="8">
        <f>IFERROR(__xludf.DUMMYFUNCTION("""COMPUTED_VALUE"""),0.4819444444437977)</f>
        <v>0.4819444444</v>
      </c>
      <c r="K373" s="2">
        <f>IFERROR(__xludf.DUMMYFUNCTION("""COMPUTED_VALUE"""),11.0)</f>
        <v>11</v>
      </c>
      <c r="L373" s="2">
        <f>IFERROR(__xludf.DUMMYFUNCTION("""COMPUTED_VALUE"""),3.4)</f>
        <v>3.4</v>
      </c>
    </row>
    <row r="374">
      <c r="A374" s="2">
        <f>IFERROR(__xludf.DUMMYFUNCTION("""COMPUTED_VALUE"""),489517.0)</f>
        <v>489517</v>
      </c>
      <c r="B374" s="2" t="str">
        <f>IFERROR(__xludf.DUMMYFUNCTION("""COMPUTED_VALUE"""),"21931")</f>
        <v>21931</v>
      </c>
      <c r="C374" s="2" t="str">
        <f>IFERROR(__xludf.DUMMYFUNCTION("""COMPUTED_VALUE"""),"JUMBO STORAGE BAG SUKI")</f>
        <v>JUMBO STORAGE BAG SUKI</v>
      </c>
      <c r="D374" s="2">
        <f>IFERROR(__xludf.DUMMYFUNCTION("""COMPUTED_VALUE"""),1.0)</f>
        <v>1</v>
      </c>
      <c r="E374" s="6">
        <f>IFERROR(__xludf.DUMMYFUNCTION("""COMPUTED_VALUE"""),40148.481944444444)</f>
        <v>40148.48194</v>
      </c>
      <c r="F374" s="2">
        <f>IFERROR(__xludf.DUMMYFUNCTION("""COMPUTED_VALUE"""),1.95)</f>
        <v>1.95</v>
      </c>
      <c r="G374" s="2">
        <f>IFERROR(__xludf.DUMMYFUNCTION("""COMPUTED_VALUE"""),16329.0)</f>
        <v>16329</v>
      </c>
      <c r="H374" s="2" t="str">
        <f>IFERROR(__xludf.DUMMYFUNCTION("""COMPUTED_VALUE"""),"United Kingdom")</f>
        <v>United Kingdom</v>
      </c>
      <c r="I374" s="7">
        <f>IFERROR(__xludf.DUMMYFUNCTION("""COMPUTED_VALUE"""),40148.0)</f>
        <v>40148</v>
      </c>
      <c r="J374" s="8">
        <f>IFERROR(__xludf.DUMMYFUNCTION("""COMPUTED_VALUE"""),0.4819444444437977)</f>
        <v>0.4819444444</v>
      </c>
      <c r="K374" s="2">
        <f>IFERROR(__xludf.DUMMYFUNCTION("""COMPUTED_VALUE"""),11.0)</f>
        <v>11</v>
      </c>
      <c r="L374" s="2">
        <f>IFERROR(__xludf.DUMMYFUNCTION("""COMPUTED_VALUE"""),1.95)</f>
        <v>1.95</v>
      </c>
    </row>
    <row r="375">
      <c r="A375" s="2">
        <f>IFERROR(__xludf.DUMMYFUNCTION("""COMPUTED_VALUE"""),489517.0)</f>
        <v>489517</v>
      </c>
      <c r="B375" s="2" t="str">
        <f>IFERROR(__xludf.DUMMYFUNCTION("""COMPUTED_VALUE"""),"20711")</f>
        <v>20711</v>
      </c>
      <c r="C375" s="2" t="str">
        <f>IFERROR(__xludf.DUMMYFUNCTION("""COMPUTED_VALUE"""),"JUMBO BAG TOYS")</f>
        <v>JUMBO BAG TOYS</v>
      </c>
      <c r="D375" s="2">
        <f>IFERROR(__xludf.DUMMYFUNCTION("""COMPUTED_VALUE"""),1.0)</f>
        <v>1</v>
      </c>
      <c r="E375" s="6">
        <f>IFERROR(__xludf.DUMMYFUNCTION("""COMPUTED_VALUE"""),40148.481944444444)</f>
        <v>40148.48194</v>
      </c>
      <c r="F375" s="2">
        <f>IFERROR(__xludf.DUMMYFUNCTION("""COMPUTED_VALUE"""),1.95)</f>
        <v>1.95</v>
      </c>
      <c r="G375" s="2">
        <f>IFERROR(__xludf.DUMMYFUNCTION("""COMPUTED_VALUE"""),16329.0)</f>
        <v>16329</v>
      </c>
      <c r="H375" s="2" t="str">
        <f>IFERROR(__xludf.DUMMYFUNCTION("""COMPUTED_VALUE"""),"United Kingdom")</f>
        <v>United Kingdom</v>
      </c>
      <c r="I375" s="7">
        <f>IFERROR(__xludf.DUMMYFUNCTION("""COMPUTED_VALUE"""),40148.0)</f>
        <v>40148</v>
      </c>
      <c r="J375" s="8">
        <f>IFERROR(__xludf.DUMMYFUNCTION("""COMPUTED_VALUE"""),0.4819444444437977)</f>
        <v>0.4819444444</v>
      </c>
      <c r="K375" s="2">
        <f>IFERROR(__xludf.DUMMYFUNCTION("""COMPUTED_VALUE"""),11.0)</f>
        <v>11</v>
      </c>
      <c r="L375" s="2">
        <f>IFERROR(__xludf.DUMMYFUNCTION("""COMPUTED_VALUE"""),1.95)</f>
        <v>1.95</v>
      </c>
    </row>
    <row r="376">
      <c r="A376" s="2">
        <f>IFERROR(__xludf.DUMMYFUNCTION("""COMPUTED_VALUE"""),489517.0)</f>
        <v>489517</v>
      </c>
      <c r="B376" s="2" t="str">
        <f>IFERROR(__xludf.DUMMYFUNCTION("""COMPUTED_VALUE"""),"47591A")</f>
        <v>47591A</v>
      </c>
      <c r="C376" s="2" t="str">
        <f>IFERROR(__xludf.DUMMYFUNCTION("""COMPUTED_VALUE"""),"CAROUSEL DES CHILD'S APRON")</f>
        <v>CAROUSEL DES CHILD'S APRON</v>
      </c>
      <c r="D376" s="2">
        <f>IFERROR(__xludf.DUMMYFUNCTION("""COMPUTED_VALUE"""),1.0)</f>
        <v>1</v>
      </c>
      <c r="E376" s="6">
        <f>IFERROR(__xludf.DUMMYFUNCTION("""COMPUTED_VALUE"""),40148.481944444444)</f>
        <v>40148.48194</v>
      </c>
      <c r="F376" s="2">
        <f>IFERROR(__xludf.DUMMYFUNCTION("""COMPUTED_VALUE"""),1.65)</f>
        <v>1.65</v>
      </c>
      <c r="G376" s="2">
        <f>IFERROR(__xludf.DUMMYFUNCTION("""COMPUTED_VALUE"""),16329.0)</f>
        <v>16329</v>
      </c>
      <c r="H376" s="2" t="str">
        <f>IFERROR(__xludf.DUMMYFUNCTION("""COMPUTED_VALUE"""),"United Kingdom")</f>
        <v>United Kingdom</v>
      </c>
      <c r="I376" s="7">
        <f>IFERROR(__xludf.DUMMYFUNCTION("""COMPUTED_VALUE"""),40148.0)</f>
        <v>40148</v>
      </c>
      <c r="J376" s="8">
        <f>IFERROR(__xludf.DUMMYFUNCTION("""COMPUTED_VALUE"""),0.4819444444437977)</f>
        <v>0.4819444444</v>
      </c>
      <c r="K376" s="2">
        <f>IFERROR(__xludf.DUMMYFUNCTION("""COMPUTED_VALUE"""),11.0)</f>
        <v>11</v>
      </c>
      <c r="L376" s="2">
        <f>IFERROR(__xludf.DUMMYFUNCTION("""COMPUTED_VALUE"""),1.65)</f>
        <v>1.65</v>
      </c>
    </row>
    <row r="377">
      <c r="A377" s="2">
        <f>IFERROR(__xludf.DUMMYFUNCTION("""COMPUTED_VALUE"""),489517.0)</f>
        <v>489517</v>
      </c>
      <c r="B377" s="2" t="str">
        <f>IFERROR(__xludf.DUMMYFUNCTION("""COMPUTED_VALUE"""),"84997B")</f>
        <v>84997B</v>
      </c>
      <c r="C377" s="2" t="str">
        <f>IFERROR(__xludf.DUMMYFUNCTION("""COMPUTED_VALUE"""),"RED 3 PIECE MINI DOTS CUTLERY SET")</f>
        <v>RED 3 PIECE MINI DOTS CUTLERY SET</v>
      </c>
      <c r="D377" s="2">
        <f>IFERROR(__xludf.DUMMYFUNCTION("""COMPUTED_VALUE"""),12.0)</f>
        <v>12</v>
      </c>
      <c r="E377" s="6">
        <f>IFERROR(__xludf.DUMMYFUNCTION("""COMPUTED_VALUE"""),40148.481944444444)</f>
        <v>40148.48194</v>
      </c>
      <c r="F377" s="2">
        <f>IFERROR(__xludf.DUMMYFUNCTION("""COMPUTED_VALUE"""),3.75)</f>
        <v>3.75</v>
      </c>
      <c r="G377" s="2">
        <f>IFERROR(__xludf.DUMMYFUNCTION("""COMPUTED_VALUE"""),16329.0)</f>
        <v>16329</v>
      </c>
      <c r="H377" s="2" t="str">
        <f>IFERROR(__xludf.DUMMYFUNCTION("""COMPUTED_VALUE"""),"United Kingdom")</f>
        <v>United Kingdom</v>
      </c>
      <c r="I377" s="7">
        <f>IFERROR(__xludf.DUMMYFUNCTION("""COMPUTED_VALUE"""),40148.0)</f>
        <v>40148</v>
      </c>
      <c r="J377" s="8">
        <f>IFERROR(__xludf.DUMMYFUNCTION("""COMPUTED_VALUE"""),0.4819444444437977)</f>
        <v>0.4819444444</v>
      </c>
      <c r="K377" s="2">
        <f>IFERROR(__xludf.DUMMYFUNCTION("""COMPUTED_VALUE"""),11.0)</f>
        <v>11</v>
      </c>
      <c r="L377" s="2">
        <f>IFERROR(__xludf.DUMMYFUNCTION("""COMPUTED_VALUE"""),45.0)</f>
        <v>45</v>
      </c>
    </row>
    <row r="378">
      <c r="A378" s="2">
        <f>IFERROR(__xludf.DUMMYFUNCTION("""COMPUTED_VALUE"""),489517.0)</f>
        <v>489517</v>
      </c>
      <c r="B378" s="2" t="str">
        <f>IFERROR(__xludf.DUMMYFUNCTION("""COMPUTED_VALUE"""),"84997A")</f>
        <v>84997A</v>
      </c>
      <c r="C378" s="2" t="str">
        <f>IFERROR(__xludf.DUMMYFUNCTION("""COMPUTED_VALUE"""),"GREEN 3 PIECE MINI DOTS CUTLERY SET")</f>
        <v>GREEN 3 PIECE MINI DOTS CUTLERY SET</v>
      </c>
      <c r="D378" s="2">
        <f>IFERROR(__xludf.DUMMYFUNCTION("""COMPUTED_VALUE"""),12.0)</f>
        <v>12</v>
      </c>
      <c r="E378" s="6">
        <f>IFERROR(__xludf.DUMMYFUNCTION("""COMPUTED_VALUE"""),40148.481944444444)</f>
        <v>40148.48194</v>
      </c>
      <c r="F378" s="2">
        <f>IFERROR(__xludf.DUMMYFUNCTION("""COMPUTED_VALUE"""),3.75)</f>
        <v>3.75</v>
      </c>
      <c r="G378" s="2">
        <f>IFERROR(__xludf.DUMMYFUNCTION("""COMPUTED_VALUE"""),16329.0)</f>
        <v>16329</v>
      </c>
      <c r="H378" s="2" t="str">
        <f>IFERROR(__xludf.DUMMYFUNCTION("""COMPUTED_VALUE"""),"United Kingdom")</f>
        <v>United Kingdom</v>
      </c>
      <c r="I378" s="7">
        <f>IFERROR(__xludf.DUMMYFUNCTION("""COMPUTED_VALUE"""),40148.0)</f>
        <v>40148</v>
      </c>
      <c r="J378" s="8">
        <f>IFERROR(__xludf.DUMMYFUNCTION("""COMPUTED_VALUE"""),0.4819444444437977)</f>
        <v>0.4819444444</v>
      </c>
      <c r="K378" s="2">
        <f>IFERROR(__xludf.DUMMYFUNCTION("""COMPUTED_VALUE"""),11.0)</f>
        <v>11</v>
      </c>
      <c r="L378" s="2">
        <f>IFERROR(__xludf.DUMMYFUNCTION("""COMPUTED_VALUE"""),45.0)</f>
        <v>45</v>
      </c>
    </row>
    <row r="379">
      <c r="A379" s="2">
        <f>IFERROR(__xludf.DUMMYFUNCTION("""COMPUTED_VALUE"""),489517.0)</f>
        <v>489517</v>
      </c>
      <c r="B379" s="2" t="str">
        <f>IFERROR(__xludf.DUMMYFUNCTION("""COMPUTED_VALUE"""),"21491")</f>
        <v>21491</v>
      </c>
      <c r="C379" s="2" t="str">
        <f>IFERROR(__xludf.DUMMYFUNCTION("""COMPUTED_VALUE"""),"SET OF THREE VINTAGE GIFT WRAPS")</f>
        <v>SET OF THREE VINTAGE GIFT WRAPS</v>
      </c>
      <c r="D379" s="2">
        <f>IFERROR(__xludf.DUMMYFUNCTION("""COMPUTED_VALUE"""),1.0)</f>
        <v>1</v>
      </c>
      <c r="E379" s="6">
        <f>IFERROR(__xludf.DUMMYFUNCTION("""COMPUTED_VALUE"""),40148.481944444444)</f>
        <v>40148.48194</v>
      </c>
      <c r="F379" s="2">
        <f>IFERROR(__xludf.DUMMYFUNCTION("""COMPUTED_VALUE"""),1.95)</f>
        <v>1.95</v>
      </c>
      <c r="G379" s="2">
        <f>IFERROR(__xludf.DUMMYFUNCTION("""COMPUTED_VALUE"""),16329.0)</f>
        <v>16329</v>
      </c>
      <c r="H379" s="2" t="str">
        <f>IFERROR(__xludf.DUMMYFUNCTION("""COMPUTED_VALUE"""),"United Kingdom")</f>
        <v>United Kingdom</v>
      </c>
      <c r="I379" s="7">
        <f>IFERROR(__xludf.DUMMYFUNCTION("""COMPUTED_VALUE"""),40148.0)</f>
        <v>40148</v>
      </c>
      <c r="J379" s="8">
        <f>IFERROR(__xludf.DUMMYFUNCTION("""COMPUTED_VALUE"""),0.4819444444437977)</f>
        <v>0.4819444444</v>
      </c>
      <c r="K379" s="2">
        <f>IFERROR(__xludf.DUMMYFUNCTION("""COMPUTED_VALUE"""),11.0)</f>
        <v>11</v>
      </c>
      <c r="L379" s="2">
        <f>IFERROR(__xludf.DUMMYFUNCTION("""COMPUTED_VALUE"""),1.95)</f>
        <v>1.95</v>
      </c>
    </row>
    <row r="380">
      <c r="A380" s="2">
        <f>IFERROR(__xludf.DUMMYFUNCTION("""COMPUTED_VALUE"""),489517.0)</f>
        <v>489517</v>
      </c>
      <c r="B380" s="2" t="str">
        <f>IFERROR(__xludf.DUMMYFUNCTION("""COMPUTED_VALUE"""),"22122")</f>
        <v>22122</v>
      </c>
      <c r="C380" s="2" t="str">
        <f>IFERROR(__xludf.DUMMYFUNCTION("""COMPUTED_VALUE"""),"SET OF 2 FANCY FONT TEA TOWELS")</f>
        <v>SET OF 2 FANCY FONT TEA TOWELS</v>
      </c>
      <c r="D380" s="2">
        <f>IFERROR(__xludf.DUMMYFUNCTION("""COMPUTED_VALUE"""),12.0)</f>
        <v>12</v>
      </c>
      <c r="E380" s="6">
        <f>IFERROR(__xludf.DUMMYFUNCTION("""COMPUTED_VALUE"""),40148.481944444444)</f>
        <v>40148.48194</v>
      </c>
      <c r="F380" s="2">
        <f>IFERROR(__xludf.DUMMYFUNCTION("""COMPUTED_VALUE"""),2.95)</f>
        <v>2.95</v>
      </c>
      <c r="G380" s="2">
        <f>IFERROR(__xludf.DUMMYFUNCTION("""COMPUTED_VALUE"""),16329.0)</f>
        <v>16329</v>
      </c>
      <c r="H380" s="2" t="str">
        <f>IFERROR(__xludf.DUMMYFUNCTION("""COMPUTED_VALUE"""),"United Kingdom")</f>
        <v>United Kingdom</v>
      </c>
      <c r="I380" s="7">
        <f>IFERROR(__xludf.DUMMYFUNCTION("""COMPUTED_VALUE"""),40148.0)</f>
        <v>40148</v>
      </c>
      <c r="J380" s="8">
        <f>IFERROR(__xludf.DUMMYFUNCTION("""COMPUTED_VALUE"""),0.4819444444437977)</f>
        <v>0.4819444444</v>
      </c>
      <c r="K380" s="2">
        <f>IFERROR(__xludf.DUMMYFUNCTION("""COMPUTED_VALUE"""),11.0)</f>
        <v>11</v>
      </c>
      <c r="L380" s="2">
        <f>IFERROR(__xludf.DUMMYFUNCTION("""COMPUTED_VALUE"""),35.4)</f>
        <v>35.4</v>
      </c>
    </row>
    <row r="381">
      <c r="A381" s="2">
        <f>IFERROR(__xludf.DUMMYFUNCTION("""COMPUTED_VALUE"""),489517.0)</f>
        <v>489517</v>
      </c>
      <c r="B381" s="2" t="str">
        <f>IFERROR(__xludf.DUMMYFUNCTION("""COMPUTED_VALUE"""),"20971")</f>
        <v>20971</v>
      </c>
      <c r="C381" s="2" t="str">
        <f>IFERROR(__xludf.DUMMYFUNCTION("""COMPUTED_VALUE"""),"PINK BLUE FELT CRAFT TRINKET BOX")</f>
        <v>PINK BLUE FELT CRAFT TRINKET BOX</v>
      </c>
      <c r="D381" s="2">
        <f>IFERROR(__xludf.DUMMYFUNCTION("""COMPUTED_VALUE"""),1.0)</f>
        <v>1</v>
      </c>
      <c r="E381" s="6">
        <f>IFERROR(__xludf.DUMMYFUNCTION("""COMPUTED_VALUE"""),40148.481944444444)</f>
        <v>40148.48194</v>
      </c>
      <c r="F381" s="2">
        <f>IFERROR(__xludf.DUMMYFUNCTION("""COMPUTED_VALUE"""),1.25)</f>
        <v>1.25</v>
      </c>
      <c r="G381" s="2">
        <f>IFERROR(__xludf.DUMMYFUNCTION("""COMPUTED_VALUE"""),16329.0)</f>
        <v>16329</v>
      </c>
      <c r="H381" s="2" t="str">
        <f>IFERROR(__xludf.DUMMYFUNCTION("""COMPUTED_VALUE"""),"United Kingdom")</f>
        <v>United Kingdom</v>
      </c>
      <c r="I381" s="7">
        <f>IFERROR(__xludf.DUMMYFUNCTION("""COMPUTED_VALUE"""),40148.0)</f>
        <v>40148</v>
      </c>
      <c r="J381" s="8">
        <f>IFERROR(__xludf.DUMMYFUNCTION("""COMPUTED_VALUE"""),0.4819444444437977)</f>
        <v>0.4819444444</v>
      </c>
      <c r="K381" s="2">
        <f>IFERROR(__xludf.DUMMYFUNCTION("""COMPUTED_VALUE"""),11.0)</f>
        <v>11</v>
      </c>
      <c r="L381" s="2">
        <f>IFERROR(__xludf.DUMMYFUNCTION("""COMPUTED_VALUE"""),1.25)</f>
        <v>1.25</v>
      </c>
    </row>
    <row r="382">
      <c r="A382" s="2">
        <f>IFERROR(__xludf.DUMMYFUNCTION("""COMPUTED_VALUE"""),489517.0)</f>
        <v>489517</v>
      </c>
      <c r="B382" s="2" t="str">
        <f>IFERROR(__xludf.DUMMYFUNCTION("""COMPUTED_VALUE"""),"21252")</f>
        <v>21252</v>
      </c>
      <c r="C382" s="2" t="str">
        <f>IFERROR(__xludf.DUMMYFUNCTION("""COMPUTED_VALUE"""),"SET OF MEADOW FLOWER STICKERS")</f>
        <v>SET OF MEADOW FLOWER STICKERS</v>
      </c>
      <c r="D382" s="2">
        <f>IFERROR(__xludf.DUMMYFUNCTION("""COMPUTED_VALUE"""),1.0)</f>
        <v>1</v>
      </c>
      <c r="E382" s="6">
        <f>IFERROR(__xludf.DUMMYFUNCTION("""COMPUTED_VALUE"""),40148.481944444444)</f>
        <v>40148.48194</v>
      </c>
      <c r="F382" s="2">
        <f>IFERROR(__xludf.DUMMYFUNCTION("""COMPUTED_VALUE"""),2.95)</f>
        <v>2.95</v>
      </c>
      <c r="G382" s="2">
        <f>IFERROR(__xludf.DUMMYFUNCTION("""COMPUTED_VALUE"""),16329.0)</f>
        <v>16329</v>
      </c>
      <c r="H382" s="2" t="str">
        <f>IFERROR(__xludf.DUMMYFUNCTION("""COMPUTED_VALUE"""),"United Kingdom")</f>
        <v>United Kingdom</v>
      </c>
      <c r="I382" s="7">
        <f>IFERROR(__xludf.DUMMYFUNCTION("""COMPUTED_VALUE"""),40148.0)</f>
        <v>40148</v>
      </c>
      <c r="J382" s="8">
        <f>IFERROR(__xludf.DUMMYFUNCTION("""COMPUTED_VALUE"""),0.4819444444437977)</f>
        <v>0.4819444444</v>
      </c>
      <c r="K382" s="2">
        <f>IFERROR(__xludf.DUMMYFUNCTION("""COMPUTED_VALUE"""),11.0)</f>
        <v>11</v>
      </c>
      <c r="L382" s="2">
        <f>IFERROR(__xludf.DUMMYFUNCTION("""COMPUTED_VALUE"""),2.95)</f>
        <v>2.95</v>
      </c>
    </row>
    <row r="383">
      <c r="A383" s="2">
        <f>IFERROR(__xludf.DUMMYFUNCTION("""COMPUTED_VALUE"""),489517.0)</f>
        <v>489517</v>
      </c>
      <c r="B383" s="2" t="str">
        <f>IFERROR(__xludf.DUMMYFUNCTION("""COMPUTED_VALUE"""),"21837")</f>
        <v>21837</v>
      </c>
      <c r="C383" s="2" t="str">
        <f>IFERROR(__xludf.DUMMYFUNCTION("""COMPUTED_VALUE"""),"CROSS STITCH ALPHABET CUSHION COVER")</f>
        <v>CROSS STITCH ALPHABET CUSHION COVER</v>
      </c>
      <c r="D383" s="2">
        <f>IFERROR(__xludf.DUMMYFUNCTION("""COMPUTED_VALUE"""),2.0)</f>
        <v>2</v>
      </c>
      <c r="E383" s="6">
        <f>IFERROR(__xludf.DUMMYFUNCTION("""COMPUTED_VALUE"""),40148.481944444444)</f>
        <v>40148.48194</v>
      </c>
      <c r="F383" s="2">
        <f>IFERROR(__xludf.DUMMYFUNCTION("""COMPUTED_VALUE"""),5.95)</f>
        <v>5.95</v>
      </c>
      <c r="G383" s="2">
        <f>IFERROR(__xludf.DUMMYFUNCTION("""COMPUTED_VALUE"""),16329.0)</f>
        <v>16329</v>
      </c>
      <c r="H383" s="2" t="str">
        <f>IFERROR(__xludf.DUMMYFUNCTION("""COMPUTED_VALUE"""),"United Kingdom")</f>
        <v>United Kingdom</v>
      </c>
      <c r="I383" s="7">
        <f>IFERROR(__xludf.DUMMYFUNCTION("""COMPUTED_VALUE"""),40148.0)</f>
        <v>40148</v>
      </c>
      <c r="J383" s="8">
        <f>IFERROR(__xludf.DUMMYFUNCTION("""COMPUTED_VALUE"""),0.4819444444437977)</f>
        <v>0.4819444444</v>
      </c>
      <c r="K383" s="2">
        <f>IFERROR(__xludf.DUMMYFUNCTION("""COMPUTED_VALUE"""),11.0)</f>
        <v>11</v>
      </c>
      <c r="L383" s="2">
        <f>IFERROR(__xludf.DUMMYFUNCTION("""COMPUTED_VALUE"""),11.9)</f>
        <v>11.9</v>
      </c>
    </row>
    <row r="384">
      <c r="A384" s="2">
        <f>IFERROR(__xludf.DUMMYFUNCTION("""COMPUTED_VALUE"""),489517.0)</f>
        <v>489517</v>
      </c>
      <c r="B384" s="2" t="str">
        <f>IFERROR(__xludf.DUMMYFUNCTION("""COMPUTED_VALUE"""),"84951A")</f>
        <v>84951A</v>
      </c>
      <c r="C384" s="2" t="str">
        <f>IFERROR(__xludf.DUMMYFUNCTION("""COMPUTED_VALUE"""),"S/4 PISTACHIO LOVEBIRD COASTERS")</f>
        <v>S/4 PISTACHIO LOVEBIRD COASTERS</v>
      </c>
      <c r="D384" s="2">
        <f>IFERROR(__xludf.DUMMYFUNCTION("""COMPUTED_VALUE"""),1.0)</f>
        <v>1</v>
      </c>
      <c r="E384" s="6">
        <f>IFERROR(__xludf.DUMMYFUNCTION("""COMPUTED_VALUE"""),40148.481944444444)</f>
        <v>40148.48194</v>
      </c>
      <c r="F384" s="2">
        <f>IFERROR(__xludf.DUMMYFUNCTION("""COMPUTED_VALUE"""),2.55)</f>
        <v>2.55</v>
      </c>
      <c r="G384" s="2">
        <f>IFERROR(__xludf.DUMMYFUNCTION("""COMPUTED_VALUE"""),16329.0)</f>
        <v>16329</v>
      </c>
      <c r="H384" s="2" t="str">
        <f>IFERROR(__xludf.DUMMYFUNCTION("""COMPUTED_VALUE"""),"United Kingdom")</f>
        <v>United Kingdom</v>
      </c>
      <c r="I384" s="7">
        <f>IFERROR(__xludf.DUMMYFUNCTION("""COMPUTED_VALUE"""),40148.0)</f>
        <v>40148</v>
      </c>
      <c r="J384" s="8">
        <f>IFERROR(__xludf.DUMMYFUNCTION("""COMPUTED_VALUE"""),0.4819444444437977)</f>
        <v>0.4819444444</v>
      </c>
      <c r="K384" s="2">
        <f>IFERROR(__xludf.DUMMYFUNCTION("""COMPUTED_VALUE"""),11.0)</f>
        <v>11</v>
      </c>
      <c r="L384" s="2">
        <f>IFERROR(__xludf.DUMMYFUNCTION("""COMPUTED_VALUE"""),2.55)</f>
        <v>2.55</v>
      </c>
    </row>
    <row r="385">
      <c r="A385" s="2">
        <f>IFERROR(__xludf.DUMMYFUNCTION("""COMPUTED_VALUE"""),489517.0)</f>
        <v>489517</v>
      </c>
      <c r="B385" s="2" t="str">
        <f>IFERROR(__xludf.DUMMYFUNCTION("""COMPUTED_VALUE"""),"22335")</f>
        <v>22335</v>
      </c>
      <c r="C385" s="2" t="str">
        <f>IFERROR(__xludf.DUMMYFUNCTION("""COMPUTED_VALUE"""),"HEART DECORATION PAINTED ZINC")</f>
        <v>HEART DECORATION PAINTED ZINC</v>
      </c>
      <c r="D385" s="2">
        <f>IFERROR(__xludf.DUMMYFUNCTION("""COMPUTED_VALUE"""),1.0)</f>
        <v>1</v>
      </c>
      <c r="E385" s="6">
        <f>IFERROR(__xludf.DUMMYFUNCTION("""COMPUTED_VALUE"""),40148.481944444444)</f>
        <v>40148.48194</v>
      </c>
      <c r="F385" s="2">
        <f>IFERROR(__xludf.DUMMYFUNCTION("""COMPUTED_VALUE"""),0.65)</f>
        <v>0.65</v>
      </c>
      <c r="G385" s="2">
        <f>IFERROR(__xludf.DUMMYFUNCTION("""COMPUTED_VALUE"""),16329.0)</f>
        <v>16329</v>
      </c>
      <c r="H385" s="2" t="str">
        <f>IFERROR(__xludf.DUMMYFUNCTION("""COMPUTED_VALUE"""),"United Kingdom")</f>
        <v>United Kingdom</v>
      </c>
      <c r="I385" s="7">
        <f>IFERROR(__xludf.DUMMYFUNCTION("""COMPUTED_VALUE"""),40148.0)</f>
        <v>40148</v>
      </c>
      <c r="J385" s="8">
        <f>IFERROR(__xludf.DUMMYFUNCTION("""COMPUTED_VALUE"""),0.4819444444437977)</f>
        <v>0.4819444444</v>
      </c>
      <c r="K385" s="2">
        <f>IFERROR(__xludf.DUMMYFUNCTION("""COMPUTED_VALUE"""),11.0)</f>
        <v>11</v>
      </c>
      <c r="L385" s="2">
        <f>IFERROR(__xludf.DUMMYFUNCTION("""COMPUTED_VALUE"""),0.65)</f>
        <v>0.65</v>
      </c>
    </row>
    <row r="386">
      <c r="A386" s="2">
        <f>IFERROR(__xludf.DUMMYFUNCTION("""COMPUTED_VALUE"""),489517.0)</f>
        <v>489517</v>
      </c>
      <c r="B386" s="2" t="str">
        <f>IFERROR(__xludf.DUMMYFUNCTION("""COMPUTED_VALUE"""),"21791")</f>
        <v>21791</v>
      </c>
      <c r="C386" s="2" t="str">
        <f>IFERROR(__xludf.DUMMYFUNCTION("""COMPUTED_VALUE"""),"VINTAGE HEADS AND TAILS CARD GAME")</f>
        <v>VINTAGE HEADS AND TAILS CARD GAME</v>
      </c>
      <c r="D386" s="2">
        <f>IFERROR(__xludf.DUMMYFUNCTION("""COMPUTED_VALUE"""),1.0)</f>
        <v>1</v>
      </c>
      <c r="E386" s="6">
        <f>IFERROR(__xludf.DUMMYFUNCTION("""COMPUTED_VALUE"""),40148.481944444444)</f>
        <v>40148.48194</v>
      </c>
      <c r="F386" s="2">
        <f>IFERROR(__xludf.DUMMYFUNCTION("""COMPUTED_VALUE"""),1.25)</f>
        <v>1.25</v>
      </c>
      <c r="G386" s="2">
        <f>IFERROR(__xludf.DUMMYFUNCTION("""COMPUTED_VALUE"""),16329.0)</f>
        <v>16329</v>
      </c>
      <c r="H386" s="2" t="str">
        <f>IFERROR(__xludf.DUMMYFUNCTION("""COMPUTED_VALUE"""),"United Kingdom")</f>
        <v>United Kingdom</v>
      </c>
      <c r="I386" s="7">
        <f>IFERROR(__xludf.DUMMYFUNCTION("""COMPUTED_VALUE"""),40148.0)</f>
        <v>40148</v>
      </c>
      <c r="J386" s="8">
        <f>IFERROR(__xludf.DUMMYFUNCTION("""COMPUTED_VALUE"""),0.4819444444437977)</f>
        <v>0.4819444444</v>
      </c>
      <c r="K386" s="2">
        <f>IFERROR(__xludf.DUMMYFUNCTION("""COMPUTED_VALUE"""),11.0)</f>
        <v>11</v>
      </c>
      <c r="L386" s="2">
        <f>IFERROR(__xludf.DUMMYFUNCTION("""COMPUTED_VALUE"""),1.25)</f>
        <v>1.25</v>
      </c>
    </row>
    <row r="387">
      <c r="A387" s="2">
        <f>IFERROR(__xludf.DUMMYFUNCTION("""COMPUTED_VALUE"""),489517.0)</f>
        <v>489517</v>
      </c>
      <c r="B387" s="2" t="str">
        <f>IFERROR(__xludf.DUMMYFUNCTION("""COMPUTED_VALUE"""),"21790")</f>
        <v>21790</v>
      </c>
      <c r="C387" s="2" t="str">
        <f>IFERROR(__xludf.DUMMYFUNCTION("""COMPUTED_VALUE"""),"VINTAGE SNAP CARDS")</f>
        <v>VINTAGE SNAP CARDS</v>
      </c>
      <c r="D387" s="2">
        <f>IFERROR(__xludf.DUMMYFUNCTION("""COMPUTED_VALUE"""),1.0)</f>
        <v>1</v>
      </c>
      <c r="E387" s="6">
        <f>IFERROR(__xludf.DUMMYFUNCTION("""COMPUTED_VALUE"""),40148.481944444444)</f>
        <v>40148.48194</v>
      </c>
      <c r="F387" s="2">
        <f>IFERROR(__xludf.DUMMYFUNCTION("""COMPUTED_VALUE"""),0.85)</f>
        <v>0.85</v>
      </c>
      <c r="G387" s="2">
        <f>IFERROR(__xludf.DUMMYFUNCTION("""COMPUTED_VALUE"""),16329.0)</f>
        <v>16329</v>
      </c>
      <c r="H387" s="2" t="str">
        <f>IFERROR(__xludf.DUMMYFUNCTION("""COMPUTED_VALUE"""),"United Kingdom")</f>
        <v>United Kingdom</v>
      </c>
      <c r="I387" s="7">
        <f>IFERROR(__xludf.DUMMYFUNCTION("""COMPUTED_VALUE"""),40148.0)</f>
        <v>40148</v>
      </c>
      <c r="J387" s="8">
        <f>IFERROR(__xludf.DUMMYFUNCTION("""COMPUTED_VALUE"""),0.4819444444437977)</f>
        <v>0.4819444444</v>
      </c>
      <c r="K387" s="2">
        <f>IFERROR(__xludf.DUMMYFUNCTION("""COMPUTED_VALUE"""),11.0)</f>
        <v>11</v>
      </c>
      <c r="L387" s="2">
        <f>IFERROR(__xludf.DUMMYFUNCTION("""COMPUTED_VALUE"""),0.85)</f>
        <v>0.85</v>
      </c>
    </row>
    <row r="388">
      <c r="A388" s="2">
        <f>IFERROR(__xludf.DUMMYFUNCTION("""COMPUTED_VALUE"""),489517.0)</f>
        <v>489517</v>
      </c>
      <c r="B388" s="2" t="str">
        <f>IFERROR(__xludf.DUMMYFUNCTION("""COMPUTED_VALUE"""),"85129A")</f>
        <v>85129A</v>
      </c>
      <c r="C388" s="2" t="str">
        <f>IFERROR(__xludf.DUMMYFUNCTION("""COMPUTED_VALUE"""),"WHITE PEARL BEADED HEART, SMALL")</f>
        <v>WHITE PEARL BEADED HEART, SMALL</v>
      </c>
      <c r="D388" s="2">
        <f>IFERROR(__xludf.DUMMYFUNCTION("""COMPUTED_VALUE"""),1.0)</f>
        <v>1</v>
      </c>
      <c r="E388" s="6">
        <f>IFERROR(__xludf.DUMMYFUNCTION("""COMPUTED_VALUE"""),40148.481944444444)</f>
        <v>40148.48194</v>
      </c>
      <c r="F388" s="2">
        <f>IFERROR(__xludf.DUMMYFUNCTION("""COMPUTED_VALUE"""),1.25)</f>
        <v>1.25</v>
      </c>
      <c r="G388" s="2">
        <f>IFERROR(__xludf.DUMMYFUNCTION("""COMPUTED_VALUE"""),16329.0)</f>
        <v>16329</v>
      </c>
      <c r="H388" s="2" t="str">
        <f>IFERROR(__xludf.DUMMYFUNCTION("""COMPUTED_VALUE"""),"United Kingdom")</f>
        <v>United Kingdom</v>
      </c>
      <c r="I388" s="7">
        <f>IFERROR(__xludf.DUMMYFUNCTION("""COMPUTED_VALUE"""),40148.0)</f>
        <v>40148</v>
      </c>
      <c r="J388" s="8">
        <f>IFERROR(__xludf.DUMMYFUNCTION("""COMPUTED_VALUE"""),0.4819444444437977)</f>
        <v>0.4819444444</v>
      </c>
      <c r="K388" s="2">
        <f>IFERROR(__xludf.DUMMYFUNCTION("""COMPUTED_VALUE"""),11.0)</f>
        <v>11</v>
      </c>
      <c r="L388" s="2">
        <f>IFERROR(__xludf.DUMMYFUNCTION("""COMPUTED_VALUE"""),1.25)</f>
        <v>1.25</v>
      </c>
    </row>
    <row r="389">
      <c r="A389" s="2">
        <f>IFERROR(__xludf.DUMMYFUNCTION("""COMPUTED_VALUE"""),489517.0)</f>
        <v>489517</v>
      </c>
      <c r="B389" s="2" t="str">
        <f>IFERROR(__xludf.DUMMYFUNCTION("""COMPUTED_VALUE"""),"84791")</f>
        <v>84791</v>
      </c>
      <c r="C389" s="2" t="str">
        <f>IFERROR(__xludf.DUMMYFUNCTION("""COMPUTED_VALUE"""),"GINGHAM HEART DECORATION")</f>
        <v>GINGHAM HEART DECORATION</v>
      </c>
      <c r="D389" s="2">
        <f>IFERROR(__xludf.DUMMYFUNCTION("""COMPUTED_VALUE"""),1.0)</f>
        <v>1</v>
      </c>
      <c r="E389" s="6">
        <f>IFERROR(__xludf.DUMMYFUNCTION("""COMPUTED_VALUE"""),40148.481944444444)</f>
        <v>40148.48194</v>
      </c>
      <c r="F389" s="2">
        <f>IFERROR(__xludf.DUMMYFUNCTION("""COMPUTED_VALUE"""),2.95)</f>
        <v>2.95</v>
      </c>
      <c r="G389" s="2">
        <f>IFERROR(__xludf.DUMMYFUNCTION("""COMPUTED_VALUE"""),16329.0)</f>
        <v>16329</v>
      </c>
      <c r="H389" s="2" t="str">
        <f>IFERROR(__xludf.DUMMYFUNCTION("""COMPUTED_VALUE"""),"United Kingdom")</f>
        <v>United Kingdom</v>
      </c>
      <c r="I389" s="7">
        <f>IFERROR(__xludf.DUMMYFUNCTION("""COMPUTED_VALUE"""),40148.0)</f>
        <v>40148</v>
      </c>
      <c r="J389" s="8">
        <f>IFERROR(__xludf.DUMMYFUNCTION("""COMPUTED_VALUE"""),0.4819444444437977)</f>
        <v>0.4819444444</v>
      </c>
      <c r="K389" s="2">
        <f>IFERROR(__xludf.DUMMYFUNCTION("""COMPUTED_VALUE"""),11.0)</f>
        <v>11</v>
      </c>
      <c r="L389" s="2">
        <f>IFERROR(__xludf.DUMMYFUNCTION("""COMPUTED_VALUE"""),2.95)</f>
        <v>2.95</v>
      </c>
    </row>
    <row r="390">
      <c r="A390" s="2">
        <f>IFERROR(__xludf.DUMMYFUNCTION("""COMPUTED_VALUE"""),489517.0)</f>
        <v>489517</v>
      </c>
      <c r="B390" s="2" t="str">
        <f>IFERROR(__xludf.DUMMYFUNCTION("""COMPUTED_VALUE"""),"21244")</f>
        <v>21244</v>
      </c>
      <c r="C390" s="2" t="str">
        <f>IFERROR(__xludf.DUMMYFUNCTION("""COMPUTED_VALUE"""),"BLUE SPOTTY PLATE")</f>
        <v>BLUE SPOTTY PLATE</v>
      </c>
      <c r="D390" s="2">
        <f>IFERROR(__xludf.DUMMYFUNCTION("""COMPUTED_VALUE"""),4.0)</f>
        <v>4</v>
      </c>
      <c r="E390" s="6">
        <f>IFERROR(__xludf.DUMMYFUNCTION("""COMPUTED_VALUE"""),40148.481944444444)</f>
        <v>40148.48194</v>
      </c>
      <c r="F390" s="2">
        <f>IFERROR(__xludf.DUMMYFUNCTION("""COMPUTED_VALUE"""),1.69)</f>
        <v>1.69</v>
      </c>
      <c r="G390" s="2">
        <f>IFERROR(__xludf.DUMMYFUNCTION("""COMPUTED_VALUE"""),16329.0)</f>
        <v>16329</v>
      </c>
      <c r="H390" s="2" t="str">
        <f>IFERROR(__xludf.DUMMYFUNCTION("""COMPUTED_VALUE"""),"United Kingdom")</f>
        <v>United Kingdom</v>
      </c>
      <c r="I390" s="7">
        <f>IFERROR(__xludf.DUMMYFUNCTION("""COMPUTED_VALUE"""),40148.0)</f>
        <v>40148</v>
      </c>
      <c r="J390" s="8">
        <f>IFERROR(__xludf.DUMMYFUNCTION("""COMPUTED_VALUE"""),0.4819444444437977)</f>
        <v>0.4819444444</v>
      </c>
      <c r="K390" s="2">
        <f>IFERROR(__xludf.DUMMYFUNCTION("""COMPUTED_VALUE"""),11.0)</f>
        <v>11</v>
      </c>
      <c r="L390" s="2">
        <f>IFERROR(__xludf.DUMMYFUNCTION("""COMPUTED_VALUE"""),6.76)</f>
        <v>6.76</v>
      </c>
    </row>
    <row r="391">
      <c r="A391" s="2">
        <f>IFERROR(__xludf.DUMMYFUNCTION("""COMPUTED_VALUE"""),489517.0)</f>
        <v>489517</v>
      </c>
      <c r="B391" s="2" t="str">
        <f>IFERROR(__xludf.DUMMYFUNCTION("""COMPUTED_VALUE"""),"20675")</f>
        <v>20675</v>
      </c>
      <c r="C391" s="2" t="str">
        <f>IFERROR(__xludf.DUMMYFUNCTION("""COMPUTED_VALUE"""),"BLUE SPOTTY BOWL")</f>
        <v>BLUE SPOTTY BOWL</v>
      </c>
      <c r="D391" s="2">
        <f>IFERROR(__xludf.DUMMYFUNCTION("""COMPUTED_VALUE"""),4.0)</f>
        <v>4</v>
      </c>
      <c r="E391" s="6">
        <f>IFERROR(__xludf.DUMMYFUNCTION("""COMPUTED_VALUE"""),40148.481944444444)</f>
        <v>40148.48194</v>
      </c>
      <c r="F391" s="2">
        <f>IFERROR(__xludf.DUMMYFUNCTION("""COMPUTED_VALUE"""),1.25)</f>
        <v>1.25</v>
      </c>
      <c r="G391" s="2">
        <f>IFERROR(__xludf.DUMMYFUNCTION("""COMPUTED_VALUE"""),16329.0)</f>
        <v>16329</v>
      </c>
      <c r="H391" s="2" t="str">
        <f>IFERROR(__xludf.DUMMYFUNCTION("""COMPUTED_VALUE"""),"United Kingdom")</f>
        <v>United Kingdom</v>
      </c>
      <c r="I391" s="7">
        <f>IFERROR(__xludf.DUMMYFUNCTION("""COMPUTED_VALUE"""),40148.0)</f>
        <v>40148</v>
      </c>
      <c r="J391" s="8">
        <f>IFERROR(__xludf.DUMMYFUNCTION("""COMPUTED_VALUE"""),0.4819444444437977)</f>
        <v>0.4819444444</v>
      </c>
      <c r="K391" s="2">
        <f>IFERROR(__xludf.DUMMYFUNCTION("""COMPUTED_VALUE"""),11.0)</f>
        <v>11</v>
      </c>
      <c r="L391" s="2">
        <f>IFERROR(__xludf.DUMMYFUNCTION("""COMPUTED_VALUE"""),5.0)</f>
        <v>5</v>
      </c>
    </row>
    <row r="392">
      <c r="A392" s="2"/>
      <c r="B392" s="2" t="str">
        <f>IFERROR(__xludf.DUMMYFUNCTION("""COMPUTED_VALUE"""),"20892")</f>
        <v>20892</v>
      </c>
      <c r="C392" s="2" t="str">
        <f>IFERROR(__xludf.DUMMYFUNCTION("""COMPUTED_VALUE"""),"SET/3 TALL GLASS CANDLE HOLDER PINK")</f>
        <v>SET/3 TALL GLASS CANDLE HOLDER PINK</v>
      </c>
      <c r="D392" s="2">
        <f>IFERROR(__xludf.DUMMYFUNCTION("""COMPUTED_VALUE"""),-2.0)</f>
        <v>-2</v>
      </c>
      <c r="E392" s="6">
        <f>IFERROR(__xludf.DUMMYFUNCTION("""COMPUTED_VALUE"""),40148.48263888889)</f>
        <v>40148.48264</v>
      </c>
      <c r="F392" s="2">
        <f>IFERROR(__xludf.DUMMYFUNCTION("""COMPUTED_VALUE"""),12.75)</f>
        <v>12.75</v>
      </c>
      <c r="G392" s="2">
        <f>IFERROR(__xludf.DUMMYFUNCTION("""COMPUTED_VALUE"""),15461.0)</f>
        <v>15461</v>
      </c>
      <c r="H392" s="2" t="str">
        <f>IFERROR(__xludf.DUMMYFUNCTION("""COMPUTED_VALUE"""),"United Kingdom")</f>
        <v>United Kingdom</v>
      </c>
      <c r="I392" s="7">
        <f>IFERROR(__xludf.DUMMYFUNCTION("""COMPUTED_VALUE"""),40148.0)</f>
        <v>40148</v>
      </c>
      <c r="J392" s="8">
        <f>IFERROR(__xludf.DUMMYFUNCTION("""COMPUTED_VALUE"""),0.48263888889050577)</f>
        <v>0.4826388889</v>
      </c>
      <c r="K392" s="2">
        <f>IFERROR(__xludf.DUMMYFUNCTION("""COMPUTED_VALUE"""),11.0)</f>
        <v>11</v>
      </c>
      <c r="L392" s="2">
        <f>IFERROR(__xludf.DUMMYFUNCTION("""COMPUTED_VALUE"""),-25.5)</f>
        <v>-25.5</v>
      </c>
    </row>
    <row r="393">
      <c r="A393" s="2"/>
      <c r="B393" s="2" t="str">
        <f>IFERROR(__xludf.DUMMYFUNCTION("""COMPUTED_VALUE"""),"85048")</f>
        <v>85048</v>
      </c>
      <c r="C393" s="2" t="str">
        <f>IFERROR(__xludf.DUMMYFUNCTION("""COMPUTED_VALUE"""),"15CM CHRISTMAS GLASS BALL 20 LIGHTS")</f>
        <v>15CM CHRISTMAS GLASS BALL 20 LIGHTS</v>
      </c>
      <c r="D393" s="2">
        <f>IFERROR(__xludf.DUMMYFUNCTION("""COMPUTED_VALUE"""),-1.0)</f>
        <v>-1</v>
      </c>
      <c r="E393" s="6">
        <f>IFERROR(__xludf.DUMMYFUNCTION("""COMPUTED_VALUE"""),40148.48263888889)</f>
        <v>40148.48264</v>
      </c>
      <c r="F393" s="2">
        <f>IFERROR(__xludf.DUMMYFUNCTION("""COMPUTED_VALUE"""),7.95)</f>
        <v>7.95</v>
      </c>
      <c r="G393" s="2">
        <f>IFERROR(__xludf.DUMMYFUNCTION("""COMPUTED_VALUE"""),15461.0)</f>
        <v>15461</v>
      </c>
      <c r="H393" s="2" t="str">
        <f>IFERROR(__xludf.DUMMYFUNCTION("""COMPUTED_VALUE"""),"United Kingdom")</f>
        <v>United Kingdom</v>
      </c>
      <c r="I393" s="7">
        <f>IFERROR(__xludf.DUMMYFUNCTION("""COMPUTED_VALUE"""),40148.0)</f>
        <v>40148</v>
      </c>
      <c r="J393" s="8">
        <f>IFERROR(__xludf.DUMMYFUNCTION("""COMPUTED_VALUE"""),0.48263888889050577)</f>
        <v>0.4826388889</v>
      </c>
      <c r="K393" s="2">
        <f>IFERROR(__xludf.DUMMYFUNCTION("""COMPUTED_VALUE"""),11.0)</f>
        <v>11</v>
      </c>
      <c r="L393" s="2">
        <f>IFERROR(__xludf.DUMMYFUNCTION("""COMPUTED_VALUE"""),-7.95)</f>
        <v>-7.95</v>
      </c>
    </row>
    <row r="394">
      <c r="A394" s="2"/>
      <c r="B394" s="2" t="str">
        <f>IFERROR(__xludf.DUMMYFUNCTION("""COMPUTED_VALUE"""),"22138")</f>
        <v>22138</v>
      </c>
      <c r="C394" s="2" t="str">
        <f>IFERROR(__xludf.DUMMYFUNCTION("""COMPUTED_VALUE"""),"BAKING SET 9 PIECE RETROSPOT")</f>
        <v>BAKING SET 9 PIECE RETROSPOT</v>
      </c>
      <c r="D394" s="2">
        <f>IFERROR(__xludf.DUMMYFUNCTION("""COMPUTED_VALUE"""),-1.0)</f>
        <v>-1</v>
      </c>
      <c r="E394" s="6">
        <f>IFERROR(__xludf.DUMMYFUNCTION("""COMPUTED_VALUE"""),40148.48263888889)</f>
        <v>40148.48264</v>
      </c>
      <c r="F394" s="2">
        <f>IFERROR(__xludf.DUMMYFUNCTION("""COMPUTED_VALUE"""),4.95)</f>
        <v>4.95</v>
      </c>
      <c r="G394" s="2">
        <f>IFERROR(__xludf.DUMMYFUNCTION("""COMPUTED_VALUE"""),15461.0)</f>
        <v>15461</v>
      </c>
      <c r="H394" s="2" t="str">
        <f>IFERROR(__xludf.DUMMYFUNCTION("""COMPUTED_VALUE"""),"United Kingdom")</f>
        <v>United Kingdom</v>
      </c>
      <c r="I394" s="7">
        <f>IFERROR(__xludf.DUMMYFUNCTION("""COMPUTED_VALUE"""),40148.0)</f>
        <v>40148</v>
      </c>
      <c r="J394" s="8">
        <f>IFERROR(__xludf.DUMMYFUNCTION("""COMPUTED_VALUE"""),0.48263888889050577)</f>
        <v>0.4826388889</v>
      </c>
      <c r="K394" s="2">
        <f>IFERROR(__xludf.DUMMYFUNCTION("""COMPUTED_VALUE"""),11.0)</f>
        <v>11</v>
      </c>
      <c r="L394" s="2">
        <f>IFERROR(__xludf.DUMMYFUNCTION("""COMPUTED_VALUE"""),-4.95)</f>
        <v>-4.95</v>
      </c>
    </row>
    <row r="395">
      <c r="A395" s="2">
        <f>IFERROR(__xludf.DUMMYFUNCTION("""COMPUTED_VALUE"""),489519.0)</f>
        <v>489519</v>
      </c>
      <c r="B395" s="2" t="str">
        <f>IFERROR(__xludf.DUMMYFUNCTION("""COMPUTED_VALUE"""),"22086")</f>
        <v>22086</v>
      </c>
      <c r="C395" s="2" t="str">
        <f>IFERROR(__xludf.DUMMYFUNCTION("""COMPUTED_VALUE"""),"PAPER CHAIN KIT 50'S CHRISTMAS")</f>
        <v>PAPER CHAIN KIT 50'S CHRISTMAS</v>
      </c>
      <c r="D395" s="2">
        <f>IFERROR(__xludf.DUMMYFUNCTION("""COMPUTED_VALUE"""),12.0)</f>
        <v>12</v>
      </c>
      <c r="E395" s="6">
        <f>IFERROR(__xludf.DUMMYFUNCTION("""COMPUTED_VALUE"""),40148.48402777778)</f>
        <v>40148.48403</v>
      </c>
      <c r="F395" s="2">
        <f>IFERROR(__xludf.DUMMYFUNCTION("""COMPUTED_VALUE"""),2.95)</f>
        <v>2.95</v>
      </c>
      <c r="G395" s="2">
        <f>IFERROR(__xludf.DUMMYFUNCTION("""COMPUTED_VALUE"""),17700.0)</f>
        <v>17700</v>
      </c>
      <c r="H395" s="2" t="str">
        <f>IFERROR(__xludf.DUMMYFUNCTION("""COMPUTED_VALUE"""),"United Kingdom")</f>
        <v>United Kingdom</v>
      </c>
      <c r="I395" s="7">
        <f>IFERROR(__xludf.DUMMYFUNCTION("""COMPUTED_VALUE"""),40148.0)</f>
        <v>40148</v>
      </c>
      <c r="J395" s="8">
        <f>IFERROR(__xludf.DUMMYFUNCTION("""COMPUTED_VALUE"""),0.48402777777664596)</f>
        <v>0.4840277778</v>
      </c>
      <c r="K395" s="2">
        <f>IFERROR(__xludf.DUMMYFUNCTION("""COMPUTED_VALUE"""),11.0)</f>
        <v>11</v>
      </c>
      <c r="L395" s="2">
        <f>IFERROR(__xludf.DUMMYFUNCTION("""COMPUTED_VALUE"""),35.4)</f>
        <v>35.4</v>
      </c>
    </row>
    <row r="396">
      <c r="A396" s="2">
        <f>IFERROR(__xludf.DUMMYFUNCTION("""COMPUTED_VALUE"""),489519.0)</f>
        <v>489519</v>
      </c>
      <c r="B396" s="2" t="str">
        <f>IFERROR(__xludf.DUMMYFUNCTION("""COMPUTED_VALUE"""),"85123A")</f>
        <v>85123A</v>
      </c>
      <c r="C396" s="2" t="str">
        <f>IFERROR(__xludf.DUMMYFUNCTION("""COMPUTED_VALUE"""),"WHITE HANGING HEART T-LIGHT HOLDER")</f>
        <v>WHITE HANGING HEART T-LIGHT HOLDER</v>
      </c>
      <c r="D396" s="2">
        <f>IFERROR(__xludf.DUMMYFUNCTION("""COMPUTED_VALUE"""),32.0)</f>
        <v>32</v>
      </c>
      <c r="E396" s="6">
        <f>IFERROR(__xludf.DUMMYFUNCTION("""COMPUTED_VALUE"""),40148.48402777778)</f>
        <v>40148.48403</v>
      </c>
      <c r="F396" s="2">
        <f>IFERROR(__xludf.DUMMYFUNCTION("""COMPUTED_VALUE"""),2.55)</f>
        <v>2.55</v>
      </c>
      <c r="G396" s="2">
        <f>IFERROR(__xludf.DUMMYFUNCTION("""COMPUTED_VALUE"""),17700.0)</f>
        <v>17700</v>
      </c>
      <c r="H396" s="2" t="str">
        <f>IFERROR(__xludf.DUMMYFUNCTION("""COMPUTED_VALUE"""),"United Kingdom")</f>
        <v>United Kingdom</v>
      </c>
      <c r="I396" s="7">
        <f>IFERROR(__xludf.DUMMYFUNCTION("""COMPUTED_VALUE"""),40148.0)</f>
        <v>40148</v>
      </c>
      <c r="J396" s="8">
        <f>IFERROR(__xludf.DUMMYFUNCTION("""COMPUTED_VALUE"""),0.48402777777664596)</f>
        <v>0.4840277778</v>
      </c>
      <c r="K396" s="2">
        <f>IFERROR(__xludf.DUMMYFUNCTION("""COMPUTED_VALUE"""),11.0)</f>
        <v>11</v>
      </c>
      <c r="L396" s="2">
        <f>IFERROR(__xludf.DUMMYFUNCTION("""COMPUTED_VALUE"""),81.6)</f>
        <v>81.6</v>
      </c>
    </row>
    <row r="397">
      <c r="A397" s="2">
        <f>IFERROR(__xludf.DUMMYFUNCTION("""COMPUTED_VALUE"""),489519.0)</f>
        <v>489519</v>
      </c>
      <c r="B397" s="2" t="str">
        <f>IFERROR(__xludf.DUMMYFUNCTION("""COMPUTED_VALUE"""),"82616B")</f>
        <v>82616B</v>
      </c>
      <c r="C397" s="2" t="str">
        <f>IFERROR(__xludf.DUMMYFUNCTION("""COMPUTED_VALUE"""),"FRAPPUCINO SCARF KNITTING KIT")</f>
        <v>FRAPPUCINO SCARF KNITTING KIT</v>
      </c>
      <c r="D397" s="2">
        <f>IFERROR(__xludf.DUMMYFUNCTION("""COMPUTED_VALUE"""),6.0)</f>
        <v>6</v>
      </c>
      <c r="E397" s="6">
        <f>IFERROR(__xludf.DUMMYFUNCTION("""COMPUTED_VALUE"""),40148.48402777778)</f>
        <v>40148.48403</v>
      </c>
      <c r="F397" s="2">
        <f>IFERROR(__xludf.DUMMYFUNCTION("""COMPUTED_VALUE"""),2.95)</f>
        <v>2.95</v>
      </c>
      <c r="G397" s="2">
        <f>IFERROR(__xludf.DUMMYFUNCTION("""COMPUTED_VALUE"""),17700.0)</f>
        <v>17700</v>
      </c>
      <c r="H397" s="2" t="str">
        <f>IFERROR(__xludf.DUMMYFUNCTION("""COMPUTED_VALUE"""),"United Kingdom")</f>
        <v>United Kingdom</v>
      </c>
      <c r="I397" s="7">
        <f>IFERROR(__xludf.DUMMYFUNCTION("""COMPUTED_VALUE"""),40148.0)</f>
        <v>40148</v>
      </c>
      <c r="J397" s="8">
        <f>IFERROR(__xludf.DUMMYFUNCTION("""COMPUTED_VALUE"""),0.48402777777664596)</f>
        <v>0.4840277778</v>
      </c>
      <c r="K397" s="2">
        <f>IFERROR(__xludf.DUMMYFUNCTION("""COMPUTED_VALUE"""),11.0)</f>
        <v>11</v>
      </c>
      <c r="L397" s="2">
        <f>IFERROR(__xludf.DUMMYFUNCTION("""COMPUTED_VALUE"""),17.7)</f>
        <v>17.7</v>
      </c>
    </row>
    <row r="398">
      <c r="A398" s="2">
        <f>IFERROR(__xludf.DUMMYFUNCTION("""COMPUTED_VALUE"""),489519.0)</f>
        <v>489519</v>
      </c>
      <c r="B398" s="2" t="str">
        <f>IFERROR(__xludf.DUMMYFUNCTION("""COMPUTED_VALUE"""),"22276")</f>
        <v>22276</v>
      </c>
      <c r="C398" s="2" t="str">
        <f>IFERROR(__xludf.DUMMYFUNCTION("""COMPUTED_VALUE"""),"WASH BAG VINTAGE ROSE PAISLEY")</f>
        <v>WASH BAG VINTAGE ROSE PAISLEY</v>
      </c>
      <c r="D398" s="2">
        <f>IFERROR(__xludf.DUMMYFUNCTION("""COMPUTED_VALUE"""),6.0)</f>
        <v>6</v>
      </c>
      <c r="E398" s="6">
        <f>IFERROR(__xludf.DUMMYFUNCTION("""COMPUTED_VALUE"""),40148.48402777778)</f>
        <v>40148.48403</v>
      </c>
      <c r="F398" s="2">
        <f>IFERROR(__xludf.DUMMYFUNCTION("""COMPUTED_VALUE"""),2.55)</f>
        <v>2.55</v>
      </c>
      <c r="G398" s="2">
        <f>IFERROR(__xludf.DUMMYFUNCTION("""COMPUTED_VALUE"""),17700.0)</f>
        <v>17700</v>
      </c>
      <c r="H398" s="2" t="str">
        <f>IFERROR(__xludf.DUMMYFUNCTION("""COMPUTED_VALUE"""),"United Kingdom")</f>
        <v>United Kingdom</v>
      </c>
      <c r="I398" s="7">
        <f>IFERROR(__xludf.DUMMYFUNCTION("""COMPUTED_VALUE"""),40148.0)</f>
        <v>40148</v>
      </c>
      <c r="J398" s="8">
        <f>IFERROR(__xludf.DUMMYFUNCTION("""COMPUTED_VALUE"""),0.48402777777664596)</f>
        <v>0.4840277778</v>
      </c>
      <c r="K398" s="2">
        <f>IFERROR(__xludf.DUMMYFUNCTION("""COMPUTED_VALUE"""),11.0)</f>
        <v>11</v>
      </c>
      <c r="L398" s="2">
        <f>IFERROR(__xludf.DUMMYFUNCTION("""COMPUTED_VALUE"""),15.2999999999999)</f>
        <v>15.3</v>
      </c>
    </row>
    <row r="399">
      <c r="A399" s="2">
        <f>IFERROR(__xludf.DUMMYFUNCTION("""COMPUTED_VALUE"""),489519.0)</f>
        <v>489519</v>
      </c>
      <c r="B399" s="2" t="str">
        <f>IFERROR(__xludf.DUMMYFUNCTION("""COMPUTED_VALUE"""),"84912B")</f>
        <v>84912B</v>
      </c>
      <c r="C399" s="2" t="str">
        <f>IFERROR(__xludf.DUMMYFUNCTION("""COMPUTED_VALUE"""),"GREEN ROSE WASHBAG")</f>
        <v>GREEN ROSE WASHBAG</v>
      </c>
      <c r="D399" s="2">
        <f>IFERROR(__xludf.DUMMYFUNCTION("""COMPUTED_VALUE"""),4.0)</f>
        <v>4</v>
      </c>
      <c r="E399" s="6">
        <f>IFERROR(__xludf.DUMMYFUNCTION("""COMPUTED_VALUE"""),40148.48402777778)</f>
        <v>40148.48403</v>
      </c>
      <c r="F399" s="2">
        <f>IFERROR(__xludf.DUMMYFUNCTION("""COMPUTED_VALUE"""),3.75)</f>
        <v>3.75</v>
      </c>
      <c r="G399" s="2">
        <f>IFERROR(__xludf.DUMMYFUNCTION("""COMPUTED_VALUE"""),17700.0)</f>
        <v>17700</v>
      </c>
      <c r="H399" s="2" t="str">
        <f>IFERROR(__xludf.DUMMYFUNCTION("""COMPUTED_VALUE"""),"United Kingdom")</f>
        <v>United Kingdom</v>
      </c>
      <c r="I399" s="7">
        <f>IFERROR(__xludf.DUMMYFUNCTION("""COMPUTED_VALUE"""),40148.0)</f>
        <v>40148</v>
      </c>
      <c r="J399" s="8">
        <f>IFERROR(__xludf.DUMMYFUNCTION("""COMPUTED_VALUE"""),0.48402777777664596)</f>
        <v>0.4840277778</v>
      </c>
      <c r="K399" s="2">
        <f>IFERROR(__xludf.DUMMYFUNCTION("""COMPUTED_VALUE"""),11.0)</f>
        <v>11</v>
      </c>
      <c r="L399" s="2">
        <f>IFERROR(__xludf.DUMMYFUNCTION("""COMPUTED_VALUE"""),15.0)</f>
        <v>15</v>
      </c>
    </row>
    <row r="400">
      <c r="A400" s="2">
        <f>IFERROR(__xludf.DUMMYFUNCTION("""COMPUTED_VALUE"""),489519.0)</f>
        <v>489519</v>
      </c>
      <c r="B400" s="2" t="str">
        <f>IFERROR(__xludf.DUMMYFUNCTION("""COMPUTED_VALUE"""),"85014C")</f>
        <v>85014C</v>
      </c>
      <c r="C400" s="2" t="str">
        <f>IFERROR(__xludf.DUMMYFUNCTION("""COMPUTED_VALUE"""),"BLUE/BROWN DOTS RUFFLED UMBRELLA")</f>
        <v>BLUE/BROWN DOTS RUFFLED UMBRELLA</v>
      </c>
      <c r="D400" s="2">
        <f>IFERROR(__xludf.DUMMYFUNCTION("""COMPUTED_VALUE"""),3.0)</f>
        <v>3</v>
      </c>
      <c r="E400" s="6">
        <f>IFERROR(__xludf.DUMMYFUNCTION("""COMPUTED_VALUE"""),40148.48402777778)</f>
        <v>40148.48403</v>
      </c>
      <c r="F400" s="2">
        <f>IFERROR(__xludf.DUMMYFUNCTION("""COMPUTED_VALUE"""),5.95)</f>
        <v>5.95</v>
      </c>
      <c r="G400" s="2">
        <f>IFERROR(__xludf.DUMMYFUNCTION("""COMPUTED_VALUE"""),17700.0)</f>
        <v>17700</v>
      </c>
      <c r="H400" s="2" t="str">
        <f>IFERROR(__xludf.DUMMYFUNCTION("""COMPUTED_VALUE"""),"United Kingdom")</f>
        <v>United Kingdom</v>
      </c>
      <c r="I400" s="7">
        <f>IFERROR(__xludf.DUMMYFUNCTION("""COMPUTED_VALUE"""),40148.0)</f>
        <v>40148</v>
      </c>
      <c r="J400" s="8">
        <f>IFERROR(__xludf.DUMMYFUNCTION("""COMPUTED_VALUE"""),0.48402777777664596)</f>
        <v>0.4840277778</v>
      </c>
      <c r="K400" s="2">
        <f>IFERROR(__xludf.DUMMYFUNCTION("""COMPUTED_VALUE"""),11.0)</f>
        <v>11</v>
      </c>
      <c r="L400" s="2">
        <f>IFERROR(__xludf.DUMMYFUNCTION("""COMPUTED_VALUE"""),17.85)</f>
        <v>17.85</v>
      </c>
    </row>
    <row r="401">
      <c r="A401" s="2">
        <f>IFERROR(__xludf.DUMMYFUNCTION("""COMPUTED_VALUE"""),489519.0)</f>
        <v>489519</v>
      </c>
      <c r="B401" s="2" t="str">
        <f>IFERROR(__xludf.DUMMYFUNCTION("""COMPUTED_VALUE"""),"85014A")</f>
        <v>85014A</v>
      </c>
      <c r="C401" s="2" t="str">
        <f>IFERROR(__xludf.DUMMYFUNCTION("""COMPUTED_VALUE"""),"BLACK/BLUE DOTS RUFFLED UMBRELLA")</f>
        <v>BLACK/BLUE DOTS RUFFLED UMBRELLA</v>
      </c>
      <c r="D401" s="2">
        <f>IFERROR(__xludf.DUMMYFUNCTION("""COMPUTED_VALUE"""),3.0)</f>
        <v>3</v>
      </c>
      <c r="E401" s="6">
        <f>IFERROR(__xludf.DUMMYFUNCTION("""COMPUTED_VALUE"""),40148.48402777778)</f>
        <v>40148.48403</v>
      </c>
      <c r="F401" s="2">
        <f>IFERROR(__xludf.DUMMYFUNCTION("""COMPUTED_VALUE"""),5.95)</f>
        <v>5.95</v>
      </c>
      <c r="G401" s="2">
        <f>IFERROR(__xludf.DUMMYFUNCTION("""COMPUTED_VALUE"""),17700.0)</f>
        <v>17700</v>
      </c>
      <c r="H401" s="2" t="str">
        <f>IFERROR(__xludf.DUMMYFUNCTION("""COMPUTED_VALUE"""),"United Kingdom")</f>
        <v>United Kingdom</v>
      </c>
      <c r="I401" s="7">
        <f>IFERROR(__xludf.DUMMYFUNCTION("""COMPUTED_VALUE"""),40148.0)</f>
        <v>40148</v>
      </c>
      <c r="J401" s="8">
        <f>IFERROR(__xludf.DUMMYFUNCTION("""COMPUTED_VALUE"""),0.48402777777664596)</f>
        <v>0.4840277778</v>
      </c>
      <c r="K401" s="2">
        <f>IFERROR(__xludf.DUMMYFUNCTION("""COMPUTED_VALUE"""),11.0)</f>
        <v>11</v>
      </c>
      <c r="L401" s="2">
        <f>IFERROR(__xludf.DUMMYFUNCTION("""COMPUTED_VALUE"""),17.85)</f>
        <v>17.85</v>
      </c>
    </row>
    <row r="402">
      <c r="A402" s="2">
        <f>IFERROR(__xludf.DUMMYFUNCTION("""COMPUTED_VALUE"""),489519.0)</f>
        <v>489519</v>
      </c>
      <c r="B402" s="2" t="str">
        <f>IFERROR(__xludf.DUMMYFUNCTION("""COMPUTED_VALUE"""),"85014B")</f>
        <v>85014B</v>
      </c>
      <c r="C402" s="2" t="str">
        <f>IFERROR(__xludf.DUMMYFUNCTION("""COMPUTED_VALUE"""),"RED/WHITE DOTS RUFFLED UMBRELLA")</f>
        <v>RED/WHITE DOTS RUFFLED UMBRELLA</v>
      </c>
      <c r="D402" s="2">
        <f>IFERROR(__xludf.DUMMYFUNCTION("""COMPUTED_VALUE"""),3.0)</f>
        <v>3</v>
      </c>
      <c r="E402" s="6">
        <f>IFERROR(__xludf.DUMMYFUNCTION("""COMPUTED_VALUE"""),40148.48402777778)</f>
        <v>40148.48403</v>
      </c>
      <c r="F402" s="2">
        <f>IFERROR(__xludf.DUMMYFUNCTION("""COMPUTED_VALUE"""),5.95)</f>
        <v>5.95</v>
      </c>
      <c r="G402" s="2">
        <f>IFERROR(__xludf.DUMMYFUNCTION("""COMPUTED_VALUE"""),17700.0)</f>
        <v>17700</v>
      </c>
      <c r="H402" s="2" t="str">
        <f>IFERROR(__xludf.DUMMYFUNCTION("""COMPUTED_VALUE"""),"United Kingdom")</f>
        <v>United Kingdom</v>
      </c>
      <c r="I402" s="7">
        <f>IFERROR(__xludf.DUMMYFUNCTION("""COMPUTED_VALUE"""),40148.0)</f>
        <v>40148</v>
      </c>
      <c r="J402" s="8">
        <f>IFERROR(__xludf.DUMMYFUNCTION("""COMPUTED_VALUE"""),0.48402777777664596)</f>
        <v>0.4840277778</v>
      </c>
      <c r="K402" s="2">
        <f>IFERROR(__xludf.DUMMYFUNCTION("""COMPUTED_VALUE"""),11.0)</f>
        <v>11</v>
      </c>
      <c r="L402" s="2">
        <f>IFERROR(__xludf.DUMMYFUNCTION("""COMPUTED_VALUE"""),17.85)</f>
        <v>17.85</v>
      </c>
    </row>
    <row r="403">
      <c r="A403" s="2">
        <f>IFERROR(__xludf.DUMMYFUNCTION("""COMPUTED_VALUE"""),489519.0)</f>
        <v>489519</v>
      </c>
      <c r="B403" s="2" t="str">
        <f>IFERROR(__xludf.DUMMYFUNCTION("""COMPUTED_VALUE"""),"85014D")</f>
        <v>85014D</v>
      </c>
      <c r="C403" s="2" t="str">
        <f>IFERROR(__xludf.DUMMYFUNCTION("""COMPUTED_VALUE"""),"PINK/BROWN DOTS RUFFLED UMBRELLA")</f>
        <v>PINK/BROWN DOTS RUFFLED UMBRELLA</v>
      </c>
      <c r="D403" s="2">
        <f>IFERROR(__xludf.DUMMYFUNCTION("""COMPUTED_VALUE"""),3.0)</f>
        <v>3</v>
      </c>
      <c r="E403" s="6">
        <f>IFERROR(__xludf.DUMMYFUNCTION("""COMPUTED_VALUE"""),40148.48402777778)</f>
        <v>40148.48403</v>
      </c>
      <c r="F403" s="2">
        <f>IFERROR(__xludf.DUMMYFUNCTION("""COMPUTED_VALUE"""),5.95)</f>
        <v>5.95</v>
      </c>
      <c r="G403" s="2">
        <f>IFERROR(__xludf.DUMMYFUNCTION("""COMPUTED_VALUE"""),17700.0)</f>
        <v>17700</v>
      </c>
      <c r="H403" s="2" t="str">
        <f>IFERROR(__xludf.DUMMYFUNCTION("""COMPUTED_VALUE"""),"United Kingdom")</f>
        <v>United Kingdom</v>
      </c>
      <c r="I403" s="7">
        <f>IFERROR(__xludf.DUMMYFUNCTION("""COMPUTED_VALUE"""),40148.0)</f>
        <v>40148</v>
      </c>
      <c r="J403" s="8">
        <f>IFERROR(__xludf.DUMMYFUNCTION("""COMPUTED_VALUE"""),0.48402777777664596)</f>
        <v>0.4840277778</v>
      </c>
      <c r="K403" s="2">
        <f>IFERROR(__xludf.DUMMYFUNCTION("""COMPUTED_VALUE"""),11.0)</f>
        <v>11</v>
      </c>
      <c r="L403" s="2">
        <f>IFERROR(__xludf.DUMMYFUNCTION("""COMPUTED_VALUE"""),17.85)</f>
        <v>17.85</v>
      </c>
    </row>
    <row r="404">
      <c r="A404" s="2">
        <f>IFERROR(__xludf.DUMMYFUNCTION("""COMPUTED_VALUE"""),489519.0)</f>
        <v>489519</v>
      </c>
      <c r="B404" s="2" t="str">
        <f>IFERROR(__xludf.DUMMYFUNCTION("""COMPUTED_VALUE"""),"21326")</f>
        <v>21326</v>
      </c>
      <c r="C404" s="2" t="str">
        <f>IFERROR(__xludf.DUMMYFUNCTION("""COMPUTED_VALUE"""),"AGED GLASS SILVER T-LIGHT HOLDER")</f>
        <v>AGED GLASS SILVER T-LIGHT HOLDER</v>
      </c>
      <c r="D404" s="2">
        <f>IFERROR(__xludf.DUMMYFUNCTION("""COMPUTED_VALUE"""),12.0)</f>
        <v>12</v>
      </c>
      <c r="E404" s="6">
        <f>IFERROR(__xludf.DUMMYFUNCTION("""COMPUTED_VALUE"""),40148.48402777778)</f>
        <v>40148.48403</v>
      </c>
      <c r="F404" s="2">
        <f>IFERROR(__xludf.DUMMYFUNCTION("""COMPUTED_VALUE"""),0.65)</f>
        <v>0.65</v>
      </c>
      <c r="G404" s="2">
        <f>IFERROR(__xludf.DUMMYFUNCTION("""COMPUTED_VALUE"""),17700.0)</f>
        <v>17700</v>
      </c>
      <c r="H404" s="2" t="str">
        <f>IFERROR(__xludf.DUMMYFUNCTION("""COMPUTED_VALUE"""),"United Kingdom")</f>
        <v>United Kingdom</v>
      </c>
      <c r="I404" s="7">
        <f>IFERROR(__xludf.DUMMYFUNCTION("""COMPUTED_VALUE"""),40148.0)</f>
        <v>40148</v>
      </c>
      <c r="J404" s="8">
        <f>IFERROR(__xludf.DUMMYFUNCTION("""COMPUTED_VALUE"""),0.48402777777664596)</f>
        <v>0.4840277778</v>
      </c>
      <c r="K404" s="2">
        <f>IFERROR(__xludf.DUMMYFUNCTION("""COMPUTED_VALUE"""),11.0)</f>
        <v>11</v>
      </c>
      <c r="L404" s="2">
        <f>IFERROR(__xludf.DUMMYFUNCTION("""COMPUTED_VALUE"""),7.8)</f>
        <v>7.8</v>
      </c>
    </row>
    <row r="405">
      <c r="A405" s="2">
        <f>IFERROR(__xludf.DUMMYFUNCTION("""COMPUTED_VALUE"""),489519.0)</f>
        <v>489519</v>
      </c>
      <c r="B405" s="2" t="str">
        <f>IFERROR(__xludf.DUMMYFUNCTION("""COMPUTED_VALUE"""),"84946")</f>
        <v>84946</v>
      </c>
      <c r="C405" s="2" t="str">
        <f>IFERROR(__xludf.DUMMYFUNCTION("""COMPUTED_VALUE"""),"ANTIQUE SILVER TEA GLASS ETCHED")</f>
        <v>ANTIQUE SILVER TEA GLASS ETCHED</v>
      </c>
      <c r="D405" s="2">
        <f>IFERROR(__xludf.DUMMYFUNCTION("""COMPUTED_VALUE"""),12.0)</f>
        <v>12</v>
      </c>
      <c r="E405" s="6">
        <f>IFERROR(__xludf.DUMMYFUNCTION("""COMPUTED_VALUE"""),40148.48402777778)</f>
        <v>40148.48403</v>
      </c>
      <c r="F405" s="2">
        <f>IFERROR(__xludf.DUMMYFUNCTION("""COMPUTED_VALUE"""),1.25)</f>
        <v>1.25</v>
      </c>
      <c r="G405" s="2">
        <f>IFERROR(__xludf.DUMMYFUNCTION("""COMPUTED_VALUE"""),17700.0)</f>
        <v>17700</v>
      </c>
      <c r="H405" s="2" t="str">
        <f>IFERROR(__xludf.DUMMYFUNCTION("""COMPUTED_VALUE"""),"United Kingdom")</f>
        <v>United Kingdom</v>
      </c>
      <c r="I405" s="7">
        <f>IFERROR(__xludf.DUMMYFUNCTION("""COMPUTED_VALUE"""),40148.0)</f>
        <v>40148</v>
      </c>
      <c r="J405" s="8">
        <f>IFERROR(__xludf.DUMMYFUNCTION("""COMPUTED_VALUE"""),0.48402777777664596)</f>
        <v>0.4840277778</v>
      </c>
      <c r="K405" s="2">
        <f>IFERROR(__xludf.DUMMYFUNCTION("""COMPUTED_VALUE"""),11.0)</f>
        <v>11</v>
      </c>
      <c r="L405" s="2">
        <f>IFERROR(__xludf.DUMMYFUNCTION("""COMPUTED_VALUE"""),15.0)</f>
        <v>15</v>
      </c>
    </row>
    <row r="406">
      <c r="A406" s="2">
        <f>IFERROR(__xludf.DUMMYFUNCTION("""COMPUTED_VALUE"""),489519.0)</f>
        <v>489519</v>
      </c>
      <c r="B406" s="2" t="str">
        <f>IFERROR(__xludf.DUMMYFUNCTION("""COMPUTED_VALUE"""),"84949")</f>
        <v>84949</v>
      </c>
      <c r="C406" s="2" t="str">
        <f>IFERROR(__xludf.DUMMYFUNCTION("""COMPUTED_VALUE"""),"SILVER HANGING T-LIGHT HOLDER")</f>
        <v>SILVER HANGING T-LIGHT HOLDER</v>
      </c>
      <c r="D406" s="2">
        <f>IFERROR(__xludf.DUMMYFUNCTION("""COMPUTED_VALUE"""),6.0)</f>
        <v>6</v>
      </c>
      <c r="E406" s="6">
        <f>IFERROR(__xludf.DUMMYFUNCTION("""COMPUTED_VALUE"""),40148.48402777778)</f>
        <v>40148.48403</v>
      </c>
      <c r="F406" s="2">
        <f>IFERROR(__xludf.DUMMYFUNCTION("""COMPUTED_VALUE"""),1.65)</f>
        <v>1.65</v>
      </c>
      <c r="G406" s="2">
        <f>IFERROR(__xludf.DUMMYFUNCTION("""COMPUTED_VALUE"""),17700.0)</f>
        <v>17700</v>
      </c>
      <c r="H406" s="2" t="str">
        <f>IFERROR(__xludf.DUMMYFUNCTION("""COMPUTED_VALUE"""),"United Kingdom")</f>
        <v>United Kingdom</v>
      </c>
      <c r="I406" s="7">
        <f>IFERROR(__xludf.DUMMYFUNCTION("""COMPUTED_VALUE"""),40148.0)</f>
        <v>40148</v>
      </c>
      <c r="J406" s="8">
        <f>IFERROR(__xludf.DUMMYFUNCTION("""COMPUTED_VALUE"""),0.48402777777664596)</f>
        <v>0.4840277778</v>
      </c>
      <c r="K406" s="2">
        <f>IFERROR(__xludf.DUMMYFUNCTION("""COMPUTED_VALUE"""),11.0)</f>
        <v>11</v>
      </c>
      <c r="L406" s="2">
        <f>IFERROR(__xludf.DUMMYFUNCTION("""COMPUTED_VALUE"""),9.89999999999999)</f>
        <v>9.9</v>
      </c>
    </row>
    <row r="407">
      <c r="A407" s="2">
        <f>IFERROR(__xludf.DUMMYFUNCTION("""COMPUTED_VALUE"""),489519.0)</f>
        <v>489519</v>
      </c>
      <c r="B407" s="2" t="str">
        <f>IFERROR(__xludf.DUMMYFUNCTION("""COMPUTED_VALUE"""),"21491")</f>
        <v>21491</v>
      </c>
      <c r="C407" s="2" t="str">
        <f>IFERROR(__xludf.DUMMYFUNCTION("""COMPUTED_VALUE"""),"SET OF THREE VINTAGE GIFT WRAPS")</f>
        <v>SET OF THREE VINTAGE GIFT WRAPS</v>
      </c>
      <c r="D407" s="2">
        <f>IFERROR(__xludf.DUMMYFUNCTION("""COMPUTED_VALUE"""),6.0)</f>
        <v>6</v>
      </c>
      <c r="E407" s="6">
        <f>IFERROR(__xludf.DUMMYFUNCTION("""COMPUTED_VALUE"""),40148.48402777778)</f>
        <v>40148.48403</v>
      </c>
      <c r="F407" s="2">
        <f>IFERROR(__xludf.DUMMYFUNCTION("""COMPUTED_VALUE"""),1.95)</f>
        <v>1.95</v>
      </c>
      <c r="G407" s="2">
        <f>IFERROR(__xludf.DUMMYFUNCTION("""COMPUTED_VALUE"""),17700.0)</f>
        <v>17700</v>
      </c>
      <c r="H407" s="2" t="str">
        <f>IFERROR(__xludf.DUMMYFUNCTION("""COMPUTED_VALUE"""),"United Kingdom")</f>
        <v>United Kingdom</v>
      </c>
      <c r="I407" s="7">
        <f>IFERROR(__xludf.DUMMYFUNCTION("""COMPUTED_VALUE"""),40148.0)</f>
        <v>40148</v>
      </c>
      <c r="J407" s="8">
        <f>IFERROR(__xludf.DUMMYFUNCTION("""COMPUTED_VALUE"""),0.48402777777664596)</f>
        <v>0.4840277778</v>
      </c>
      <c r="K407" s="2">
        <f>IFERROR(__xludf.DUMMYFUNCTION("""COMPUTED_VALUE"""),11.0)</f>
        <v>11</v>
      </c>
      <c r="L407" s="2">
        <f>IFERROR(__xludf.DUMMYFUNCTION("""COMPUTED_VALUE"""),11.7)</f>
        <v>11.7</v>
      </c>
    </row>
    <row r="408">
      <c r="A408" s="2">
        <f>IFERROR(__xludf.DUMMYFUNCTION("""COMPUTED_VALUE"""),489519.0)</f>
        <v>489519</v>
      </c>
      <c r="B408" s="2" t="str">
        <f>IFERROR(__xludf.DUMMYFUNCTION("""COMPUTED_VALUE"""),"21908")</f>
        <v>21908</v>
      </c>
      <c r="C408" s="2" t="str">
        <f>IFERROR(__xludf.DUMMYFUNCTION("""COMPUTED_VALUE"""),"CHOCOLATE THIS WAY METAL SIGN")</f>
        <v>CHOCOLATE THIS WAY METAL SIGN</v>
      </c>
      <c r="D408" s="2">
        <f>IFERROR(__xludf.DUMMYFUNCTION("""COMPUTED_VALUE"""),6.0)</f>
        <v>6</v>
      </c>
      <c r="E408" s="6">
        <f>IFERROR(__xludf.DUMMYFUNCTION("""COMPUTED_VALUE"""),40148.48402777778)</f>
        <v>40148.48403</v>
      </c>
      <c r="F408" s="2">
        <f>IFERROR(__xludf.DUMMYFUNCTION("""COMPUTED_VALUE"""),2.1)</f>
        <v>2.1</v>
      </c>
      <c r="G408" s="2">
        <f>IFERROR(__xludf.DUMMYFUNCTION("""COMPUTED_VALUE"""),17700.0)</f>
        <v>17700</v>
      </c>
      <c r="H408" s="2" t="str">
        <f>IFERROR(__xludf.DUMMYFUNCTION("""COMPUTED_VALUE"""),"United Kingdom")</f>
        <v>United Kingdom</v>
      </c>
      <c r="I408" s="7">
        <f>IFERROR(__xludf.DUMMYFUNCTION("""COMPUTED_VALUE"""),40148.0)</f>
        <v>40148</v>
      </c>
      <c r="J408" s="8">
        <f>IFERROR(__xludf.DUMMYFUNCTION("""COMPUTED_VALUE"""),0.48402777777664596)</f>
        <v>0.4840277778</v>
      </c>
      <c r="K408" s="2">
        <f>IFERROR(__xludf.DUMMYFUNCTION("""COMPUTED_VALUE"""),11.0)</f>
        <v>11</v>
      </c>
      <c r="L408" s="2">
        <f>IFERROR(__xludf.DUMMYFUNCTION("""COMPUTED_VALUE"""),12.6)</f>
        <v>12.6</v>
      </c>
    </row>
    <row r="409">
      <c r="A409" s="2">
        <f>IFERROR(__xludf.DUMMYFUNCTION("""COMPUTED_VALUE"""),489519.0)</f>
        <v>489519</v>
      </c>
      <c r="B409" s="2" t="str">
        <f>IFERROR(__xludf.DUMMYFUNCTION("""COMPUTED_VALUE"""),"21181")</f>
        <v>21181</v>
      </c>
      <c r="C409" s="2" t="str">
        <f>IFERROR(__xludf.DUMMYFUNCTION("""COMPUTED_VALUE"""),"PLEASE ONE PERSON METAL SIGN")</f>
        <v>PLEASE ONE PERSON METAL SIGN</v>
      </c>
      <c r="D409" s="2">
        <f>IFERROR(__xludf.DUMMYFUNCTION("""COMPUTED_VALUE"""),6.0)</f>
        <v>6</v>
      </c>
      <c r="E409" s="6">
        <f>IFERROR(__xludf.DUMMYFUNCTION("""COMPUTED_VALUE"""),40148.48402777778)</f>
        <v>40148.48403</v>
      </c>
      <c r="F409" s="2">
        <f>IFERROR(__xludf.DUMMYFUNCTION("""COMPUTED_VALUE"""),2.1)</f>
        <v>2.1</v>
      </c>
      <c r="G409" s="2">
        <f>IFERROR(__xludf.DUMMYFUNCTION("""COMPUTED_VALUE"""),17700.0)</f>
        <v>17700</v>
      </c>
      <c r="H409" s="2" t="str">
        <f>IFERROR(__xludf.DUMMYFUNCTION("""COMPUTED_VALUE"""),"United Kingdom")</f>
        <v>United Kingdom</v>
      </c>
      <c r="I409" s="7">
        <f>IFERROR(__xludf.DUMMYFUNCTION("""COMPUTED_VALUE"""),40148.0)</f>
        <v>40148</v>
      </c>
      <c r="J409" s="8">
        <f>IFERROR(__xludf.DUMMYFUNCTION("""COMPUTED_VALUE"""),0.48402777777664596)</f>
        <v>0.4840277778</v>
      </c>
      <c r="K409" s="2">
        <f>IFERROR(__xludf.DUMMYFUNCTION("""COMPUTED_VALUE"""),11.0)</f>
        <v>11</v>
      </c>
      <c r="L409" s="2">
        <f>IFERROR(__xludf.DUMMYFUNCTION("""COMPUTED_VALUE"""),12.6)</f>
        <v>12.6</v>
      </c>
    </row>
    <row r="410">
      <c r="A410" s="2">
        <f>IFERROR(__xludf.DUMMYFUNCTION("""COMPUTED_VALUE"""),489519.0)</f>
        <v>489519</v>
      </c>
      <c r="B410" s="2" t="str">
        <f>IFERROR(__xludf.DUMMYFUNCTION("""COMPUTED_VALUE"""),"82483")</f>
        <v>82483</v>
      </c>
      <c r="C410" s="2" t="str">
        <f>IFERROR(__xludf.DUMMYFUNCTION("""COMPUTED_VALUE"""),"WOOD 2 DRAWER CABINET WHITE FINISH")</f>
        <v>WOOD 2 DRAWER CABINET WHITE FINISH</v>
      </c>
      <c r="D410" s="2">
        <f>IFERROR(__xludf.DUMMYFUNCTION("""COMPUTED_VALUE"""),3.0)</f>
        <v>3</v>
      </c>
      <c r="E410" s="6">
        <f>IFERROR(__xludf.DUMMYFUNCTION("""COMPUTED_VALUE"""),40148.48402777778)</f>
        <v>40148.48403</v>
      </c>
      <c r="F410" s="2">
        <f>IFERROR(__xludf.DUMMYFUNCTION("""COMPUTED_VALUE"""),5.95)</f>
        <v>5.95</v>
      </c>
      <c r="G410" s="2">
        <f>IFERROR(__xludf.DUMMYFUNCTION("""COMPUTED_VALUE"""),17700.0)</f>
        <v>17700</v>
      </c>
      <c r="H410" s="2" t="str">
        <f>IFERROR(__xludf.DUMMYFUNCTION("""COMPUTED_VALUE"""),"United Kingdom")</f>
        <v>United Kingdom</v>
      </c>
      <c r="I410" s="7">
        <f>IFERROR(__xludf.DUMMYFUNCTION("""COMPUTED_VALUE"""),40148.0)</f>
        <v>40148</v>
      </c>
      <c r="J410" s="8">
        <f>IFERROR(__xludf.DUMMYFUNCTION("""COMPUTED_VALUE"""),0.48402777777664596)</f>
        <v>0.4840277778</v>
      </c>
      <c r="K410" s="2">
        <f>IFERROR(__xludf.DUMMYFUNCTION("""COMPUTED_VALUE"""),11.0)</f>
        <v>11</v>
      </c>
      <c r="L410" s="2">
        <f>IFERROR(__xludf.DUMMYFUNCTION("""COMPUTED_VALUE"""),17.85)</f>
        <v>17.85</v>
      </c>
    </row>
    <row r="411">
      <c r="A411" s="2">
        <f>IFERROR(__xludf.DUMMYFUNCTION("""COMPUTED_VALUE"""),489519.0)</f>
        <v>489519</v>
      </c>
      <c r="B411" s="2" t="str">
        <f>IFERROR(__xludf.DUMMYFUNCTION("""COMPUTED_VALUE"""),"79323S")</f>
        <v>79323S</v>
      </c>
      <c r="C411" s="2" t="str">
        <f>IFERROR(__xludf.DUMMYFUNCTION("""COMPUTED_VALUE"""),"SILVER CHERRY LIGHTS")</f>
        <v>SILVER CHERRY LIGHTS</v>
      </c>
      <c r="D411" s="2">
        <f>IFERROR(__xludf.DUMMYFUNCTION("""COMPUTED_VALUE"""),4.0)</f>
        <v>4</v>
      </c>
      <c r="E411" s="6">
        <f>IFERROR(__xludf.DUMMYFUNCTION("""COMPUTED_VALUE"""),40148.48402777778)</f>
        <v>40148.48403</v>
      </c>
      <c r="F411" s="2">
        <f>IFERROR(__xludf.DUMMYFUNCTION("""COMPUTED_VALUE"""),6.75)</f>
        <v>6.75</v>
      </c>
      <c r="G411" s="2">
        <f>IFERROR(__xludf.DUMMYFUNCTION("""COMPUTED_VALUE"""),17700.0)</f>
        <v>17700</v>
      </c>
      <c r="H411" s="2" t="str">
        <f>IFERROR(__xludf.DUMMYFUNCTION("""COMPUTED_VALUE"""),"United Kingdom")</f>
        <v>United Kingdom</v>
      </c>
      <c r="I411" s="7">
        <f>IFERROR(__xludf.DUMMYFUNCTION("""COMPUTED_VALUE"""),40148.0)</f>
        <v>40148</v>
      </c>
      <c r="J411" s="8">
        <f>IFERROR(__xludf.DUMMYFUNCTION("""COMPUTED_VALUE"""),0.48402777777664596)</f>
        <v>0.4840277778</v>
      </c>
      <c r="K411" s="2">
        <f>IFERROR(__xludf.DUMMYFUNCTION("""COMPUTED_VALUE"""),11.0)</f>
        <v>11</v>
      </c>
      <c r="L411" s="2">
        <f>IFERROR(__xludf.DUMMYFUNCTION("""COMPUTED_VALUE"""),27.0)</f>
        <v>27</v>
      </c>
    </row>
    <row r="412">
      <c r="A412" s="2">
        <f>IFERROR(__xludf.DUMMYFUNCTION("""COMPUTED_VALUE"""),489519.0)</f>
        <v>489519</v>
      </c>
      <c r="B412" s="2" t="str">
        <f>IFERROR(__xludf.DUMMYFUNCTION("""COMPUTED_VALUE"""),"21371")</f>
        <v>21371</v>
      </c>
      <c r="C412" s="2" t="str">
        <f>IFERROR(__xludf.DUMMYFUNCTION("""COMPUTED_VALUE"""),"MIRRORED WALL ART POPPIES")</f>
        <v>MIRRORED WALL ART POPPIES</v>
      </c>
      <c r="D412" s="2">
        <f>IFERROR(__xludf.DUMMYFUNCTION("""COMPUTED_VALUE"""),6.0)</f>
        <v>6</v>
      </c>
      <c r="E412" s="6">
        <f>IFERROR(__xludf.DUMMYFUNCTION("""COMPUTED_VALUE"""),40148.48402777778)</f>
        <v>40148.48403</v>
      </c>
      <c r="F412" s="2">
        <f>IFERROR(__xludf.DUMMYFUNCTION("""COMPUTED_VALUE"""),2.55)</f>
        <v>2.55</v>
      </c>
      <c r="G412" s="2">
        <f>IFERROR(__xludf.DUMMYFUNCTION("""COMPUTED_VALUE"""),17700.0)</f>
        <v>17700</v>
      </c>
      <c r="H412" s="2" t="str">
        <f>IFERROR(__xludf.DUMMYFUNCTION("""COMPUTED_VALUE"""),"United Kingdom")</f>
        <v>United Kingdom</v>
      </c>
      <c r="I412" s="7">
        <f>IFERROR(__xludf.DUMMYFUNCTION("""COMPUTED_VALUE"""),40148.0)</f>
        <v>40148</v>
      </c>
      <c r="J412" s="8">
        <f>IFERROR(__xludf.DUMMYFUNCTION("""COMPUTED_VALUE"""),0.48402777777664596)</f>
        <v>0.4840277778</v>
      </c>
      <c r="K412" s="2">
        <f>IFERROR(__xludf.DUMMYFUNCTION("""COMPUTED_VALUE"""),11.0)</f>
        <v>11</v>
      </c>
      <c r="L412" s="2">
        <f>IFERROR(__xludf.DUMMYFUNCTION("""COMPUTED_VALUE"""),15.2999999999999)</f>
        <v>15.3</v>
      </c>
    </row>
    <row r="413">
      <c r="A413" s="2">
        <f>IFERROR(__xludf.DUMMYFUNCTION("""COMPUTED_VALUE"""),489519.0)</f>
        <v>489519</v>
      </c>
      <c r="B413" s="2" t="str">
        <f>IFERROR(__xludf.DUMMYFUNCTION("""COMPUTED_VALUE"""),"85152")</f>
        <v>85152</v>
      </c>
      <c r="C413" s="2" t="str">
        <f>IFERROR(__xludf.DUMMYFUNCTION("""COMPUTED_VALUE"""),"HAND OVER THE CHOCOLATE SIGN")</f>
        <v>HAND OVER THE CHOCOLATE SIGN</v>
      </c>
      <c r="D413" s="2">
        <f>IFERROR(__xludf.DUMMYFUNCTION("""COMPUTED_VALUE"""),6.0)</f>
        <v>6</v>
      </c>
      <c r="E413" s="6">
        <f>IFERROR(__xludf.DUMMYFUNCTION("""COMPUTED_VALUE"""),40148.48402777778)</f>
        <v>40148.48403</v>
      </c>
      <c r="F413" s="2">
        <f>IFERROR(__xludf.DUMMYFUNCTION("""COMPUTED_VALUE"""),2.1)</f>
        <v>2.1</v>
      </c>
      <c r="G413" s="2">
        <f>IFERROR(__xludf.DUMMYFUNCTION("""COMPUTED_VALUE"""),17700.0)</f>
        <v>17700</v>
      </c>
      <c r="H413" s="2" t="str">
        <f>IFERROR(__xludf.DUMMYFUNCTION("""COMPUTED_VALUE"""),"United Kingdom")</f>
        <v>United Kingdom</v>
      </c>
      <c r="I413" s="7">
        <f>IFERROR(__xludf.DUMMYFUNCTION("""COMPUTED_VALUE"""),40148.0)</f>
        <v>40148</v>
      </c>
      <c r="J413" s="8">
        <f>IFERROR(__xludf.DUMMYFUNCTION("""COMPUTED_VALUE"""),0.48402777777664596)</f>
        <v>0.4840277778</v>
      </c>
      <c r="K413" s="2">
        <f>IFERROR(__xludf.DUMMYFUNCTION("""COMPUTED_VALUE"""),11.0)</f>
        <v>11</v>
      </c>
      <c r="L413" s="2">
        <f>IFERROR(__xludf.DUMMYFUNCTION("""COMPUTED_VALUE"""),12.6)</f>
        <v>12.6</v>
      </c>
    </row>
    <row r="414">
      <c r="A414" s="2">
        <f>IFERROR(__xludf.DUMMYFUNCTION("""COMPUTED_VALUE"""),489519.0)</f>
        <v>489519</v>
      </c>
      <c r="B414" s="2" t="str">
        <f>IFERROR(__xludf.DUMMYFUNCTION("""COMPUTED_VALUE"""),"21133")</f>
        <v>21133</v>
      </c>
      <c r="C414" s="2" t="str">
        <f>IFERROR(__xludf.DUMMYFUNCTION("""COMPUTED_VALUE"""),"PAINTED BIRD ASSORTED CHRISTMAS")</f>
        <v>PAINTED BIRD ASSORTED CHRISTMAS</v>
      </c>
      <c r="D414" s="2">
        <f>IFERROR(__xludf.DUMMYFUNCTION("""COMPUTED_VALUE"""),12.0)</f>
        <v>12</v>
      </c>
      <c r="E414" s="6">
        <f>IFERROR(__xludf.DUMMYFUNCTION("""COMPUTED_VALUE"""),40148.48402777778)</f>
        <v>40148.48403</v>
      </c>
      <c r="F414" s="2">
        <f>IFERROR(__xludf.DUMMYFUNCTION("""COMPUTED_VALUE"""),1.69)</f>
        <v>1.69</v>
      </c>
      <c r="G414" s="2">
        <f>IFERROR(__xludf.DUMMYFUNCTION("""COMPUTED_VALUE"""),17700.0)</f>
        <v>17700</v>
      </c>
      <c r="H414" s="2" t="str">
        <f>IFERROR(__xludf.DUMMYFUNCTION("""COMPUTED_VALUE"""),"United Kingdom")</f>
        <v>United Kingdom</v>
      </c>
      <c r="I414" s="7">
        <f>IFERROR(__xludf.DUMMYFUNCTION("""COMPUTED_VALUE"""),40148.0)</f>
        <v>40148</v>
      </c>
      <c r="J414" s="8">
        <f>IFERROR(__xludf.DUMMYFUNCTION("""COMPUTED_VALUE"""),0.48402777777664596)</f>
        <v>0.4840277778</v>
      </c>
      <c r="K414" s="2">
        <f>IFERROR(__xludf.DUMMYFUNCTION("""COMPUTED_VALUE"""),11.0)</f>
        <v>11</v>
      </c>
      <c r="L414" s="2">
        <f>IFERROR(__xludf.DUMMYFUNCTION("""COMPUTED_VALUE"""),20.28)</f>
        <v>20.28</v>
      </c>
    </row>
    <row r="415">
      <c r="A415" s="2">
        <f>IFERROR(__xludf.DUMMYFUNCTION("""COMPUTED_VALUE"""),489519.0)</f>
        <v>489519</v>
      </c>
      <c r="B415" s="2" t="str">
        <f>IFERROR(__xludf.DUMMYFUNCTION("""COMPUTED_VALUE"""),"20984")</f>
        <v>20984</v>
      </c>
      <c r="C415" s="2" t="str">
        <f>IFERROR(__xludf.DUMMYFUNCTION("""COMPUTED_VALUE"""),"12 PENCILS TALL TUBE POSY")</f>
        <v>12 PENCILS TALL TUBE POSY</v>
      </c>
      <c r="D415" s="2">
        <f>IFERROR(__xludf.DUMMYFUNCTION("""COMPUTED_VALUE"""),12.0)</f>
        <v>12</v>
      </c>
      <c r="E415" s="6">
        <f>IFERROR(__xludf.DUMMYFUNCTION("""COMPUTED_VALUE"""),40148.48402777778)</f>
        <v>40148.48403</v>
      </c>
      <c r="F415" s="2">
        <f>IFERROR(__xludf.DUMMYFUNCTION("""COMPUTED_VALUE"""),0.85)</f>
        <v>0.85</v>
      </c>
      <c r="G415" s="2">
        <f>IFERROR(__xludf.DUMMYFUNCTION("""COMPUTED_VALUE"""),17700.0)</f>
        <v>17700</v>
      </c>
      <c r="H415" s="2" t="str">
        <f>IFERROR(__xludf.DUMMYFUNCTION("""COMPUTED_VALUE"""),"United Kingdom")</f>
        <v>United Kingdom</v>
      </c>
      <c r="I415" s="7">
        <f>IFERROR(__xludf.DUMMYFUNCTION("""COMPUTED_VALUE"""),40148.0)</f>
        <v>40148</v>
      </c>
      <c r="J415" s="8">
        <f>IFERROR(__xludf.DUMMYFUNCTION("""COMPUTED_VALUE"""),0.48402777777664596)</f>
        <v>0.4840277778</v>
      </c>
      <c r="K415" s="2">
        <f>IFERROR(__xludf.DUMMYFUNCTION("""COMPUTED_VALUE"""),11.0)</f>
        <v>11</v>
      </c>
      <c r="L415" s="2">
        <f>IFERROR(__xludf.DUMMYFUNCTION("""COMPUTED_VALUE"""),10.2)</f>
        <v>10.2</v>
      </c>
    </row>
    <row r="416">
      <c r="A416" s="2">
        <f>IFERROR(__xludf.DUMMYFUNCTION("""COMPUTED_VALUE"""),489519.0)</f>
        <v>489519</v>
      </c>
      <c r="B416" s="2" t="str">
        <f>IFERROR(__xludf.DUMMYFUNCTION("""COMPUTED_VALUE"""),"20982")</f>
        <v>20982</v>
      </c>
      <c r="C416" s="2" t="str">
        <f>IFERROR(__xludf.DUMMYFUNCTION("""COMPUTED_VALUE"""),"12 PENCILS TALL TUBE SKULLS")</f>
        <v>12 PENCILS TALL TUBE SKULLS</v>
      </c>
      <c r="D416" s="2">
        <f>IFERROR(__xludf.DUMMYFUNCTION("""COMPUTED_VALUE"""),12.0)</f>
        <v>12</v>
      </c>
      <c r="E416" s="6">
        <f>IFERROR(__xludf.DUMMYFUNCTION("""COMPUTED_VALUE"""),40148.48402777778)</f>
        <v>40148.48403</v>
      </c>
      <c r="F416" s="2">
        <f>IFERROR(__xludf.DUMMYFUNCTION("""COMPUTED_VALUE"""),0.85)</f>
        <v>0.85</v>
      </c>
      <c r="G416" s="2">
        <f>IFERROR(__xludf.DUMMYFUNCTION("""COMPUTED_VALUE"""),17700.0)</f>
        <v>17700</v>
      </c>
      <c r="H416" s="2" t="str">
        <f>IFERROR(__xludf.DUMMYFUNCTION("""COMPUTED_VALUE"""),"United Kingdom")</f>
        <v>United Kingdom</v>
      </c>
      <c r="I416" s="7">
        <f>IFERROR(__xludf.DUMMYFUNCTION("""COMPUTED_VALUE"""),40148.0)</f>
        <v>40148</v>
      </c>
      <c r="J416" s="8">
        <f>IFERROR(__xludf.DUMMYFUNCTION("""COMPUTED_VALUE"""),0.48402777777664596)</f>
        <v>0.4840277778</v>
      </c>
      <c r="K416" s="2">
        <f>IFERROR(__xludf.DUMMYFUNCTION("""COMPUTED_VALUE"""),11.0)</f>
        <v>11</v>
      </c>
      <c r="L416" s="2">
        <f>IFERROR(__xludf.DUMMYFUNCTION("""COMPUTED_VALUE"""),10.2)</f>
        <v>10.2</v>
      </c>
    </row>
    <row r="417">
      <c r="A417" s="2">
        <f>IFERROR(__xludf.DUMMYFUNCTION("""COMPUTED_VALUE"""),489519.0)</f>
        <v>489519</v>
      </c>
      <c r="B417" s="2" t="str">
        <f>IFERROR(__xludf.DUMMYFUNCTION("""COMPUTED_VALUE"""),"84971L")</f>
        <v>84971L</v>
      </c>
      <c r="C417" s="2" t="str">
        <f>IFERROR(__xludf.DUMMYFUNCTION("""COMPUTED_VALUE"""),"LARGE HEART FLOWERS HOOK")</f>
        <v>LARGE HEART FLOWERS HOOK</v>
      </c>
      <c r="D417" s="2">
        <f>IFERROR(__xludf.DUMMYFUNCTION("""COMPUTED_VALUE"""),12.0)</f>
        <v>12</v>
      </c>
      <c r="E417" s="6">
        <f>IFERROR(__xludf.DUMMYFUNCTION("""COMPUTED_VALUE"""),40148.48402777778)</f>
        <v>40148.48403</v>
      </c>
      <c r="F417" s="2">
        <f>IFERROR(__xludf.DUMMYFUNCTION("""COMPUTED_VALUE"""),1.25)</f>
        <v>1.25</v>
      </c>
      <c r="G417" s="2">
        <f>IFERROR(__xludf.DUMMYFUNCTION("""COMPUTED_VALUE"""),17700.0)</f>
        <v>17700</v>
      </c>
      <c r="H417" s="2" t="str">
        <f>IFERROR(__xludf.DUMMYFUNCTION("""COMPUTED_VALUE"""),"United Kingdom")</f>
        <v>United Kingdom</v>
      </c>
      <c r="I417" s="7">
        <f>IFERROR(__xludf.DUMMYFUNCTION("""COMPUTED_VALUE"""),40148.0)</f>
        <v>40148</v>
      </c>
      <c r="J417" s="8">
        <f>IFERROR(__xludf.DUMMYFUNCTION("""COMPUTED_VALUE"""),0.48402777777664596)</f>
        <v>0.4840277778</v>
      </c>
      <c r="K417" s="2">
        <f>IFERROR(__xludf.DUMMYFUNCTION("""COMPUTED_VALUE"""),11.0)</f>
        <v>11</v>
      </c>
      <c r="L417" s="2">
        <f>IFERROR(__xludf.DUMMYFUNCTION("""COMPUTED_VALUE"""),15.0)</f>
        <v>15</v>
      </c>
    </row>
    <row r="418">
      <c r="A418" s="2">
        <f>IFERROR(__xludf.DUMMYFUNCTION("""COMPUTED_VALUE"""),489519.0)</f>
        <v>489519</v>
      </c>
      <c r="B418" s="2" t="str">
        <f>IFERROR(__xludf.DUMMYFUNCTION("""COMPUTED_VALUE"""),"21912")</f>
        <v>21912</v>
      </c>
      <c r="C418" s="2" t="str">
        <f>IFERROR(__xludf.DUMMYFUNCTION("""COMPUTED_VALUE"""),"VINTAGE SNAKES &amp; LADDERS")</f>
        <v>VINTAGE SNAKES &amp; LADDERS</v>
      </c>
      <c r="D418" s="2">
        <f>IFERROR(__xludf.DUMMYFUNCTION("""COMPUTED_VALUE"""),8.0)</f>
        <v>8</v>
      </c>
      <c r="E418" s="6">
        <f>IFERROR(__xludf.DUMMYFUNCTION("""COMPUTED_VALUE"""),40148.48402777778)</f>
        <v>40148.48403</v>
      </c>
      <c r="F418" s="2">
        <f>IFERROR(__xludf.DUMMYFUNCTION("""COMPUTED_VALUE"""),3.75)</f>
        <v>3.75</v>
      </c>
      <c r="G418" s="2">
        <f>IFERROR(__xludf.DUMMYFUNCTION("""COMPUTED_VALUE"""),17700.0)</f>
        <v>17700</v>
      </c>
      <c r="H418" s="2" t="str">
        <f>IFERROR(__xludf.DUMMYFUNCTION("""COMPUTED_VALUE"""),"United Kingdom")</f>
        <v>United Kingdom</v>
      </c>
      <c r="I418" s="7">
        <f>IFERROR(__xludf.DUMMYFUNCTION("""COMPUTED_VALUE"""),40148.0)</f>
        <v>40148</v>
      </c>
      <c r="J418" s="8">
        <f>IFERROR(__xludf.DUMMYFUNCTION("""COMPUTED_VALUE"""),0.48402777777664596)</f>
        <v>0.4840277778</v>
      </c>
      <c r="K418" s="2">
        <f>IFERROR(__xludf.DUMMYFUNCTION("""COMPUTED_VALUE"""),11.0)</f>
        <v>11</v>
      </c>
      <c r="L418" s="2">
        <f>IFERROR(__xludf.DUMMYFUNCTION("""COMPUTED_VALUE"""),30.0)</f>
        <v>30</v>
      </c>
    </row>
    <row r="419">
      <c r="A419" s="2">
        <f>IFERROR(__xludf.DUMMYFUNCTION("""COMPUTED_VALUE"""),489519.0)</f>
        <v>489519</v>
      </c>
      <c r="B419" s="2" t="str">
        <f>IFERROR(__xludf.DUMMYFUNCTION("""COMPUTED_VALUE"""),"90168")</f>
        <v>90168</v>
      </c>
      <c r="C419" s="2" t="str">
        <f>IFERROR(__xludf.DUMMYFUNCTION("""COMPUTED_VALUE"""),"2 DAISIES HAIR COMB")</f>
        <v>2 DAISIES HAIR COMB</v>
      </c>
      <c r="D419" s="2">
        <f>IFERROR(__xludf.DUMMYFUNCTION("""COMPUTED_VALUE"""),6.0)</f>
        <v>6</v>
      </c>
      <c r="E419" s="6">
        <f>IFERROR(__xludf.DUMMYFUNCTION("""COMPUTED_VALUE"""),40148.48402777778)</f>
        <v>40148.48403</v>
      </c>
      <c r="F419" s="2">
        <f>IFERROR(__xludf.DUMMYFUNCTION("""COMPUTED_VALUE"""),2.95)</f>
        <v>2.95</v>
      </c>
      <c r="G419" s="2">
        <f>IFERROR(__xludf.DUMMYFUNCTION("""COMPUTED_VALUE"""),17700.0)</f>
        <v>17700</v>
      </c>
      <c r="H419" s="2" t="str">
        <f>IFERROR(__xludf.DUMMYFUNCTION("""COMPUTED_VALUE"""),"United Kingdom")</f>
        <v>United Kingdom</v>
      </c>
      <c r="I419" s="7">
        <f>IFERROR(__xludf.DUMMYFUNCTION("""COMPUTED_VALUE"""),40148.0)</f>
        <v>40148</v>
      </c>
      <c r="J419" s="8">
        <f>IFERROR(__xludf.DUMMYFUNCTION("""COMPUTED_VALUE"""),0.48402777777664596)</f>
        <v>0.4840277778</v>
      </c>
      <c r="K419" s="2">
        <f>IFERROR(__xludf.DUMMYFUNCTION("""COMPUTED_VALUE"""),11.0)</f>
        <v>11</v>
      </c>
      <c r="L419" s="2">
        <f>IFERROR(__xludf.DUMMYFUNCTION("""COMPUTED_VALUE"""),17.7)</f>
        <v>17.7</v>
      </c>
    </row>
    <row r="420">
      <c r="A420" s="2">
        <f>IFERROR(__xludf.DUMMYFUNCTION("""COMPUTED_VALUE"""),489519.0)</f>
        <v>489519</v>
      </c>
      <c r="B420" s="2" t="str">
        <f>IFERROR(__xludf.DUMMYFUNCTION("""COMPUTED_VALUE"""),"84884A")</f>
        <v>84884A</v>
      </c>
      <c r="C420" s="2" t="str">
        <f>IFERROR(__xludf.DUMMYFUNCTION("""COMPUTED_VALUE"""),"ANT WHITE WIRE HEART SPIRAL")</f>
        <v>ANT WHITE WIRE HEART SPIRAL</v>
      </c>
      <c r="D420" s="2">
        <f>IFERROR(__xludf.DUMMYFUNCTION("""COMPUTED_VALUE"""),5.0)</f>
        <v>5</v>
      </c>
      <c r="E420" s="6">
        <f>IFERROR(__xludf.DUMMYFUNCTION("""COMPUTED_VALUE"""),40148.48402777778)</f>
        <v>40148.48403</v>
      </c>
      <c r="F420" s="2">
        <f>IFERROR(__xludf.DUMMYFUNCTION("""COMPUTED_VALUE"""),3.95)</f>
        <v>3.95</v>
      </c>
      <c r="G420" s="2">
        <f>IFERROR(__xludf.DUMMYFUNCTION("""COMPUTED_VALUE"""),17700.0)</f>
        <v>17700</v>
      </c>
      <c r="H420" s="2" t="str">
        <f>IFERROR(__xludf.DUMMYFUNCTION("""COMPUTED_VALUE"""),"United Kingdom")</f>
        <v>United Kingdom</v>
      </c>
      <c r="I420" s="7">
        <f>IFERROR(__xludf.DUMMYFUNCTION("""COMPUTED_VALUE"""),40148.0)</f>
        <v>40148</v>
      </c>
      <c r="J420" s="8">
        <f>IFERROR(__xludf.DUMMYFUNCTION("""COMPUTED_VALUE"""),0.48402777777664596)</f>
        <v>0.4840277778</v>
      </c>
      <c r="K420" s="2">
        <f>IFERROR(__xludf.DUMMYFUNCTION("""COMPUTED_VALUE"""),11.0)</f>
        <v>11</v>
      </c>
      <c r="L420" s="2">
        <f>IFERROR(__xludf.DUMMYFUNCTION("""COMPUTED_VALUE"""),19.75)</f>
        <v>19.75</v>
      </c>
    </row>
    <row r="421">
      <c r="A421" s="2">
        <f>IFERROR(__xludf.DUMMYFUNCTION("""COMPUTED_VALUE"""),489519.0)</f>
        <v>489519</v>
      </c>
      <c r="B421" s="2" t="str">
        <f>IFERROR(__xludf.DUMMYFUNCTION("""COMPUTED_VALUE"""),"79323W")</f>
        <v>79323W</v>
      </c>
      <c r="C421" s="2" t="str">
        <f>IFERROR(__xludf.DUMMYFUNCTION("""COMPUTED_VALUE"""),"WHITE CHERRY LIGHTS")</f>
        <v>WHITE CHERRY LIGHTS</v>
      </c>
      <c r="D421" s="2">
        <f>IFERROR(__xludf.DUMMYFUNCTION("""COMPUTED_VALUE"""),4.0)</f>
        <v>4</v>
      </c>
      <c r="E421" s="6">
        <f>IFERROR(__xludf.DUMMYFUNCTION("""COMPUTED_VALUE"""),40148.48402777778)</f>
        <v>40148.48403</v>
      </c>
      <c r="F421" s="2">
        <f>IFERROR(__xludf.DUMMYFUNCTION("""COMPUTED_VALUE"""),6.75)</f>
        <v>6.75</v>
      </c>
      <c r="G421" s="2">
        <f>IFERROR(__xludf.DUMMYFUNCTION("""COMPUTED_VALUE"""),17700.0)</f>
        <v>17700</v>
      </c>
      <c r="H421" s="2" t="str">
        <f>IFERROR(__xludf.DUMMYFUNCTION("""COMPUTED_VALUE"""),"United Kingdom")</f>
        <v>United Kingdom</v>
      </c>
      <c r="I421" s="7">
        <f>IFERROR(__xludf.DUMMYFUNCTION("""COMPUTED_VALUE"""),40148.0)</f>
        <v>40148</v>
      </c>
      <c r="J421" s="8">
        <f>IFERROR(__xludf.DUMMYFUNCTION("""COMPUTED_VALUE"""),0.48402777777664596)</f>
        <v>0.4840277778</v>
      </c>
      <c r="K421" s="2">
        <f>IFERROR(__xludf.DUMMYFUNCTION("""COMPUTED_VALUE"""),11.0)</f>
        <v>11</v>
      </c>
      <c r="L421" s="2">
        <f>IFERROR(__xludf.DUMMYFUNCTION("""COMPUTED_VALUE"""),27.0)</f>
        <v>27</v>
      </c>
    </row>
    <row r="422">
      <c r="A422" s="2">
        <f>IFERROR(__xludf.DUMMYFUNCTION("""COMPUTED_VALUE"""),489519.0)</f>
        <v>489519</v>
      </c>
      <c r="B422" s="2" t="str">
        <f>IFERROR(__xludf.DUMMYFUNCTION("""COMPUTED_VALUE"""),"90013C")</f>
        <v>90013C</v>
      </c>
      <c r="C422" s="2" t="str">
        <f>IFERROR(__xludf.DUMMYFUNCTION("""COMPUTED_VALUE"""),"GREEN VINTAGE EARRINGS")</f>
        <v>GREEN VINTAGE EARRINGS</v>
      </c>
      <c r="D422" s="2">
        <f>IFERROR(__xludf.DUMMYFUNCTION("""COMPUTED_VALUE"""),4.0)</f>
        <v>4</v>
      </c>
      <c r="E422" s="6">
        <f>IFERROR(__xludf.DUMMYFUNCTION("""COMPUTED_VALUE"""),40148.48402777778)</f>
        <v>40148.48403</v>
      </c>
      <c r="F422" s="2">
        <f>IFERROR(__xludf.DUMMYFUNCTION("""COMPUTED_VALUE"""),3.75)</f>
        <v>3.75</v>
      </c>
      <c r="G422" s="2">
        <f>IFERROR(__xludf.DUMMYFUNCTION("""COMPUTED_VALUE"""),17700.0)</f>
        <v>17700</v>
      </c>
      <c r="H422" s="2" t="str">
        <f>IFERROR(__xludf.DUMMYFUNCTION("""COMPUTED_VALUE"""),"United Kingdom")</f>
        <v>United Kingdom</v>
      </c>
      <c r="I422" s="7">
        <f>IFERROR(__xludf.DUMMYFUNCTION("""COMPUTED_VALUE"""),40148.0)</f>
        <v>40148</v>
      </c>
      <c r="J422" s="8">
        <f>IFERROR(__xludf.DUMMYFUNCTION("""COMPUTED_VALUE"""),0.48402777777664596)</f>
        <v>0.4840277778</v>
      </c>
      <c r="K422" s="2">
        <f>IFERROR(__xludf.DUMMYFUNCTION("""COMPUTED_VALUE"""),11.0)</f>
        <v>11</v>
      </c>
      <c r="L422" s="2">
        <f>IFERROR(__xludf.DUMMYFUNCTION("""COMPUTED_VALUE"""),15.0)</f>
        <v>15</v>
      </c>
    </row>
    <row r="423">
      <c r="A423" s="2">
        <f>IFERROR(__xludf.DUMMYFUNCTION("""COMPUTED_VALUE"""),489519.0)</f>
        <v>489519</v>
      </c>
      <c r="B423" s="2" t="str">
        <f>IFERROR(__xludf.DUMMYFUNCTION("""COMPUTED_VALUE"""),"90023")</f>
        <v>90023</v>
      </c>
      <c r="C423" s="2" t="str">
        <f>IFERROR(__xludf.DUMMYFUNCTION("""COMPUTED_VALUE"""),"FILIGREE DIAMANTE EARRINGS")</f>
        <v>FILIGREE DIAMANTE EARRINGS</v>
      </c>
      <c r="D423" s="2">
        <f>IFERROR(__xludf.DUMMYFUNCTION("""COMPUTED_VALUE"""),2.0)</f>
        <v>2</v>
      </c>
      <c r="E423" s="6">
        <f>IFERROR(__xludf.DUMMYFUNCTION("""COMPUTED_VALUE"""),40148.48402777778)</f>
        <v>40148.48403</v>
      </c>
      <c r="F423" s="2">
        <f>IFERROR(__xludf.DUMMYFUNCTION("""COMPUTED_VALUE"""),4.25)</f>
        <v>4.25</v>
      </c>
      <c r="G423" s="2">
        <f>IFERROR(__xludf.DUMMYFUNCTION("""COMPUTED_VALUE"""),17700.0)</f>
        <v>17700</v>
      </c>
      <c r="H423" s="2" t="str">
        <f>IFERROR(__xludf.DUMMYFUNCTION("""COMPUTED_VALUE"""),"United Kingdom")</f>
        <v>United Kingdom</v>
      </c>
      <c r="I423" s="7">
        <f>IFERROR(__xludf.DUMMYFUNCTION("""COMPUTED_VALUE"""),40148.0)</f>
        <v>40148</v>
      </c>
      <c r="J423" s="8">
        <f>IFERROR(__xludf.DUMMYFUNCTION("""COMPUTED_VALUE"""),0.48402777777664596)</f>
        <v>0.4840277778</v>
      </c>
      <c r="K423" s="2">
        <f>IFERROR(__xludf.DUMMYFUNCTION("""COMPUTED_VALUE"""),11.0)</f>
        <v>11</v>
      </c>
      <c r="L423" s="2">
        <f>IFERROR(__xludf.DUMMYFUNCTION("""COMPUTED_VALUE"""),8.5)</f>
        <v>8.5</v>
      </c>
    </row>
    <row r="424">
      <c r="A424" s="2">
        <f>IFERROR(__xludf.DUMMYFUNCTION("""COMPUTED_VALUE"""),489519.0)</f>
        <v>489519</v>
      </c>
      <c r="B424" s="2" t="str">
        <f>IFERROR(__xludf.DUMMYFUNCTION("""COMPUTED_VALUE"""),"90067A")</f>
        <v>90067A</v>
      </c>
      <c r="C424" s="2" t="str">
        <f>IFERROR(__xludf.DUMMYFUNCTION("""COMPUTED_VALUE"""),"PINK VINTAGE VICTORIAN EARRINGS")</f>
        <v>PINK VINTAGE VICTORIAN EARRINGS</v>
      </c>
      <c r="D424" s="2">
        <f>IFERROR(__xludf.DUMMYFUNCTION("""COMPUTED_VALUE"""),6.0)</f>
        <v>6</v>
      </c>
      <c r="E424" s="6">
        <f>IFERROR(__xludf.DUMMYFUNCTION("""COMPUTED_VALUE"""),40148.48402777778)</f>
        <v>40148.48403</v>
      </c>
      <c r="F424" s="2">
        <f>IFERROR(__xludf.DUMMYFUNCTION("""COMPUTED_VALUE"""),2.95)</f>
        <v>2.95</v>
      </c>
      <c r="G424" s="2">
        <f>IFERROR(__xludf.DUMMYFUNCTION("""COMPUTED_VALUE"""),17700.0)</f>
        <v>17700</v>
      </c>
      <c r="H424" s="2" t="str">
        <f>IFERROR(__xludf.DUMMYFUNCTION("""COMPUTED_VALUE"""),"United Kingdom")</f>
        <v>United Kingdom</v>
      </c>
      <c r="I424" s="7">
        <f>IFERROR(__xludf.DUMMYFUNCTION("""COMPUTED_VALUE"""),40148.0)</f>
        <v>40148</v>
      </c>
      <c r="J424" s="8">
        <f>IFERROR(__xludf.DUMMYFUNCTION("""COMPUTED_VALUE"""),0.48402777777664596)</f>
        <v>0.4840277778</v>
      </c>
      <c r="K424" s="2">
        <f>IFERROR(__xludf.DUMMYFUNCTION("""COMPUTED_VALUE"""),11.0)</f>
        <v>11</v>
      </c>
      <c r="L424" s="2">
        <f>IFERROR(__xludf.DUMMYFUNCTION("""COMPUTED_VALUE"""),17.7)</f>
        <v>17.7</v>
      </c>
    </row>
    <row r="425">
      <c r="A425" s="2">
        <f>IFERROR(__xludf.DUMMYFUNCTION("""COMPUTED_VALUE"""),489519.0)</f>
        <v>489519</v>
      </c>
      <c r="B425" s="2" t="str">
        <f>IFERROR(__xludf.DUMMYFUNCTION("""COMPUTED_VALUE"""),"90067B")</f>
        <v>90067B</v>
      </c>
      <c r="C425" s="2" t="str">
        <f>IFERROR(__xludf.DUMMYFUNCTION("""COMPUTED_VALUE"""),"BROWN VINTAGE VICTORIAN EARRINGS")</f>
        <v>BROWN VINTAGE VICTORIAN EARRINGS</v>
      </c>
      <c r="D425" s="2">
        <f>IFERROR(__xludf.DUMMYFUNCTION("""COMPUTED_VALUE"""),6.0)</f>
        <v>6</v>
      </c>
      <c r="E425" s="6">
        <f>IFERROR(__xludf.DUMMYFUNCTION("""COMPUTED_VALUE"""),40148.48402777778)</f>
        <v>40148.48403</v>
      </c>
      <c r="F425" s="2">
        <f>IFERROR(__xludf.DUMMYFUNCTION("""COMPUTED_VALUE"""),2.95)</f>
        <v>2.95</v>
      </c>
      <c r="G425" s="2">
        <f>IFERROR(__xludf.DUMMYFUNCTION("""COMPUTED_VALUE"""),17700.0)</f>
        <v>17700</v>
      </c>
      <c r="H425" s="2" t="str">
        <f>IFERROR(__xludf.DUMMYFUNCTION("""COMPUTED_VALUE"""),"United Kingdom")</f>
        <v>United Kingdom</v>
      </c>
      <c r="I425" s="7">
        <f>IFERROR(__xludf.DUMMYFUNCTION("""COMPUTED_VALUE"""),40148.0)</f>
        <v>40148</v>
      </c>
      <c r="J425" s="8">
        <f>IFERROR(__xludf.DUMMYFUNCTION("""COMPUTED_VALUE"""),0.48402777777664596)</f>
        <v>0.4840277778</v>
      </c>
      <c r="K425" s="2">
        <f>IFERROR(__xludf.DUMMYFUNCTION("""COMPUTED_VALUE"""),11.0)</f>
        <v>11</v>
      </c>
      <c r="L425" s="2">
        <f>IFERROR(__xludf.DUMMYFUNCTION("""COMPUTED_VALUE"""),17.7)</f>
        <v>17.7</v>
      </c>
    </row>
    <row r="426">
      <c r="A426" s="2">
        <f>IFERROR(__xludf.DUMMYFUNCTION("""COMPUTED_VALUE"""),489519.0)</f>
        <v>489519</v>
      </c>
      <c r="B426" s="2" t="str">
        <f>IFERROR(__xludf.DUMMYFUNCTION("""COMPUTED_VALUE"""),"90145")</f>
        <v>90145</v>
      </c>
      <c r="C426" s="2" t="str">
        <f>IFERROR(__xludf.DUMMYFUNCTION("""COMPUTED_VALUE"""),"SILVER HOOP EARRINGS WITH FLOWER")</f>
        <v>SILVER HOOP EARRINGS WITH FLOWER</v>
      </c>
      <c r="D426" s="2">
        <f>IFERROR(__xludf.DUMMYFUNCTION("""COMPUTED_VALUE"""),2.0)</f>
        <v>2</v>
      </c>
      <c r="E426" s="6">
        <f>IFERROR(__xludf.DUMMYFUNCTION("""COMPUTED_VALUE"""),40148.48402777778)</f>
        <v>40148.48403</v>
      </c>
      <c r="F426" s="2">
        <f>IFERROR(__xludf.DUMMYFUNCTION("""COMPUTED_VALUE"""),5.95)</f>
        <v>5.95</v>
      </c>
      <c r="G426" s="2">
        <f>IFERROR(__xludf.DUMMYFUNCTION("""COMPUTED_VALUE"""),17700.0)</f>
        <v>17700</v>
      </c>
      <c r="H426" s="2" t="str">
        <f>IFERROR(__xludf.DUMMYFUNCTION("""COMPUTED_VALUE"""),"United Kingdom")</f>
        <v>United Kingdom</v>
      </c>
      <c r="I426" s="7">
        <f>IFERROR(__xludf.DUMMYFUNCTION("""COMPUTED_VALUE"""),40148.0)</f>
        <v>40148</v>
      </c>
      <c r="J426" s="8">
        <f>IFERROR(__xludf.DUMMYFUNCTION("""COMPUTED_VALUE"""),0.48402777777664596)</f>
        <v>0.4840277778</v>
      </c>
      <c r="K426" s="2">
        <f>IFERROR(__xludf.DUMMYFUNCTION("""COMPUTED_VALUE"""),11.0)</f>
        <v>11</v>
      </c>
      <c r="L426" s="2">
        <f>IFERROR(__xludf.DUMMYFUNCTION("""COMPUTED_VALUE"""),11.9)</f>
        <v>11.9</v>
      </c>
    </row>
    <row r="427">
      <c r="A427" s="2">
        <f>IFERROR(__xludf.DUMMYFUNCTION("""COMPUTED_VALUE"""),489519.0)</f>
        <v>489519</v>
      </c>
      <c r="B427" s="2" t="str">
        <f>IFERROR(__xludf.DUMMYFUNCTION("""COMPUTED_VALUE"""),"90000A")</f>
        <v>90000A</v>
      </c>
      <c r="C427" s="2" t="str">
        <f>IFERROR(__xludf.DUMMYFUNCTION("""COMPUTED_VALUE"""),"RASPBERRY ANT COPPER FLOWER NECKLAC")</f>
        <v>RASPBERRY ANT COPPER FLOWER NECKLAC</v>
      </c>
      <c r="D427" s="2">
        <f>IFERROR(__xludf.DUMMYFUNCTION("""COMPUTED_VALUE"""),2.0)</f>
        <v>2</v>
      </c>
      <c r="E427" s="6">
        <f>IFERROR(__xludf.DUMMYFUNCTION("""COMPUTED_VALUE"""),40148.48402777778)</f>
        <v>40148.48403</v>
      </c>
      <c r="F427" s="2">
        <f>IFERROR(__xludf.DUMMYFUNCTION("""COMPUTED_VALUE"""),5.95)</f>
        <v>5.95</v>
      </c>
      <c r="G427" s="2">
        <f>IFERROR(__xludf.DUMMYFUNCTION("""COMPUTED_VALUE"""),17700.0)</f>
        <v>17700</v>
      </c>
      <c r="H427" s="2" t="str">
        <f>IFERROR(__xludf.DUMMYFUNCTION("""COMPUTED_VALUE"""),"United Kingdom")</f>
        <v>United Kingdom</v>
      </c>
      <c r="I427" s="7">
        <f>IFERROR(__xludf.DUMMYFUNCTION("""COMPUTED_VALUE"""),40148.0)</f>
        <v>40148</v>
      </c>
      <c r="J427" s="8">
        <f>IFERROR(__xludf.DUMMYFUNCTION("""COMPUTED_VALUE"""),0.48402777777664596)</f>
        <v>0.4840277778</v>
      </c>
      <c r="K427" s="2">
        <f>IFERROR(__xludf.DUMMYFUNCTION("""COMPUTED_VALUE"""),11.0)</f>
        <v>11</v>
      </c>
      <c r="L427" s="2">
        <f>IFERROR(__xludf.DUMMYFUNCTION("""COMPUTED_VALUE"""),11.9)</f>
        <v>11.9</v>
      </c>
    </row>
    <row r="428">
      <c r="A428" s="2">
        <f>IFERROR(__xludf.DUMMYFUNCTION("""COMPUTED_VALUE"""),489519.0)</f>
        <v>489519</v>
      </c>
      <c r="B428" s="2" t="str">
        <f>IFERROR(__xludf.DUMMYFUNCTION("""COMPUTED_VALUE"""),"90024B")</f>
        <v>90024B</v>
      </c>
      <c r="C428" s="2" t="str">
        <f>IFERROR(__xludf.DUMMYFUNCTION("""COMPUTED_VALUE"""),"NEW BAROQUE B'FLY NECKLACE RED")</f>
        <v>NEW BAROQUE B'FLY NECKLACE RED</v>
      </c>
      <c r="D428" s="2">
        <f>IFERROR(__xludf.DUMMYFUNCTION("""COMPUTED_VALUE"""),2.0)</f>
        <v>2</v>
      </c>
      <c r="E428" s="6">
        <f>IFERROR(__xludf.DUMMYFUNCTION("""COMPUTED_VALUE"""),40148.48402777778)</f>
        <v>40148.48403</v>
      </c>
      <c r="F428" s="2">
        <f>IFERROR(__xludf.DUMMYFUNCTION("""COMPUTED_VALUE"""),8.5)</f>
        <v>8.5</v>
      </c>
      <c r="G428" s="2">
        <f>IFERROR(__xludf.DUMMYFUNCTION("""COMPUTED_VALUE"""),17700.0)</f>
        <v>17700</v>
      </c>
      <c r="H428" s="2" t="str">
        <f>IFERROR(__xludf.DUMMYFUNCTION("""COMPUTED_VALUE"""),"United Kingdom")</f>
        <v>United Kingdom</v>
      </c>
      <c r="I428" s="7">
        <f>IFERROR(__xludf.DUMMYFUNCTION("""COMPUTED_VALUE"""),40148.0)</f>
        <v>40148</v>
      </c>
      <c r="J428" s="8">
        <f>IFERROR(__xludf.DUMMYFUNCTION("""COMPUTED_VALUE"""),0.48402777777664596)</f>
        <v>0.4840277778</v>
      </c>
      <c r="K428" s="2">
        <f>IFERROR(__xludf.DUMMYFUNCTION("""COMPUTED_VALUE"""),11.0)</f>
        <v>11</v>
      </c>
      <c r="L428" s="2">
        <f>IFERROR(__xludf.DUMMYFUNCTION("""COMPUTED_VALUE"""),17.0)</f>
        <v>17</v>
      </c>
    </row>
    <row r="429">
      <c r="A429" s="2">
        <f>IFERROR(__xludf.DUMMYFUNCTION("""COMPUTED_VALUE"""),489519.0)</f>
        <v>489519</v>
      </c>
      <c r="B429" s="2" t="str">
        <f>IFERROR(__xludf.DUMMYFUNCTION("""COMPUTED_VALUE"""),"90036D")</f>
        <v>90036D</v>
      </c>
      <c r="C429" s="2" t="str">
        <f>IFERROR(__xludf.DUMMYFUNCTION("""COMPUTED_VALUE"""),"FLOWER GLASS GARLAND NECKL.36""BLACK")</f>
        <v>FLOWER GLASS GARLAND NECKL.36"BLACK</v>
      </c>
      <c r="D429" s="2">
        <f>IFERROR(__xludf.DUMMYFUNCTION("""COMPUTED_VALUE"""),3.0)</f>
        <v>3</v>
      </c>
      <c r="E429" s="6">
        <f>IFERROR(__xludf.DUMMYFUNCTION("""COMPUTED_VALUE"""),40148.48402777778)</f>
        <v>40148.48403</v>
      </c>
      <c r="F429" s="2">
        <f>IFERROR(__xludf.DUMMYFUNCTION("""COMPUTED_VALUE"""),7.95)</f>
        <v>7.95</v>
      </c>
      <c r="G429" s="2">
        <f>IFERROR(__xludf.DUMMYFUNCTION("""COMPUTED_VALUE"""),17700.0)</f>
        <v>17700</v>
      </c>
      <c r="H429" s="2" t="str">
        <f>IFERROR(__xludf.DUMMYFUNCTION("""COMPUTED_VALUE"""),"United Kingdom")</f>
        <v>United Kingdom</v>
      </c>
      <c r="I429" s="7">
        <f>IFERROR(__xludf.DUMMYFUNCTION("""COMPUTED_VALUE"""),40148.0)</f>
        <v>40148</v>
      </c>
      <c r="J429" s="8">
        <f>IFERROR(__xludf.DUMMYFUNCTION("""COMPUTED_VALUE"""),0.48402777777664596)</f>
        <v>0.4840277778</v>
      </c>
      <c r="K429" s="2">
        <f>IFERROR(__xludf.DUMMYFUNCTION("""COMPUTED_VALUE"""),11.0)</f>
        <v>11</v>
      </c>
      <c r="L429" s="2">
        <f>IFERROR(__xludf.DUMMYFUNCTION("""COMPUTED_VALUE"""),23.85)</f>
        <v>23.85</v>
      </c>
    </row>
    <row r="430">
      <c r="A430" s="2">
        <f>IFERROR(__xludf.DUMMYFUNCTION("""COMPUTED_VALUE"""),489519.0)</f>
        <v>489519</v>
      </c>
      <c r="B430" s="2" t="str">
        <f>IFERROR(__xludf.DUMMYFUNCTION("""COMPUTED_VALUE"""),"90134")</f>
        <v>90134</v>
      </c>
      <c r="C430" s="2" t="str">
        <f>IFERROR(__xludf.DUMMYFUNCTION("""COMPUTED_VALUE"""),"OLD ROSE COMBO BEAD NECKLACE")</f>
        <v>OLD ROSE COMBO BEAD NECKLACE</v>
      </c>
      <c r="D430" s="2">
        <f>IFERROR(__xludf.DUMMYFUNCTION("""COMPUTED_VALUE"""),6.0)</f>
        <v>6</v>
      </c>
      <c r="E430" s="6">
        <f>IFERROR(__xludf.DUMMYFUNCTION("""COMPUTED_VALUE"""),40148.48402777778)</f>
        <v>40148.48403</v>
      </c>
      <c r="F430" s="2">
        <f>IFERROR(__xludf.DUMMYFUNCTION("""COMPUTED_VALUE"""),2.95)</f>
        <v>2.95</v>
      </c>
      <c r="G430" s="2">
        <f>IFERROR(__xludf.DUMMYFUNCTION("""COMPUTED_VALUE"""),17700.0)</f>
        <v>17700</v>
      </c>
      <c r="H430" s="2" t="str">
        <f>IFERROR(__xludf.DUMMYFUNCTION("""COMPUTED_VALUE"""),"United Kingdom")</f>
        <v>United Kingdom</v>
      </c>
      <c r="I430" s="7">
        <f>IFERROR(__xludf.DUMMYFUNCTION("""COMPUTED_VALUE"""),40148.0)</f>
        <v>40148</v>
      </c>
      <c r="J430" s="8">
        <f>IFERROR(__xludf.DUMMYFUNCTION("""COMPUTED_VALUE"""),0.48402777777664596)</f>
        <v>0.4840277778</v>
      </c>
      <c r="K430" s="2">
        <f>IFERROR(__xludf.DUMMYFUNCTION("""COMPUTED_VALUE"""),11.0)</f>
        <v>11</v>
      </c>
      <c r="L430" s="2">
        <f>IFERROR(__xludf.DUMMYFUNCTION("""COMPUTED_VALUE"""),17.7)</f>
        <v>17.7</v>
      </c>
    </row>
    <row r="431">
      <c r="A431" s="2">
        <f>IFERROR(__xludf.DUMMYFUNCTION("""COMPUTED_VALUE"""),489519.0)</f>
        <v>489519</v>
      </c>
      <c r="B431" s="2" t="str">
        <f>IFERROR(__xludf.DUMMYFUNCTION("""COMPUTED_VALUE"""),"90131")</f>
        <v>90131</v>
      </c>
      <c r="C431" s="2" t="str">
        <f>IFERROR(__xludf.DUMMYFUNCTION("""COMPUTED_VALUE"""),"PINK/AMETHYST/GOLD NECKLACE")</f>
        <v>PINK/AMETHYST/GOLD NECKLACE</v>
      </c>
      <c r="D431" s="2">
        <f>IFERROR(__xludf.DUMMYFUNCTION("""COMPUTED_VALUE"""),2.0)</f>
        <v>2</v>
      </c>
      <c r="E431" s="6">
        <f>IFERROR(__xludf.DUMMYFUNCTION("""COMPUTED_VALUE"""),40148.48402777778)</f>
        <v>40148.48403</v>
      </c>
      <c r="F431" s="2">
        <f>IFERROR(__xludf.DUMMYFUNCTION("""COMPUTED_VALUE"""),6.95)</f>
        <v>6.95</v>
      </c>
      <c r="G431" s="2">
        <f>IFERROR(__xludf.DUMMYFUNCTION("""COMPUTED_VALUE"""),17700.0)</f>
        <v>17700</v>
      </c>
      <c r="H431" s="2" t="str">
        <f>IFERROR(__xludf.DUMMYFUNCTION("""COMPUTED_VALUE"""),"United Kingdom")</f>
        <v>United Kingdom</v>
      </c>
      <c r="I431" s="7">
        <f>IFERROR(__xludf.DUMMYFUNCTION("""COMPUTED_VALUE"""),40148.0)</f>
        <v>40148</v>
      </c>
      <c r="J431" s="8">
        <f>IFERROR(__xludf.DUMMYFUNCTION("""COMPUTED_VALUE"""),0.48402777777664596)</f>
        <v>0.4840277778</v>
      </c>
      <c r="K431" s="2">
        <f>IFERROR(__xludf.DUMMYFUNCTION("""COMPUTED_VALUE"""),11.0)</f>
        <v>11</v>
      </c>
      <c r="L431" s="2">
        <f>IFERROR(__xludf.DUMMYFUNCTION("""COMPUTED_VALUE"""),13.9)</f>
        <v>13.9</v>
      </c>
    </row>
    <row r="432">
      <c r="A432" s="2">
        <f>IFERROR(__xludf.DUMMYFUNCTION("""COMPUTED_VALUE"""),489519.0)</f>
        <v>489519</v>
      </c>
      <c r="B432" s="2" t="str">
        <f>IFERROR(__xludf.DUMMYFUNCTION("""COMPUTED_VALUE"""),"90199C")</f>
        <v>90199C</v>
      </c>
      <c r="C432" s="2" t="str">
        <f>IFERROR(__xludf.DUMMYFUNCTION("""COMPUTED_VALUE"""),"5 STRAND GLASS NECKLACE CRYSTAL")</f>
        <v>5 STRAND GLASS NECKLACE CRYSTAL</v>
      </c>
      <c r="D432" s="2">
        <f>IFERROR(__xludf.DUMMYFUNCTION("""COMPUTED_VALUE"""),2.0)</f>
        <v>2</v>
      </c>
      <c r="E432" s="6">
        <f>IFERROR(__xludf.DUMMYFUNCTION("""COMPUTED_VALUE"""),40148.48402777778)</f>
        <v>40148.48403</v>
      </c>
      <c r="F432" s="2">
        <f>IFERROR(__xludf.DUMMYFUNCTION("""COMPUTED_VALUE"""),6.35)</f>
        <v>6.35</v>
      </c>
      <c r="G432" s="2">
        <f>IFERROR(__xludf.DUMMYFUNCTION("""COMPUTED_VALUE"""),17700.0)</f>
        <v>17700</v>
      </c>
      <c r="H432" s="2" t="str">
        <f>IFERROR(__xludf.DUMMYFUNCTION("""COMPUTED_VALUE"""),"United Kingdom")</f>
        <v>United Kingdom</v>
      </c>
      <c r="I432" s="7">
        <f>IFERROR(__xludf.DUMMYFUNCTION("""COMPUTED_VALUE"""),40148.0)</f>
        <v>40148</v>
      </c>
      <c r="J432" s="8">
        <f>IFERROR(__xludf.DUMMYFUNCTION("""COMPUTED_VALUE"""),0.48402777777664596)</f>
        <v>0.4840277778</v>
      </c>
      <c r="K432" s="2">
        <f>IFERROR(__xludf.DUMMYFUNCTION("""COMPUTED_VALUE"""),11.0)</f>
        <v>11</v>
      </c>
      <c r="L432" s="2">
        <f>IFERROR(__xludf.DUMMYFUNCTION("""COMPUTED_VALUE"""),12.7)</f>
        <v>12.7</v>
      </c>
    </row>
    <row r="433">
      <c r="A433" s="2">
        <f>IFERROR(__xludf.DUMMYFUNCTION("""COMPUTED_VALUE"""),489520.0)</f>
        <v>489520</v>
      </c>
      <c r="B433" s="2" t="str">
        <f>IFERROR(__xludf.DUMMYFUNCTION("""COMPUTED_VALUE"""),"35751C")</f>
        <v>35751C</v>
      </c>
      <c r="C433" s="2" t="str">
        <f>IFERROR(__xludf.DUMMYFUNCTION("""COMPUTED_VALUE"""),"PURPLE CURRENT CANDLE RING")</f>
        <v>PURPLE CURRENT CANDLE RING</v>
      </c>
      <c r="D433" s="2">
        <f>IFERROR(__xludf.DUMMYFUNCTION("""COMPUTED_VALUE"""),12.0)</f>
        <v>12</v>
      </c>
      <c r="E433" s="6">
        <f>IFERROR(__xludf.DUMMYFUNCTION("""COMPUTED_VALUE"""),40148.486805555556)</f>
        <v>40148.48681</v>
      </c>
      <c r="F433" s="2">
        <f>IFERROR(__xludf.DUMMYFUNCTION("""COMPUTED_VALUE"""),0.75)</f>
        <v>0.75</v>
      </c>
      <c r="G433" s="2">
        <f>IFERROR(__xludf.DUMMYFUNCTION("""COMPUTED_VALUE"""),14911.0)</f>
        <v>14911</v>
      </c>
      <c r="H433" s="2" t="str">
        <f>IFERROR(__xludf.DUMMYFUNCTION("""COMPUTED_VALUE"""),"EIRE")</f>
        <v>EIRE</v>
      </c>
      <c r="I433" s="7">
        <f>IFERROR(__xludf.DUMMYFUNCTION("""COMPUTED_VALUE"""),40148.0)</f>
        <v>40148</v>
      </c>
      <c r="J433" s="8">
        <f>IFERROR(__xludf.DUMMYFUNCTION("""COMPUTED_VALUE"""),0.4868055555562023)</f>
        <v>0.4868055556</v>
      </c>
      <c r="K433" s="2">
        <f>IFERROR(__xludf.DUMMYFUNCTION("""COMPUTED_VALUE"""),11.0)</f>
        <v>11</v>
      </c>
      <c r="L433" s="2">
        <f>IFERROR(__xludf.DUMMYFUNCTION("""COMPUTED_VALUE"""),9.0)</f>
        <v>9</v>
      </c>
    </row>
    <row r="434">
      <c r="A434" s="2">
        <f>IFERROR(__xludf.DUMMYFUNCTION("""COMPUTED_VALUE"""),489520.0)</f>
        <v>489520</v>
      </c>
      <c r="B434" s="2" t="str">
        <f>IFERROR(__xludf.DUMMYFUNCTION("""COMPUTED_VALUE"""),"72739B")</f>
        <v>72739B</v>
      </c>
      <c r="C434" s="2" t="str">
        <f>IFERROR(__xludf.DUMMYFUNCTION("""COMPUTED_VALUE"""),"WHITE CHOCOLATE SCENT CANDLE")</f>
        <v>WHITE CHOCOLATE SCENT CANDLE</v>
      </c>
      <c r="D434" s="2">
        <f>IFERROR(__xludf.DUMMYFUNCTION("""COMPUTED_VALUE"""),12.0)</f>
        <v>12</v>
      </c>
      <c r="E434" s="6">
        <f>IFERROR(__xludf.DUMMYFUNCTION("""COMPUTED_VALUE"""),40148.486805555556)</f>
        <v>40148.48681</v>
      </c>
      <c r="F434" s="2">
        <f>IFERROR(__xludf.DUMMYFUNCTION("""COMPUTED_VALUE"""),1.25)</f>
        <v>1.25</v>
      </c>
      <c r="G434" s="2">
        <f>IFERROR(__xludf.DUMMYFUNCTION("""COMPUTED_VALUE"""),14911.0)</f>
        <v>14911</v>
      </c>
      <c r="H434" s="2" t="str">
        <f>IFERROR(__xludf.DUMMYFUNCTION("""COMPUTED_VALUE"""),"EIRE")</f>
        <v>EIRE</v>
      </c>
      <c r="I434" s="7">
        <f>IFERROR(__xludf.DUMMYFUNCTION("""COMPUTED_VALUE"""),40148.0)</f>
        <v>40148</v>
      </c>
      <c r="J434" s="8">
        <f>IFERROR(__xludf.DUMMYFUNCTION("""COMPUTED_VALUE"""),0.4868055555562023)</f>
        <v>0.4868055556</v>
      </c>
      <c r="K434" s="2">
        <f>IFERROR(__xludf.DUMMYFUNCTION("""COMPUTED_VALUE"""),11.0)</f>
        <v>11</v>
      </c>
      <c r="L434" s="2">
        <f>IFERROR(__xludf.DUMMYFUNCTION("""COMPUTED_VALUE"""),15.0)</f>
        <v>15</v>
      </c>
    </row>
    <row r="435">
      <c r="A435" s="2">
        <f>IFERROR(__xludf.DUMMYFUNCTION("""COMPUTED_VALUE"""),489520.0)</f>
        <v>489520</v>
      </c>
      <c r="B435" s="2" t="str">
        <f>IFERROR(__xludf.DUMMYFUNCTION("""COMPUTED_VALUE"""),"22114")</f>
        <v>22114</v>
      </c>
      <c r="C435" s="2" t="str">
        <f>IFERROR(__xludf.DUMMYFUNCTION("""COMPUTED_VALUE"""),"HOT WATER BOTTLE TEA AND SYMPATHY")</f>
        <v>HOT WATER BOTTLE TEA AND SYMPATHY</v>
      </c>
      <c r="D435" s="2">
        <f>IFERROR(__xludf.DUMMYFUNCTION("""COMPUTED_VALUE"""),8.0)</f>
        <v>8</v>
      </c>
      <c r="E435" s="6">
        <f>IFERROR(__xludf.DUMMYFUNCTION("""COMPUTED_VALUE"""),40148.486805555556)</f>
        <v>40148.48681</v>
      </c>
      <c r="F435" s="2">
        <f>IFERROR(__xludf.DUMMYFUNCTION("""COMPUTED_VALUE"""),3.95)</f>
        <v>3.95</v>
      </c>
      <c r="G435" s="2">
        <f>IFERROR(__xludf.DUMMYFUNCTION("""COMPUTED_VALUE"""),14911.0)</f>
        <v>14911</v>
      </c>
      <c r="H435" s="2" t="str">
        <f>IFERROR(__xludf.DUMMYFUNCTION("""COMPUTED_VALUE"""),"EIRE")</f>
        <v>EIRE</v>
      </c>
      <c r="I435" s="7">
        <f>IFERROR(__xludf.DUMMYFUNCTION("""COMPUTED_VALUE"""),40148.0)</f>
        <v>40148</v>
      </c>
      <c r="J435" s="8">
        <f>IFERROR(__xludf.DUMMYFUNCTION("""COMPUTED_VALUE"""),0.4868055555562023)</f>
        <v>0.4868055556</v>
      </c>
      <c r="K435" s="2">
        <f>IFERROR(__xludf.DUMMYFUNCTION("""COMPUTED_VALUE"""),11.0)</f>
        <v>11</v>
      </c>
      <c r="L435" s="2">
        <f>IFERROR(__xludf.DUMMYFUNCTION("""COMPUTED_VALUE"""),31.6)</f>
        <v>31.6</v>
      </c>
    </row>
    <row r="436">
      <c r="A436" s="2">
        <f>IFERROR(__xludf.DUMMYFUNCTION("""COMPUTED_VALUE"""),489520.0)</f>
        <v>489520</v>
      </c>
      <c r="B436" s="2" t="str">
        <f>IFERROR(__xludf.DUMMYFUNCTION("""COMPUTED_VALUE"""),"22212")</f>
        <v>22212</v>
      </c>
      <c r="C436" s="2" t="str">
        <f>IFERROR(__xludf.DUMMYFUNCTION("""COMPUTED_VALUE"""),"FOUR HOOK WHITE LOVEBIRDS")</f>
        <v>FOUR HOOK WHITE LOVEBIRDS</v>
      </c>
      <c r="D436" s="2">
        <f>IFERROR(__xludf.DUMMYFUNCTION("""COMPUTED_VALUE"""),6.0)</f>
        <v>6</v>
      </c>
      <c r="E436" s="6">
        <f>IFERROR(__xludf.DUMMYFUNCTION("""COMPUTED_VALUE"""),40148.486805555556)</f>
        <v>40148.48681</v>
      </c>
      <c r="F436" s="2">
        <f>IFERROR(__xludf.DUMMYFUNCTION("""COMPUTED_VALUE"""),2.1)</f>
        <v>2.1</v>
      </c>
      <c r="G436" s="2">
        <f>IFERROR(__xludf.DUMMYFUNCTION("""COMPUTED_VALUE"""),14911.0)</f>
        <v>14911</v>
      </c>
      <c r="H436" s="2" t="str">
        <f>IFERROR(__xludf.DUMMYFUNCTION("""COMPUTED_VALUE"""),"EIRE")</f>
        <v>EIRE</v>
      </c>
      <c r="I436" s="7">
        <f>IFERROR(__xludf.DUMMYFUNCTION("""COMPUTED_VALUE"""),40148.0)</f>
        <v>40148</v>
      </c>
      <c r="J436" s="8">
        <f>IFERROR(__xludf.DUMMYFUNCTION("""COMPUTED_VALUE"""),0.4868055555562023)</f>
        <v>0.4868055556</v>
      </c>
      <c r="K436" s="2">
        <f>IFERROR(__xludf.DUMMYFUNCTION("""COMPUTED_VALUE"""),11.0)</f>
        <v>11</v>
      </c>
      <c r="L436" s="2">
        <f>IFERROR(__xludf.DUMMYFUNCTION("""COMPUTED_VALUE"""),12.6)</f>
        <v>12.6</v>
      </c>
    </row>
    <row r="437">
      <c r="A437" s="2">
        <f>IFERROR(__xludf.DUMMYFUNCTION("""COMPUTED_VALUE"""),489520.0)</f>
        <v>489520</v>
      </c>
      <c r="B437" s="2" t="str">
        <f>IFERROR(__xludf.DUMMYFUNCTION("""COMPUTED_VALUE"""),"21523")</f>
        <v>21523</v>
      </c>
      <c r="C437" s="2" t="str">
        <f>IFERROR(__xludf.DUMMYFUNCTION("""COMPUTED_VALUE"""),"FANCY FONT HOME SWEET HOME DOORMAT")</f>
        <v>FANCY FONT HOME SWEET HOME DOORMAT</v>
      </c>
      <c r="D437" s="2">
        <f>IFERROR(__xludf.DUMMYFUNCTION("""COMPUTED_VALUE"""),2.0)</f>
        <v>2</v>
      </c>
      <c r="E437" s="6">
        <f>IFERROR(__xludf.DUMMYFUNCTION("""COMPUTED_VALUE"""),40148.486805555556)</f>
        <v>40148.48681</v>
      </c>
      <c r="F437" s="2">
        <f>IFERROR(__xludf.DUMMYFUNCTION("""COMPUTED_VALUE"""),6.75)</f>
        <v>6.75</v>
      </c>
      <c r="G437" s="2">
        <f>IFERROR(__xludf.DUMMYFUNCTION("""COMPUTED_VALUE"""),14911.0)</f>
        <v>14911</v>
      </c>
      <c r="H437" s="2" t="str">
        <f>IFERROR(__xludf.DUMMYFUNCTION("""COMPUTED_VALUE"""),"EIRE")</f>
        <v>EIRE</v>
      </c>
      <c r="I437" s="7">
        <f>IFERROR(__xludf.DUMMYFUNCTION("""COMPUTED_VALUE"""),40148.0)</f>
        <v>40148</v>
      </c>
      <c r="J437" s="8">
        <f>IFERROR(__xludf.DUMMYFUNCTION("""COMPUTED_VALUE"""),0.4868055555562023)</f>
        <v>0.4868055556</v>
      </c>
      <c r="K437" s="2">
        <f>IFERROR(__xludf.DUMMYFUNCTION("""COMPUTED_VALUE"""),11.0)</f>
        <v>11</v>
      </c>
      <c r="L437" s="2">
        <f>IFERROR(__xludf.DUMMYFUNCTION("""COMPUTED_VALUE"""),13.5)</f>
        <v>13.5</v>
      </c>
    </row>
    <row r="438">
      <c r="A438" s="2">
        <f>IFERROR(__xludf.DUMMYFUNCTION("""COMPUTED_VALUE"""),489520.0)</f>
        <v>489520</v>
      </c>
      <c r="B438" s="2" t="str">
        <f>IFERROR(__xludf.DUMMYFUNCTION("""COMPUTED_VALUE"""),"48187")</f>
        <v>48187</v>
      </c>
      <c r="C438" s="2" t="str">
        <f>IFERROR(__xludf.DUMMYFUNCTION("""COMPUTED_VALUE"""),"DOOR MAT NEW ENGLAND")</f>
        <v>DOOR MAT NEW ENGLAND</v>
      </c>
      <c r="D438" s="2">
        <f>IFERROR(__xludf.DUMMYFUNCTION("""COMPUTED_VALUE"""),2.0)</f>
        <v>2</v>
      </c>
      <c r="E438" s="6">
        <f>IFERROR(__xludf.DUMMYFUNCTION("""COMPUTED_VALUE"""),40148.486805555556)</f>
        <v>40148.48681</v>
      </c>
      <c r="F438" s="2">
        <f>IFERROR(__xludf.DUMMYFUNCTION("""COMPUTED_VALUE"""),6.75)</f>
        <v>6.75</v>
      </c>
      <c r="G438" s="2">
        <f>IFERROR(__xludf.DUMMYFUNCTION("""COMPUTED_VALUE"""),14911.0)</f>
        <v>14911</v>
      </c>
      <c r="H438" s="2" t="str">
        <f>IFERROR(__xludf.DUMMYFUNCTION("""COMPUTED_VALUE"""),"EIRE")</f>
        <v>EIRE</v>
      </c>
      <c r="I438" s="7">
        <f>IFERROR(__xludf.DUMMYFUNCTION("""COMPUTED_VALUE"""),40148.0)</f>
        <v>40148</v>
      </c>
      <c r="J438" s="8">
        <f>IFERROR(__xludf.DUMMYFUNCTION("""COMPUTED_VALUE"""),0.4868055555562023)</f>
        <v>0.4868055556</v>
      </c>
      <c r="K438" s="2">
        <f>IFERROR(__xludf.DUMMYFUNCTION("""COMPUTED_VALUE"""),11.0)</f>
        <v>11</v>
      </c>
      <c r="L438" s="2">
        <f>IFERROR(__xludf.DUMMYFUNCTION("""COMPUTED_VALUE"""),13.5)</f>
        <v>13.5</v>
      </c>
    </row>
    <row r="439">
      <c r="A439" s="2">
        <f>IFERROR(__xludf.DUMMYFUNCTION("""COMPUTED_VALUE"""),489520.0)</f>
        <v>489520</v>
      </c>
      <c r="B439" s="2" t="str">
        <f>IFERROR(__xludf.DUMMYFUNCTION("""COMPUTED_VALUE"""),"48195")</f>
        <v>48195</v>
      </c>
      <c r="C439" s="2" t="str">
        <f>IFERROR(__xludf.DUMMYFUNCTION("""COMPUTED_VALUE"""),"DOOR MAT GREEN PAISLEY")</f>
        <v>DOOR MAT GREEN PAISLEY</v>
      </c>
      <c r="D439" s="2">
        <f>IFERROR(__xludf.DUMMYFUNCTION("""COMPUTED_VALUE"""),2.0)</f>
        <v>2</v>
      </c>
      <c r="E439" s="6">
        <f>IFERROR(__xludf.DUMMYFUNCTION("""COMPUTED_VALUE"""),40148.486805555556)</f>
        <v>40148.48681</v>
      </c>
      <c r="F439" s="2">
        <f>IFERROR(__xludf.DUMMYFUNCTION("""COMPUTED_VALUE"""),6.75)</f>
        <v>6.75</v>
      </c>
      <c r="G439" s="2">
        <f>IFERROR(__xludf.DUMMYFUNCTION("""COMPUTED_VALUE"""),14911.0)</f>
        <v>14911</v>
      </c>
      <c r="H439" s="2" t="str">
        <f>IFERROR(__xludf.DUMMYFUNCTION("""COMPUTED_VALUE"""),"EIRE")</f>
        <v>EIRE</v>
      </c>
      <c r="I439" s="7">
        <f>IFERROR(__xludf.DUMMYFUNCTION("""COMPUTED_VALUE"""),40148.0)</f>
        <v>40148</v>
      </c>
      <c r="J439" s="8">
        <f>IFERROR(__xludf.DUMMYFUNCTION("""COMPUTED_VALUE"""),0.4868055555562023)</f>
        <v>0.4868055556</v>
      </c>
      <c r="K439" s="2">
        <f>IFERROR(__xludf.DUMMYFUNCTION("""COMPUTED_VALUE"""),11.0)</f>
        <v>11</v>
      </c>
      <c r="L439" s="2">
        <f>IFERROR(__xludf.DUMMYFUNCTION("""COMPUTED_VALUE"""),13.5)</f>
        <v>13.5</v>
      </c>
    </row>
    <row r="440">
      <c r="A440" s="2">
        <f>IFERROR(__xludf.DUMMYFUNCTION("""COMPUTED_VALUE"""),489520.0)</f>
        <v>489520</v>
      </c>
      <c r="B440" s="2" t="str">
        <f>IFERROR(__xludf.DUMMYFUNCTION("""COMPUTED_VALUE"""),"72741")</f>
        <v>72741</v>
      </c>
      <c r="C440" s="2" t="str">
        <f>IFERROR(__xludf.DUMMYFUNCTION("""COMPUTED_VALUE"""),"GRAND CHOCOLATECANDLE")</f>
        <v>GRAND CHOCOLATECANDLE</v>
      </c>
      <c r="D440" s="2">
        <f>IFERROR(__xludf.DUMMYFUNCTION("""COMPUTED_VALUE"""),36.0)</f>
        <v>36</v>
      </c>
      <c r="E440" s="6">
        <f>IFERROR(__xludf.DUMMYFUNCTION("""COMPUTED_VALUE"""),40148.486805555556)</f>
        <v>40148.48681</v>
      </c>
      <c r="F440" s="2">
        <f>IFERROR(__xludf.DUMMYFUNCTION("""COMPUTED_VALUE"""),1.45)</f>
        <v>1.45</v>
      </c>
      <c r="G440" s="2">
        <f>IFERROR(__xludf.DUMMYFUNCTION("""COMPUTED_VALUE"""),14911.0)</f>
        <v>14911</v>
      </c>
      <c r="H440" s="2" t="str">
        <f>IFERROR(__xludf.DUMMYFUNCTION("""COMPUTED_VALUE"""),"EIRE")</f>
        <v>EIRE</v>
      </c>
      <c r="I440" s="7">
        <f>IFERROR(__xludf.DUMMYFUNCTION("""COMPUTED_VALUE"""),40148.0)</f>
        <v>40148</v>
      </c>
      <c r="J440" s="8">
        <f>IFERROR(__xludf.DUMMYFUNCTION("""COMPUTED_VALUE"""),0.4868055555562023)</f>
        <v>0.4868055556</v>
      </c>
      <c r="K440" s="2">
        <f>IFERROR(__xludf.DUMMYFUNCTION("""COMPUTED_VALUE"""),11.0)</f>
        <v>11</v>
      </c>
      <c r="L440" s="2">
        <f>IFERROR(__xludf.DUMMYFUNCTION("""COMPUTED_VALUE"""),52.1999999999999)</f>
        <v>52.2</v>
      </c>
    </row>
    <row r="441">
      <c r="A441" s="2">
        <f>IFERROR(__xludf.DUMMYFUNCTION("""COMPUTED_VALUE"""),489520.0)</f>
        <v>489520</v>
      </c>
      <c r="B441" s="2" t="str">
        <f>IFERROR(__xludf.DUMMYFUNCTION("""COMPUTED_VALUE"""),"85232D")</f>
        <v>85232D</v>
      </c>
      <c r="C441" s="2" t="str">
        <f>IFERROR(__xludf.DUMMYFUNCTION("""COMPUTED_VALUE"""),"SET/3 DECOUPAGE STACKING TINS")</f>
        <v>SET/3 DECOUPAGE STACKING TINS</v>
      </c>
      <c r="D441" s="2">
        <f>IFERROR(__xludf.DUMMYFUNCTION("""COMPUTED_VALUE"""),3.0)</f>
        <v>3</v>
      </c>
      <c r="E441" s="6">
        <f>IFERROR(__xludf.DUMMYFUNCTION("""COMPUTED_VALUE"""),40148.486805555556)</f>
        <v>40148.48681</v>
      </c>
      <c r="F441" s="2">
        <f>IFERROR(__xludf.DUMMYFUNCTION("""COMPUTED_VALUE"""),4.95)</f>
        <v>4.95</v>
      </c>
      <c r="G441" s="2">
        <f>IFERROR(__xludf.DUMMYFUNCTION("""COMPUTED_VALUE"""),14911.0)</f>
        <v>14911</v>
      </c>
      <c r="H441" s="2" t="str">
        <f>IFERROR(__xludf.DUMMYFUNCTION("""COMPUTED_VALUE"""),"EIRE")</f>
        <v>EIRE</v>
      </c>
      <c r="I441" s="7">
        <f>IFERROR(__xludf.DUMMYFUNCTION("""COMPUTED_VALUE"""),40148.0)</f>
        <v>40148</v>
      </c>
      <c r="J441" s="8">
        <f>IFERROR(__xludf.DUMMYFUNCTION("""COMPUTED_VALUE"""),0.4868055555562023)</f>
        <v>0.4868055556</v>
      </c>
      <c r="K441" s="2">
        <f>IFERROR(__xludf.DUMMYFUNCTION("""COMPUTED_VALUE"""),11.0)</f>
        <v>11</v>
      </c>
      <c r="L441" s="2">
        <f>IFERROR(__xludf.DUMMYFUNCTION("""COMPUTED_VALUE"""),14.85)</f>
        <v>14.85</v>
      </c>
    </row>
    <row r="442">
      <c r="A442" s="2">
        <f>IFERROR(__xludf.DUMMYFUNCTION("""COMPUTED_VALUE"""),489520.0)</f>
        <v>489520</v>
      </c>
      <c r="B442" s="2" t="str">
        <f>IFERROR(__xludf.DUMMYFUNCTION("""COMPUTED_VALUE"""),"20828")</f>
        <v>20828</v>
      </c>
      <c r="C442" s="2" t="str">
        <f>IFERROR(__xludf.DUMMYFUNCTION("""COMPUTED_VALUE"""),"GLITTER BUTTERFLY CLIPS")</f>
        <v>GLITTER BUTTERFLY CLIPS</v>
      </c>
      <c r="D442" s="2">
        <f>IFERROR(__xludf.DUMMYFUNCTION("""COMPUTED_VALUE"""),6.0)</f>
        <v>6</v>
      </c>
      <c r="E442" s="6">
        <f>IFERROR(__xludf.DUMMYFUNCTION("""COMPUTED_VALUE"""),40148.486805555556)</f>
        <v>40148.48681</v>
      </c>
      <c r="F442" s="2">
        <f>IFERROR(__xludf.DUMMYFUNCTION("""COMPUTED_VALUE"""),2.55)</f>
        <v>2.55</v>
      </c>
      <c r="G442" s="2">
        <f>IFERROR(__xludf.DUMMYFUNCTION("""COMPUTED_VALUE"""),14911.0)</f>
        <v>14911</v>
      </c>
      <c r="H442" s="2" t="str">
        <f>IFERROR(__xludf.DUMMYFUNCTION("""COMPUTED_VALUE"""),"EIRE")</f>
        <v>EIRE</v>
      </c>
      <c r="I442" s="7">
        <f>IFERROR(__xludf.DUMMYFUNCTION("""COMPUTED_VALUE"""),40148.0)</f>
        <v>40148</v>
      </c>
      <c r="J442" s="8">
        <f>IFERROR(__xludf.DUMMYFUNCTION("""COMPUTED_VALUE"""),0.4868055555562023)</f>
        <v>0.4868055556</v>
      </c>
      <c r="K442" s="2">
        <f>IFERROR(__xludf.DUMMYFUNCTION("""COMPUTED_VALUE"""),11.0)</f>
        <v>11</v>
      </c>
      <c r="L442" s="2">
        <f>IFERROR(__xludf.DUMMYFUNCTION("""COMPUTED_VALUE"""),15.2999999999999)</f>
        <v>15.3</v>
      </c>
    </row>
    <row r="443">
      <c r="A443" s="2">
        <f>IFERROR(__xludf.DUMMYFUNCTION("""COMPUTED_VALUE"""),489520.0)</f>
        <v>489520</v>
      </c>
      <c r="B443" s="2" t="str">
        <f>IFERROR(__xludf.DUMMYFUNCTION("""COMPUTED_VALUE"""),"22080")</f>
        <v>22080</v>
      </c>
      <c r="C443" s="2" t="str">
        <f>IFERROR(__xludf.DUMMYFUNCTION("""COMPUTED_VALUE"""),"RIBBON REEL SPOTS DESIGN")</f>
        <v>RIBBON REEL SPOTS DESIGN</v>
      </c>
      <c r="D443" s="2">
        <f>IFERROR(__xludf.DUMMYFUNCTION("""COMPUTED_VALUE"""),10.0)</f>
        <v>10</v>
      </c>
      <c r="E443" s="6">
        <f>IFERROR(__xludf.DUMMYFUNCTION("""COMPUTED_VALUE"""),40148.486805555556)</f>
        <v>40148.48681</v>
      </c>
      <c r="F443" s="2">
        <f>IFERROR(__xludf.DUMMYFUNCTION("""COMPUTED_VALUE"""),1.65)</f>
        <v>1.65</v>
      </c>
      <c r="G443" s="2">
        <f>IFERROR(__xludf.DUMMYFUNCTION("""COMPUTED_VALUE"""),14911.0)</f>
        <v>14911</v>
      </c>
      <c r="H443" s="2" t="str">
        <f>IFERROR(__xludf.DUMMYFUNCTION("""COMPUTED_VALUE"""),"EIRE")</f>
        <v>EIRE</v>
      </c>
      <c r="I443" s="7">
        <f>IFERROR(__xludf.DUMMYFUNCTION("""COMPUTED_VALUE"""),40148.0)</f>
        <v>40148</v>
      </c>
      <c r="J443" s="8">
        <f>IFERROR(__xludf.DUMMYFUNCTION("""COMPUTED_VALUE"""),0.4868055555562023)</f>
        <v>0.4868055556</v>
      </c>
      <c r="K443" s="2">
        <f>IFERROR(__xludf.DUMMYFUNCTION("""COMPUTED_VALUE"""),11.0)</f>
        <v>11</v>
      </c>
      <c r="L443" s="2">
        <f>IFERROR(__xludf.DUMMYFUNCTION("""COMPUTED_VALUE"""),16.5)</f>
        <v>16.5</v>
      </c>
    </row>
    <row r="444">
      <c r="A444" s="2">
        <f>IFERROR(__xludf.DUMMYFUNCTION("""COMPUTED_VALUE"""),489520.0)</f>
        <v>489520</v>
      </c>
      <c r="B444" s="2" t="str">
        <f>IFERROR(__xludf.DUMMYFUNCTION("""COMPUTED_VALUE"""),"22082")</f>
        <v>22082</v>
      </c>
      <c r="C444" s="2" t="str">
        <f>IFERROR(__xludf.DUMMYFUNCTION("""COMPUTED_VALUE"""),"RIBBON REEL STRIPES DESIGN")</f>
        <v>RIBBON REEL STRIPES DESIGN</v>
      </c>
      <c r="D444" s="2">
        <f>IFERROR(__xludf.DUMMYFUNCTION("""COMPUTED_VALUE"""),10.0)</f>
        <v>10</v>
      </c>
      <c r="E444" s="6">
        <f>IFERROR(__xludf.DUMMYFUNCTION("""COMPUTED_VALUE"""),40148.486805555556)</f>
        <v>40148.48681</v>
      </c>
      <c r="F444" s="2">
        <f>IFERROR(__xludf.DUMMYFUNCTION("""COMPUTED_VALUE"""),1.65)</f>
        <v>1.65</v>
      </c>
      <c r="G444" s="2">
        <f>IFERROR(__xludf.DUMMYFUNCTION("""COMPUTED_VALUE"""),14911.0)</f>
        <v>14911</v>
      </c>
      <c r="H444" s="2" t="str">
        <f>IFERROR(__xludf.DUMMYFUNCTION("""COMPUTED_VALUE"""),"EIRE")</f>
        <v>EIRE</v>
      </c>
      <c r="I444" s="7">
        <f>IFERROR(__xludf.DUMMYFUNCTION("""COMPUTED_VALUE"""),40148.0)</f>
        <v>40148</v>
      </c>
      <c r="J444" s="8">
        <f>IFERROR(__xludf.DUMMYFUNCTION("""COMPUTED_VALUE"""),0.4868055555562023)</f>
        <v>0.4868055556</v>
      </c>
      <c r="K444" s="2">
        <f>IFERROR(__xludf.DUMMYFUNCTION("""COMPUTED_VALUE"""),11.0)</f>
        <v>11</v>
      </c>
      <c r="L444" s="2">
        <f>IFERROR(__xludf.DUMMYFUNCTION("""COMPUTED_VALUE"""),16.5)</f>
        <v>16.5</v>
      </c>
    </row>
    <row r="445">
      <c r="A445" s="2">
        <f>IFERROR(__xludf.DUMMYFUNCTION("""COMPUTED_VALUE"""),489520.0)</f>
        <v>489520</v>
      </c>
      <c r="B445" s="2" t="str">
        <f>IFERROR(__xludf.DUMMYFUNCTION("""COMPUTED_VALUE"""),"21754")</f>
        <v>21754</v>
      </c>
      <c r="C445" s="2" t="str">
        <f>IFERROR(__xludf.DUMMYFUNCTION("""COMPUTED_VALUE"""),"HOME BUILDING BLOCK WORD")</f>
        <v>HOME BUILDING BLOCK WORD</v>
      </c>
      <c r="D445" s="2">
        <f>IFERROR(__xludf.DUMMYFUNCTION("""COMPUTED_VALUE"""),6.0)</f>
        <v>6</v>
      </c>
      <c r="E445" s="6">
        <f>IFERROR(__xludf.DUMMYFUNCTION("""COMPUTED_VALUE"""),40148.486805555556)</f>
        <v>40148.48681</v>
      </c>
      <c r="F445" s="2">
        <f>IFERROR(__xludf.DUMMYFUNCTION("""COMPUTED_VALUE"""),5.95)</f>
        <v>5.95</v>
      </c>
      <c r="G445" s="2">
        <f>IFERROR(__xludf.DUMMYFUNCTION("""COMPUTED_VALUE"""),14911.0)</f>
        <v>14911</v>
      </c>
      <c r="H445" s="2" t="str">
        <f>IFERROR(__xludf.DUMMYFUNCTION("""COMPUTED_VALUE"""),"EIRE")</f>
        <v>EIRE</v>
      </c>
      <c r="I445" s="7">
        <f>IFERROR(__xludf.DUMMYFUNCTION("""COMPUTED_VALUE"""),40148.0)</f>
        <v>40148</v>
      </c>
      <c r="J445" s="8">
        <f>IFERROR(__xludf.DUMMYFUNCTION("""COMPUTED_VALUE"""),0.4868055555562023)</f>
        <v>0.4868055556</v>
      </c>
      <c r="K445" s="2">
        <f>IFERROR(__xludf.DUMMYFUNCTION("""COMPUTED_VALUE"""),11.0)</f>
        <v>11</v>
      </c>
      <c r="L445" s="2">
        <f>IFERROR(__xludf.DUMMYFUNCTION("""COMPUTED_VALUE"""),35.7)</f>
        <v>35.7</v>
      </c>
    </row>
    <row r="446">
      <c r="A446" s="2">
        <f>IFERROR(__xludf.DUMMYFUNCTION("""COMPUTED_VALUE"""),489520.0)</f>
        <v>489520</v>
      </c>
      <c r="B446" s="2" t="str">
        <f>IFERROR(__xludf.DUMMYFUNCTION("""COMPUTED_VALUE"""),"21784")</f>
        <v>21784</v>
      </c>
      <c r="C446" s="2" t="str">
        <f>IFERROR(__xludf.DUMMYFUNCTION("""COMPUTED_VALUE"""),"SHOE SHINE BOX")</f>
        <v>SHOE SHINE BOX</v>
      </c>
      <c r="D446" s="2">
        <f>IFERROR(__xludf.DUMMYFUNCTION("""COMPUTED_VALUE"""),4.0)</f>
        <v>4</v>
      </c>
      <c r="E446" s="6">
        <f>IFERROR(__xludf.DUMMYFUNCTION("""COMPUTED_VALUE"""),40148.486805555556)</f>
        <v>40148.48681</v>
      </c>
      <c r="F446" s="2">
        <f>IFERROR(__xludf.DUMMYFUNCTION("""COMPUTED_VALUE"""),9.95)</f>
        <v>9.95</v>
      </c>
      <c r="G446" s="2">
        <f>IFERROR(__xludf.DUMMYFUNCTION("""COMPUTED_VALUE"""),14911.0)</f>
        <v>14911</v>
      </c>
      <c r="H446" s="2" t="str">
        <f>IFERROR(__xludf.DUMMYFUNCTION("""COMPUTED_VALUE"""),"EIRE")</f>
        <v>EIRE</v>
      </c>
      <c r="I446" s="7">
        <f>IFERROR(__xludf.DUMMYFUNCTION("""COMPUTED_VALUE"""),40148.0)</f>
        <v>40148</v>
      </c>
      <c r="J446" s="8">
        <f>IFERROR(__xludf.DUMMYFUNCTION("""COMPUTED_VALUE"""),0.4868055555562023)</f>
        <v>0.4868055556</v>
      </c>
      <c r="K446" s="2">
        <f>IFERROR(__xludf.DUMMYFUNCTION("""COMPUTED_VALUE"""),11.0)</f>
        <v>11</v>
      </c>
      <c r="L446" s="2">
        <f>IFERROR(__xludf.DUMMYFUNCTION("""COMPUTED_VALUE"""),39.8)</f>
        <v>39.8</v>
      </c>
    </row>
    <row r="447">
      <c r="A447" s="2">
        <f>IFERROR(__xludf.DUMMYFUNCTION("""COMPUTED_VALUE"""),489520.0)</f>
        <v>489520</v>
      </c>
      <c r="B447" s="2" t="str">
        <f>IFERROR(__xludf.DUMMYFUNCTION("""COMPUTED_VALUE"""),"21172")</f>
        <v>21172</v>
      </c>
      <c r="C447" s="2" t="str">
        <f>IFERROR(__xludf.DUMMYFUNCTION("""COMPUTED_VALUE"""),"PARTY METAL SIGN")</f>
        <v>PARTY METAL SIGN</v>
      </c>
      <c r="D447" s="2">
        <f>IFERROR(__xludf.DUMMYFUNCTION("""COMPUTED_VALUE"""),12.0)</f>
        <v>12</v>
      </c>
      <c r="E447" s="6">
        <f>IFERROR(__xludf.DUMMYFUNCTION("""COMPUTED_VALUE"""),40148.486805555556)</f>
        <v>40148.48681</v>
      </c>
      <c r="F447" s="2">
        <f>IFERROR(__xludf.DUMMYFUNCTION("""COMPUTED_VALUE"""),1.45)</f>
        <v>1.45</v>
      </c>
      <c r="G447" s="2">
        <f>IFERROR(__xludf.DUMMYFUNCTION("""COMPUTED_VALUE"""),14911.0)</f>
        <v>14911</v>
      </c>
      <c r="H447" s="2" t="str">
        <f>IFERROR(__xludf.DUMMYFUNCTION("""COMPUTED_VALUE"""),"EIRE")</f>
        <v>EIRE</v>
      </c>
      <c r="I447" s="7">
        <f>IFERROR(__xludf.DUMMYFUNCTION("""COMPUTED_VALUE"""),40148.0)</f>
        <v>40148</v>
      </c>
      <c r="J447" s="8">
        <f>IFERROR(__xludf.DUMMYFUNCTION("""COMPUTED_VALUE"""),0.4868055555562023)</f>
        <v>0.4868055556</v>
      </c>
      <c r="K447" s="2">
        <f>IFERROR(__xludf.DUMMYFUNCTION("""COMPUTED_VALUE"""),11.0)</f>
        <v>11</v>
      </c>
      <c r="L447" s="2">
        <f>IFERROR(__xludf.DUMMYFUNCTION("""COMPUTED_VALUE"""),17.4)</f>
        <v>17.4</v>
      </c>
    </row>
    <row r="448">
      <c r="A448" s="2">
        <f>IFERROR(__xludf.DUMMYFUNCTION("""COMPUTED_VALUE"""),489520.0)</f>
        <v>489520</v>
      </c>
      <c r="B448" s="2" t="str">
        <f>IFERROR(__xludf.DUMMYFUNCTION("""COMPUTED_VALUE"""),"21181")</f>
        <v>21181</v>
      </c>
      <c r="C448" s="2" t="str">
        <f>IFERROR(__xludf.DUMMYFUNCTION("""COMPUTED_VALUE"""),"PLEASE ONE PERSON METAL SIGN")</f>
        <v>PLEASE ONE PERSON METAL SIGN</v>
      </c>
      <c r="D448" s="2">
        <f>IFERROR(__xludf.DUMMYFUNCTION("""COMPUTED_VALUE"""),6.0)</f>
        <v>6</v>
      </c>
      <c r="E448" s="6">
        <f>IFERROR(__xludf.DUMMYFUNCTION("""COMPUTED_VALUE"""),40148.486805555556)</f>
        <v>40148.48681</v>
      </c>
      <c r="F448" s="2">
        <f>IFERROR(__xludf.DUMMYFUNCTION("""COMPUTED_VALUE"""),2.1)</f>
        <v>2.1</v>
      </c>
      <c r="G448" s="2">
        <f>IFERROR(__xludf.DUMMYFUNCTION("""COMPUTED_VALUE"""),14911.0)</f>
        <v>14911</v>
      </c>
      <c r="H448" s="2" t="str">
        <f>IFERROR(__xludf.DUMMYFUNCTION("""COMPUTED_VALUE"""),"EIRE")</f>
        <v>EIRE</v>
      </c>
      <c r="I448" s="7">
        <f>IFERROR(__xludf.DUMMYFUNCTION("""COMPUTED_VALUE"""),40148.0)</f>
        <v>40148</v>
      </c>
      <c r="J448" s="8">
        <f>IFERROR(__xludf.DUMMYFUNCTION("""COMPUTED_VALUE"""),0.4868055555562023)</f>
        <v>0.4868055556</v>
      </c>
      <c r="K448" s="2">
        <f>IFERROR(__xludf.DUMMYFUNCTION("""COMPUTED_VALUE"""),11.0)</f>
        <v>11</v>
      </c>
      <c r="L448" s="2">
        <f>IFERROR(__xludf.DUMMYFUNCTION("""COMPUTED_VALUE"""),12.6)</f>
        <v>12.6</v>
      </c>
    </row>
    <row r="449">
      <c r="A449" s="2">
        <f>IFERROR(__xludf.DUMMYFUNCTION("""COMPUTED_VALUE"""),489520.0)</f>
        <v>489520</v>
      </c>
      <c r="B449" s="2" t="str">
        <f>IFERROR(__xludf.DUMMYFUNCTION("""COMPUTED_VALUE"""),"82600")</f>
        <v>82600</v>
      </c>
      <c r="C449" s="2" t="str">
        <f>IFERROR(__xludf.DUMMYFUNCTION("""COMPUTED_VALUE"""),"NO SINGING METAL SIGN")</f>
        <v>NO SINGING METAL SIGN</v>
      </c>
      <c r="D449" s="2">
        <f>IFERROR(__xludf.DUMMYFUNCTION("""COMPUTED_VALUE"""),12.0)</f>
        <v>12</v>
      </c>
      <c r="E449" s="6">
        <f>IFERROR(__xludf.DUMMYFUNCTION("""COMPUTED_VALUE"""),40148.486805555556)</f>
        <v>40148.48681</v>
      </c>
      <c r="F449" s="2">
        <f>IFERROR(__xludf.DUMMYFUNCTION("""COMPUTED_VALUE"""),2.1)</f>
        <v>2.1</v>
      </c>
      <c r="G449" s="2">
        <f>IFERROR(__xludf.DUMMYFUNCTION("""COMPUTED_VALUE"""),14911.0)</f>
        <v>14911</v>
      </c>
      <c r="H449" s="2" t="str">
        <f>IFERROR(__xludf.DUMMYFUNCTION("""COMPUTED_VALUE"""),"EIRE")</f>
        <v>EIRE</v>
      </c>
      <c r="I449" s="7">
        <f>IFERROR(__xludf.DUMMYFUNCTION("""COMPUTED_VALUE"""),40148.0)</f>
        <v>40148</v>
      </c>
      <c r="J449" s="8">
        <f>IFERROR(__xludf.DUMMYFUNCTION("""COMPUTED_VALUE"""),0.4868055555562023)</f>
        <v>0.4868055556</v>
      </c>
      <c r="K449" s="2">
        <f>IFERROR(__xludf.DUMMYFUNCTION("""COMPUTED_VALUE"""),11.0)</f>
        <v>11</v>
      </c>
      <c r="L449" s="2">
        <f>IFERROR(__xludf.DUMMYFUNCTION("""COMPUTED_VALUE"""),25.2)</f>
        <v>25.2</v>
      </c>
    </row>
    <row r="450">
      <c r="A450" s="2">
        <f>IFERROR(__xludf.DUMMYFUNCTION("""COMPUTED_VALUE"""),489520.0)</f>
        <v>489520</v>
      </c>
      <c r="B450" s="2" t="str">
        <f>IFERROR(__xludf.DUMMYFUNCTION("""COMPUTED_VALUE"""),"22282")</f>
        <v>22282</v>
      </c>
      <c r="C450" s="2" t="str">
        <f>IFERROR(__xludf.DUMMYFUNCTION("""COMPUTED_VALUE"""),"12 EGG HOUSE PAINTED WOOD")</f>
        <v>12 EGG HOUSE PAINTED WOOD</v>
      </c>
      <c r="D450" s="2">
        <f>IFERROR(__xludf.DUMMYFUNCTION("""COMPUTED_VALUE"""),4.0)</f>
        <v>4</v>
      </c>
      <c r="E450" s="6">
        <f>IFERROR(__xludf.DUMMYFUNCTION("""COMPUTED_VALUE"""),40148.486805555556)</f>
        <v>40148.48681</v>
      </c>
      <c r="F450" s="2">
        <f>IFERROR(__xludf.DUMMYFUNCTION("""COMPUTED_VALUE"""),12.75)</f>
        <v>12.75</v>
      </c>
      <c r="G450" s="2">
        <f>IFERROR(__xludf.DUMMYFUNCTION("""COMPUTED_VALUE"""),14911.0)</f>
        <v>14911</v>
      </c>
      <c r="H450" s="2" t="str">
        <f>IFERROR(__xludf.DUMMYFUNCTION("""COMPUTED_VALUE"""),"EIRE")</f>
        <v>EIRE</v>
      </c>
      <c r="I450" s="7">
        <f>IFERROR(__xludf.DUMMYFUNCTION("""COMPUTED_VALUE"""),40148.0)</f>
        <v>40148</v>
      </c>
      <c r="J450" s="8">
        <f>IFERROR(__xludf.DUMMYFUNCTION("""COMPUTED_VALUE"""),0.4868055555562023)</f>
        <v>0.4868055556</v>
      </c>
      <c r="K450" s="2">
        <f>IFERROR(__xludf.DUMMYFUNCTION("""COMPUTED_VALUE"""),11.0)</f>
        <v>11</v>
      </c>
      <c r="L450" s="2">
        <f>IFERROR(__xludf.DUMMYFUNCTION("""COMPUTED_VALUE"""),51.0)</f>
        <v>51</v>
      </c>
    </row>
    <row r="451">
      <c r="A451" s="2">
        <f>IFERROR(__xludf.DUMMYFUNCTION("""COMPUTED_VALUE"""),489520.0)</f>
        <v>489520</v>
      </c>
      <c r="B451" s="2" t="str">
        <f>IFERROR(__xludf.DUMMYFUNCTION("""COMPUTED_VALUE"""),"21842")</f>
        <v>21842</v>
      </c>
      <c r="C451" s="2" t="str">
        <f>IFERROR(__xludf.DUMMYFUNCTION("""COMPUTED_VALUE"""),"PINK HEART CANDY BUTTON CALCULATOR")</f>
        <v>PINK HEART CANDY BUTTON CALCULATOR</v>
      </c>
      <c r="D451" s="2">
        <f>IFERROR(__xludf.DUMMYFUNCTION("""COMPUTED_VALUE"""),54.0)</f>
        <v>54</v>
      </c>
      <c r="E451" s="6">
        <f>IFERROR(__xludf.DUMMYFUNCTION("""COMPUTED_VALUE"""),40148.486805555556)</f>
        <v>40148.48681</v>
      </c>
      <c r="F451" s="2">
        <f>IFERROR(__xludf.DUMMYFUNCTION("""COMPUTED_VALUE"""),2.55)</f>
        <v>2.55</v>
      </c>
      <c r="G451" s="2">
        <f>IFERROR(__xludf.DUMMYFUNCTION("""COMPUTED_VALUE"""),14911.0)</f>
        <v>14911</v>
      </c>
      <c r="H451" s="2" t="str">
        <f>IFERROR(__xludf.DUMMYFUNCTION("""COMPUTED_VALUE"""),"EIRE")</f>
        <v>EIRE</v>
      </c>
      <c r="I451" s="7">
        <f>IFERROR(__xludf.DUMMYFUNCTION("""COMPUTED_VALUE"""),40148.0)</f>
        <v>40148</v>
      </c>
      <c r="J451" s="8">
        <f>IFERROR(__xludf.DUMMYFUNCTION("""COMPUTED_VALUE"""),0.4868055555562023)</f>
        <v>0.4868055556</v>
      </c>
      <c r="K451" s="2">
        <f>IFERROR(__xludf.DUMMYFUNCTION("""COMPUTED_VALUE"""),11.0)</f>
        <v>11</v>
      </c>
      <c r="L451" s="2">
        <f>IFERROR(__xludf.DUMMYFUNCTION("""COMPUTED_VALUE"""),137.7)</f>
        <v>137.7</v>
      </c>
    </row>
    <row r="452">
      <c r="A452" s="2">
        <f>IFERROR(__xludf.DUMMYFUNCTION("""COMPUTED_VALUE"""),489520.0)</f>
        <v>489520</v>
      </c>
      <c r="B452" s="2" t="str">
        <f>IFERROR(__xludf.DUMMYFUNCTION("""COMPUTED_VALUE"""),"22089")</f>
        <v>22089</v>
      </c>
      <c r="C452" s="2" t="str">
        <f>IFERROR(__xludf.DUMMYFUNCTION("""COMPUTED_VALUE"""),"PAPER BUNTING VINTAGE PAISLEY")</f>
        <v>PAPER BUNTING VINTAGE PAISLEY</v>
      </c>
      <c r="D452" s="2">
        <f>IFERROR(__xludf.DUMMYFUNCTION("""COMPUTED_VALUE"""),6.0)</f>
        <v>6</v>
      </c>
      <c r="E452" s="6">
        <f>IFERROR(__xludf.DUMMYFUNCTION("""COMPUTED_VALUE"""),40148.486805555556)</f>
        <v>40148.48681</v>
      </c>
      <c r="F452" s="2">
        <f>IFERROR(__xludf.DUMMYFUNCTION("""COMPUTED_VALUE"""),2.95)</f>
        <v>2.95</v>
      </c>
      <c r="G452" s="2">
        <f>IFERROR(__xludf.DUMMYFUNCTION("""COMPUTED_VALUE"""),14911.0)</f>
        <v>14911</v>
      </c>
      <c r="H452" s="2" t="str">
        <f>IFERROR(__xludf.DUMMYFUNCTION("""COMPUTED_VALUE"""),"EIRE")</f>
        <v>EIRE</v>
      </c>
      <c r="I452" s="7">
        <f>IFERROR(__xludf.DUMMYFUNCTION("""COMPUTED_VALUE"""),40148.0)</f>
        <v>40148</v>
      </c>
      <c r="J452" s="8">
        <f>IFERROR(__xludf.DUMMYFUNCTION("""COMPUTED_VALUE"""),0.4868055555562023)</f>
        <v>0.4868055556</v>
      </c>
      <c r="K452" s="2">
        <f>IFERROR(__xludf.DUMMYFUNCTION("""COMPUTED_VALUE"""),11.0)</f>
        <v>11</v>
      </c>
      <c r="L452" s="2">
        <f>IFERROR(__xludf.DUMMYFUNCTION("""COMPUTED_VALUE"""),17.7)</f>
        <v>17.7</v>
      </c>
    </row>
    <row r="453">
      <c r="A453" s="2">
        <f>IFERROR(__xludf.DUMMYFUNCTION("""COMPUTED_VALUE"""),489520.0)</f>
        <v>489520</v>
      </c>
      <c r="B453" s="2" t="str">
        <f>IFERROR(__xludf.DUMMYFUNCTION("""COMPUTED_VALUE"""),"21430")</f>
        <v>21430</v>
      </c>
      <c r="C453" s="2" t="str">
        <f>IFERROR(__xludf.DUMMYFUNCTION("""COMPUTED_VALUE"""),"SET/3 RED GINGHAM ROSE STORAGE BOX")</f>
        <v>SET/3 RED GINGHAM ROSE STORAGE BOX</v>
      </c>
      <c r="D453" s="2">
        <f>IFERROR(__xludf.DUMMYFUNCTION("""COMPUTED_VALUE"""),4.0)</f>
        <v>4</v>
      </c>
      <c r="E453" s="6">
        <f>IFERROR(__xludf.DUMMYFUNCTION("""COMPUTED_VALUE"""),40148.486805555556)</f>
        <v>40148.48681</v>
      </c>
      <c r="F453" s="2">
        <f>IFERROR(__xludf.DUMMYFUNCTION("""COMPUTED_VALUE"""),3.75)</f>
        <v>3.75</v>
      </c>
      <c r="G453" s="2">
        <f>IFERROR(__xludf.DUMMYFUNCTION("""COMPUTED_VALUE"""),14911.0)</f>
        <v>14911</v>
      </c>
      <c r="H453" s="2" t="str">
        <f>IFERROR(__xludf.DUMMYFUNCTION("""COMPUTED_VALUE"""),"EIRE")</f>
        <v>EIRE</v>
      </c>
      <c r="I453" s="7">
        <f>IFERROR(__xludf.DUMMYFUNCTION("""COMPUTED_VALUE"""),40148.0)</f>
        <v>40148</v>
      </c>
      <c r="J453" s="8">
        <f>IFERROR(__xludf.DUMMYFUNCTION("""COMPUTED_VALUE"""),0.4868055555562023)</f>
        <v>0.4868055556</v>
      </c>
      <c r="K453" s="2">
        <f>IFERROR(__xludf.DUMMYFUNCTION("""COMPUTED_VALUE"""),11.0)</f>
        <v>11</v>
      </c>
      <c r="L453" s="2">
        <f>IFERROR(__xludf.DUMMYFUNCTION("""COMPUTED_VALUE"""),15.0)</f>
        <v>15</v>
      </c>
    </row>
    <row r="454">
      <c r="A454" s="2">
        <f>IFERROR(__xludf.DUMMYFUNCTION("""COMPUTED_VALUE"""),489520.0)</f>
        <v>489520</v>
      </c>
      <c r="B454" s="2" t="str">
        <f>IFERROR(__xludf.DUMMYFUNCTION("""COMPUTED_VALUE"""),"20734")</f>
        <v>20734</v>
      </c>
      <c r="C454" s="2" t="str">
        <f>IFERROR(__xludf.DUMMYFUNCTION("""COMPUTED_VALUE"""),"SILVER MINI TAPE MEASURE")</f>
        <v>SILVER MINI TAPE MEASURE</v>
      </c>
      <c r="D454" s="2">
        <f>IFERROR(__xludf.DUMMYFUNCTION("""COMPUTED_VALUE"""),10.0)</f>
        <v>10</v>
      </c>
      <c r="E454" s="6">
        <f>IFERROR(__xludf.DUMMYFUNCTION("""COMPUTED_VALUE"""),40148.486805555556)</f>
        <v>40148.48681</v>
      </c>
      <c r="F454" s="2">
        <f>IFERROR(__xludf.DUMMYFUNCTION("""COMPUTED_VALUE"""),0.85)</f>
        <v>0.85</v>
      </c>
      <c r="G454" s="2">
        <f>IFERROR(__xludf.DUMMYFUNCTION("""COMPUTED_VALUE"""),14911.0)</f>
        <v>14911</v>
      </c>
      <c r="H454" s="2" t="str">
        <f>IFERROR(__xludf.DUMMYFUNCTION("""COMPUTED_VALUE"""),"EIRE")</f>
        <v>EIRE</v>
      </c>
      <c r="I454" s="7">
        <f>IFERROR(__xludf.DUMMYFUNCTION("""COMPUTED_VALUE"""),40148.0)</f>
        <v>40148</v>
      </c>
      <c r="J454" s="8">
        <f>IFERROR(__xludf.DUMMYFUNCTION("""COMPUTED_VALUE"""),0.4868055555562023)</f>
        <v>0.4868055556</v>
      </c>
      <c r="K454" s="2">
        <f>IFERROR(__xludf.DUMMYFUNCTION("""COMPUTED_VALUE"""),11.0)</f>
        <v>11</v>
      </c>
      <c r="L454" s="2">
        <f>IFERROR(__xludf.DUMMYFUNCTION("""COMPUTED_VALUE"""),8.5)</f>
        <v>8.5</v>
      </c>
    </row>
    <row r="455">
      <c r="A455" s="2">
        <f>IFERROR(__xludf.DUMMYFUNCTION("""COMPUTED_VALUE"""),489520.0)</f>
        <v>489520</v>
      </c>
      <c r="B455" s="2" t="str">
        <f>IFERROR(__xludf.DUMMYFUNCTION("""COMPUTED_VALUE"""),"21133")</f>
        <v>21133</v>
      </c>
      <c r="C455" s="2" t="str">
        <f>IFERROR(__xludf.DUMMYFUNCTION("""COMPUTED_VALUE"""),"PAINTED BIRD ASSORTED CHRISTMAS")</f>
        <v>PAINTED BIRD ASSORTED CHRISTMAS</v>
      </c>
      <c r="D455" s="2">
        <f>IFERROR(__xludf.DUMMYFUNCTION("""COMPUTED_VALUE"""),12.0)</f>
        <v>12</v>
      </c>
      <c r="E455" s="6">
        <f>IFERROR(__xludf.DUMMYFUNCTION("""COMPUTED_VALUE"""),40148.486805555556)</f>
        <v>40148.48681</v>
      </c>
      <c r="F455" s="2">
        <f>IFERROR(__xludf.DUMMYFUNCTION("""COMPUTED_VALUE"""),1.69)</f>
        <v>1.69</v>
      </c>
      <c r="G455" s="2">
        <f>IFERROR(__xludf.DUMMYFUNCTION("""COMPUTED_VALUE"""),14911.0)</f>
        <v>14911</v>
      </c>
      <c r="H455" s="2" t="str">
        <f>IFERROR(__xludf.DUMMYFUNCTION("""COMPUTED_VALUE"""),"EIRE")</f>
        <v>EIRE</v>
      </c>
      <c r="I455" s="7">
        <f>IFERROR(__xludf.DUMMYFUNCTION("""COMPUTED_VALUE"""),40148.0)</f>
        <v>40148</v>
      </c>
      <c r="J455" s="8">
        <f>IFERROR(__xludf.DUMMYFUNCTION("""COMPUTED_VALUE"""),0.4868055555562023)</f>
        <v>0.4868055556</v>
      </c>
      <c r="K455" s="2">
        <f>IFERROR(__xludf.DUMMYFUNCTION("""COMPUTED_VALUE"""),11.0)</f>
        <v>11</v>
      </c>
      <c r="L455" s="2">
        <f>IFERROR(__xludf.DUMMYFUNCTION("""COMPUTED_VALUE"""),20.28)</f>
        <v>20.28</v>
      </c>
    </row>
    <row r="456">
      <c r="A456" s="2">
        <f>IFERROR(__xludf.DUMMYFUNCTION("""COMPUTED_VALUE"""),489520.0)</f>
        <v>489520</v>
      </c>
      <c r="B456" s="2" t="str">
        <f>IFERROR(__xludf.DUMMYFUNCTION("""COMPUTED_VALUE"""),"35071")</f>
        <v>35071</v>
      </c>
      <c r="C456" s="2" t="str">
        <f>IFERROR(__xludf.DUMMYFUNCTION("""COMPUTED_VALUE"""),"ASSORTED SANTA CHRISTMAS DECORATION")</f>
        <v>ASSORTED SANTA CHRISTMAS DECORATION</v>
      </c>
      <c r="D456" s="2">
        <f>IFERROR(__xludf.DUMMYFUNCTION("""COMPUTED_VALUE"""),12.0)</f>
        <v>12</v>
      </c>
      <c r="E456" s="6">
        <f>IFERROR(__xludf.DUMMYFUNCTION("""COMPUTED_VALUE"""),40148.486805555556)</f>
        <v>40148.48681</v>
      </c>
      <c r="F456" s="2">
        <f>IFERROR(__xludf.DUMMYFUNCTION("""COMPUTED_VALUE"""),0.85)</f>
        <v>0.85</v>
      </c>
      <c r="G456" s="2">
        <f>IFERROR(__xludf.DUMMYFUNCTION("""COMPUTED_VALUE"""),14911.0)</f>
        <v>14911</v>
      </c>
      <c r="H456" s="2" t="str">
        <f>IFERROR(__xludf.DUMMYFUNCTION("""COMPUTED_VALUE"""),"EIRE")</f>
        <v>EIRE</v>
      </c>
      <c r="I456" s="7">
        <f>IFERROR(__xludf.DUMMYFUNCTION("""COMPUTED_VALUE"""),40148.0)</f>
        <v>40148</v>
      </c>
      <c r="J456" s="8">
        <f>IFERROR(__xludf.DUMMYFUNCTION("""COMPUTED_VALUE"""),0.4868055555562023)</f>
        <v>0.4868055556</v>
      </c>
      <c r="K456" s="2">
        <f>IFERROR(__xludf.DUMMYFUNCTION("""COMPUTED_VALUE"""),11.0)</f>
        <v>11</v>
      </c>
      <c r="L456" s="2">
        <f>IFERROR(__xludf.DUMMYFUNCTION("""COMPUTED_VALUE"""),10.2)</f>
        <v>10.2</v>
      </c>
    </row>
    <row r="457">
      <c r="A457" s="2">
        <f>IFERROR(__xludf.DUMMYFUNCTION("""COMPUTED_VALUE"""),489520.0)</f>
        <v>489520</v>
      </c>
      <c r="B457" s="2" t="str">
        <f>IFERROR(__xludf.DUMMYFUNCTION("""COMPUTED_VALUE"""),"22083")</f>
        <v>22083</v>
      </c>
      <c r="C457" s="2" t="str">
        <f>IFERROR(__xludf.DUMMYFUNCTION("""COMPUTED_VALUE"""),"PAPER CHAIN KIT RETRO SPOT")</f>
        <v>PAPER CHAIN KIT RETRO SPOT</v>
      </c>
      <c r="D457" s="2">
        <f>IFERROR(__xludf.DUMMYFUNCTION("""COMPUTED_VALUE"""),6.0)</f>
        <v>6</v>
      </c>
      <c r="E457" s="6">
        <f>IFERROR(__xludf.DUMMYFUNCTION("""COMPUTED_VALUE"""),40148.486805555556)</f>
        <v>40148.48681</v>
      </c>
      <c r="F457" s="2">
        <f>IFERROR(__xludf.DUMMYFUNCTION("""COMPUTED_VALUE"""),2.95)</f>
        <v>2.95</v>
      </c>
      <c r="G457" s="2">
        <f>IFERROR(__xludf.DUMMYFUNCTION("""COMPUTED_VALUE"""),14911.0)</f>
        <v>14911</v>
      </c>
      <c r="H457" s="2" t="str">
        <f>IFERROR(__xludf.DUMMYFUNCTION("""COMPUTED_VALUE"""),"EIRE")</f>
        <v>EIRE</v>
      </c>
      <c r="I457" s="7">
        <f>IFERROR(__xludf.DUMMYFUNCTION("""COMPUTED_VALUE"""),40148.0)</f>
        <v>40148</v>
      </c>
      <c r="J457" s="8">
        <f>IFERROR(__xludf.DUMMYFUNCTION("""COMPUTED_VALUE"""),0.4868055555562023)</f>
        <v>0.4868055556</v>
      </c>
      <c r="K457" s="2">
        <f>IFERROR(__xludf.DUMMYFUNCTION("""COMPUTED_VALUE"""),11.0)</f>
        <v>11</v>
      </c>
      <c r="L457" s="2">
        <f>IFERROR(__xludf.DUMMYFUNCTION("""COMPUTED_VALUE"""),17.7)</f>
        <v>17.7</v>
      </c>
    </row>
    <row r="458">
      <c r="A458" s="2">
        <f>IFERROR(__xludf.DUMMYFUNCTION("""COMPUTED_VALUE"""),489520.0)</f>
        <v>489520</v>
      </c>
      <c r="B458" s="2" t="str">
        <f>IFERROR(__xludf.DUMMYFUNCTION("""COMPUTED_VALUE"""),"22086")</f>
        <v>22086</v>
      </c>
      <c r="C458" s="2" t="str">
        <f>IFERROR(__xludf.DUMMYFUNCTION("""COMPUTED_VALUE"""),"PAPER CHAIN KIT 50'S CHRISTMAS")</f>
        <v>PAPER CHAIN KIT 50'S CHRISTMAS</v>
      </c>
      <c r="D458" s="2">
        <f>IFERROR(__xludf.DUMMYFUNCTION("""COMPUTED_VALUE"""),6.0)</f>
        <v>6</v>
      </c>
      <c r="E458" s="6">
        <f>IFERROR(__xludf.DUMMYFUNCTION("""COMPUTED_VALUE"""),40148.486805555556)</f>
        <v>40148.48681</v>
      </c>
      <c r="F458" s="2">
        <f>IFERROR(__xludf.DUMMYFUNCTION("""COMPUTED_VALUE"""),2.95)</f>
        <v>2.95</v>
      </c>
      <c r="G458" s="2">
        <f>IFERROR(__xludf.DUMMYFUNCTION("""COMPUTED_VALUE"""),14911.0)</f>
        <v>14911</v>
      </c>
      <c r="H458" s="2" t="str">
        <f>IFERROR(__xludf.DUMMYFUNCTION("""COMPUTED_VALUE"""),"EIRE")</f>
        <v>EIRE</v>
      </c>
      <c r="I458" s="7">
        <f>IFERROR(__xludf.DUMMYFUNCTION("""COMPUTED_VALUE"""),40148.0)</f>
        <v>40148</v>
      </c>
      <c r="J458" s="8">
        <f>IFERROR(__xludf.DUMMYFUNCTION("""COMPUTED_VALUE"""),0.4868055555562023)</f>
        <v>0.4868055556</v>
      </c>
      <c r="K458" s="2">
        <f>IFERROR(__xludf.DUMMYFUNCTION("""COMPUTED_VALUE"""),11.0)</f>
        <v>11</v>
      </c>
      <c r="L458" s="2">
        <f>IFERROR(__xludf.DUMMYFUNCTION("""COMPUTED_VALUE"""),17.7)</f>
        <v>17.7</v>
      </c>
    </row>
    <row r="459">
      <c r="A459" s="2">
        <f>IFERROR(__xludf.DUMMYFUNCTION("""COMPUTED_VALUE"""),489520.0)</f>
        <v>489520</v>
      </c>
      <c r="B459" s="2" t="str">
        <f>IFERROR(__xludf.DUMMYFUNCTION("""COMPUTED_VALUE"""),"22121")</f>
        <v>22121</v>
      </c>
      <c r="C459" s="2" t="str">
        <f>IFERROR(__xludf.DUMMYFUNCTION("""COMPUTED_VALUE"""),"NOEL WOODEN BLOCK LETTERS")</f>
        <v>NOEL WOODEN BLOCK LETTERS</v>
      </c>
      <c r="D459" s="2">
        <f>IFERROR(__xludf.DUMMYFUNCTION("""COMPUTED_VALUE"""),3.0)</f>
        <v>3</v>
      </c>
      <c r="E459" s="6">
        <f>IFERROR(__xludf.DUMMYFUNCTION("""COMPUTED_VALUE"""),40148.486805555556)</f>
        <v>40148.48681</v>
      </c>
      <c r="F459" s="2">
        <f>IFERROR(__xludf.DUMMYFUNCTION("""COMPUTED_VALUE"""),5.95)</f>
        <v>5.95</v>
      </c>
      <c r="G459" s="2">
        <f>IFERROR(__xludf.DUMMYFUNCTION("""COMPUTED_VALUE"""),14911.0)</f>
        <v>14911</v>
      </c>
      <c r="H459" s="2" t="str">
        <f>IFERROR(__xludf.DUMMYFUNCTION("""COMPUTED_VALUE"""),"EIRE")</f>
        <v>EIRE</v>
      </c>
      <c r="I459" s="7">
        <f>IFERROR(__xludf.DUMMYFUNCTION("""COMPUTED_VALUE"""),40148.0)</f>
        <v>40148</v>
      </c>
      <c r="J459" s="8">
        <f>IFERROR(__xludf.DUMMYFUNCTION("""COMPUTED_VALUE"""),0.4868055555562023)</f>
        <v>0.4868055556</v>
      </c>
      <c r="K459" s="2">
        <f>IFERROR(__xludf.DUMMYFUNCTION("""COMPUTED_VALUE"""),11.0)</f>
        <v>11</v>
      </c>
      <c r="L459" s="2">
        <f>IFERROR(__xludf.DUMMYFUNCTION("""COMPUTED_VALUE"""),17.85)</f>
        <v>17.85</v>
      </c>
    </row>
    <row r="460">
      <c r="A460" s="2">
        <f>IFERROR(__xludf.DUMMYFUNCTION("""COMPUTED_VALUE"""),489520.0)</f>
        <v>489520</v>
      </c>
      <c r="B460" s="2" t="str">
        <f>IFERROR(__xludf.DUMMYFUNCTION("""COMPUTED_VALUE"""),"21485")</f>
        <v>21485</v>
      </c>
      <c r="C460" s="2" t="str">
        <f>IFERROR(__xludf.DUMMYFUNCTION("""COMPUTED_VALUE"""),"RED SPOT HEART HOT WATER BOTTLE")</f>
        <v>RED SPOT HEART HOT WATER BOTTLE</v>
      </c>
      <c r="D460" s="2">
        <f>IFERROR(__xludf.DUMMYFUNCTION("""COMPUTED_VALUE"""),3.0)</f>
        <v>3</v>
      </c>
      <c r="E460" s="6">
        <f>IFERROR(__xludf.DUMMYFUNCTION("""COMPUTED_VALUE"""),40148.486805555556)</f>
        <v>40148.48681</v>
      </c>
      <c r="F460" s="2">
        <f>IFERROR(__xludf.DUMMYFUNCTION("""COMPUTED_VALUE"""),4.95)</f>
        <v>4.95</v>
      </c>
      <c r="G460" s="2">
        <f>IFERROR(__xludf.DUMMYFUNCTION("""COMPUTED_VALUE"""),14911.0)</f>
        <v>14911</v>
      </c>
      <c r="H460" s="2" t="str">
        <f>IFERROR(__xludf.DUMMYFUNCTION("""COMPUTED_VALUE"""),"EIRE")</f>
        <v>EIRE</v>
      </c>
      <c r="I460" s="7">
        <f>IFERROR(__xludf.DUMMYFUNCTION("""COMPUTED_VALUE"""),40148.0)</f>
        <v>40148</v>
      </c>
      <c r="J460" s="8">
        <f>IFERROR(__xludf.DUMMYFUNCTION("""COMPUTED_VALUE"""),0.4868055555562023)</f>
        <v>0.4868055556</v>
      </c>
      <c r="K460" s="2">
        <f>IFERROR(__xludf.DUMMYFUNCTION("""COMPUTED_VALUE"""),11.0)</f>
        <v>11</v>
      </c>
      <c r="L460" s="2">
        <f>IFERROR(__xludf.DUMMYFUNCTION("""COMPUTED_VALUE"""),14.85)</f>
        <v>14.85</v>
      </c>
    </row>
    <row r="461">
      <c r="A461" s="2">
        <f>IFERROR(__xludf.DUMMYFUNCTION("""COMPUTED_VALUE"""),489520.0)</f>
        <v>489520</v>
      </c>
      <c r="B461" s="2" t="str">
        <f>IFERROR(__xludf.DUMMYFUNCTION("""COMPUTED_VALUE"""),"84836")</f>
        <v>84836</v>
      </c>
      <c r="C461" s="2" t="str">
        <f>IFERROR(__xludf.DUMMYFUNCTION("""COMPUTED_VALUE"""),"ZINC METAL HEART DECORATION")</f>
        <v>ZINC METAL HEART DECORATION</v>
      </c>
      <c r="D461" s="2">
        <f>IFERROR(__xludf.DUMMYFUNCTION("""COMPUTED_VALUE"""),12.0)</f>
        <v>12</v>
      </c>
      <c r="E461" s="6">
        <f>IFERROR(__xludf.DUMMYFUNCTION("""COMPUTED_VALUE"""),40148.486805555556)</f>
        <v>40148.48681</v>
      </c>
      <c r="F461" s="2">
        <f>IFERROR(__xludf.DUMMYFUNCTION("""COMPUTED_VALUE"""),1.25)</f>
        <v>1.25</v>
      </c>
      <c r="G461" s="2">
        <f>IFERROR(__xludf.DUMMYFUNCTION("""COMPUTED_VALUE"""),14911.0)</f>
        <v>14911</v>
      </c>
      <c r="H461" s="2" t="str">
        <f>IFERROR(__xludf.DUMMYFUNCTION("""COMPUTED_VALUE"""),"EIRE")</f>
        <v>EIRE</v>
      </c>
      <c r="I461" s="7">
        <f>IFERROR(__xludf.DUMMYFUNCTION("""COMPUTED_VALUE"""),40148.0)</f>
        <v>40148</v>
      </c>
      <c r="J461" s="8">
        <f>IFERROR(__xludf.DUMMYFUNCTION("""COMPUTED_VALUE"""),0.4868055555562023)</f>
        <v>0.4868055556</v>
      </c>
      <c r="K461" s="2">
        <f>IFERROR(__xludf.DUMMYFUNCTION("""COMPUTED_VALUE"""),11.0)</f>
        <v>11</v>
      </c>
      <c r="L461" s="2">
        <f>IFERROR(__xludf.DUMMYFUNCTION("""COMPUTED_VALUE"""),15.0)</f>
        <v>15</v>
      </c>
    </row>
    <row r="462">
      <c r="A462" s="2">
        <f>IFERROR(__xludf.DUMMYFUNCTION("""COMPUTED_VALUE"""),489520.0)</f>
        <v>489520</v>
      </c>
      <c r="B462" s="2" t="str">
        <f>IFERROR(__xludf.DUMMYFUNCTION("""COMPUTED_VALUE"""),"22122")</f>
        <v>22122</v>
      </c>
      <c r="C462" s="2" t="str">
        <f>IFERROR(__xludf.DUMMYFUNCTION("""COMPUTED_VALUE"""),"SET OF 2 FANCY FONT TEA TOWELS")</f>
        <v>SET OF 2 FANCY FONT TEA TOWELS</v>
      </c>
      <c r="D462" s="2">
        <f>IFERROR(__xludf.DUMMYFUNCTION("""COMPUTED_VALUE"""),12.0)</f>
        <v>12</v>
      </c>
      <c r="E462" s="6">
        <f>IFERROR(__xludf.DUMMYFUNCTION("""COMPUTED_VALUE"""),40148.486805555556)</f>
        <v>40148.48681</v>
      </c>
      <c r="F462" s="2">
        <f>IFERROR(__xludf.DUMMYFUNCTION("""COMPUTED_VALUE"""),2.95)</f>
        <v>2.95</v>
      </c>
      <c r="G462" s="2">
        <f>IFERROR(__xludf.DUMMYFUNCTION("""COMPUTED_VALUE"""),14911.0)</f>
        <v>14911</v>
      </c>
      <c r="H462" s="2" t="str">
        <f>IFERROR(__xludf.DUMMYFUNCTION("""COMPUTED_VALUE"""),"EIRE")</f>
        <v>EIRE</v>
      </c>
      <c r="I462" s="7">
        <f>IFERROR(__xludf.DUMMYFUNCTION("""COMPUTED_VALUE"""),40148.0)</f>
        <v>40148</v>
      </c>
      <c r="J462" s="8">
        <f>IFERROR(__xludf.DUMMYFUNCTION("""COMPUTED_VALUE"""),0.4868055555562023)</f>
        <v>0.4868055556</v>
      </c>
      <c r="K462" s="2">
        <f>IFERROR(__xludf.DUMMYFUNCTION("""COMPUTED_VALUE"""),11.0)</f>
        <v>11</v>
      </c>
      <c r="L462" s="2">
        <f>IFERROR(__xludf.DUMMYFUNCTION("""COMPUTED_VALUE"""),35.4)</f>
        <v>35.4</v>
      </c>
    </row>
    <row r="463">
      <c r="A463" s="2">
        <f>IFERROR(__xludf.DUMMYFUNCTION("""COMPUTED_VALUE"""),489522.0)</f>
        <v>489522</v>
      </c>
      <c r="B463" s="2" t="str">
        <f>IFERROR(__xludf.DUMMYFUNCTION("""COMPUTED_VALUE"""),"21916")</f>
        <v>21916</v>
      </c>
      <c r="C463" s="2" t="str">
        <f>IFERROR(__xludf.DUMMYFUNCTION("""COMPUTED_VALUE"""),"SET 12 RETRO WHITE CHALK STICKS")</f>
        <v>SET 12 RETRO WHITE CHALK STICKS</v>
      </c>
      <c r="D463" s="2">
        <f>IFERROR(__xludf.DUMMYFUNCTION("""COMPUTED_VALUE"""),3.0)</f>
        <v>3</v>
      </c>
      <c r="E463" s="6">
        <f>IFERROR(__xludf.DUMMYFUNCTION("""COMPUTED_VALUE"""),40148.489583333336)</f>
        <v>40148.48958</v>
      </c>
      <c r="F463" s="2">
        <f>IFERROR(__xludf.DUMMYFUNCTION("""COMPUTED_VALUE"""),0.42)</f>
        <v>0.42</v>
      </c>
      <c r="G463" s="2">
        <f>IFERROR(__xludf.DUMMYFUNCTION("""COMPUTED_VALUE"""),15998.0)</f>
        <v>15998</v>
      </c>
      <c r="H463" s="2" t="str">
        <f>IFERROR(__xludf.DUMMYFUNCTION("""COMPUTED_VALUE"""),"United Kingdom")</f>
        <v>United Kingdom</v>
      </c>
      <c r="I463" s="7">
        <f>IFERROR(__xludf.DUMMYFUNCTION("""COMPUTED_VALUE"""),40148.0)</f>
        <v>40148</v>
      </c>
      <c r="J463" s="8">
        <f>IFERROR(__xludf.DUMMYFUNCTION("""COMPUTED_VALUE"""),0.4895833333321207)</f>
        <v>0.4895833333</v>
      </c>
      <c r="K463" s="2">
        <f>IFERROR(__xludf.DUMMYFUNCTION("""COMPUTED_VALUE"""),11.0)</f>
        <v>11</v>
      </c>
      <c r="L463" s="2">
        <f>IFERROR(__xludf.DUMMYFUNCTION("""COMPUTED_VALUE"""),1.26)</f>
        <v>1.26</v>
      </c>
    </row>
    <row r="464">
      <c r="A464" s="2">
        <f>IFERROR(__xludf.DUMMYFUNCTION("""COMPUTED_VALUE"""),489522.0)</f>
        <v>489522</v>
      </c>
      <c r="B464" s="2" t="str">
        <f>IFERROR(__xludf.DUMMYFUNCTION("""COMPUTED_VALUE"""),"72760B")</f>
        <v>72760B</v>
      </c>
      <c r="C464" s="2" t="str">
        <f>IFERROR(__xludf.DUMMYFUNCTION("""COMPUTED_VALUE"""),"VINTAGE CREAM 3 BASKET CAKE STAND")</f>
        <v>VINTAGE CREAM 3 BASKET CAKE STAND</v>
      </c>
      <c r="D464" s="2">
        <f>IFERROR(__xludf.DUMMYFUNCTION("""COMPUTED_VALUE"""),1.0)</f>
        <v>1</v>
      </c>
      <c r="E464" s="6">
        <f>IFERROR(__xludf.DUMMYFUNCTION("""COMPUTED_VALUE"""),40148.489583333336)</f>
        <v>40148.48958</v>
      </c>
      <c r="F464" s="2">
        <f>IFERROR(__xludf.DUMMYFUNCTION("""COMPUTED_VALUE"""),9.95)</f>
        <v>9.95</v>
      </c>
      <c r="G464" s="2">
        <f>IFERROR(__xludf.DUMMYFUNCTION("""COMPUTED_VALUE"""),15998.0)</f>
        <v>15998</v>
      </c>
      <c r="H464" s="2" t="str">
        <f>IFERROR(__xludf.DUMMYFUNCTION("""COMPUTED_VALUE"""),"United Kingdom")</f>
        <v>United Kingdom</v>
      </c>
      <c r="I464" s="7">
        <f>IFERROR(__xludf.DUMMYFUNCTION("""COMPUTED_VALUE"""),40148.0)</f>
        <v>40148</v>
      </c>
      <c r="J464" s="8">
        <f>IFERROR(__xludf.DUMMYFUNCTION("""COMPUTED_VALUE"""),0.4895833333321207)</f>
        <v>0.4895833333</v>
      </c>
      <c r="K464" s="2">
        <f>IFERROR(__xludf.DUMMYFUNCTION("""COMPUTED_VALUE"""),11.0)</f>
        <v>11</v>
      </c>
      <c r="L464" s="2">
        <f>IFERROR(__xludf.DUMMYFUNCTION("""COMPUTED_VALUE"""),9.95)</f>
        <v>9.95</v>
      </c>
    </row>
    <row r="465">
      <c r="A465" s="2">
        <f>IFERROR(__xludf.DUMMYFUNCTION("""COMPUTED_VALUE"""),489522.0)</f>
        <v>489522</v>
      </c>
      <c r="B465" s="2" t="str">
        <f>IFERROR(__xludf.DUMMYFUNCTION("""COMPUTED_VALUE"""),"37492A")</f>
        <v>37492A</v>
      </c>
      <c r="C465" s="2" t="str">
        <f>IFERROR(__xludf.DUMMYFUNCTION("""COMPUTED_VALUE"""),"YELLOW RED FLOWER PIGGY BANK")</f>
        <v>YELLOW RED FLOWER PIGGY BANK</v>
      </c>
      <c r="D465" s="2">
        <f>IFERROR(__xludf.DUMMYFUNCTION("""COMPUTED_VALUE"""),1.0)</f>
        <v>1</v>
      </c>
      <c r="E465" s="6">
        <f>IFERROR(__xludf.DUMMYFUNCTION("""COMPUTED_VALUE"""),40148.489583333336)</f>
        <v>40148.48958</v>
      </c>
      <c r="F465" s="2">
        <f>IFERROR(__xludf.DUMMYFUNCTION("""COMPUTED_VALUE"""),4.65)</f>
        <v>4.65</v>
      </c>
      <c r="G465" s="2">
        <f>IFERROR(__xludf.DUMMYFUNCTION("""COMPUTED_VALUE"""),15998.0)</f>
        <v>15998</v>
      </c>
      <c r="H465" s="2" t="str">
        <f>IFERROR(__xludf.DUMMYFUNCTION("""COMPUTED_VALUE"""),"United Kingdom")</f>
        <v>United Kingdom</v>
      </c>
      <c r="I465" s="7">
        <f>IFERROR(__xludf.DUMMYFUNCTION("""COMPUTED_VALUE"""),40148.0)</f>
        <v>40148</v>
      </c>
      <c r="J465" s="8">
        <f>IFERROR(__xludf.DUMMYFUNCTION("""COMPUTED_VALUE"""),0.4895833333321207)</f>
        <v>0.4895833333</v>
      </c>
      <c r="K465" s="2">
        <f>IFERROR(__xludf.DUMMYFUNCTION("""COMPUTED_VALUE"""),11.0)</f>
        <v>11</v>
      </c>
      <c r="L465" s="2">
        <f>IFERROR(__xludf.DUMMYFUNCTION("""COMPUTED_VALUE"""),4.65)</f>
        <v>4.65</v>
      </c>
    </row>
    <row r="466">
      <c r="A466" s="2">
        <f>IFERROR(__xludf.DUMMYFUNCTION("""COMPUTED_VALUE"""),489522.0)</f>
        <v>489522</v>
      </c>
      <c r="B466" s="2" t="str">
        <f>IFERROR(__xludf.DUMMYFUNCTION("""COMPUTED_VALUE"""),"21479")</f>
        <v>21479</v>
      </c>
      <c r="C466" s="2" t="str">
        <f>IFERROR(__xludf.DUMMYFUNCTION("""COMPUTED_VALUE"""),"WHITE SKULL HOT WATER BOTTLE")</f>
        <v>WHITE SKULL HOT WATER BOTTLE</v>
      </c>
      <c r="D466" s="2">
        <f>IFERROR(__xludf.DUMMYFUNCTION("""COMPUTED_VALUE"""),2.0)</f>
        <v>2</v>
      </c>
      <c r="E466" s="6">
        <f>IFERROR(__xludf.DUMMYFUNCTION("""COMPUTED_VALUE"""),40148.489583333336)</f>
        <v>40148.48958</v>
      </c>
      <c r="F466" s="2">
        <f>IFERROR(__xludf.DUMMYFUNCTION("""COMPUTED_VALUE"""),3.75)</f>
        <v>3.75</v>
      </c>
      <c r="G466" s="2">
        <f>IFERROR(__xludf.DUMMYFUNCTION("""COMPUTED_VALUE"""),15998.0)</f>
        <v>15998</v>
      </c>
      <c r="H466" s="2" t="str">
        <f>IFERROR(__xludf.DUMMYFUNCTION("""COMPUTED_VALUE"""),"United Kingdom")</f>
        <v>United Kingdom</v>
      </c>
      <c r="I466" s="7">
        <f>IFERROR(__xludf.DUMMYFUNCTION("""COMPUTED_VALUE"""),40148.0)</f>
        <v>40148</v>
      </c>
      <c r="J466" s="8">
        <f>IFERROR(__xludf.DUMMYFUNCTION("""COMPUTED_VALUE"""),0.4895833333321207)</f>
        <v>0.4895833333</v>
      </c>
      <c r="K466" s="2">
        <f>IFERROR(__xludf.DUMMYFUNCTION("""COMPUTED_VALUE"""),11.0)</f>
        <v>11</v>
      </c>
      <c r="L466" s="2">
        <f>IFERROR(__xludf.DUMMYFUNCTION("""COMPUTED_VALUE"""),7.5)</f>
        <v>7.5</v>
      </c>
    </row>
    <row r="467">
      <c r="A467" s="2">
        <f>IFERROR(__xludf.DUMMYFUNCTION("""COMPUTED_VALUE"""),489522.0)</f>
        <v>489522</v>
      </c>
      <c r="B467" s="2" t="str">
        <f>IFERROR(__xludf.DUMMYFUNCTION("""COMPUTED_VALUE"""),"10133")</f>
        <v>10133</v>
      </c>
      <c r="C467" s="2" t="str">
        <f>IFERROR(__xludf.DUMMYFUNCTION("""COMPUTED_VALUE"""),"COLOURING PENCILS BROWN TUBE")</f>
        <v>COLOURING PENCILS BROWN TUBE</v>
      </c>
      <c r="D467" s="2">
        <f>IFERROR(__xludf.DUMMYFUNCTION("""COMPUTED_VALUE"""),6.0)</f>
        <v>6</v>
      </c>
      <c r="E467" s="6">
        <f>IFERROR(__xludf.DUMMYFUNCTION("""COMPUTED_VALUE"""),40148.489583333336)</f>
        <v>40148.48958</v>
      </c>
      <c r="F467" s="2">
        <f>IFERROR(__xludf.DUMMYFUNCTION("""COMPUTED_VALUE"""),0.85)</f>
        <v>0.85</v>
      </c>
      <c r="G467" s="2">
        <f>IFERROR(__xludf.DUMMYFUNCTION("""COMPUTED_VALUE"""),15998.0)</f>
        <v>15998</v>
      </c>
      <c r="H467" s="2" t="str">
        <f>IFERROR(__xludf.DUMMYFUNCTION("""COMPUTED_VALUE"""),"United Kingdom")</f>
        <v>United Kingdom</v>
      </c>
      <c r="I467" s="7">
        <f>IFERROR(__xludf.DUMMYFUNCTION("""COMPUTED_VALUE"""),40148.0)</f>
        <v>40148</v>
      </c>
      <c r="J467" s="8">
        <f>IFERROR(__xludf.DUMMYFUNCTION("""COMPUTED_VALUE"""),0.4895833333321207)</f>
        <v>0.4895833333</v>
      </c>
      <c r="K467" s="2">
        <f>IFERROR(__xludf.DUMMYFUNCTION("""COMPUTED_VALUE"""),11.0)</f>
        <v>11</v>
      </c>
      <c r="L467" s="2">
        <f>IFERROR(__xludf.DUMMYFUNCTION("""COMPUTED_VALUE"""),5.1)</f>
        <v>5.1</v>
      </c>
    </row>
    <row r="468">
      <c r="A468" s="2">
        <f>IFERROR(__xludf.DUMMYFUNCTION("""COMPUTED_VALUE"""),489522.0)</f>
        <v>489522</v>
      </c>
      <c r="B468" s="2" t="str">
        <f>IFERROR(__xludf.DUMMYFUNCTION("""COMPUTED_VALUE"""),"22113")</f>
        <v>22113</v>
      </c>
      <c r="C468" s="2" t="str">
        <f>IFERROR(__xludf.DUMMYFUNCTION("""COMPUTED_VALUE"""),"GREY HEART HOT WATER BOTTLE")</f>
        <v>GREY HEART HOT WATER BOTTLE</v>
      </c>
      <c r="D468" s="2">
        <f>IFERROR(__xludf.DUMMYFUNCTION("""COMPUTED_VALUE"""),4.0)</f>
        <v>4</v>
      </c>
      <c r="E468" s="6">
        <f>IFERROR(__xludf.DUMMYFUNCTION("""COMPUTED_VALUE"""),40148.489583333336)</f>
        <v>40148.48958</v>
      </c>
      <c r="F468" s="2">
        <f>IFERROR(__xludf.DUMMYFUNCTION("""COMPUTED_VALUE"""),3.45)</f>
        <v>3.45</v>
      </c>
      <c r="G468" s="2">
        <f>IFERROR(__xludf.DUMMYFUNCTION("""COMPUTED_VALUE"""),15998.0)</f>
        <v>15998</v>
      </c>
      <c r="H468" s="2" t="str">
        <f>IFERROR(__xludf.DUMMYFUNCTION("""COMPUTED_VALUE"""),"United Kingdom")</f>
        <v>United Kingdom</v>
      </c>
      <c r="I468" s="7">
        <f>IFERROR(__xludf.DUMMYFUNCTION("""COMPUTED_VALUE"""),40148.0)</f>
        <v>40148</v>
      </c>
      <c r="J468" s="8">
        <f>IFERROR(__xludf.DUMMYFUNCTION("""COMPUTED_VALUE"""),0.4895833333321207)</f>
        <v>0.4895833333</v>
      </c>
      <c r="K468" s="2">
        <f>IFERROR(__xludf.DUMMYFUNCTION("""COMPUTED_VALUE"""),11.0)</f>
        <v>11</v>
      </c>
      <c r="L468" s="2">
        <f>IFERROR(__xludf.DUMMYFUNCTION("""COMPUTED_VALUE"""),13.8)</f>
        <v>13.8</v>
      </c>
    </row>
    <row r="469">
      <c r="A469" s="2">
        <f>IFERROR(__xludf.DUMMYFUNCTION("""COMPUTED_VALUE"""),489522.0)</f>
        <v>489522</v>
      </c>
      <c r="B469" s="2" t="str">
        <f>IFERROR(__xludf.DUMMYFUNCTION("""COMPUTED_VALUE"""),"20782")</f>
        <v>20782</v>
      </c>
      <c r="C469" s="2" t="str">
        <f>IFERROR(__xludf.DUMMYFUNCTION("""COMPUTED_VALUE"""),"CAMOUFLAGE EAR MUFF HEADPHONES")</f>
        <v>CAMOUFLAGE EAR MUFF HEADPHONES</v>
      </c>
      <c r="D469" s="2">
        <f>IFERROR(__xludf.DUMMYFUNCTION("""COMPUTED_VALUE"""),1.0)</f>
        <v>1</v>
      </c>
      <c r="E469" s="6">
        <f>IFERROR(__xludf.DUMMYFUNCTION("""COMPUTED_VALUE"""),40148.489583333336)</f>
        <v>40148.48958</v>
      </c>
      <c r="F469" s="2">
        <f>IFERROR(__xludf.DUMMYFUNCTION("""COMPUTED_VALUE"""),5.49)</f>
        <v>5.49</v>
      </c>
      <c r="G469" s="2">
        <f>IFERROR(__xludf.DUMMYFUNCTION("""COMPUTED_VALUE"""),15998.0)</f>
        <v>15998</v>
      </c>
      <c r="H469" s="2" t="str">
        <f>IFERROR(__xludf.DUMMYFUNCTION("""COMPUTED_VALUE"""),"United Kingdom")</f>
        <v>United Kingdom</v>
      </c>
      <c r="I469" s="7">
        <f>IFERROR(__xludf.DUMMYFUNCTION("""COMPUTED_VALUE"""),40148.0)</f>
        <v>40148</v>
      </c>
      <c r="J469" s="8">
        <f>IFERROR(__xludf.DUMMYFUNCTION("""COMPUTED_VALUE"""),0.4895833333321207)</f>
        <v>0.4895833333</v>
      </c>
      <c r="K469" s="2">
        <f>IFERROR(__xludf.DUMMYFUNCTION("""COMPUTED_VALUE"""),11.0)</f>
        <v>11</v>
      </c>
      <c r="L469" s="2">
        <f>IFERROR(__xludf.DUMMYFUNCTION("""COMPUTED_VALUE"""),5.49)</f>
        <v>5.49</v>
      </c>
    </row>
    <row r="470">
      <c r="A470" s="2">
        <f>IFERROR(__xludf.DUMMYFUNCTION("""COMPUTED_VALUE"""),489522.0)</f>
        <v>489522</v>
      </c>
      <c r="B470" s="2" t="str">
        <f>IFERROR(__xludf.DUMMYFUNCTION("""COMPUTED_VALUE"""),"22190")</f>
        <v>22190</v>
      </c>
      <c r="C470" s="2" t="str">
        <f>IFERROR(__xludf.DUMMYFUNCTION("""COMPUTED_VALUE"""),"LOCAL CAFE MUG")</f>
        <v>LOCAL CAFE MUG</v>
      </c>
      <c r="D470" s="2">
        <f>IFERROR(__xludf.DUMMYFUNCTION("""COMPUTED_VALUE"""),1.0)</f>
        <v>1</v>
      </c>
      <c r="E470" s="6">
        <f>IFERROR(__xludf.DUMMYFUNCTION("""COMPUTED_VALUE"""),40148.489583333336)</f>
        <v>40148.48958</v>
      </c>
      <c r="F470" s="2">
        <f>IFERROR(__xludf.DUMMYFUNCTION("""COMPUTED_VALUE"""),2.1)</f>
        <v>2.1</v>
      </c>
      <c r="G470" s="2">
        <f>IFERROR(__xludf.DUMMYFUNCTION("""COMPUTED_VALUE"""),15998.0)</f>
        <v>15998</v>
      </c>
      <c r="H470" s="2" t="str">
        <f>IFERROR(__xludf.DUMMYFUNCTION("""COMPUTED_VALUE"""),"United Kingdom")</f>
        <v>United Kingdom</v>
      </c>
      <c r="I470" s="7">
        <f>IFERROR(__xludf.DUMMYFUNCTION("""COMPUTED_VALUE"""),40148.0)</f>
        <v>40148</v>
      </c>
      <c r="J470" s="8">
        <f>IFERROR(__xludf.DUMMYFUNCTION("""COMPUTED_VALUE"""),0.4895833333321207)</f>
        <v>0.4895833333</v>
      </c>
      <c r="K470" s="2">
        <f>IFERROR(__xludf.DUMMYFUNCTION("""COMPUTED_VALUE"""),11.0)</f>
        <v>11</v>
      </c>
      <c r="L470" s="2">
        <f>IFERROR(__xludf.DUMMYFUNCTION("""COMPUTED_VALUE"""),2.1)</f>
        <v>2.1</v>
      </c>
    </row>
    <row r="471">
      <c r="A471" s="2">
        <f>IFERROR(__xludf.DUMMYFUNCTION("""COMPUTED_VALUE"""),489522.0)</f>
        <v>489522</v>
      </c>
      <c r="B471" s="2" t="str">
        <f>IFERROR(__xludf.DUMMYFUNCTION("""COMPUTED_VALUE"""),"22111")</f>
        <v>22111</v>
      </c>
      <c r="C471" s="2" t="str">
        <f>IFERROR(__xludf.DUMMYFUNCTION("""COMPUTED_VALUE"""),"SCOTTIE DOG HOT WATER BOTTLE")</f>
        <v>SCOTTIE DOG HOT WATER BOTTLE</v>
      </c>
      <c r="D471" s="2">
        <f>IFERROR(__xludf.DUMMYFUNCTION("""COMPUTED_VALUE"""),2.0)</f>
        <v>2</v>
      </c>
      <c r="E471" s="6">
        <f>IFERROR(__xludf.DUMMYFUNCTION("""COMPUTED_VALUE"""),40148.489583333336)</f>
        <v>40148.48958</v>
      </c>
      <c r="F471" s="2">
        <f>IFERROR(__xludf.DUMMYFUNCTION("""COMPUTED_VALUE"""),4.95)</f>
        <v>4.95</v>
      </c>
      <c r="G471" s="2">
        <f>IFERROR(__xludf.DUMMYFUNCTION("""COMPUTED_VALUE"""),15998.0)</f>
        <v>15998</v>
      </c>
      <c r="H471" s="2" t="str">
        <f>IFERROR(__xludf.DUMMYFUNCTION("""COMPUTED_VALUE"""),"United Kingdom")</f>
        <v>United Kingdom</v>
      </c>
      <c r="I471" s="7">
        <f>IFERROR(__xludf.DUMMYFUNCTION("""COMPUTED_VALUE"""),40148.0)</f>
        <v>40148</v>
      </c>
      <c r="J471" s="8">
        <f>IFERROR(__xludf.DUMMYFUNCTION("""COMPUTED_VALUE"""),0.4895833333321207)</f>
        <v>0.4895833333</v>
      </c>
      <c r="K471" s="2">
        <f>IFERROR(__xludf.DUMMYFUNCTION("""COMPUTED_VALUE"""),11.0)</f>
        <v>11</v>
      </c>
      <c r="L471" s="2">
        <f>IFERROR(__xludf.DUMMYFUNCTION("""COMPUTED_VALUE"""),9.9)</f>
        <v>9.9</v>
      </c>
    </row>
    <row r="472">
      <c r="A472" s="2">
        <f>IFERROR(__xludf.DUMMYFUNCTION("""COMPUTED_VALUE"""),489522.0)</f>
        <v>489522</v>
      </c>
      <c r="B472" s="2" t="str">
        <f>IFERROR(__xludf.DUMMYFUNCTION("""COMPUTED_VALUE"""),"84029G")</f>
        <v>84029G</v>
      </c>
      <c r="C472" s="2" t="str">
        <f>IFERROR(__xludf.DUMMYFUNCTION("""COMPUTED_VALUE"""),"KNITTED UNION FLAG HOT WATER BOTTLE")</f>
        <v>KNITTED UNION FLAG HOT WATER BOTTLE</v>
      </c>
      <c r="D472" s="2">
        <f>IFERROR(__xludf.DUMMYFUNCTION("""COMPUTED_VALUE"""),1.0)</f>
        <v>1</v>
      </c>
      <c r="E472" s="6">
        <f>IFERROR(__xludf.DUMMYFUNCTION("""COMPUTED_VALUE"""),40148.489583333336)</f>
        <v>40148.48958</v>
      </c>
      <c r="F472" s="2">
        <f>IFERROR(__xludf.DUMMYFUNCTION("""COMPUTED_VALUE"""),3.75)</f>
        <v>3.75</v>
      </c>
      <c r="G472" s="2">
        <f>IFERROR(__xludf.DUMMYFUNCTION("""COMPUTED_VALUE"""),15998.0)</f>
        <v>15998</v>
      </c>
      <c r="H472" s="2" t="str">
        <f>IFERROR(__xludf.DUMMYFUNCTION("""COMPUTED_VALUE"""),"United Kingdom")</f>
        <v>United Kingdom</v>
      </c>
      <c r="I472" s="7">
        <f>IFERROR(__xludf.DUMMYFUNCTION("""COMPUTED_VALUE"""),40148.0)</f>
        <v>40148</v>
      </c>
      <c r="J472" s="8">
        <f>IFERROR(__xludf.DUMMYFUNCTION("""COMPUTED_VALUE"""),0.4895833333321207)</f>
        <v>0.4895833333</v>
      </c>
      <c r="K472" s="2">
        <f>IFERROR(__xludf.DUMMYFUNCTION("""COMPUTED_VALUE"""),11.0)</f>
        <v>11</v>
      </c>
      <c r="L472" s="2">
        <f>IFERROR(__xludf.DUMMYFUNCTION("""COMPUTED_VALUE"""),3.75)</f>
        <v>3.75</v>
      </c>
    </row>
    <row r="473">
      <c r="A473" s="2">
        <f>IFERROR(__xludf.DUMMYFUNCTION("""COMPUTED_VALUE"""),489522.0)</f>
        <v>489522</v>
      </c>
      <c r="B473" s="2" t="str">
        <f>IFERROR(__xludf.DUMMYFUNCTION("""COMPUTED_VALUE"""),"22114")</f>
        <v>22114</v>
      </c>
      <c r="C473" s="2" t="str">
        <f>IFERROR(__xludf.DUMMYFUNCTION("""COMPUTED_VALUE"""),"HOT WATER BOTTLE TEA AND SYMPATHY")</f>
        <v>HOT WATER BOTTLE TEA AND SYMPATHY</v>
      </c>
      <c r="D473" s="2">
        <f>IFERROR(__xludf.DUMMYFUNCTION("""COMPUTED_VALUE"""),1.0)</f>
        <v>1</v>
      </c>
      <c r="E473" s="6">
        <f>IFERROR(__xludf.DUMMYFUNCTION("""COMPUTED_VALUE"""),40148.489583333336)</f>
        <v>40148.48958</v>
      </c>
      <c r="F473" s="2">
        <f>IFERROR(__xludf.DUMMYFUNCTION("""COMPUTED_VALUE"""),3.95)</f>
        <v>3.95</v>
      </c>
      <c r="G473" s="2">
        <f>IFERROR(__xludf.DUMMYFUNCTION("""COMPUTED_VALUE"""),15998.0)</f>
        <v>15998</v>
      </c>
      <c r="H473" s="2" t="str">
        <f>IFERROR(__xludf.DUMMYFUNCTION("""COMPUTED_VALUE"""),"United Kingdom")</f>
        <v>United Kingdom</v>
      </c>
      <c r="I473" s="7">
        <f>IFERROR(__xludf.DUMMYFUNCTION("""COMPUTED_VALUE"""),40148.0)</f>
        <v>40148</v>
      </c>
      <c r="J473" s="8">
        <f>IFERROR(__xludf.DUMMYFUNCTION("""COMPUTED_VALUE"""),0.4895833333321207)</f>
        <v>0.4895833333</v>
      </c>
      <c r="K473" s="2">
        <f>IFERROR(__xludf.DUMMYFUNCTION("""COMPUTED_VALUE"""),11.0)</f>
        <v>11</v>
      </c>
      <c r="L473" s="2">
        <f>IFERROR(__xludf.DUMMYFUNCTION("""COMPUTED_VALUE"""),3.95)</f>
        <v>3.95</v>
      </c>
    </row>
    <row r="474">
      <c r="A474" s="2">
        <f>IFERROR(__xludf.DUMMYFUNCTION("""COMPUTED_VALUE"""),489522.0)</f>
        <v>489522</v>
      </c>
      <c r="B474" s="2" t="str">
        <f>IFERROR(__xludf.DUMMYFUNCTION("""COMPUTED_VALUE"""),"21489")</f>
        <v>21489</v>
      </c>
      <c r="C474" s="2" t="str">
        <f>IFERROR(__xludf.DUMMYFUNCTION("""COMPUTED_VALUE"""),"BLUE WHITE SCARF HOT WATER BOTTLE")</f>
        <v>BLUE WHITE SCARF HOT WATER BOTTLE</v>
      </c>
      <c r="D474" s="2">
        <f>IFERROR(__xludf.DUMMYFUNCTION("""COMPUTED_VALUE"""),1.0)</f>
        <v>1</v>
      </c>
      <c r="E474" s="6">
        <f>IFERROR(__xludf.DUMMYFUNCTION("""COMPUTED_VALUE"""),40148.489583333336)</f>
        <v>40148.48958</v>
      </c>
      <c r="F474" s="2">
        <f>IFERROR(__xludf.DUMMYFUNCTION("""COMPUTED_VALUE"""),3.95)</f>
        <v>3.95</v>
      </c>
      <c r="G474" s="2">
        <f>IFERROR(__xludf.DUMMYFUNCTION("""COMPUTED_VALUE"""),15998.0)</f>
        <v>15998</v>
      </c>
      <c r="H474" s="2" t="str">
        <f>IFERROR(__xludf.DUMMYFUNCTION("""COMPUTED_VALUE"""),"United Kingdom")</f>
        <v>United Kingdom</v>
      </c>
      <c r="I474" s="7">
        <f>IFERROR(__xludf.DUMMYFUNCTION("""COMPUTED_VALUE"""),40148.0)</f>
        <v>40148</v>
      </c>
      <c r="J474" s="8">
        <f>IFERROR(__xludf.DUMMYFUNCTION("""COMPUTED_VALUE"""),0.4895833333321207)</f>
        <v>0.4895833333</v>
      </c>
      <c r="K474" s="2">
        <f>IFERROR(__xludf.DUMMYFUNCTION("""COMPUTED_VALUE"""),11.0)</f>
        <v>11</v>
      </c>
      <c r="L474" s="2">
        <f>IFERROR(__xludf.DUMMYFUNCTION("""COMPUTED_VALUE"""),3.95)</f>
        <v>3.95</v>
      </c>
    </row>
    <row r="475">
      <c r="A475" s="2">
        <f>IFERROR(__xludf.DUMMYFUNCTION("""COMPUTED_VALUE"""),489522.0)</f>
        <v>489522</v>
      </c>
      <c r="B475" s="2" t="str">
        <f>IFERROR(__xludf.DUMMYFUNCTION("""COMPUTED_VALUE"""),"20987")</f>
        <v>20987</v>
      </c>
      <c r="C475" s="2" t="str">
        <f>IFERROR(__xludf.DUMMYFUNCTION("""COMPUTED_VALUE"""),"GEISHA GIRL CHOPSTICKS SET/5")</f>
        <v>GEISHA GIRL CHOPSTICKS SET/5</v>
      </c>
      <c r="D475" s="2">
        <f>IFERROR(__xludf.DUMMYFUNCTION("""COMPUTED_VALUE"""),6.0)</f>
        <v>6</v>
      </c>
      <c r="E475" s="6">
        <f>IFERROR(__xludf.DUMMYFUNCTION("""COMPUTED_VALUE"""),40148.489583333336)</f>
        <v>40148.48958</v>
      </c>
      <c r="F475" s="2">
        <f>IFERROR(__xludf.DUMMYFUNCTION("""COMPUTED_VALUE"""),1.95)</f>
        <v>1.95</v>
      </c>
      <c r="G475" s="2">
        <f>IFERROR(__xludf.DUMMYFUNCTION("""COMPUTED_VALUE"""),15998.0)</f>
        <v>15998</v>
      </c>
      <c r="H475" s="2" t="str">
        <f>IFERROR(__xludf.DUMMYFUNCTION("""COMPUTED_VALUE"""),"United Kingdom")</f>
        <v>United Kingdom</v>
      </c>
      <c r="I475" s="7">
        <f>IFERROR(__xludf.DUMMYFUNCTION("""COMPUTED_VALUE"""),40148.0)</f>
        <v>40148</v>
      </c>
      <c r="J475" s="8">
        <f>IFERROR(__xludf.DUMMYFUNCTION("""COMPUTED_VALUE"""),0.4895833333321207)</f>
        <v>0.4895833333</v>
      </c>
      <c r="K475" s="2">
        <f>IFERROR(__xludf.DUMMYFUNCTION("""COMPUTED_VALUE"""),11.0)</f>
        <v>11</v>
      </c>
      <c r="L475" s="2">
        <f>IFERROR(__xludf.DUMMYFUNCTION("""COMPUTED_VALUE"""),11.7)</f>
        <v>11.7</v>
      </c>
    </row>
    <row r="476">
      <c r="A476" s="2">
        <f>IFERROR(__xludf.DUMMYFUNCTION("""COMPUTED_VALUE"""),489522.0)</f>
        <v>489522</v>
      </c>
      <c r="B476" s="2" t="str">
        <f>IFERROR(__xludf.DUMMYFUNCTION("""COMPUTED_VALUE"""),"20989")</f>
        <v>20989</v>
      </c>
      <c r="C476" s="2" t="str">
        <f>IFERROR(__xludf.DUMMYFUNCTION("""COMPUTED_VALUE"""),"URBAN CHIC CHOPSTICKS SET/5")</f>
        <v>URBAN CHIC CHOPSTICKS SET/5</v>
      </c>
      <c r="D476" s="2">
        <f>IFERROR(__xludf.DUMMYFUNCTION("""COMPUTED_VALUE"""),2.0)</f>
        <v>2</v>
      </c>
      <c r="E476" s="6">
        <f>IFERROR(__xludf.DUMMYFUNCTION("""COMPUTED_VALUE"""),40148.489583333336)</f>
        <v>40148.48958</v>
      </c>
      <c r="F476" s="2">
        <f>IFERROR(__xludf.DUMMYFUNCTION("""COMPUTED_VALUE"""),1.95)</f>
        <v>1.95</v>
      </c>
      <c r="G476" s="2">
        <f>IFERROR(__xludf.DUMMYFUNCTION("""COMPUTED_VALUE"""),15998.0)</f>
        <v>15998</v>
      </c>
      <c r="H476" s="2" t="str">
        <f>IFERROR(__xludf.DUMMYFUNCTION("""COMPUTED_VALUE"""),"United Kingdom")</f>
        <v>United Kingdom</v>
      </c>
      <c r="I476" s="7">
        <f>IFERROR(__xludf.DUMMYFUNCTION("""COMPUTED_VALUE"""),40148.0)</f>
        <v>40148</v>
      </c>
      <c r="J476" s="8">
        <f>IFERROR(__xludf.DUMMYFUNCTION("""COMPUTED_VALUE"""),0.4895833333321207)</f>
        <v>0.4895833333</v>
      </c>
      <c r="K476" s="2">
        <f>IFERROR(__xludf.DUMMYFUNCTION("""COMPUTED_VALUE"""),11.0)</f>
        <v>11</v>
      </c>
      <c r="L476" s="2">
        <f>IFERROR(__xludf.DUMMYFUNCTION("""COMPUTED_VALUE"""),3.9)</f>
        <v>3.9</v>
      </c>
    </row>
    <row r="477">
      <c r="A477" s="2">
        <f>IFERROR(__xludf.DUMMYFUNCTION("""COMPUTED_VALUE"""),489522.0)</f>
        <v>489522</v>
      </c>
      <c r="B477" s="2" t="str">
        <f>IFERROR(__xludf.DUMMYFUNCTION("""COMPUTED_VALUE"""),"21868")</f>
        <v>21868</v>
      </c>
      <c r="C477" s="2" t="str">
        <f>IFERROR(__xludf.DUMMYFUNCTION("""COMPUTED_VALUE"""),"POTTING SHED TEA MUG")</f>
        <v>POTTING SHED TEA MUG</v>
      </c>
      <c r="D477" s="2">
        <f>IFERROR(__xludf.DUMMYFUNCTION("""COMPUTED_VALUE"""),1.0)</f>
        <v>1</v>
      </c>
      <c r="E477" s="6">
        <f>IFERROR(__xludf.DUMMYFUNCTION("""COMPUTED_VALUE"""),40148.489583333336)</f>
        <v>40148.48958</v>
      </c>
      <c r="F477" s="2">
        <f>IFERROR(__xludf.DUMMYFUNCTION("""COMPUTED_VALUE"""),1.25)</f>
        <v>1.25</v>
      </c>
      <c r="G477" s="2">
        <f>IFERROR(__xludf.DUMMYFUNCTION("""COMPUTED_VALUE"""),15998.0)</f>
        <v>15998</v>
      </c>
      <c r="H477" s="2" t="str">
        <f>IFERROR(__xludf.DUMMYFUNCTION("""COMPUTED_VALUE"""),"United Kingdom")</f>
        <v>United Kingdom</v>
      </c>
      <c r="I477" s="7">
        <f>IFERROR(__xludf.DUMMYFUNCTION("""COMPUTED_VALUE"""),40148.0)</f>
        <v>40148</v>
      </c>
      <c r="J477" s="8">
        <f>IFERROR(__xludf.DUMMYFUNCTION("""COMPUTED_VALUE"""),0.4895833333321207)</f>
        <v>0.4895833333</v>
      </c>
      <c r="K477" s="2">
        <f>IFERROR(__xludf.DUMMYFUNCTION("""COMPUTED_VALUE"""),11.0)</f>
        <v>11</v>
      </c>
      <c r="L477" s="2">
        <f>IFERROR(__xludf.DUMMYFUNCTION("""COMPUTED_VALUE"""),1.25)</f>
        <v>1.25</v>
      </c>
    </row>
    <row r="478">
      <c r="A478" s="2">
        <f>IFERROR(__xludf.DUMMYFUNCTION("""COMPUTED_VALUE"""),489522.0)</f>
        <v>489522</v>
      </c>
      <c r="B478" s="2" t="str">
        <f>IFERROR(__xludf.DUMMYFUNCTION("""COMPUTED_VALUE"""),"21875")</f>
        <v>21875</v>
      </c>
      <c r="C478" s="2" t="str">
        <f>IFERROR(__xludf.DUMMYFUNCTION("""COMPUTED_VALUE"""),"KINGS CHOICE MUG")</f>
        <v>KINGS CHOICE MUG</v>
      </c>
      <c r="D478" s="2">
        <f>IFERROR(__xludf.DUMMYFUNCTION("""COMPUTED_VALUE"""),1.0)</f>
        <v>1</v>
      </c>
      <c r="E478" s="6">
        <f>IFERROR(__xludf.DUMMYFUNCTION("""COMPUTED_VALUE"""),40148.489583333336)</f>
        <v>40148.48958</v>
      </c>
      <c r="F478" s="2">
        <f>IFERROR(__xludf.DUMMYFUNCTION("""COMPUTED_VALUE"""),1.25)</f>
        <v>1.25</v>
      </c>
      <c r="G478" s="2">
        <f>IFERROR(__xludf.DUMMYFUNCTION("""COMPUTED_VALUE"""),15998.0)</f>
        <v>15998</v>
      </c>
      <c r="H478" s="2" t="str">
        <f>IFERROR(__xludf.DUMMYFUNCTION("""COMPUTED_VALUE"""),"United Kingdom")</f>
        <v>United Kingdom</v>
      </c>
      <c r="I478" s="7">
        <f>IFERROR(__xludf.DUMMYFUNCTION("""COMPUTED_VALUE"""),40148.0)</f>
        <v>40148</v>
      </c>
      <c r="J478" s="8">
        <f>IFERROR(__xludf.DUMMYFUNCTION("""COMPUTED_VALUE"""),0.4895833333321207)</f>
        <v>0.4895833333</v>
      </c>
      <c r="K478" s="2">
        <f>IFERROR(__xludf.DUMMYFUNCTION("""COMPUTED_VALUE"""),11.0)</f>
        <v>11</v>
      </c>
      <c r="L478" s="2">
        <f>IFERROR(__xludf.DUMMYFUNCTION("""COMPUTED_VALUE"""),1.25)</f>
        <v>1.25</v>
      </c>
    </row>
    <row r="479">
      <c r="A479" s="2">
        <f>IFERROR(__xludf.DUMMYFUNCTION("""COMPUTED_VALUE"""),489522.0)</f>
        <v>489522</v>
      </c>
      <c r="B479" s="2" t="str">
        <f>IFERROR(__xludf.DUMMYFUNCTION("""COMPUTED_VALUE"""),"21869")</f>
        <v>21869</v>
      </c>
      <c r="C479" s="2" t="str">
        <f>IFERROR(__xludf.DUMMYFUNCTION("""COMPUTED_VALUE"""),"POTTING SHED COFFEE MUG")</f>
        <v>POTTING SHED COFFEE MUG</v>
      </c>
      <c r="D479" s="2">
        <f>IFERROR(__xludf.DUMMYFUNCTION("""COMPUTED_VALUE"""),1.0)</f>
        <v>1</v>
      </c>
      <c r="E479" s="6">
        <f>IFERROR(__xludf.DUMMYFUNCTION("""COMPUTED_VALUE"""),40148.489583333336)</f>
        <v>40148.48958</v>
      </c>
      <c r="F479" s="2">
        <f>IFERROR(__xludf.DUMMYFUNCTION("""COMPUTED_VALUE"""),1.25)</f>
        <v>1.25</v>
      </c>
      <c r="G479" s="2">
        <f>IFERROR(__xludf.DUMMYFUNCTION("""COMPUTED_VALUE"""),15998.0)</f>
        <v>15998</v>
      </c>
      <c r="H479" s="2" t="str">
        <f>IFERROR(__xludf.DUMMYFUNCTION("""COMPUTED_VALUE"""),"United Kingdom")</f>
        <v>United Kingdom</v>
      </c>
      <c r="I479" s="7">
        <f>IFERROR(__xludf.DUMMYFUNCTION("""COMPUTED_VALUE"""),40148.0)</f>
        <v>40148</v>
      </c>
      <c r="J479" s="8">
        <f>IFERROR(__xludf.DUMMYFUNCTION("""COMPUTED_VALUE"""),0.4895833333321207)</f>
        <v>0.4895833333</v>
      </c>
      <c r="K479" s="2">
        <f>IFERROR(__xludf.DUMMYFUNCTION("""COMPUTED_VALUE"""),11.0)</f>
        <v>11</v>
      </c>
      <c r="L479" s="2">
        <f>IFERROR(__xludf.DUMMYFUNCTION("""COMPUTED_VALUE"""),1.25)</f>
        <v>1.25</v>
      </c>
    </row>
    <row r="480">
      <c r="A480" s="2">
        <f>IFERROR(__xludf.DUMMYFUNCTION("""COMPUTED_VALUE"""),489522.0)</f>
        <v>489522</v>
      </c>
      <c r="B480" s="2" t="str">
        <f>IFERROR(__xludf.DUMMYFUNCTION("""COMPUTED_VALUE"""),"21826")</f>
        <v>21826</v>
      </c>
      <c r="C480" s="2" t="str">
        <f>IFERROR(__xludf.DUMMYFUNCTION("""COMPUTED_VALUE"""),"EIGHT PIECE DINOSAUR SET")</f>
        <v>EIGHT PIECE DINOSAUR SET</v>
      </c>
      <c r="D480" s="2">
        <f>IFERROR(__xludf.DUMMYFUNCTION("""COMPUTED_VALUE"""),3.0)</f>
        <v>3</v>
      </c>
      <c r="E480" s="6">
        <f>IFERROR(__xludf.DUMMYFUNCTION("""COMPUTED_VALUE"""),40148.489583333336)</f>
        <v>40148.48958</v>
      </c>
      <c r="F480" s="2">
        <f>IFERROR(__xludf.DUMMYFUNCTION("""COMPUTED_VALUE"""),1.25)</f>
        <v>1.25</v>
      </c>
      <c r="G480" s="2">
        <f>IFERROR(__xludf.DUMMYFUNCTION("""COMPUTED_VALUE"""),15998.0)</f>
        <v>15998</v>
      </c>
      <c r="H480" s="2" t="str">
        <f>IFERROR(__xludf.DUMMYFUNCTION("""COMPUTED_VALUE"""),"United Kingdom")</f>
        <v>United Kingdom</v>
      </c>
      <c r="I480" s="7">
        <f>IFERROR(__xludf.DUMMYFUNCTION("""COMPUTED_VALUE"""),40148.0)</f>
        <v>40148</v>
      </c>
      <c r="J480" s="8">
        <f>IFERROR(__xludf.DUMMYFUNCTION("""COMPUTED_VALUE"""),0.4895833333321207)</f>
        <v>0.4895833333</v>
      </c>
      <c r="K480" s="2">
        <f>IFERROR(__xludf.DUMMYFUNCTION("""COMPUTED_VALUE"""),11.0)</f>
        <v>11</v>
      </c>
      <c r="L480" s="2">
        <f>IFERROR(__xludf.DUMMYFUNCTION("""COMPUTED_VALUE"""),3.75)</f>
        <v>3.75</v>
      </c>
    </row>
    <row r="481">
      <c r="A481" s="2">
        <f>IFERROR(__xludf.DUMMYFUNCTION("""COMPUTED_VALUE"""),489522.0)</f>
        <v>489522</v>
      </c>
      <c r="B481" s="2" t="str">
        <f>IFERROR(__xludf.DUMMYFUNCTION("""COMPUTED_VALUE"""),"21827")</f>
        <v>21827</v>
      </c>
      <c r="C481" s="2" t="str">
        <f>IFERROR(__xludf.DUMMYFUNCTION("""COMPUTED_VALUE"""),"EIGHT PIECE CREEPY CRAWLIE SET")</f>
        <v>EIGHT PIECE CREEPY CRAWLIE SET</v>
      </c>
      <c r="D481" s="2">
        <f>IFERROR(__xludf.DUMMYFUNCTION("""COMPUTED_VALUE"""),3.0)</f>
        <v>3</v>
      </c>
      <c r="E481" s="6">
        <f>IFERROR(__xludf.DUMMYFUNCTION("""COMPUTED_VALUE"""),40148.489583333336)</f>
        <v>40148.48958</v>
      </c>
      <c r="F481" s="2">
        <f>IFERROR(__xludf.DUMMYFUNCTION("""COMPUTED_VALUE"""),1.25)</f>
        <v>1.25</v>
      </c>
      <c r="G481" s="2">
        <f>IFERROR(__xludf.DUMMYFUNCTION("""COMPUTED_VALUE"""),15998.0)</f>
        <v>15998</v>
      </c>
      <c r="H481" s="2" t="str">
        <f>IFERROR(__xludf.DUMMYFUNCTION("""COMPUTED_VALUE"""),"United Kingdom")</f>
        <v>United Kingdom</v>
      </c>
      <c r="I481" s="7">
        <f>IFERROR(__xludf.DUMMYFUNCTION("""COMPUTED_VALUE"""),40148.0)</f>
        <v>40148</v>
      </c>
      <c r="J481" s="8">
        <f>IFERROR(__xludf.DUMMYFUNCTION("""COMPUTED_VALUE"""),0.4895833333321207)</f>
        <v>0.4895833333</v>
      </c>
      <c r="K481" s="2">
        <f>IFERROR(__xludf.DUMMYFUNCTION("""COMPUTED_VALUE"""),11.0)</f>
        <v>11</v>
      </c>
      <c r="L481" s="2">
        <f>IFERROR(__xludf.DUMMYFUNCTION("""COMPUTED_VALUE"""),3.75)</f>
        <v>3.75</v>
      </c>
    </row>
    <row r="482">
      <c r="A482" s="2">
        <f>IFERROR(__xludf.DUMMYFUNCTION("""COMPUTED_VALUE"""),489522.0)</f>
        <v>489522</v>
      </c>
      <c r="B482" s="2" t="str">
        <f>IFERROR(__xludf.DUMMYFUNCTION("""COMPUTED_VALUE"""),"21828")</f>
        <v>21828</v>
      </c>
      <c r="C482" s="2" t="str">
        <f>IFERROR(__xludf.DUMMYFUNCTION("""COMPUTED_VALUE"""),"EIGHT PIECE SNAKE SET")</f>
        <v>EIGHT PIECE SNAKE SET</v>
      </c>
      <c r="D482" s="2">
        <f>IFERROR(__xludf.DUMMYFUNCTION("""COMPUTED_VALUE"""),3.0)</f>
        <v>3</v>
      </c>
      <c r="E482" s="6">
        <f>IFERROR(__xludf.DUMMYFUNCTION("""COMPUTED_VALUE"""),40148.489583333336)</f>
        <v>40148.48958</v>
      </c>
      <c r="F482" s="2">
        <f>IFERROR(__xludf.DUMMYFUNCTION("""COMPUTED_VALUE"""),1.25)</f>
        <v>1.25</v>
      </c>
      <c r="G482" s="2">
        <f>IFERROR(__xludf.DUMMYFUNCTION("""COMPUTED_VALUE"""),15998.0)</f>
        <v>15998</v>
      </c>
      <c r="H482" s="2" t="str">
        <f>IFERROR(__xludf.DUMMYFUNCTION("""COMPUTED_VALUE"""),"United Kingdom")</f>
        <v>United Kingdom</v>
      </c>
      <c r="I482" s="7">
        <f>IFERROR(__xludf.DUMMYFUNCTION("""COMPUTED_VALUE"""),40148.0)</f>
        <v>40148</v>
      </c>
      <c r="J482" s="8">
        <f>IFERROR(__xludf.DUMMYFUNCTION("""COMPUTED_VALUE"""),0.4895833333321207)</f>
        <v>0.4895833333</v>
      </c>
      <c r="K482" s="2">
        <f>IFERROR(__xludf.DUMMYFUNCTION("""COMPUTED_VALUE"""),11.0)</f>
        <v>11</v>
      </c>
      <c r="L482" s="2">
        <f>IFERROR(__xludf.DUMMYFUNCTION("""COMPUTED_VALUE"""),3.75)</f>
        <v>3.75</v>
      </c>
    </row>
    <row r="483">
      <c r="A483" s="2">
        <f>IFERROR(__xludf.DUMMYFUNCTION("""COMPUTED_VALUE"""),489522.0)</f>
        <v>489522</v>
      </c>
      <c r="B483" s="2" t="str">
        <f>IFERROR(__xludf.DUMMYFUNCTION("""COMPUTED_VALUE"""),"16225")</f>
        <v>16225</v>
      </c>
      <c r="C483" s="2" t="str">
        <f>IFERROR(__xludf.DUMMYFUNCTION("""COMPUTED_VALUE"""),"RATTLE SNAKE EGGS")</f>
        <v>RATTLE SNAKE EGGS</v>
      </c>
      <c r="D483" s="2">
        <f>IFERROR(__xludf.DUMMYFUNCTION("""COMPUTED_VALUE"""),4.0)</f>
        <v>4</v>
      </c>
      <c r="E483" s="6">
        <f>IFERROR(__xludf.DUMMYFUNCTION("""COMPUTED_VALUE"""),40148.489583333336)</f>
        <v>40148.48958</v>
      </c>
      <c r="F483" s="2">
        <f>IFERROR(__xludf.DUMMYFUNCTION("""COMPUTED_VALUE"""),1.25)</f>
        <v>1.25</v>
      </c>
      <c r="G483" s="2">
        <f>IFERROR(__xludf.DUMMYFUNCTION("""COMPUTED_VALUE"""),15998.0)</f>
        <v>15998</v>
      </c>
      <c r="H483" s="2" t="str">
        <f>IFERROR(__xludf.DUMMYFUNCTION("""COMPUTED_VALUE"""),"United Kingdom")</f>
        <v>United Kingdom</v>
      </c>
      <c r="I483" s="7">
        <f>IFERROR(__xludf.DUMMYFUNCTION("""COMPUTED_VALUE"""),40148.0)</f>
        <v>40148</v>
      </c>
      <c r="J483" s="8">
        <f>IFERROR(__xludf.DUMMYFUNCTION("""COMPUTED_VALUE"""),0.4895833333321207)</f>
        <v>0.4895833333</v>
      </c>
      <c r="K483" s="2">
        <f>IFERROR(__xludf.DUMMYFUNCTION("""COMPUTED_VALUE"""),11.0)</f>
        <v>11</v>
      </c>
      <c r="L483" s="2">
        <f>IFERROR(__xludf.DUMMYFUNCTION("""COMPUTED_VALUE"""),5.0)</f>
        <v>5</v>
      </c>
    </row>
    <row r="484">
      <c r="A484" s="2">
        <f>IFERROR(__xludf.DUMMYFUNCTION("""COMPUTED_VALUE"""),489522.0)</f>
        <v>489522</v>
      </c>
      <c r="B484" s="2" t="str">
        <f>IFERROR(__xludf.DUMMYFUNCTION("""COMPUTED_VALUE"""),"21829")</f>
        <v>21829</v>
      </c>
      <c r="C484" s="2" t="str">
        <f>IFERROR(__xludf.DUMMYFUNCTION("""COMPUTED_VALUE"""),"DINOSAUR KEYRINGS ASSORTED")</f>
        <v>DINOSAUR KEYRINGS ASSORTED</v>
      </c>
      <c r="D484" s="2">
        <f>IFERROR(__xludf.DUMMYFUNCTION("""COMPUTED_VALUE"""),36.0)</f>
        <v>36</v>
      </c>
      <c r="E484" s="6">
        <f>IFERROR(__xludf.DUMMYFUNCTION("""COMPUTED_VALUE"""),40148.489583333336)</f>
        <v>40148.48958</v>
      </c>
      <c r="F484" s="2">
        <f>IFERROR(__xludf.DUMMYFUNCTION("""COMPUTED_VALUE"""),0.21)</f>
        <v>0.21</v>
      </c>
      <c r="G484" s="2">
        <f>IFERROR(__xludf.DUMMYFUNCTION("""COMPUTED_VALUE"""),15998.0)</f>
        <v>15998</v>
      </c>
      <c r="H484" s="2" t="str">
        <f>IFERROR(__xludf.DUMMYFUNCTION("""COMPUTED_VALUE"""),"United Kingdom")</f>
        <v>United Kingdom</v>
      </c>
      <c r="I484" s="7">
        <f>IFERROR(__xludf.DUMMYFUNCTION("""COMPUTED_VALUE"""),40148.0)</f>
        <v>40148</v>
      </c>
      <c r="J484" s="8">
        <f>IFERROR(__xludf.DUMMYFUNCTION("""COMPUTED_VALUE"""),0.4895833333321207)</f>
        <v>0.4895833333</v>
      </c>
      <c r="K484" s="2">
        <f>IFERROR(__xludf.DUMMYFUNCTION("""COMPUTED_VALUE"""),11.0)</f>
        <v>11</v>
      </c>
      <c r="L484" s="2">
        <f>IFERROR(__xludf.DUMMYFUNCTION("""COMPUTED_VALUE"""),7.56)</f>
        <v>7.56</v>
      </c>
    </row>
    <row r="485">
      <c r="A485" s="2">
        <f>IFERROR(__xludf.DUMMYFUNCTION("""COMPUTED_VALUE"""),489522.0)</f>
        <v>489522</v>
      </c>
      <c r="B485" s="2" t="str">
        <f>IFERROR(__xludf.DUMMYFUNCTION("""COMPUTED_VALUE"""),"21582")</f>
        <v>21582</v>
      </c>
      <c r="C485" s="2" t="str">
        <f>IFERROR(__xludf.DUMMYFUNCTION("""COMPUTED_VALUE"""),"KINGS CHOICE SMALL TUBE MATCHES")</f>
        <v>KINGS CHOICE SMALL TUBE MATCHES</v>
      </c>
      <c r="D485" s="2">
        <f>IFERROR(__xludf.DUMMYFUNCTION("""COMPUTED_VALUE"""),2.0)</f>
        <v>2</v>
      </c>
      <c r="E485" s="6">
        <f>IFERROR(__xludf.DUMMYFUNCTION("""COMPUTED_VALUE"""),40148.489583333336)</f>
        <v>40148.48958</v>
      </c>
      <c r="F485" s="2">
        <f>IFERROR(__xludf.DUMMYFUNCTION("""COMPUTED_VALUE"""),1.65)</f>
        <v>1.65</v>
      </c>
      <c r="G485" s="2">
        <f>IFERROR(__xludf.DUMMYFUNCTION("""COMPUTED_VALUE"""),15998.0)</f>
        <v>15998</v>
      </c>
      <c r="H485" s="2" t="str">
        <f>IFERROR(__xludf.DUMMYFUNCTION("""COMPUTED_VALUE"""),"United Kingdom")</f>
        <v>United Kingdom</v>
      </c>
      <c r="I485" s="7">
        <f>IFERROR(__xludf.DUMMYFUNCTION("""COMPUTED_VALUE"""),40148.0)</f>
        <v>40148</v>
      </c>
      <c r="J485" s="8">
        <f>IFERROR(__xludf.DUMMYFUNCTION("""COMPUTED_VALUE"""),0.4895833333321207)</f>
        <v>0.4895833333</v>
      </c>
      <c r="K485" s="2">
        <f>IFERROR(__xludf.DUMMYFUNCTION("""COMPUTED_VALUE"""),11.0)</f>
        <v>11</v>
      </c>
      <c r="L485" s="2">
        <f>IFERROR(__xludf.DUMMYFUNCTION("""COMPUTED_VALUE"""),3.3)</f>
        <v>3.3</v>
      </c>
    </row>
    <row r="486">
      <c r="A486" s="2">
        <f>IFERROR(__xludf.DUMMYFUNCTION("""COMPUTED_VALUE"""),489522.0)</f>
        <v>489522</v>
      </c>
      <c r="B486" s="2" t="str">
        <f>IFERROR(__xludf.DUMMYFUNCTION("""COMPUTED_VALUE"""),"21584")</f>
        <v>21584</v>
      </c>
      <c r="C486" s="2" t="str">
        <f>IFERROR(__xludf.DUMMYFUNCTION("""COMPUTED_VALUE"""),"RETRO SPOT SMALL TUBE MATCHES")</f>
        <v>RETRO SPOT SMALL TUBE MATCHES</v>
      </c>
      <c r="D486" s="2">
        <f>IFERROR(__xludf.DUMMYFUNCTION("""COMPUTED_VALUE"""),2.0)</f>
        <v>2</v>
      </c>
      <c r="E486" s="6">
        <f>IFERROR(__xludf.DUMMYFUNCTION("""COMPUTED_VALUE"""),40148.489583333336)</f>
        <v>40148.48958</v>
      </c>
      <c r="F486" s="2">
        <f>IFERROR(__xludf.DUMMYFUNCTION("""COMPUTED_VALUE"""),1.65)</f>
        <v>1.65</v>
      </c>
      <c r="G486" s="2">
        <f>IFERROR(__xludf.DUMMYFUNCTION("""COMPUTED_VALUE"""),15998.0)</f>
        <v>15998</v>
      </c>
      <c r="H486" s="2" t="str">
        <f>IFERROR(__xludf.DUMMYFUNCTION("""COMPUTED_VALUE"""),"United Kingdom")</f>
        <v>United Kingdom</v>
      </c>
      <c r="I486" s="7">
        <f>IFERROR(__xludf.DUMMYFUNCTION("""COMPUTED_VALUE"""),40148.0)</f>
        <v>40148</v>
      </c>
      <c r="J486" s="8">
        <f>IFERROR(__xludf.DUMMYFUNCTION("""COMPUTED_VALUE"""),0.4895833333321207)</f>
        <v>0.4895833333</v>
      </c>
      <c r="K486" s="2">
        <f>IFERROR(__xludf.DUMMYFUNCTION("""COMPUTED_VALUE"""),11.0)</f>
        <v>11</v>
      </c>
      <c r="L486" s="2">
        <f>IFERROR(__xludf.DUMMYFUNCTION("""COMPUTED_VALUE"""),3.3)</f>
        <v>3.3</v>
      </c>
    </row>
    <row r="487">
      <c r="A487" s="2">
        <f>IFERROR(__xludf.DUMMYFUNCTION("""COMPUTED_VALUE"""),489522.0)</f>
        <v>489522</v>
      </c>
      <c r="B487" s="2" t="str">
        <f>IFERROR(__xludf.DUMMYFUNCTION("""COMPUTED_VALUE"""),"21638")</f>
        <v>21638</v>
      </c>
      <c r="C487" s="2" t="str">
        <f>IFERROR(__xludf.DUMMYFUNCTION("""COMPUTED_VALUE"""),"ASSORTED TUTTI FRUTTI NOTEBOOK")</f>
        <v>ASSORTED TUTTI FRUTTI NOTEBOOK</v>
      </c>
      <c r="D487" s="2">
        <f>IFERROR(__xludf.DUMMYFUNCTION("""COMPUTED_VALUE"""),6.0)</f>
        <v>6</v>
      </c>
      <c r="E487" s="6">
        <f>IFERROR(__xludf.DUMMYFUNCTION("""COMPUTED_VALUE"""),40148.489583333336)</f>
        <v>40148.48958</v>
      </c>
      <c r="F487" s="2">
        <f>IFERROR(__xludf.DUMMYFUNCTION("""COMPUTED_VALUE"""),2.1)</f>
        <v>2.1</v>
      </c>
      <c r="G487" s="2">
        <f>IFERROR(__xludf.DUMMYFUNCTION("""COMPUTED_VALUE"""),15998.0)</f>
        <v>15998</v>
      </c>
      <c r="H487" s="2" t="str">
        <f>IFERROR(__xludf.DUMMYFUNCTION("""COMPUTED_VALUE"""),"United Kingdom")</f>
        <v>United Kingdom</v>
      </c>
      <c r="I487" s="7">
        <f>IFERROR(__xludf.DUMMYFUNCTION("""COMPUTED_VALUE"""),40148.0)</f>
        <v>40148</v>
      </c>
      <c r="J487" s="8">
        <f>IFERROR(__xludf.DUMMYFUNCTION("""COMPUTED_VALUE"""),0.4895833333321207)</f>
        <v>0.4895833333</v>
      </c>
      <c r="K487" s="2">
        <f>IFERROR(__xludf.DUMMYFUNCTION("""COMPUTED_VALUE"""),11.0)</f>
        <v>11</v>
      </c>
      <c r="L487" s="2">
        <f>IFERROR(__xludf.DUMMYFUNCTION("""COMPUTED_VALUE"""),12.6)</f>
        <v>12.6</v>
      </c>
    </row>
    <row r="488">
      <c r="A488" s="2">
        <f>IFERROR(__xludf.DUMMYFUNCTION("""COMPUTED_VALUE"""),489522.0)</f>
        <v>489522</v>
      </c>
      <c r="B488" s="2" t="str">
        <f>IFERROR(__xludf.DUMMYFUNCTION("""COMPUTED_VALUE"""),"35400")</f>
        <v>35400</v>
      </c>
      <c r="C488" s="2" t="str">
        <f>IFERROR(__xludf.DUMMYFUNCTION("""COMPUTED_VALUE"""),"WOODEN BOX ADVENT CALENDAR")</f>
        <v>WOODEN BOX ADVENT CALENDAR</v>
      </c>
      <c r="D488" s="2">
        <f>IFERROR(__xludf.DUMMYFUNCTION("""COMPUTED_VALUE"""),2.0)</f>
        <v>2</v>
      </c>
      <c r="E488" s="6">
        <f>IFERROR(__xludf.DUMMYFUNCTION("""COMPUTED_VALUE"""),40148.489583333336)</f>
        <v>40148.48958</v>
      </c>
      <c r="F488" s="2">
        <f>IFERROR(__xludf.DUMMYFUNCTION("""COMPUTED_VALUE"""),8.95)</f>
        <v>8.95</v>
      </c>
      <c r="G488" s="2">
        <f>IFERROR(__xludf.DUMMYFUNCTION("""COMPUTED_VALUE"""),15998.0)</f>
        <v>15998</v>
      </c>
      <c r="H488" s="2" t="str">
        <f>IFERROR(__xludf.DUMMYFUNCTION("""COMPUTED_VALUE"""),"United Kingdom")</f>
        <v>United Kingdom</v>
      </c>
      <c r="I488" s="7">
        <f>IFERROR(__xludf.DUMMYFUNCTION("""COMPUTED_VALUE"""),40148.0)</f>
        <v>40148</v>
      </c>
      <c r="J488" s="8">
        <f>IFERROR(__xludf.DUMMYFUNCTION("""COMPUTED_VALUE"""),0.4895833333321207)</f>
        <v>0.4895833333</v>
      </c>
      <c r="K488" s="2">
        <f>IFERROR(__xludf.DUMMYFUNCTION("""COMPUTED_VALUE"""),11.0)</f>
        <v>11</v>
      </c>
      <c r="L488" s="2">
        <f>IFERROR(__xludf.DUMMYFUNCTION("""COMPUTED_VALUE"""),17.9)</f>
        <v>17.9</v>
      </c>
    </row>
    <row r="489">
      <c r="A489" s="2">
        <f>IFERROR(__xludf.DUMMYFUNCTION("""COMPUTED_VALUE"""),489522.0)</f>
        <v>489522</v>
      </c>
      <c r="B489" s="2" t="str">
        <f>IFERROR(__xludf.DUMMYFUNCTION("""COMPUTED_VALUE"""),"22218")</f>
        <v>22218</v>
      </c>
      <c r="C489" s="2" t="str">
        <f>IFERROR(__xludf.DUMMYFUNCTION("""COMPUTED_VALUE"""),"CAKE STAND LACE WHITE")</f>
        <v>CAKE STAND LACE WHITE</v>
      </c>
      <c r="D489" s="2">
        <f>IFERROR(__xludf.DUMMYFUNCTION("""COMPUTED_VALUE"""),1.0)</f>
        <v>1</v>
      </c>
      <c r="E489" s="6">
        <f>IFERROR(__xludf.DUMMYFUNCTION("""COMPUTED_VALUE"""),40148.489583333336)</f>
        <v>40148.48958</v>
      </c>
      <c r="F489" s="2">
        <f>IFERROR(__xludf.DUMMYFUNCTION("""COMPUTED_VALUE"""),4.25)</f>
        <v>4.25</v>
      </c>
      <c r="G489" s="2">
        <f>IFERROR(__xludf.DUMMYFUNCTION("""COMPUTED_VALUE"""),15998.0)</f>
        <v>15998</v>
      </c>
      <c r="H489" s="2" t="str">
        <f>IFERROR(__xludf.DUMMYFUNCTION("""COMPUTED_VALUE"""),"United Kingdom")</f>
        <v>United Kingdom</v>
      </c>
      <c r="I489" s="7">
        <f>IFERROR(__xludf.DUMMYFUNCTION("""COMPUTED_VALUE"""),40148.0)</f>
        <v>40148</v>
      </c>
      <c r="J489" s="8">
        <f>IFERROR(__xludf.DUMMYFUNCTION("""COMPUTED_VALUE"""),0.4895833333321207)</f>
        <v>0.4895833333</v>
      </c>
      <c r="K489" s="2">
        <f>IFERROR(__xludf.DUMMYFUNCTION("""COMPUTED_VALUE"""),11.0)</f>
        <v>11</v>
      </c>
      <c r="L489" s="2">
        <f>IFERROR(__xludf.DUMMYFUNCTION("""COMPUTED_VALUE"""),4.25)</f>
        <v>4.25</v>
      </c>
    </row>
    <row r="490">
      <c r="A490" s="2">
        <f>IFERROR(__xludf.DUMMYFUNCTION("""COMPUTED_VALUE"""),489522.0)</f>
        <v>489522</v>
      </c>
      <c r="B490" s="2" t="str">
        <f>IFERROR(__xludf.DUMMYFUNCTION("""COMPUTED_VALUE"""),"22222")</f>
        <v>22222</v>
      </c>
      <c r="C490" s="2" t="str">
        <f>IFERROR(__xludf.DUMMYFUNCTION("""COMPUTED_VALUE"""),"CAKE PLATE LOVEBIRD WHITE")</f>
        <v>CAKE PLATE LOVEBIRD WHITE</v>
      </c>
      <c r="D490" s="2">
        <f>IFERROR(__xludf.DUMMYFUNCTION("""COMPUTED_VALUE"""),1.0)</f>
        <v>1</v>
      </c>
      <c r="E490" s="6">
        <f>IFERROR(__xludf.DUMMYFUNCTION("""COMPUTED_VALUE"""),40148.489583333336)</f>
        <v>40148.48958</v>
      </c>
      <c r="F490" s="2">
        <f>IFERROR(__xludf.DUMMYFUNCTION("""COMPUTED_VALUE"""),4.95)</f>
        <v>4.95</v>
      </c>
      <c r="G490" s="2">
        <f>IFERROR(__xludf.DUMMYFUNCTION("""COMPUTED_VALUE"""),15998.0)</f>
        <v>15998</v>
      </c>
      <c r="H490" s="2" t="str">
        <f>IFERROR(__xludf.DUMMYFUNCTION("""COMPUTED_VALUE"""),"United Kingdom")</f>
        <v>United Kingdom</v>
      </c>
      <c r="I490" s="7">
        <f>IFERROR(__xludf.DUMMYFUNCTION("""COMPUTED_VALUE"""),40148.0)</f>
        <v>40148</v>
      </c>
      <c r="J490" s="8">
        <f>IFERROR(__xludf.DUMMYFUNCTION("""COMPUTED_VALUE"""),0.4895833333321207)</f>
        <v>0.4895833333</v>
      </c>
      <c r="K490" s="2">
        <f>IFERROR(__xludf.DUMMYFUNCTION("""COMPUTED_VALUE"""),11.0)</f>
        <v>11</v>
      </c>
      <c r="L490" s="2">
        <f>IFERROR(__xludf.DUMMYFUNCTION("""COMPUTED_VALUE"""),4.95)</f>
        <v>4.95</v>
      </c>
    </row>
    <row r="491">
      <c r="A491" s="2">
        <f>IFERROR(__xludf.DUMMYFUNCTION("""COMPUTED_VALUE"""),489522.0)</f>
        <v>489522</v>
      </c>
      <c r="B491" s="2" t="str">
        <f>IFERROR(__xludf.DUMMYFUNCTION("""COMPUTED_VALUE"""),"22300")</f>
        <v>22300</v>
      </c>
      <c r="C491" s="2" t="str">
        <f>IFERROR(__xludf.DUMMYFUNCTION("""COMPUTED_VALUE"""),"COFFEE MUG DOG + BALL DESIGN")</f>
        <v>COFFEE MUG DOG + BALL DESIGN</v>
      </c>
      <c r="D491" s="2">
        <f>IFERROR(__xludf.DUMMYFUNCTION("""COMPUTED_VALUE"""),3.0)</f>
        <v>3</v>
      </c>
      <c r="E491" s="6">
        <f>IFERROR(__xludf.DUMMYFUNCTION("""COMPUTED_VALUE"""),40148.489583333336)</f>
        <v>40148.48958</v>
      </c>
      <c r="F491" s="2">
        <f>IFERROR(__xludf.DUMMYFUNCTION("""COMPUTED_VALUE"""),2.55)</f>
        <v>2.55</v>
      </c>
      <c r="G491" s="2">
        <f>IFERROR(__xludf.DUMMYFUNCTION("""COMPUTED_VALUE"""),15998.0)</f>
        <v>15998</v>
      </c>
      <c r="H491" s="2" t="str">
        <f>IFERROR(__xludf.DUMMYFUNCTION("""COMPUTED_VALUE"""),"United Kingdom")</f>
        <v>United Kingdom</v>
      </c>
      <c r="I491" s="7">
        <f>IFERROR(__xludf.DUMMYFUNCTION("""COMPUTED_VALUE"""),40148.0)</f>
        <v>40148</v>
      </c>
      <c r="J491" s="8">
        <f>IFERROR(__xludf.DUMMYFUNCTION("""COMPUTED_VALUE"""),0.4895833333321207)</f>
        <v>0.4895833333</v>
      </c>
      <c r="K491" s="2">
        <f>IFERROR(__xludf.DUMMYFUNCTION("""COMPUTED_VALUE"""),11.0)</f>
        <v>11</v>
      </c>
      <c r="L491" s="2">
        <f>IFERROR(__xludf.DUMMYFUNCTION("""COMPUTED_VALUE"""),7.64999999999999)</f>
        <v>7.65</v>
      </c>
    </row>
    <row r="492">
      <c r="A492" s="2">
        <f>IFERROR(__xludf.DUMMYFUNCTION("""COMPUTED_VALUE"""),489522.0)</f>
        <v>489522</v>
      </c>
      <c r="B492" s="2" t="str">
        <f>IFERROR(__xludf.DUMMYFUNCTION("""COMPUTED_VALUE"""),"22301")</f>
        <v>22301</v>
      </c>
      <c r="C492" s="2" t="str">
        <f>IFERROR(__xludf.DUMMYFUNCTION("""COMPUTED_VALUE"""),"COFFEE MUG CAT + BIRD DESIGN")</f>
        <v>COFFEE MUG CAT + BIRD DESIGN</v>
      </c>
      <c r="D492" s="2">
        <f>IFERROR(__xludf.DUMMYFUNCTION("""COMPUTED_VALUE"""),3.0)</f>
        <v>3</v>
      </c>
      <c r="E492" s="6">
        <f>IFERROR(__xludf.DUMMYFUNCTION("""COMPUTED_VALUE"""),40148.489583333336)</f>
        <v>40148.48958</v>
      </c>
      <c r="F492" s="2">
        <f>IFERROR(__xludf.DUMMYFUNCTION("""COMPUTED_VALUE"""),2.55)</f>
        <v>2.55</v>
      </c>
      <c r="G492" s="2">
        <f>IFERROR(__xludf.DUMMYFUNCTION("""COMPUTED_VALUE"""),15998.0)</f>
        <v>15998</v>
      </c>
      <c r="H492" s="2" t="str">
        <f>IFERROR(__xludf.DUMMYFUNCTION("""COMPUTED_VALUE"""),"United Kingdom")</f>
        <v>United Kingdom</v>
      </c>
      <c r="I492" s="7">
        <f>IFERROR(__xludf.DUMMYFUNCTION("""COMPUTED_VALUE"""),40148.0)</f>
        <v>40148</v>
      </c>
      <c r="J492" s="8">
        <f>IFERROR(__xludf.DUMMYFUNCTION("""COMPUTED_VALUE"""),0.4895833333321207)</f>
        <v>0.4895833333</v>
      </c>
      <c r="K492" s="2">
        <f>IFERROR(__xludf.DUMMYFUNCTION("""COMPUTED_VALUE"""),11.0)</f>
        <v>11</v>
      </c>
      <c r="L492" s="2">
        <f>IFERROR(__xludf.DUMMYFUNCTION("""COMPUTED_VALUE"""),7.64999999999999)</f>
        <v>7.65</v>
      </c>
    </row>
    <row r="493">
      <c r="A493" s="2">
        <f>IFERROR(__xludf.DUMMYFUNCTION("""COMPUTED_VALUE"""),489522.0)</f>
        <v>489522</v>
      </c>
      <c r="B493" s="2" t="str">
        <f>IFERROR(__xludf.DUMMYFUNCTION("""COMPUTED_VALUE"""),"22305")</f>
        <v>22305</v>
      </c>
      <c r="C493" s="2" t="str">
        <f>IFERROR(__xludf.DUMMYFUNCTION("""COMPUTED_VALUE"""),"COFFEE MUG PINK PAISLEY DESIGN")</f>
        <v>COFFEE MUG PINK PAISLEY DESIGN</v>
      </c>
      <c r="D493" s="2">
        <f>IFERROR(__xludf.DUMMYFUNCTION("""COMPUTED_VALUE"""),3.0)</f>
        <v>3</v>
      </c>
      <c r="E493" s="6">
        <f>IFERROR(__xludf.DUMMYFUNCTION("""COMPUTED_VALUE"""),40148.489583333336)</f>
        <v>40148.48958</v>
      </c>
      <c r="F493" s="2">
        <f>IFERROR(__xludf.DUMMYFUNCTION("""COMPUTED_VALUE"""),2.55)</f>
        <v>2.55</v>
      </c>
      <c r="G493" s="2">
        <f>IFERROR(__xludf.DUMMYFUNCTION("""COMPUTED_VALUE"""),15998.0)</f>
        <v>15998</v>
      </c>
      <c r="H493" s="2" t="str">
        <f>IFERROR(__xludf.DUMMYFUNCTION("""COMPUTED_VALUE"""),"United Kingdom")</f>
        <v>United Kingdom</v>
      </c>
      <c r="I493" s="7">
        <f>IFERROR(__xludf.DUMMYFUNCTION("""COMPUTED_VALUE"""),40148.0)</f>
        <v>40148</v>
      </c>
      <c r="J493" s="8">
        <f>IFERROR(__xludf.DUMMYFUNCTION("""COMPUTED_VALUE"""),0.4895833333321207)</f>
        <v>0.4895833333</v>
      </c>
      <c r="K493" s="2">
        <f>IFERROR(__xludf.DUMMYFUNCTION("""COMPUTED_VALUE"""),11.0)</f>
        <v>11</v>
      </c>
      <c r="L493" s="2">
        <f>IFERROR(__xludf.DUMMYFUNCTION("""COMPUTED_VALUE"""),7.64999999999999)</f>
        <v>7.65</v>
      </c>
    </row>
    <row r="494">
      <c r="A494" s="2">
        <f>IFERROR(__xludf.DUMMYFUNCTION("""COMPUTED_VALUE"""),489522.0)</f>
        <v>489522</v>
      </c>
      <c r="B494" s="2" t="str">
        <f>IFERROR(__xludf.DUMMYFUNCTION("""COMPUTED_VALUE"""),"22304")</f>
        <v>22304</v>
      </c>
      <c r="C494" s="2" t="str">
        <f>IFERROR(__xludf.DUMMYFUNCTION("""COMPUTED_VALUE"""),"COFFEE MUG BLUE PAISLEY DESIGN")</f>
        <v>COFFEE MUG BLUE PAISLEY DESIGN</v>
      </c>
      <c r="D494" s="2">
        <f>IFERROR(__xludf.DUMMYFUNCTION("""COMPUTED_VALUE"""),3.0)</f>
        <v>3</v>
      </c>
      <c r="E494" s="6">
        <f>IFERROR(__xludf.DUMMYFUNCTION("""COMPUTED_VALUE"""),40148.489583333336)</f>
        <v>40148.48958</v>
      </c>
      <c r="F494" s="2">
        <f>IFERROR(__xludf.DUMMYFUNCTION("""COMPUTED_VALUE"""),2.55)</f>
        <v>2.55</v>
      </c>
      <c r="G494" s="2">
        <f>IFERROR(__xludf.DUMMYFUNCTION("""COMPUTED_VALUE"""),15998.0)</f>
        <v>15998</v>
      </c>
      <c r="H494" s="2" t="str">
        <f>IFERROR(__xludf.DUMMYFUNCTION("""COMPUTED_VALUE"""),"United Kingdom")</f>
        <v>United Kingdom</v>
      </c>
      <c r="I494" s="7">
        <f>IFERROR(__xludf.DUMMYFUNCTION("""COMPUTED_VALUE"""),40148.0)</f>
        <v>40148</v>
      </c>
      <c r="J494" s="8">
        <f>IFERROR(__xludf.DUMMYFUNCTION("""COMPUTED_VALUE"""),0.4895833333321207)</f>
        <v>0.4895833333</v>
      </c>
      <c r="K494" s="2">
        <f>IFERROR(__xludf.DUMMYFUNCTION("""COMPUTED_VALUE"""),11.0)</f>
        <v>11</v>
      </c>
      <c r="L494" s="2">
        <f>IFERROR(__xludf.DUMMYFUNCTION("""COMPUTED_VALUE"""),7.64999999999999)</f>
        <v>7.65</v>
      </c>
    </row>
    <row r="495">
      <c r="A495" s="2">
        <f>IFERROR(__xludf.DUMMYFUNCTION("""COMPUTED_VALUE"""),489522.0)</f>
        <v>489522</v>
      </c>
      <c r="B495" s="2" t="str">
        <f>IFERROR(__xludf.DUMMYFUNCTION("""COMPUTED_VALUE"""),"22302")</f>
        <v>22302</v>
      </c>
      <c r="C495" s="2" t="str">
        <f>IFERROR(__xludf.DUMMYFUNCTION("""COMPUTED_VALUE"""),"COFFEE MUG PEARS DESIGN")</f>
        <v>COFFEE MUG PEARS DESIGN</v>
      </c>
      <c r="D495" s="2">
        <f>IFERROR(__xludf.DUMMYFUNCTION("""COMPUTED_VALUE"""),3.0)</f>
        <v>3</v>
      </c>
      <c r="E495" s="6">
        <f>IFERROR(__xludf.DUMMYFUNCTION("""COMPUTED_VALUE"""),40148.489583333336)</f>
        <v>40148.48958</v>
      </c>
      <c r="F495" s="2">
        <f>IFERROR(__xludf.DUMMYFUNCTION("""COMPUTED_VALUE"""),2.55)</f>
        <v>2.55</v>
      </c>
      <c r="G495" s="2">
        <f>IFERROR(__xludf.DUMMYFUNCTION("""COMPUTED_VALUE"""),15998.0)</f>
        <v>15998</v>
      </c>
      <c r="H495" s="2" t="str">
        <f>IFERROR(__xludf.DUMMYFUNCTION("""COMPUTED_VALUE"""),"United Kingdom")</f>
        <v>United Kingdom</v>
      </c>
      <c r="I495" s="7">
        <f>IFERROR(__xludf.DUMMYFUNCTION("""COMPUTED_VALUE"""),40148.0)</f>
        <v>40148</v>
      </c>
      <c r="J495" s="8">
        <f>IFERROR(__xludf.DUMMYFUNCTION("""COMPUTED_VALUE"""),0.4895833333321207)</f>
        <v>0.4895833333</v>
      </c>
      <c r="K495" s="2">
        <f>IFERROR(__xludf.DUMMYFUNCTION("""COMPUTED_VALUE"""),11.0)</f>
        <v>11</v>
      </c>
      <c r="L495" s="2">
        <f>IFERROR(__xludf.DUMMYFUNCTION("""COMPUTED_VALUE"""),7.64999999999999)</f>
        <v>7.65</v>
      </c>
    </row>
    <row r="496">
      <c r="A496" s="2">
        <f>IFERROR(__xludf.DUMMYFUNCTION("""COMPUTED_VALUE"""),489522.0)</f>
        <v>489522</v>
      </c>
      <c r="B496" s="2" t="str">
        <f>IFERROR(__xludf.DUMMYFUNCTION("""COMPUTED_VALUE"""),"22303")</f>
        <v>22303</v>
      </c>
      <c r="C496" s="2" t="str">
        <f>IFERROR(__xludf.DUMMYFUNCTION("""COMPUTED_VALUE"""),"COFFEE MUG APPLES DESIGN")</f>
        <v>COFFEE MUG APPLES DESIGN</v>
      </c>
      <c r="D496" s="2">
        <f>IFERROR(__xludf.DUMMYFUNCTION("""COMPUTED_VALUE"""),3.0)</f>
        <v>3</v>
      </c>
      <c r="E496" s="6">
        <f>IFERROR(__xludf.DUMMYFUNCTION("""COMPUTED_VALUE"""),40148.489583333336)</f>
        <v>40148.48958</v>
      </c>
      <c r="F496" s="2">
        <f>IFERROR(__xludf.DUMMYFUNCTION("""COMPUTED_VALUE"""),2.55)</f>
        <v>2.55</v>
      </c>
      <c r="G496" s="2">
        <f>IFERROR(__xludf.DUMMYFUNCTION("""COMPUTED_VALUE"""),15998.0)</f>
        <v>15998</v>
      </c>
      <c r="H496" s="2" t="str">
        <f>IFERROR(__xludf.DUMMYFUNCTION("""COMPUTED_VALUE"""),"United Kingdom")</f>
        <v>United Kingdom</v>
      </c>
      <c r="I496" s="7">
        <f>IFERROR(__xludf.DUMMYFUNCTION("""COMPUTED_VALUE"""),40148.0)</f>
        <v>40148</v>
      </c>
      <c r="J496" s="8">
        <f>IFERROR(__xludf.DUMMYFUNCTION("""COMPUTED_VALUE"""),0.4895833333321207)</f>
        <v>0.4895833333</v>
      </c>
      <c r="K496" s="2">
        <f>IFERROR(__xludf.DUMMYFUNCTION("""COMPUTED_VALUE"""),11.0)</f>
        <v>11</v>
      </c>
      <c r="L496" s="2">
        <f>IFERROR(__xludf.DUMMYFUNCTION("""COMPUTED_VALUE"""),7.64999999999999)</f>
        <v>7.65</v>
      </c>
    </row>
    <row r="497">
      <c r="A497" s="2">
        <f>IFERROR(__xludf.DUMMYFUNCTION("""COMPUTED_VALUE"""),489522.0)</f>
        <v>489522</v>
      </c>
      <c r="B497" s="2" t="str">
        <f>IFERROR(__xludf.DUMMYFUNCTION("""COMPUTED_VALUE"""),"22127")</f>
        <v>22127</v>
      </c>
      <c r="C497" s="2" t="str">
        <f>IFERROR(__xludf.DUMMYFUNCTION("""COMPUTED_VALUE"""),"PARTY CONES CARNIVAL ASSORTED")</f>
        <v>PARTY CONES CARNIVAL ASSORTED</v>
      </c>
      <c r="D497" s="2">
        <f>IFERROR(__xludf.DUMMYFUNCTION("""COMPUTED_VALUE"""),6.0)</f>
        <v>6</v>
      </c>
      <c r="E497" s="6">
        <f>IFERROR(__xludf.DUMMYFUNCTION("""COMPUTED_VALUE"""),40148.489583333336)</f>
        <v>40148.48958</v>
      </c>
      <c r="F497" s="2">
        <f>IFERROR(__xludf.DUMMYFUNCTION("""COMPUTED_VALUE"""),1.25)</f>
        <v>1.25</v>
      </c>
      <c r="G497" s="2">
        <f>IFERROR(__xludf.DUMMYFUNCTION("""COMPUTED_VALUE"""),15998.0)</f>
        <v>15998</v>
      </c>
      <c r="H497" s="2" t="str">
        <f>IFERROR(__xludf.DUMMYFUNCTION("""COMPUTED_VALUE"""),"United Kingdom")</f>
        <v>United Kingdom</v>
      </c>
      <c r="I497" s="7">
        <f>IFERROR(__xludf.DUMMYFUNCTION("""COMPUTED_VALUE"""),40148.0)</f>
        <v>40148</v>
      </c>
      <c r="J497" s="8">
        <f>IFERROR(__xludf.DUMMYFUNCTION("""COMPUTED_VALUE"""),0.4895833333321207)</f>
        <v>0.4895833333</v>
      </c>
      <c r="K497" s="2">
        <f>IFERROR(__xludf.DUMMYFUNCTION("""COMPUTED_VALUE"""),11.0)</f>
        <v>11</v>
      </c>
      <c r="L497" s="2">
        <f>IFERROR(__xludf.DUMMYFUNCTION("""COMPUTED_VALUE"""),7.5)</f>
        <v>7.5</v>
      </c>
    </row>
    <row r="498">
      <c r="A498" s="2">
        <f>IFERROR(__xludf.DUMMYFUNCTION("""COMPUTED_VALUE"""),489522.0)</f>
        <v>489522</v>
      </c>
      <c r="B498" s="2" t="str">
        <f>IFERROR(__xludf.DUMMYFUNCTION("""COMPUTED_VALUE"""),"22130")</f>
        <v>22130</v>
      </c>
      <c r="C498" s="2" t="str">
        <f>IFERROR(__xludf.DUMMYFUNCTION("""COMPUTED_VALUE"""),"PARTY CONE CHRISTMAS DECORATION")</f>
        <v>PARTY CONE CHRISTMAS DECORATION</v>
      </c>
      <c r="D498" s="2">
        <f>IFERROR(__xludf.DUMMYFUNCTION("""COMPUTED_VALUE"""),24.0)</f>
        <v>24</v>
      </c>
      <c r="E498" s="6">
        <f>IFERROR(__xludf.DUMMYFUNCTION("""COMPUTED_VALUE"""),40148.489583333336)</f>
        <v>40148.48958</v>
      </c>
      <c r="F498" s="2">
        <f>IFERROR(__xludf.DUMMYFUNCTION("""COMPUTED_VALUE"""),0.85)</f>
        <v>0.85</v>
      </c>
      <c r="G498" s="2">
        <f>IFERROR(__xludf.DUMMYFUNCTION("""COMPUTED_VALUE"""),15998.0)</f>
        <v>15998</v>
      </c>
      <c r="H498" s="2" t="str">
        <f>IFERROR(__xludf.DUMMYFUNCTION("""COMPUTED_VALUE"""),"United Kingdom")</f>
        <v>United Kingdom</v>
      </c>
      <c r="I498" s="7">
        <f>IFERROR(__xludf.DUMMYFUNCTION("""COMPUTED_VALUE"""),40148.0)</f>
        <v>40148</v>
      </c>
      <c r="J498" s="8">
        <f>IFERROR(__xludf.DUMMYFUNCTION("""COMPUTED_VALUE"""),0.4895833333321207)</f>
        <v>0.4895833333</v>
      </c>
      <c r="K498" s="2">
        <f>IFERROR(__xludf.DUMMYFUNCTION("""COMPUTED_VALUE"""),11.0)</f>
        <v>11</v>
      </c>
      <c r="L498" s="2">
        <f>IFERROR(__xludf.DUMMYFUNCTION("""COMPUTED_VALUE"""),20.4)</f>
        <v>20.4</v>
      </c>
    </row>
    <row r="499">
      <c r="A499" s="2">
        <f>IFERROR(__xludf.DUMMYFUNCTION("""COMPUTED_VALUE"""),489522.0)</f>
        <v>489522</v>
      </c>
      <c r="B499" s="2" t="str">
        <f>IFERROR(__xludf.DUMMYFUNCTION("""COMPUTED_VALUE"""),"21143")</f>
        <v>21143</v>
      </c>
      <c r="C499" s="2" t="str">
        <f>IFERROR(__xludf.DUMMYFUNCTION("""COMPUTED_VALUE"""),"ANTIQUE GLASS HEART DECORATION")</f>
        <v>ANTIQUE GLASS HEART DECORATION</v>
      </c>
      <c r="D499" s="2">
        <f>IFERROR(__xludf.DUMMYFUNCTION("""COMPUTED_VALUE"""),7.0)</f>
        <v>7</v>
      </c>
      <c r="E499" s="6">
        <f>IFERROR(__xludf.DUMMYFUNCTION("""COMPUTED_VALUE"""),40148.489583333336)</f>
        <v>40148.48958</v>
      </c>
      <c r="F499" s="2">
        <f>IFERROR(__xludf.DUMMYFUNCTION("""COMPUTED_VALUE"""),1.95)</f>
        <v>1.95</v>
      </c>
      <c r="G499" s="2">
        <f>IFERROR(__xludf.DUMMYFUNCTION("""COMPUTED_VALUE"""),15998.0)</f>
        <v>15998</v>
      </c>
      <c r="H499" s="2" t="str">
        <f>IFERROR(__xludf.DUMMYFUNCTION("""COMPUTED_VALUE"""),"United Kingdom")</f>
        <v>United Kingdom</v>
      </c>
      <c r="I499" s="7">
        <f>IFERROR(__xludf.DUMMYFUNCTION("""COMPUTED_VALUE"""),40148.0)</f>
        <v>40148</v>
      </c>
      <c r="J499" s="8">
        <f>IFERROR(__xludf.DUMMYFUNCTION("""COMPUTED_VALUE"""),0.4895833333321207)</f>
        <v>0.4895833333</v>
      </c>
      <c r="K499" s="2">
        <f>IFERROR(__xludf.DUMMYFUNCTION("""COMPUTED_VALUE"""),11.0)</f>
        <v>11</v>
      </c>
      <c r="L499" s="2">
        <f>IFERROR(__xludf.DUMMYFUNCTION("""COMPUTED_VALUE"""),13.65)</f>
        <v>13.65</v>
      </c>
    </row>
    <row r="500">
      <c r="A500" s="2">
        <f>IFERROR(__xludf.DUMMYFUNCTION("""COMPUTED_VALUE"""),489522.0)</f>
        <v>489522</v>
      </c>
      <c r="B500" s="2" t="str">
        <f>IFERROR(__xludf.DUMMYFUNCTION("""COMPUTED_VALUE"""),"21639")</f>
        <v>21639</v>
      </c>
      <c r="C500" s="2" t="str">
        <f>IFERROR(__xludf.DUMMYFUNCTION("""COMPUTED_VALUE"""),"ASSORTED TUTTI FRUTTI KEYRING")</f>
        <v>ASSORTED TUTTI FRUTTI KEYRING</v>
      </c>
      <c r="D500" s="2">
        <f>IFERROR(__xludf.DUMMYFUNCTION("""COMPUTED_VALUE"""),10.0)</f>
        <v>10</v>
      </c>
      <c r="E500" s="6">
        <f>IFERROR(__xludf.DUMMYFUNCTION("""COMPUTED_VALUE"""),40148.489583333336)</f>
        <v>40148.48958</v>
      </c>
      <c r="F500" s="2">
        <f>IFERROR(__xludf.DUMMYFUNCTION("""COMPUTED_VALUE"""),0.85)</f>
        <v>0.85</v>
      </c>
      <c r="G500" s="2">
        <f>IFERROR(__xludf.DUMMYFUNCTION("""COMPUTED_VALUE"""),15998.0)</f>
        <v>15998</v>
      </c>
      <c r="H500" s="2" t="str">
        <f>IFERROR(__xludf.DUMMYFUNCTION("""COMPUTED_VALUE"""),"United Kingdom")</f>
        <v>United Kingdom</v>
      </c>
      <c r="I500" s="7">
        <f>IFERROR(__xludf.DUMMYFUNCTION("""COMPUTED_VALUE"""),40148.0)</f>
        <v>40148</v>
      </c>
      <c r="J500" s="8">
        <f>IFERROR(__xludf.DUMMYFUNCTION("""COMPUTED_VALUE"""),0.4895833333321207)</f>
        <v>0.4895833333</v>
      </c>
      <c r="K500" s="2">
        <f>IFERROR(__xludf.DUMMYFUNCTION("""COMPUTED_VALUE"""),11.0)</f>
        <v>11</v>
      </c>
      <c r="L500" s="2">
        <f>IFERROR(__xludf.DUMMYFUNCTION("""COMPUTED_VALUE"""),8.5)</f>
        <v>8.5</v>
      </c>
    </row>
    <row r="501">
      <c r="A501" s="2">
        <f>IFERROR(__xludf.DUMMYFUNCTION("""COMPUTED_VALUE"""),489522.0)</f>
        <v>489522</v>
      </c>
      <c r="B501" s="2" t="str">
        <f>IFERROR(__xludf.DUMMYFUNCTION("""COMPUTED_VALUE"""),"22154")</f>
        <v>22154</v>
      </c>
      <c r="C501" s="2" t="str">
        <f>IFERROR(__xludf.DUMMYFUNCTION("""COMPUTED_VALUE"""),"ANGEL DECORATION 3 BUTTONS")</f>
        <v>ANGEL DECORATION 3 BUTTONS</v>
      </c>
      <c r="D501" s="2">
        <f>IFERROR(__xludf.DUMMYFUNCTION("""COMPUTED_VALUE"""),6.0)</f>
        <v>6</v>
      </c>
      <c r="E501" s="6">
        <f>IFERROR(__xludf.DUMMYFUNCTION("""COMPUTED_VALUE"""),40148.489583333336)</f>
        <v>40148.48958</v>
      </c>
      <c r="F501" s="2">
        <f>IFERROR(__xludf.DUMMYFUNCTION("""COMPUTED_VALUE"""),0.42)</f>
        <v>0.42</v>
      </c>
      <c r="G501" s="2">
        <f>IFERROR(__xludf.DUMMYFUNCTION("""COMPUTED_VALUE"""),15998.0)</f>
        <v>15998</v>
      </c>
      <c r="H501" s="2" t="str">
        <f>IFERROR(__xludf.DUMMYFUNCTION("""COMPUTED_VALUE"""),"United Kingdom")</f>
        <v>United Kingdom</v>
      </c>
      <c r="I501" s="7">
        <f>IFERROR(__xludf.DUMMYFUNCTION("""COMPUTED_VALUE"""),40148.0)</f>
        <v>40148</v>
      </c>
      <c r="J501" s="8">
        <f>IFERROR(__xludf.DUMMYFUNCTION("""COMPUTED_VALUE"""),0.4895833333321207)</f>
        <v>0.4895833333</v>
      </c>
      <c r="K501" s="2">
        <f>IFERROR(__xludf.DUMMYFUNCTION("""COMPUTED_VALUE"""),11.0)</f>
        <v>11</v>
      </c>
      <c r="L501" s="2">
        <f>IFERROR(__xludf.DUMMYFUNCTION("""COMPUTED_VALUE"""),2.52)</f>
        <v>2.52</v>
      </c>
    </row>
    <row r="502">
      <c r="A502" s="2">
        <f>IFERROR(__xludf.DUMMYFUNCTION("""COMPUTED_VALUE"""),489522.0)</f>
        <v>489522</v>
      </c>
      <c r="B502" s="2" t="str">
        <f>IFERROR(__xludf.DUMMYFUNCTION("""COMPUTED_VALUE"""),"22155")</f>
        <v>22155</v>
      </c>
      <c r="C502" s="2" t="str">
        <f>IFERROR(__xludf.DUMMYFUNCTION("""COMPUTED_VALUE"""),"STAR DECORATION RUSTIC")</f>
        <v>STAR DECORATION RUSTIC</v>
      </c>
      <c r="D502" s="2">
        <f>IFERROR(__xludf.DUMMYFUNCTION("""COMPUTED_VALUE"""),6.0)</f>
        <v>6</v>
      </c>
      <c r="E502" s="6">
        <f>IFERROR(__xludf.DUMMYFUNCTION("""COMPUTED_VALUE"""),40148.489583333336)</f>
        <v>40148.48958</v>
      </c>
      <c r="F502" s="2">
        <f>IFERROR(__xludf.DUMMYFUNCTION("""COMPUTED_VALUE"""),0.42)</f>
        <v>0.42</v>
      </c>
      <c r="G502" s="2">
        <f>IFERROR(__xludf.DUMMYFUNCTION("""COMPUTED_VALUE"""),15998.0)</f>
        <v>15998</v>
      </c>
      <c r="H502" s="2" t="str">
        <f>IFERROR(__xludf.DUMMYFUNCTION("""COMPUTED_VALUE"""),"United Kingdom")</f>
        <v>United Kingdom</v>
      </c>
      <c r="I502" s="7">
        <f>IFERROR(__xludf.DUMMYFUNCTION("""COMPUTED_VALUE"""),40148.0)</f>
        <v>40148</v>
      </c>
      <c r="J502" s="8">
        <f>IFERROR(__xludf.DUMMYFUNCTION("""COMPUTED_VALUE"""),0.4895833333321207)</f>
        <v>0.4895833333</v>
      </c>
      <c r="K502" s="2">
        <f>IFERROR(__xludf.DUMMYFUNCTION("""COMPUTED_VALUE"""),11.0)</f>
        <v>11</v>
      </c>
      <c r="L502" s="2">
        <f>IFERROR(__xludf.DUMMYFUNCTION("""COMPUTED_VALUE"""),2.52)</f>
        <v>2.52</v>
      </c>
    </row>
    <row r="503">
      <c r="A503" s="2">
        <f>IFERROR(__xludf.DUMMYFUNCTION("""COMPUTED_VALUE"""),489522.0)</f>
        <v>489522</v>
      </c>
      <c r="B503" s="2" t="str">
        <f>IFERROR(__xludf.DUMMYFUNCTION("""COMPUTED_VALUE"""),"22294")</f>
        <v>22294</v>
      </c>
      <c r="C503" s="2" t="str">
        <f>IFERROR(__xludf.DUMMYFUNCTION("""COMPUTED_VALUE"""),"HEART FILIGREE DOVE SMALL")</f>
        <v>HEART FILIGREE DOVE SMALL</v>
      </c>
      <c r="D503" s="2">
        <f>IFERROR(__xludf.DUMMYFUNCTION("""COMPUTED_VALUE"""),6.0)</f>
        <v>6</v>
      </c>
      <c r="E503" s="6">
        <f>IFERROR(__xludf.DUMMYFUNCTION("""COMPUTED_VALUE"""),40148.489583333336)</f>
        <v>40148.48958</v>
      </c>
      <c r="F503" s="2">
        <f>IFERROR(__xludf.DUMMYFUNCTION("""COMPUTED_VALUE"""),1.25)</f>
        <v>1.25</v>
      </c>
      <c r="G503" s="2">
        <f>IFERROR(__xludf.DUMMYFUNCTION("""COMPUTED_VALUE"""),15998.0)</f>
        <v>15998</v>
      </c>
      <c r="H503" s="2" t="str">
        <f>IFERROR(__xludf.DUMMYFUNCTION("""COMPUTED_VALUE"""),"United Kingdom")</f>
        <v>United Kingdom</v>
      </c>
      <c r="I503" s="7">
        <f>IFERROR(__xludf.DUMMYFUNCTION("""COMPUTED_VALUE"""),40148.0)</f>
        <v>40148</v>
      </c>
      <c r="J503" s="8">
        <f>IFERROR(__xludf.DUMMYFUNCTION("""COMPUTED_VALUE"""),0.4895833333321207)</f>
        <v>0.4895833333</v>
      </c>
      <c r="K503" s="2">
        <f>IFERROR(__xludf.DUMMYFUNCTION("""COMPUTED_VALUE"""),11.0)</f>
        <v>11</v>
      </c>
      <c r="L503" s="2">
        <f>IFERROR(__xludf.DUMMYFUNCTION("""COMPUTED_VALUE"""),7.5)</f>
        <v>7.5</v>
      </c>
    </row>
    <row r="504">
      <c r="A504" s="2">
        <f>IFERROR(__xludf.DUMMYFUNCTION("""COMPUTED_VALUE"""),489522.0)</f>
        <v>489522</v>
      </c>
      <c r="B504" s="2" t="str">
        <f>IFERROR(__xludf.DUMMYFUNCTION("""COMPUTED_VALUE"""),"21133")</f>
        <v>21133</v>
      </c>
      <c r="C504" s="2" t="str">
        <f>IFERROR(__xludf.DUMMYFUNCTION("""COMPUTED_VALUE"""),"PAINTED BIRD ASSORTED CHRISTMAS")</f>
        <v>PAINTED BIRD ASSORTED CHRISTMAS</v>
      </c>
      <c r="D504" s="2">
        <f>IFERROR(__xludf.DUMMYFUNCTION("""COMPUTED_VALUE"""),6.0)</f>
        <v>6</v>
      </c>
      <c r="E504" s="6">
        <f>IFERROR(__xludf.DUMMYFUNCTION("""COMPUTED_VALUE"""),40148.489583333336)</f>
        <v>40148.48958</v>
      </c>
      <c r="F504" s="2">
        <f>IFERROR(__xludf.DUMMYFUNCTION("""COMPUTED_VALUE"""),1.69)</f>
        <v>1.69</v>
      </c>
      <c r="G504" s="2">
        <f>IFERROR(__xludf.DUMMYFUNCTION("""COMPUTED_VALUE"""),15998.0)</f>
        <v>15998</v>
      </c>
      <c r="H504" s="2" t="str">
        <f>IFERROR(__xludf.DUMMYFUNCTION("""COMPUTED_VALUE"""),"United Kingdom")</f>
        <v>United Kingdom</v>
      </c>
      <c r="I504" s="7">
        <f>IFERROR(__xludf.DUMMYFUNCTION("""COMPUTED_VALUE"""),40148.0)</f>
        <v>40148</v>
      </c>
      <c r="J504" s="8">
        <f>IFERROR(__xludf.DUMMYFUNCTION("""COMPUTED_VALUE"""),0.4895833333321207)</f>
        <v>0.4895833333</v>
      </c>
      <c r="K504" s="2">
        <f>IFERROR(__xludf.DUMMYFUNCTION("""COMPUTED_VALUE"""),11.0)</f>
        <v>11</v>
      </c>
      <c r="L504" s="2">
        <f>IFERROR(__xludf.DUMMYFUNCTION("""COMPUTED_VALUE"""),10.14)</f>
        <v>10.14</v>
      </c>
    </row>
    <row r="505">
      <c r="A505" s="2">
        <f>IFERROR(__xludf.DUMMYFUNCTION("""COMPUTED_VALUE"""),489522.0)</f>
        <v>489522</v>
      </c>
      <c r="B505" s="2" t="str">
        <f>IFERROR(__xludf.DUMMYFUNCTION("""COMPUTED_VALUE"""),"21889")</f>
        <v>21889</v>
      </c>
      <c r="C505" s="2" t="str">
        <f>IFERROR(__xludf.DUMMYFUNCTION("""COMPUTED_VALUE"""),"WOODEN BOX OF DOMINOES")</f>
        <v>WOODEN BOX OF DOMINOES</v>
      </c>
      <c r="D505" s="2">
        <f>IFERROR(__xludf.DUMMYFUNCTION("""COMPUTED_VALUE"""),2.0)</f>
        <v>2</v>
      </c>
      <c r="E505" s="6">
        <f>IFERROR(__xludf.DUMMYFUNCTION("""COMPUTED_VALUE"""),40148.489583333336)</f>
        <v>40148.48958</v>
      </c>
      <c r="F505" s="2">
        <f>IFERROR(__xludf.DUMMYFUNCTION("""COMPUTED_VALUE"""),1.25)</f>
        <v>1.25</v>
      </c>
      <c r="G505" s="2">
        <f>IFERROR(__xludf.DUMMYFUNCTION("""COMPUTED_VALUE"""),15998.0)</f>
        <v>15998</v>
      </c>
      <c r="H505" s="2" t="str">
        <f>IFERROR(__xludf.DUMMYFUNCTION("""COMPUTED_VALUE"""),"United Kingdom")</f>
        <v>United Kingdom</v>
      </c>
      <c r="I505" s="7">
        <f>IFERROR(__xludf.DUMMYFUNCTION("""COMPUTED_VALUE"""),40148.0)</f>
        <v>40148</v>
      </c>
      <c r="J505" s="8">
        <f>IFERROR(__xludf.DUMMYFUNCTION("""COMPUTED_VALUE"""),0.4895833333321207)</f>
        <v>0.4895833333</v>
      </c>
      <c r="K505" s="2">
        <f>IFERROR(__xludf.DUMMYFUNCTION("""COMPUTED_VALUE"""),11.0)</f>
        <v>11</v>
      </c>
      <c r="L505" s="2">
        <f>IFERROR(__xludf.DUMMYFUNCTION("""COMPUTED_VALUE"""),2.5)</f>
        <v>2.5</v>
      </c>
    </row>
    <row r="506">
      <c r="A506" s="2">
        <f>IFERROR(__xludf.DUMMYFUNCTION("""COMPUTED_VALUE"""),489522.0)</f>
        <v>489522</v>
      </c>
      <c r="B506" s="2" t="str">
        <f>IFERROR(__xludf.DUMMYFUNCTION("""COMPUTED_VALUE"""),"85045")</f>
        <v>85045</v>
      </c>
      <c r="C506" s="2" t="str">
        <f>IFERROR(__xludf.DUMMYFUNCTION("""COMPUTED_VALUE"""),"GREEN CHRISTMAS TREE STRING 20LIGHT")</f>
        <v>GREEN CHRISTMAS TREE STRING 20LIGHT</v>
      </c>
      <c r="D506" s="2">
        <f>IFERROR(__xludf.DUMMYFUNCTION("""COMPUTED_VALUE"""),2.0)</f>
        <v>2</v>
      </c>
      <c r="E506" s="6">
        <f>IFERROR(__xludf.DUMMYFUNCTION("""COMPUTED_VALUE"""),40148.489583333336)</f>
        <v>40148.48958</v>
      </c>
      <c r="F506" s="2">
        <f>IFERROR(__xludf.DUMMYFUNCTION("""COMPUTED_VALUE"""),4.95)</f>
        <v>4.95</v>
      </c>
      <c r="G506" s="2">
        <f>IFERROR(__xludf.DUMMYFUNCTION("""COMPUTED_VALUE"""),15998.0)</f>
        <v>15998</v>
      </c>
      <c r="H506" s="2" t="str">
        <f>IFERROR(__xludf.DUMMYFUNCTION("""COMPUTED_VALUE"""),"United Kingdom")</f>
        <v>United Kingdom</v>
      </c>
      <c r="I506" s="7">
        <f>IFERROR(__xludf.DUMMYFUNCTION("""COMPUTED_VALUE"""),40148.0)</f>
        <v>40148</v>
      </c>
      <c r="J506" s="8">
        <f>IFERROR(__xludf.DUMMYFUNCTION("""COMPUTED_VALUE"""),0.4895833333321207)</f>
        <v>0.4895833333</v>
      </c>
      <c r="K506" s="2">
        <f>IFERROR(__xludf.DUMMYFUNCTION("""COMPUTED_VALUE"""),11.0)</f>
        <v>11</v>
      </c>
      <c r="L506" s="2">
        <f>IFERROR(__xludf.DUMMYFUNCTION("""COMPUTED_VALUE"""),9.9)</f>
        <v>9.9</v>
      </c>
    </row>
    <row r="507">
      <c r="A507" s="2">
        <f>IFERROR(__xludf.DUMMYFUNCTION("""COMPUTED_VALUE"""),489522.0)</f>
        <v>489522</v>
      </c>
      <c r="B507" s="2" t="str">
        <f>IFERROR(__xludf.DUMMYFUNCTION("""COMPUTED_VALUE"""),"85044")</f>
        <v>85044</v>
      </c>
      <c r="C507" s="2" t="str">
        <f>IFERROR(__xludf.DUMMYFUNCTION("""COMPUTED_VALUE"""),"RED REINDEER STRING OF 20 LIGHTS")</f>
        <v>RED REINDEER STRING OF 20 LIGHTS</v>
      </c>
      <c r="D507" s="2">
        <f>IFERROR(__xludf.DUMMYFUNCTION("""COMPUTED_VALUE"""),2.0)</f>
        <v>2</v>
      </c>
      <c r="E507" s="6">
        <f>IFERROR(__xludf.DUMMYFUNCTION("""COMPUTED_VALUE"""),40148.489583333336)</f>
        <v>40148.48958</v>
      </c>
      <c r="F507" s="2">
        <f>IFERROR(__xludf.DUMMYFUNCTION("""COMPUTED_VALUE"""),4.95)</f>
        <v>4.95</v>
      </c>
      <c r="G507" s="2">
        <f>IFERROR(__xludf.DUMMYFUNCTION("""COMPUTED_VALUE"""),15998.0)</f>
        <v>15998</v>
      </c>
      <c r="H507" s="2" t="str">
        <f>IFERROR(__xludf.DUMMYFUNCTION("""COMPUTED_VALUE"""),"United Kingdom")</f>
        <v>United Kingdom</v>
      </c>
      <c r="I507" s="7">
        <f>IFERROR(__xludf.DUMMYFUNCTION("""COMPUTED_VALUE"""),40148.0)</f>
        <v>40148</v>
      </c>
      <c r="J507" s="8">
        <f>IFERROR(__xludf.DUMMYFUNCTION("""COMPUTED_VALUE"""),0.4895833333321207)</f>
        <v>0.4895833333</v>
      </c>
      <c r="K507" s="2">
        <f>IFERROR(__xludf.DUMMYFUNCTION("""COMPUTED_VALUE"""),11.0)</f>
        <v>11</v>
      </c>
      <c r="L507" s="2">
        <f>IFERROR(__xludf.DUMMYFUNCTION("""COMPUTED_VALUE"""),9.9)</f>
        <v>9.9</v>
      </c>
    </row>
    <row r="508">
      <c r="A508" s="2">
        <f>IFERROR(__xludf.DUMMYFUNCTION("""COMPUTED_VALUE"""),489522.0)</f>
        <v>489522</v>
      </c>
      <c r="B508" s="2" t="str">
        <f>IFERROR(__xludf.DUMMYFUNCTION("""COMPUTED_VALUE"""),"21888")</f>
        <v>21888</v>
      </c>
      <c r="C508" s="2" t="str">
        <f>IFERROR(__xludf.DUMMYFUNCTION("""COMPUTED_VALUE"""),"BINGO SET")</f>
        <v>BINGO SET</v>
      </c>
      <c r="D508" s="2">
        <f>IFERROR(__xludf.DUMMYFUNCTION("""COMPUTED_VALUE"""),3.0)</f>
        <v>3</v>
      </c>
      <c r="E508" s="6">
        <f>IFERROR(__xludf.DUMMYFUNCTION("""COMPUTED_VALUE"""),40148.489583333336)</f>
        <v>40148.48958</v>
      </c>
      <c r="F508" s="2">
        <f>IFERROR(__xludf.DUMMYFUNCTION("""COMPUTED_VALUE"""),3.75)</f>
        <v>3.75</v>
      </c>
      <c r="G508" s="2">
        <f>IFERROR(__xludf.DUMMYFUNCTION("""COMPUTED_VALUE"""),15998.0)</f>
        <v>15998</v>
      </c>
      <c r="H508" s="2" t="str">
        <f>IFERROR(__xludf.DUMMYFUNCTION("""COMPUTED_VALUE"""),"United Kingdom")</f>
        <v>United Kingdom</v>
      </c>
      <c r="I508" s="7">
        <f>IFERROR(__xludf.DUMMYFUNCTION("""COMPUTED_VALUE"""),40148.0)</f>
        <v>40148</v>
      </c>
      <c r="J508" s="8">
        <f>IFERROR(__xludf.DUMMYFUNCTION("""COMPUTED_VALUE"""),0.4895833333321207)</f>
        <v>0.4895833333</v>
      </c>
      <c r="K508" s="2">
        <f>IFERROR(__xludf.DUMMYFUNCTION("""COMPUTED_VALUE"""),11.0)</f>
        <v>11</v>
      </c>
      <c r="L508" s="2">
        <f>IFERROR(__xludf.DUMMYFUNCTION("""COMPUTED_VALUE"""),11.25)</f>
        <v>11.25</v>
      </c>
    </row>
    <row r="509">
      <c r="A509" s="2">
        <f>IFERROR(__xludf.DUMMYFUNCTION("""COMPUTED_VALUE"""),489522.0)</f>
        <v>489522</v>
      </c>
      <c r="B509" s="2" t="str">
        <f>IFERROR(__xludf.DUMMYFUNCTION("""COMPUTED_VALUE"""),"21587")</f>
        <v>21587</v>
      </c>
      <c r="C509" s="2" t="str">
        <f>IFERROR(__xludf.DUMMYFUNCTION("""COMPUTED_VALUE"""),"COSY HOUR GIANT TUBE MATCHES")</f>
        <v>COSY HOUR GIANT TUBE MATCHES</v>
      </c>
      <c r="D509" s="2">
        <f>IFERROR(__xludf.DUMMYFUNCTION("""COMPUTED_VALUE"""),6.0)</f>
        <v>6</v>
      </c>
      <c r="E509" s="6">
        <f>IFERROR(__xludf.DUMMYFUNCTION("""COMPUTED_VALUE"""),40148.489583333336)</f>
        <v>40148.48958</v>
      </c>
      <c r="F509" s="2">
        <f>IFERROR(__xludf.DUMMYFUNCTION("""COMPUTED_VALUE"""),2.55)</f>
        <v>2.55</v>
      </c>
      <c r="G509" s="2">
        <f>IFERROR(__xludf.DUMMYFUNCTION("""COMPUTED_VALUE"""),15998.0)</f>
        <v>15998</v>
      </c>
      <c r="H509" s="2" t="str">
        <f>IFERROR(__xludf.DUMMYFUNCTION("""COMPUTED_VALUE"""),"United Kingdom")</f>
        <v>United Kingdom</v>
      </c>
      <c r="I509" s="7">
        <f>IFERROR(__xludf.DUMMYFUNCTION("""COMPUTED_VALUE"""),40148.0)</f>
        <v>40148</v>
      </c>
      <c r="J509" s="8">
        <f>IFERROR(__xludf.DUMMYFUNCTION("""COMPUTED_VALUE"""),0.4895833333321207)</f>
        <v>0.4895833333</v>
      </c>
      <c r="K509" s="2">
        <f>IFERROR(__xludf.DUMMYFUNCTION("""COMPUTED_VALUE"""),11.0)</f>
        <v>11</v>
      </c>
      <c r="L509" s="2">
        <f>IFERROR(__xludf.DUMMYFUNCTION("""COMPUTED_VALUE"""),15.2999999999999)</f>
        <v>15.3</v>
      </c>
    </row>
    <row r="510">
      <c r="A510" s="2">
        <f>IFERROR(__xludf.DUMMYFUNCTION("""COMPUTED_VALUE"""),489522.0)</f>
        <v>489522</v>
      </c>
      <c r="B510" s="2" t="str">
        <f>IFERROR(__xludf.DUMMYFUNCTION("""COMPUTED_VALUE"""),"21588")</f>
        <v>21588</v>
      </c>
      <c r="C510" s="2" t="str">
        <f>IFERROR(__xludf.DUMMYFUNCTION("""COMPUTED_VALUE"""),"RETRO SPOT GIANT TUBE MATCHES")</f>
        <v>RETRO SPOT GIANT TUBE MATCHES</v>
      </c>
      <c r="D510" s="2">
        <f>IFERROR(__xludf.DUMMYFUNCTION("""COMPUTED_VALUE"""),2.0)</f>
        <v>2</v>
      </c>
      <c r="E510" s="6">
        <f>IFERROR(__xludf.DUMMYFUNCTION("""COMPUTED_VALUE"""),40148.489583333336)</f>
        <v>40148.48958</v>
      </c>
      <c r="F510" s="2">
        <f>IFERROR(__xludf.DUMMYFUNCTION("""COMPUTED_VALUE"""),2.55)</f>
        <v>2.55</v>
      </c>
      <c r="G510" s="2">
        <f>IFERROR(__xludf.DUMMYFUNCTION("""COMPUTED_VALUE"""),15998.0)</f>
        <v>15998</v>
      </c>
      <c r="H510" s="2" t="str">
        <f>IFERROR(__xludf.DUMMYFUNCTION("""COMPUTED_VALUE"""),"United Kingdom")</f>
        <v>United Kingdom</v>
      </c>
      <c r="I510" s="7">
        <f>IFERROR(__xludf.DUMMYFUNCTION("""COMPUTED_VALUE"""),40148.0)</f>
        <v>40148</v>
      </c>
      <c r="J510" s="8">
        <f>IFERROR(__xludf.DUMMYFUNCTION("""COMPUTED_VALUE"""),0.4895833333321207)</f>
        <v>0.4895833333</v>
      </c>
      <c r="K510" s="2">
        <f>IFERROR(__xludf.DUMMYFUNCTION("""COMPUTED_VALUE"""),11.0)</f>
        <v>11</v>
      </c>
      <c r="L510" s="2">
        <f>IFERROR(__xludf.DUMMYFUNCTION("""COMPUTED_VALUE"""),5.1)</f>
        <v>5.1</v>
      </c>
    </row>
    <row r="511">
      <c r="A511" s="2">
        <f>IFERROR(__xludf.DUMMYFUNCTION("""COMPUTED_VALUE"""),489522.0)</f>
        <v>489522</v>
      </c>
      <c r="B511" s="2" t="str">
        <f>IFERROR(__xludf.DUMMYFUNCTION("""COMPUTED_VALUE"""),"21586")</f>
        <v>21586</v>
      </c>
      <c r="C511" s="2" t="str">
        <f>IFERROR(__xludf.DUMMYFUNCTION("""COMPUTED_VALUE"""),"KINGS CHOICE GIANT TUBE MATCHES")</f>
        <v>KINGS CHOICE GIANT TUBE MATCHES</v>
      </c>
      <c r="D511" s="2">
        <f>IFERROR(__xludf.DUMMYFUNCTION("""COMPUTED_VALUE"""),4.0)</f>
        <v>4</v>
      </c>
      <c r="E511" s="6">
        <f>IFERROR(__xludf.DUMMYFUNCTION("""COMPUTED_VALUE"""),40148.489583333336)</f>
        <v>40148.48958</v>
      </c>
      <c r="F511" s="2">
        <f>IFERROR(__xludf.DUMMYFUNCTION("""COMPUTED_VALUE"""),2.55)</f>
        <v>2.55</v>
      </c>
      <c r="G511" s="2">
        <f>IFERROR(__xludf.DUMMYFUNCTION("""COMPUTED_VALUE"""),15998.0)</f>
        <v>15998</v>
      </c>
      <c r="H511" s="2" t="str">
        <f>IFERROR(__xludf.DUMMYFUNCTION("""COMPUTED_VALUE"""),"United Kingdom")</f>
        <v>United Kingdom</v>
      </c>
      <c r="I511" s="7">
        <f>IFERROR(__xludf.DUMMYFUNCTION("""COMPUTED_VALUE"""),40148.0)</f>
        <v>40148</v>
      </c>
      <c r="J511" s="8">
        <f>IFERROR(__xludf.DUMMYFUNCTION("""COMPUTED_VALUE"""),0.4895833333321207)</f>
        <v>0.4895833333</v>
      </c>
      <c r="K511" s="2">
        <f>IFERROR(__xludf.DUMMYFUNCTION("""COMPUTED_VALUE"""),11.0)</f>
        <v>11</v>
      </c>
      <c r="L511" s="2">
        <f>IFERROR(__xludf.DUMMYFUNCTION("""COMPUTED_VALUE"""),10.2)</f>
        <v>10.2</v>
      </c>
    </row>
    <row r="512">
      <c r="A512" s="2">
        <f>IFERROR(__xludf.DUMMYFUNCTION("""COMPUTED_VALUE"""),489522.0)</f>
        <v>489522</v>
      </c>
      <c r="B512" s="2" t="str">
        <f>IFERROR(__xludf.DUMMYFUNCTION("""COMPUTED_VALUE"""),"21818")</f>
        <v>21818</v>
      </c>
      <c r="C512" s="2" t="str">
        <f>IFERROR(__xludf.DUMMYFUNCTION("""COMPUTED_VALUE"""),"GLITTER CHRISTMAS HEART")</f>
        <v>GLITTER CHRISTMAS HEART</v>
      </c>
      <c r="D512" s="2">
        <f>IFERROR(__xludf.DUMMYFUNCTION("""COMPUTED_VALUE"""),6.0)</f>
        <v>6</v>
      </c>
      <c r="E512" s="6">
        <f>IFERROR(__xludf.DUMMYFUNCTION("""COMPUTED_VALUE"""),40148.489583333336)</f>
        <v>40148.48958</v>
      </c>
      <c r="F512" s="2">
        <f>IFERROR(__xludf.DUMMYFUNCTION("""COMPUTED_VALUE"""),0.85)</f>
        <v>0.85</v>
      </c>
      <c r="G512" s="2">
        <f>IFERROR(__xludf.DUMMYFUNCTION("""COMPUTED_VALUE"""),15998.0)</f>
        <v>15998</v>
      </c>
      <c r="H512" s="2" t="str">
        <f>IFERROR(__xludf.DUMMYFUNCTION("""COMPUTED_VALUE"""),"United Kingdom")</f>
        <v>United Kingdom</v>
      </c>
      <c r="I512" s="7">
        <f>IFERROR(__xludf.DUMMYFUNCTION("""COMPUTED_VALUE"""),40148.0)</f>
        <v>40148</v>
      </c>
      <c r="J512" s="8">
        <f>IFERROR(__xludf.DUMMYFUNCTION("""COMPUTED_VALUE"""),0.4895833333321207)</f>
        <v>0.4895833333</v>
      </c>
      <c r="K512" s="2">
        <f>IFERROR(__xludf.DUMMYFUNCTION("""COMPUTED_VALUE"""),11.0)</f>
        <v>11</v>
      </c>
      <c r="L512" s="2">
        <f>IFERROR(__xludf.DUMMYFUNCTION("""COMPUTED_VALUE"""),5.1)</f>
        <v>5.1</v>
      </c>
    </row>
    <row r="513">
      <c r="A513" s="2">
        <f>IFERROR(__xludf.DUMMYFUNCTION("""COMPUTED_VALUE"""),489522.0)</f>
        <v>489522</v>
      </c>
      <c r="B513" s="2" t="str">
        <f>IFERROR(__xludf.DUMMYFUNCTION("""COMPUTED_VALUE"""),"21819")</f>
        <v>21819</v>
      </c>
      <c r="C513" s="2" t="str">
        <f>IFERROR(__xludf.DUMMYFUNCTION("""COMPUTED_VALUE"""),"GLITTER CHRISTMAS STAR")</f>
        <v>GLITTER CHRISTMAS STAR</v>
      </c>
      <c r="D513" s="2">
        <f>IFERROR(__xludf.DUMMYFUNCTION("""COMPUTED_VALUE"""),6.0)</f>
        <v>6</v>
      </c>
      <c r="E513" s="6">
        <f>IFERROR(__xludf.DUMMYFUNCTION("""COMPUTED_VALUE"""),40148.489583333336)</f>
        <v>40148.48958</v>
      </c>
      <c r="F513" s="2">
        <f>IFERROR(__xludf.DUMMYFUNCTION("""COMPUTED_VALUE"""),0.85)</f>
        <v>0.85</v>
      </c>
      <c r="G513" s="2">
        <f>IFERROR(__xludf.DUMMYFUNCTION("""COMPUTED_VALUE"""),15998.0)</f>
        <v>15998</v>
      </c>
      <c r="H513" s="2" t="str">
        <f>IFERROR(__xludf.DUMMYFUNCTION("""COMPUTED_VALUE"""),"United Kingdom")</f>
        <v>United Kingdom</v>
      </c>
      <c r="I513" s="7">
        <f>IFERROR(__xludf.DUMMYFUNCTION("""COMPUTED_VALUE"""),40148.0)</f>
        <v>40148</v>
      </c>
      <c r="J513" s="8">
        <f>IFERROR(__xludf.DUMMYFUNCTION("""COMPUTED_VALUE"""),0.4895833333321207)</f>
        <v>0.4895833333</v>
      </c>
      <c r="K513" s="2">
        <f>IFERROR(__xludf.DUMMYFUNCTION("""COMPUTED_VALUE"""),11.0)</f>
        <v>11</v>
      </c>
      <c r="L513" s="2">
        <f>IFERROR(__xludf.DUMMYFUNCTION("""COMPUTED_VALUE"""),5.1)</f>
        <v>5.1</v>
      </c>
    </row>
    <row r="514">
      <c r="A514" s="2">
        <f>IFERROR(__xludf.DUMMYFUNCTION("""COMPUTED_VALUE"""),489522.0)</f>
        <v>489522</v>
      </c>
      <c r="B514" s="2" t="str">
        <f>IFERROR(__xludf.DUMMYFUNCTION("""COMPUTED_VALUE"""),"21817")</f>
        <v>21817</v>
      </c>
      <c r="C514" s="2" t="str">
        <f>IFERROR(__xludf.DUMMYFUNCTION("""COMPUTED_VALUE"""),"GLITTER CHRISTMAS TREE")</f>
        <v>GLITTER CHRISTMAS TREE</v>
      </c>
      <c r="D514" s="2">
        <f>IFERROR(__xludf.DUMMYFUNCTION("""COMPUTED_VALUE"""),6.0)</f>
        <v>6</v>
      </c>
      <c r="E514" s="6">
        <f>IFERROR(__xludf.DUMMYFUNCTION("""COMPUTED_VALUE"""),40148.489583333336)</f>
        <v>40148.48958</v>
      </c>
      <c r="F514" s="2">
        <f>IFERROR(__xludf.DUMMYFUNCTION("""COMPUTED_VALUE"""),0.85)</f>
        <v>0.85</v>
      </c>
      <c r="G514" s="2">
        <f>IFERROR(__xludf.DUMMYFUNCTION("""COMPUTED_VALUE"""),15998.0)</f>
        <v>15998</v>
      </c>
      <c r="H514" s="2" t="str">
        <f>IFERROR(__xludf.DUMMYFUNCTION("""COMPUTED_VALUE"""),"United Kingdom")</f>
        <v>United Kingdom</v>
      </c>
      <c r="I514" s="7">
        <f>IFERROR(__xludf.DUMMYFUNCTION("""COMPUTED_VALUE"""),40148.0)</f>
        <v>40148</v>
      </c>
      <c r="J514" s="8">
        <f>IFERROR(__xludf.DUMMYFUNCTION("""COMPUTED_VALUE"""),0.4895833333321207)</f>
        <v>0.4895833333</v>
      </c>
      <c r="K514" s="2">
        <f>IFERROR(__xludf.DUMMYFUNCTION("""COMPUTED_VALUE"""),11.0)</f>
        <v>11</v>
      </c>
      <c r="L514" s="2">
        <f>IFERROR(__xludf.DUMMYFUNCTION("""COMPUTED_VALUE"""),5.1)</f>
        <v>5.1</v>
      </c>
    </row>
    <row r="515">
      <c r="A515" s="2">
        <f>IFERROR(__xludf.DUMMYFUNCTION("""COMPUTED_VALUE"""),489522.0)</f>
        <v>489522</v>
      </c>
      <c r="B515" s="2" t="str">
        <f>IFERROR(__xludf.DUMMYFUNCTION("""COMPUTED_VALUE"""),"48111")</f>
        <v>48111</v>
      </c>
      <c r="C515" s="2" t="str">
        <f>IFERROR(__xludf.DUMMYFUNCTION("""COMPUTED_VALUE"""),"DOOR MAT 3 SMILEY CATS")</f>
        <v>DOOR MAT 3 SMILEY CATS</v>
      </c>
      <c r="D515" s="2">
        <f>IFERROR(__xludf.DUMMYFUNCTION("""COMPUTED_VALUE"""),1.0)</f>
        <v>1</v>
      </c>
      <c r="E515" s="6">
        <f>IFERROR(__xludf.DUMMYFUNCTION("""COMPUTED_VALUE"""),40148.489583333336)</f>
        <v>40148.48958</v>
      </c>
      <c r="F515" s="2">
        <f>IFERROR(__xludf.DUMMYFUNCTION("""COMPUTED_VALUE"""),6.75)</f>
        <v>6.75</v>
      </c>
      <c r="G515" s="2">
        <f>IFERROR(__xludf.DUMMYFUNCTION("""COMPUTED_VALUE"""),15998.0)</f>
        <v>15998</v>
      </c>
      <c r="H515" s="2" t="str">
        <f>IFERROR(__xludf.DUMMYFUNCTION("""COMPUTED_VALUE"""),"United Kingdom")</f>
        <v>United Kingdom</v>
      </c>
      <c r="I515" s="7">
        <f>IFERROR(__xludf.DUMMYFUNCTION("""COMPUTED_VALUE"""),40148.0)</f>
        <v>40148</v>
      </c>
      <c r="J515" s="8">
        <f>IFERROR(__xludf.DUMMYFUNCTION("""COMPUTED_VALUE"""),0.4895833333321207)</f>
        <v>0.4895833333</v>
      </c>
      <c r="K515" s="2">
        <f>IFERROR(__xludf.DUMMYFUNCTION("""COMPUTED_VALUE"""),11.0)</f>
        <v>11</v>
      </c>
      <c r="L515" s="2">
        <f>IFERROR(__xludf.DUMMYFUNCTION("""COMPUTED_VALUE"""),6.75)</f>
        <v>6.75</v>
      </c>
    </row>
    <row r="516">
      <c r="A516" s="2">
        <f>IFERROR(__xludf.DUMMYFUNCTION("""COMPUTED_VALUE"""),489522.0)</f>
        <v>489522</v>
      </c>
      <c r="B516" s="2" t="str">
        <f>IFERROR(__xludf.DUMMYFUNCTION("""COMPUTED_VALUE"""),"20685")</f>
        <v>20685</v>
      </c>
      <c r="C516" s="2" t="str">
        <f>IFERROR(__xludf.DUMMYFUNCTION("""COMPUTED_VALUE"""),"RED SPOTTY COIR DOORMAT")</f>
        <v>RED SPOTTY COIR DOORMAT</v>
      </c>
      <c r="D516" s="2">
        <f>IFERROR(__xludf.DUMMYFUNCTION("""COMPUTED_VALUE"""),1.0)</f>
        <v>1</v>
      </c>
      <c r="E516" s="6">
        <f>IFERROR(__xludf.DUMMYFUNCTION("""COMPUTED_VALUE"""),40148.489583333336)</f>
        <v>40148.48958</v>
      </c>
      <c r="F516" s="2">
        <f>IFERROR(__xludf.DUMMYFUNCTION("""COMPUTED_VALUE"""),6.75)</f>
        <v>6.75</v>
      </c>
      <c r="G516" s="2">
        <f>IFERROR(__xludf.DUMMYFUNCTION("""COMPUTED_VALUE"""),15998.0)</f>
        <v>15998</v>
      </c>
      <c r="H516" s="2" t="str">
        <f>IFERROR(__xludf.DUMMYFUNCTION("""COMPUTED_VALUE"""),"United Kingdom")</f>
        <v>United Kingdom</v>
      </c>
      <c r="I516" s="7">
        <f>IFERROR(__xludf.DUMMYFUNCTION("""COMPUTED_VALUE"""),40148.0)</f>
        <v>40148</v>
      </c>
      <c r="J516" s="8">
        <f>IFERROR(__xludf.DUMMYFUNCTION("""COMPUTED_VALUE"""),0.4895833333321207)</f>
        <v>0.4895833333</v>
      </c>
      <c r="K516" s="2">
        <f>IFERROR(__xludf.DUMMYFUNCTION("""COMPUTED_VALUE"""),11.0)</f>
        <v>11</v>
      </c>
      <c r="L516" s="2">
        <f>IFERROR(__xludf.DUMMYFUNCTION("""COMPUTED_VALUE"""),6.75)</f>
        <v>6.75</v>
      </c>
    </row>
    <row r="517">
      <c r="A517" s="2">
        <f>IFERROR(__xludf.DUMMYFUNCTION("""COMPUTED_VALUE"""),489522.0)</f>
        <v>489522</v>
      </c>
      <c r="B517" s="2" t="str">
        <f>IFERROR(__xludf.DUMMYFUNCTION("""COMPUTED_VALUE"""),"48194")</f>
        <v>48194</v>
      </c>
      <c r="C517" s="2" t="str">
        <f>IFERROR(__xludf.DUMMYFUNCTION("""COMPUTED_VALUE"""),"DOORMAT HEARTS")</f>
        <v>DOORMAT HEARTS</v>
      </c>
      <c r="D517" s="2">
        <f>IFERROR(__xludf.DUMMYFUNCTION("""COMPUTED_VALUE"""),1.0)</f>
        <v>1</v>
      </c>
      <c r="E517" s="6">
        <f>IFERROR(__xludf.DUMMYFUNCTION("""COMPUTED_VALUE"""),40148.489583333336)</f>
        <v>40148.48958</v>
      </c>
      <c r="F517" s="2">
        <f>IFERROR(__xludf.DUMMYFUNCTION("""COMPUTED_VALUE"""),6.75)</f>
        <v>6.75</v>
      </c>
      <c r="G517" s="2">
        <f>IFERROR(__xludf.DUMMYFUNCTION("""COMPUTED_VALUE"""),15998.0)</f>
        <v>15998</v>
      </c>
      <c r="H517" s="2" t="str">
        <f>IFERROR(__xludf.DUMMYFUNCTION("""COMPUTED_VALUE"""),"United Kingdom")</f>
        <v>United Kingdom</v>
      </c>
      <c r="I517" s="7">
        <f>IFERROR(__xludf.DUMMYFUNCTION("""COMPUTED_VALUE"""),40148.0)</f>
        <v>40148</v>
      </c>
      <c r="J517" s="8">
        <f>IFERROR(__xludf.DUMMYFUNCTION("""COMPUTED_VALUE"""),0.4895833333321207)</f>
        <v>0.4895833333</v>
      </c>
      <c r="K517" s="2">
        <f>IFERROR(__xludf.DUMMYFUNCTION("""COMPUTED_VALUE"""),11.0)</f>
        <v>11</v>
      </c>
      <c r="L517" s="2">
        <f>IFERROR(__xludf.DUMMYFUNCTION("""COMPUTED_VALUE"""),6.75)</f>
        <v>6.75</v>
      </c>
    </row>
    <row r="518">
      <c r="A518" s="2">
        <f>IFERROR(__xludf.DUMMYFUNCTION("""COMPUTED_VALUE"""),489522.0)</f>
        <v>489522</v>
      </c>
      <c r="B518" s="2" t="str">
        <f>IFERROR(__xludf.DUMMYFUNCTION("""COMPUTED_VALUE"""),"21495")</f>
        <v>21495</v>
      </c>
      <c r="C518" s="2" t="str">
        <f>IFERROR(__xludf.DUMMYFUNCTION("""COMPUTED_VALUE"""),"SKULLS WRAP")</f>
        <v>SKULLS WRAP</v>
      </c>
      <c r="D518" s="2">
        <f>IFERROR(__xludf.DUMMYFUNCTION("""COMPUTED_VALUE"""),25.0)</f>
        <v>25</v>
      </c>
      <c r="E518" s="6">
        <f>IFERROR(__xludf.DUMMYFUNCTION("""COMPUTED_VALUE"""),40148.489583333336)</f>
        <v>40148.48958</v>
      </c>
      <c r="F518" s="2">
        <f>IFERROR(__xludf.DUMMYFUNCTION("""COMPUTED_VALUE"""),0.42)</f>
        <v>0.42</v>
      </c>
      <c r="G518" s="2">
        <f>IFERROR(__xludf.DUMMYFUNCTION("""COMPUTED_VALUE"""),15998.0)</f>
        <v>15998</v>
      </c>
      <c r="H518" s="2" t="str">
        <f>IFERROR(__xludf.DUMMYFUNCTION("""COMPUTED_VALUE"""),"United Kingdom")</f>
        <v>United Kingdom</v>
      </c>
      <c r="I518" s="7">
        <f>IFERROR(__xludf.DUMMYFUNCTION("""COMPUTED_VALUE"""),40148.0)</f>
        <v>40148</v>
      </c>
      <c r="J518" s="8">
        <f>IFERROR(__xludf.DUMMYFUNCTION("""COMPUTED_VALUE"""),0.4895833333321207)</f>
        <v>0.4895833333</v>
      </c>
      <c r="K518" s="2">
        <f>IFERROR(__xludf.DUMMYFUNCTION("""COMPUTED_VALUE"""),11.0)</f>
        <v>11</v>
      </c>
      <c r="L518" s="2">
        <f>IFERROR(__xludf.DUMMYFUNCTION("""COMPUTED_VALUE"""),10.5)</f>
        <v>10.5</v>
      </c>
    </row>
    <row r="519">
      <c r="A519" s="2">
        <f>IFERROR(__xludf.DUMMYFUNCTION("""COMPUTED_VALUE"""),489522.0)</f>
        <v>489522</v>
      </c>
      <c r="B519" s="2" t="str">
        <f>IFERROR(__xludf.DUMMYFUNCTION("""COMPUTED_VALUE"""),"47505")</f>
        <v>47505</v>
      </c>
      <c r="C519" s="2" t="str">
        <f>IFERROR(__xludf.DUMMYFUNCTION("""COMPUTED_VALUE"""),"MINATURE COLOURED GARDENING SET")</f>
        <v>MINATURE COLOURED GARDENING SET</v>
      </c>
      <c r="D519" s="2">
        <f>IFERROR(__xludf.DUMMYFUNCTION("""COMPUTED_VALUE"""),2.0)</f>
        <v>2</v>
      </c>
      <c r="E519" s="6">
        <f>IFERROR(__xludf.DUMMYFUNCTION("""COMPUTED_VALUE"""),40148.489583333336)</f>
        <v>40148.48958</v>
      </c>
      <c r="F519" s="2">
        <f>IFERROR(__xludf.DUMMYFUNCTION("""COMPUTED_VALUE"""),4.95)</f>
        <v>4.95</v>
      </c>
      <c r="G519" s="2">
        <f>IFERROR(__xludf.DUMMYFUNCTION("""COMPUTED_VALUE"""),15998.0)</f>
        <v>15998</v>
      </c>
      <c r="H519" s="2" t="str">
        <f>IFERROR(__xludf.DUMMYFUNCTION("""COMPUTED_VALUE"""),"United Kingdom")</f>
        <v>United Kingdom</v>
      </c>
      <c r="I519" s="7">
        <f>IFERROR(__xludf.DUMMYFUNCTION("""COMPUTED_VALUE"""),40148.0)</f>
        <v>40148</v>
      </c>
      <c r="J519" s="8">
        <f>IFERROR(__xludf.DUMMYFUNCTION("""COMPUTED_VALUE"""),0.4895833333321207)</f>
        <v>0.4895833333</v>
      </c>
      <c r="K519" s="2">
        <f>IFERROR(__xludf.DUMMYFUNCTION("""COMPUTED_VALUE"""),11.0)</f>
        <v>11</v>
      </c>
      <c r="L519" s="2">
        <f>IFERROR(__xludf.DUMMYFUNCTION("""COMPUTED_VALUE"""),9.9)</f>
        <v>9.9</v>
      </c>
    </row>
    <row r="520">
      <c r="A520" s="2">
        <f>IFERROR(__xludf.DUMMYFUNCTION("""COMPUTED_VALUE"""),489522.0)</f>
        <v>489522</v>
      </c>
      <c r="B520" s="2" t="str">
        <f>IFERROR(__xludf.DUMMYFUNCTION("""COMPUTED_VALUE"""),"10135")</f>
        <v>10135</v>
      </c>
      <c r="C520" s="2" t="str">
        <f>IFERROR(__xludf.DUMMYFUNCTION("""COMPUTED_VALUE"""),"COLOURING PENCILS BROWN TUBE")</f>
        <v>COLOURING PENCILS BROWN TUBE</v>
      </c>
      <c r="D520" s="2">
        <f>IFERROR(__xludf.DUMMYFUNCTION("""COMPUTED_VALUE"""),6.0)</f>
        <v>6</v>
      </c>
      <c r="E520" s="6">
        <f>IFERROR(__xludf.DUMMYFUNCTION("""COMPUTED_VALUE"""),40148.489583333336)</f>
        <v>40148.48958</v>
      </c>
      <c r="F520" s="2">
        <f>IFERROR(__xludf.DUMMYFUNCTION("""COMPUTED_VALUE"""),1.25)</f>
        <v>1.25</v>
      </c>
      <c r="G520" s="2">
        <f>IFERROR(__xludf.DUMMYFUNCTION("""COMPUTED_VALUE"""),15998.0)</f>
        <v>15998</v>
      </c>
      <c r="H520" s="2" t="str">
        <f>IFERROR(__xludf.DUMMYFUNCTION("""COMPUTED_VALUE"""),"United Kingdom")</f>
        <v>United Kingdom</v>
      </c>
      <c r="I520" s="7">
        <f>IFERROR(__xludf.DUMMYFUNCTION("""COMPUTED_VALUE"""),40148.0)</f>
        <v>40148</v>
      </c>
      <c r="J520" s="8">
        <f>IFERROR(__xludf.DUMMYFUNCTION("""COMPUTED_VALUE"""),0.4895833333321207)</f>
        <v>0.4895833333</v>
      </c>
      <c r="K520" s="2">
        <f>IFERROR(__xludf.DUMMYFUNCTION("""COMPUTED_VALUE"""),11.0)</f>
        <v>11</v>
      </c>
      <c r="L520" s="2">
        <f>IFERROR(__xludf.DUMMYFUNCTION("""COMPUTED_VALUE"""),7.5)</f>
        <v>7.5</v>
      </c>
    </row>
    <row r="521">
      <c r="A521" s="2">
        <f>IFERROR(__xludf.DUMMYFUNCTION("""COMPUTED_VALUE"""),489522.0)</f>
        <v>489522</v>
      </c>
      <c r="B521" s="2" t="str">
        <f>IFERROR(__xludf.DUMMYFUNCTION("""COMPUTED_VALUE"""),"22125")</f>
        <v>22125</v>
      </c>
      <c r="C521" s="2" t="str">
        <f>IFERROR(__xludf.DUMMYFUNCTION("""COMPUTED_VALUE"""),"UNION JACK HOT WATER BOTTLE")</f>
        <v>UNION JACK HOT WATER BOTTLE</v>
      </c>
      <c r="D521" s="2">
        <f>IFERROR(__xludf.DUMMYFUNCTION("""COMPUTED_VALUE"""),4.0)</f>
        <v>4</v>
      </c>
      <c r="E521" s="6">
        <f>IFERROR(__xludf.DUMMYFUNCTION("""COMPUTED_VALUE"""),40148.489583333336)</f>
        <v>40148.48958</v>
      </c>
      <c r="F521" s="2">
        <f>IFERROR(__xludf.DUMMYFUNCTION("""COMPUTED_VALUE"""),5.95)</f>
        <v>5.95</v>
      </c>
      <c r="G521" s="2">
        <f>IFERROR(__xludf.DUMMYFUNCTION("""COMPUTED_VALUE"""),15998.0)</f>
        <v>15998</v>
      </c>
      <c r="H521" s="2" t="str">
        <f>IFERROR(__xludf.DUMMYFUNCTION("""COMPUTED_VALUE"""),"United Kingdom")</f>
        <v>United Kingdom</v>
      </c>
      <c r="I521" s="7">
        <f>IFERROR(__xludf.DUMMYFUNCTION("""COMPUTED_VALUE"""),40148.0)</f>
        <v>40148</v>
      </c>
      <c r="J521" s="8">
        <f>IFERROR(__xludf.DUMMYFUNCTION("""COMPUTED_VALUE"""),0.4895833333321207)</f>
        <v>0.4895833333</v>
      </c>
      <c r="K521" s="2">
        <f>IFERROR(__xludf.DUMMYFUNCTION("""COMPUTED_VALUE"""),11.0)</f>
        <v>11</v>
      </c>
      <c r="L521" s="2">
        <f>IFERROR(__xludf.DUMMYFUNCTION("""COMPUTED_VALUE"""),23.8)</f>
        <v>23.8</v>
      </c>
    </row>
    <row r="522">
      <c r="A522" s="2">
        <f>IFERROR(__xludf.DUMMYFUNCTION("""COMPUTED_VALUE"""),489522.0)</f>
        <v>489522</v>
      </c>
      <c r="B522" s="2" t="str">
        <f>IFERROR(__xludf.DUMMYFUNCTION("""COMPUTED_VALUE"""),"37492C")</f>
        <v>37492C</v>
      </c>
      <c r="C522" s="2" t="str">
        <f>IFERROR(__xludf.DUMMYFUNCTION("""COMPUTED_VALUE"""),"GREEN BLUE FLOWER PIGGY BANK")</f>
        <v>GREEN BLUE FLOWER PIGGY BANK</v>
      </c>
      <c r="D522" s="2">
        <f>IFERROR(__xludf.DUMMYFUNCTION("""COMPUTED_VALUE"""),1.0)</f>
        <v>1</v>
      </c>
      <c r="E522" s="6">
        <f>IFERROR(__xludf.DUMMYFUNCTION("""COMPUTED_VALUE"""),40148.489583333336)</f>
        <v>40148.48958</v>
      </c>
      <c r="F522" s="2">
        <f>IFERROR(__xludf.DUMMYFUNCTION("""COMPUTED_VALUE"""),4.65)</f>
        <v>4.65</v>
      </c>
      <c r="G522" s="2">
        <f>IFERROR(__xludf.DUMMYFUNCTION("""COMPUTED_VALUE"""),15998.0)</f>
        <v>15998</v>
      </c>
      <c r="H522" s="2" t="str">
        <f>IFERROR(__xludf.DUMMYFUNCTION("""COMPUTED_VALUE"""),"United Kingdom")</f>
        <v>United Kingdom</v>
      </c>
      <c r="I522" s="7">
        <f>IFERROR(__xludf.DUMMYFUNCTION("""COMPUTED_VALUE"""),40148.0)</f>
        <v>40148</v>
      </c>
      <c r="J522" s="8">
        <f>IFERROR(__xludf.DUMMYFUNCTION("""COMPUTED_VALUE"""),0.4895833333321207)</f>
        <v>0.4895833333</v>
      </c>
      <c r="K522" s="2">
        <f>IFERROR(__xludf.DUMMYFUNCTION("""COMPUTED_VALUE"""),11.0)</f>
        <v>11</v>
      </c>
      <c r="L522" s="2">
        <f>IFERROR(__xludf.DUMMYFUNCTION("""COMPUTED_VALUE"""),4.65)</f>
        <v>4.65</v>
      </c>
    </row>
    <row r="523">
      <c r="A523" s="2">
        <f>IFERROR(__xludf.DUMMYFUNCTION("""COMPUTED_VALUE"""),489522.0)</f>
        <v>489522</v>
      </c>
      <c r="B523" s="2" t="str">
        <f>IFERROR(__xludf.DUMMYFUNCTION("""COMPUTED_VALUE"""),"20677")</f>
        <v>20677</v>
      </c>
      <c r="C523" s="2" t="str">
        <f>IFERROR(__xludf.DUMMYFUNCTION("""COMPUTED_VALUE"""),"PINK SPOTTY BOWL")</f>
        <v>PINK SPOTTY BOWL</v>
      </c>
      <c r="D523" s="2">
        <f>IFERROR(__xludf.DUMMYFUNCTION("""COMPUTED_VALUE"""),1.0)</f>
        <v>1</v>
      </c>
      <c r="E523" s="6">
        <f>IFERROR(__xludf.DUMMYFUNCTION("""COMPUTED_VALUE"""),40148.489583333336)</f>
        <v>40148.48958</v>
      </c>
      <c r="F523" s="2">
        <f>IFERROR(__xludf.DUMMYFUNCTION("""COMPUTED_VALUE"""),1.25)</f>
        <v>1.25</v>
      </c>
      <c r="G523" s="2">
        <f>IFERROR(__xludf.DUMMYFUNCTION("""COMPUTED_VALUE"""),15998.0)</f>
        <v>15998</v>
      </c>
      <c r="H523" s="2" t="str">
        <f>IFERROR(__xludf.DUMMYFUNCTION("""COMPUTED_VALUE"""),"United Kingdom")</f>
        <v>United Kingdom</v>
      </c>
      <c r="I523" s="7">
        <f>IFERROR(__xludf.DUMMYFUNCTION("""COMPUTED_VALUE"""),40148.0)</f>
        <v>40148</v>
      </c>
      <c r="J523" s="8">
        <f>IFERROR(__xludf.DUMMYFUNCTION("""COMPUTED_VALUE"""),0.4895833333321207)</f>
        <v>0.4895833333</v>
      </c>
      <c r="K523" s="2">
        <f>IFERROR(__xludf.DUMMYFUNCTION("""COMPUTED_VALUE"""),11.0)</f>
        <v>11</v>
      </c>
      <c r="L523" s="2">
        <f>IFERROR(__xludf.DUMMYFUNCTION("""COMPUTED_VALUE"""),1.25)</f>
        <v>1.25</v>
      </c>
    </row>
    <row r="524">
      <c r="A524" s="2">
        <f>IFERROR(__xludf.DUMMYFUNCTION("""COMPUTED_VALUE"""),489522.0)</f>
        <v>489522</v>
      </c>
      <c r="B524" s="2" t="str">
        <f>IFERROR(__xludf.DUMMYFUNCTION("""COMPUTED_VALUE"""),"20676")</f>
        <v>20676</v>
      </c>
      <c r="C524" s="2" t="str">
        <f>IFERROR(__xludf.DUMMYFUNCTION("""COMPUTED_VALUE"""),"RED SPOTTY BOWL")</f>
        <v>RED SPOTTY BOWL</v>
      </c>
      <c r="D524" s="2">
        <f>IFERROR(__xludf.DUMMYFUNCTION("""COMPUTED_VALUE"""),1.0)</f>
        <v>1</v>
      </c>
      <c r="E524" s="6">
        <f>IFERROR(__xludf.DUMMYFUNCTION("""COMPUTED_VALUE"""),40148.489583333336)</f>
        <v>40148.48958</v>
      </c>
      <c r="F524" s="2">
        <f>IFERROR(__xludf.DUMMYFUNCTION("""COMPUTED_VALUE"""),1.25)</f>
        <v>1.25</v>
      </c>
      <c r="G524" s="2">
        <f>IFERROR(__xludf.DUMMYFUNCTION("""COMPUTED_VALUE"""),15998.0)</f>
        <v>15998</v>
      </c>
      <c r="H524" s="2" t="str">
        <f>IFERROR(__xludf.DUMMYFUNCTION("""COMPUTED_VALUE"""),"United Kingdom")</f>
        <v>United Kingdom</v>
      </c>
      <c r="I524" s="7">
        <f>IFERROR(__xludf.DUMMYFUNCTION("""COMPUTED_VALUE"""),40148.0)</f>
        <v>40148</v>
      </c>
      <c r="J524" s="8">
        <f>IFERROR(__xludf.DUMMYFUNCTION("""COMPUTED_VALUE"""),0.4895833333321207)</f>
        <v>0.4895833333</v>
      </c>
      <c r="K524" s="2">
        <f>IFERROR(__xludf.DUMMYFUNCTION("""COMPUTED_VALUE"""),11.0)</f>
        <v>11</v>
      </c>
      <c r="L524" s="2">
        <f>IFERROR(__xludf.DUMMYFUNCTION("""COMPUTED_VALUE"""),1.25)</f>
        <v>1.25</v>
      </c>
    </row>
    <row r="525">
      <c r="A525" s="2">
        <f>IFERROR(__xludf.DUMMYFUNCTION("""COMPUTED_VALUE"""),489522.0)</f>
        <v>489522</v>
      </c>
      <c r="B525" s="2" t="str">
        <f>IFERROR(__xludf.DUMMYFUNCTION("""COMPUTED_VALUE"""),"20675")</f>
        <v>20675</v>
      </c>
      <c r="C525" s="2" t="str">
        <f>IFERROR(__xludf.DUMMYFUNCTION("""COMPUTED_VALUE"""),"BLUE SPOTTY BOWL")</f>
        <v>BLUE SPOTTY BOWL</v>
      </c>
      <c r="D525" s="2">
        <f>IFERROR(__xludf.DUMMYFUNCTION("""COMPUTED_VALUE"""),1.0)</f>
        <v>1</v>
      </c>
      <c r="E525" s="6">
        <f>IFERROR(__xludf.DUMMYFUNCTION("""COMPUTED_VALUE"""),40148.489583333336)</f>
        <v>40148.48958</v>
      </c>
      <c r="F525" s="2">
        <f>IFERROR(__xludf.DUMMYFUNCTION("""COMPUTED_VALUE"""),1.25)</f>
        <v>1.25</v>
      </c>
      <c r="G525" s="2">
        <f>IFERROR(__xludf.DUMMYFUNCTION("""COMPUTED_VALUE"""),15998.0)</f>
        <v>15998</v>
      </c>
      <c r="H525" s="2" t="str">
        <f>IFERROR(__xludf.DUMMYFUNCTION("""COMPUTED_VALUE"""),"United Kingdom")</f>
        <v>United Kingdom</v>
      </c>
      <c r="I525" s="7">
        <f>IFERROR(__xludf.DUMMYFUNCTION("""COMPUTED_VALUE"""),40148.0)</f>
        <v>40148</v>
      </c>
      <c r="J525" s="8">
        <f>IFERROR(__xludf.DUMMYFUNCTION("""COMPUTED_VALUE"""),0.4895833333321207)</f>
        <v>0.4895833333</v>
      </c>
      <c r="K525" s="2">
        <f>IFERROR(__xludf.DUMMYFUNCTION("""COMPUTED_VALUE"""),11.0)</f>
        <v>11</v>
      </c>
      <c r="L525" s="2">
        <f>IFERROR(__xludf.DUMMYFUNCTION("""COMPUTED_VALUE"""),1.25)</f>
        <v>1.25</v>
      </c>
    </row>
    <row r="526">
      <c r="A526" s="2">
        <f>IFERROR(__xludf.DUMMYFUNCTION("""COMPUTED_VALUE"""),489522.0)</f>
        <v>489522</v>
      </c>
      <c r="B526" s="2" t="str">
        <f>IFERROR(__xludf.DUMMYFUNCTION("""COMPUTED_VALUE"""),"21086")</f>
        <v>21086</v>
      </c>
      <c r="C526" s="2" t="str">
        <f>IFERROR(__xludf.DUMMYFUNCTION("""COMPUTED_VALUE"""),"SET/6 RED SPOTTY PAPER CUPS")</f>
        <v>SET/6 RED SPOTTY PAPER CUPS</v>
      </c>
      <c r="D526" s="2">
        <f>IFERROR(__xludf.DUMMYFUNCTION("""COMPUTED_VALUE"""),8.0)</f>
        <v>8</v>
      </c>
      <c r="E526" s="6">
        <f>IFERROR(__xludf.DUMMYFUNCTION("""COMPUTED_VALUE"""),40148.489583333336)</f>
        <v>40148.48958</v>
      </c>
      <c r="F526" s="2">
        <f>IFERROR(__xludf.DUMMYFUNCTION("""COMPUTED_VALUE"""),0.65)</f>
        <v>0.65</v>
      </c>
      <c r="G526" s="2">
        <f>IFERROR(__xludf.DUMMYFUNCTION("""COMPUTED_VALUE"""),15998.0)</f>
        <v>15998</v>
      </c>
      <c r="H526" s="2" t="str">
        <f>IFERROR(__xludf.DUMMYFUNCTION("""COMPUTED_VALUE"""),"United Kingdom")</f>
        <v>United Kingdom</v>
      </c>
      <c r="I526" s="7">
        <f>IFERROR(__xludf.DUMMYFUNCTION("""COMPUTED_VALUE"""),40148.0)</f>
        <v>40148</v>
      </c>
      <c r="J526" s="8">
        <f>IFERROR(__xludf.DUMMYFUNCTION("""COMPUTED_VALUE"""),0.4895833333321207)</f>
        <v>0.4895833333</v>
      </c>
      <c r="K526" s="2">
        <f>IFERROR(__xludf.DUMMYFUNCTION("""COMPUTED_VALUE"""),11.0)</f>
        <v>11</v>
      </c>
      <c r="L526" s="2">
        <f>IFERROR(__xludf.DUMMYFUNCTION("""COMPUTED_VALUE"""),5.2)</f>
        <v>5.2</v>
      </c>
    </row>
    <row r="527">
      <c r="A527" s="2">
        <f>IFERROR(__xludf.DUMMYFUNCTION("""COMPUTED_VALUE"""),489522.0)</f>
        <v>489522</v>
      </c>
      <c r="B527" s="2" t="str">
        <f>IFERROR(__xludf.DUMMYFUNCTION("""COMPUTED_VALUE"""),"21948")</f>
        <v>21948</v>
      </c>
      <c r="C527" s="2" t="str">
        <f>IFERROR(__xludf.DUMMYFUNCTION("""COMPUTED_VALUE"""),"SET OF 6 CAKE CHOPSTICKS")</f>
        <v>SET OF 6 CAKE CHOPSTICKS</v>
      </c>
      <c r="D527" s="2">
        <f>IFERROR(__xludf.DUMMYFUNCTION("""COMPUTED_VALUE"""),6.0)</f>
        <v>6</v>
      </c>
      <c r="E527" s="6">
        <f>IFERROR(__xludf.DUMMYFUNCTION("""COMPUTED_VALUE"""),40148.489583333336)</f>
        <v>40148.48958</v>
      </c>
      <c r="F527" s="2">
        <f>IFERROR(__xludf.DUMMYFUNCTION("""COMPUTED_VALUE"""),1.25)</f>
        <v>1.25</v>
      </c>
      <c r="G527" s="2">
        <f>IFERROR(__xludf.DUMMYFUNCTION("""COMPUTED_VALUE"""),15998.0)</f>
        <v>15998</v>
      </c>
      <c r="H527" s="2" t="str">
        <f>IFERROR(__xludf.DUMMYFUNCTION("""COMPUTED_VALUE"""),"United Kingdom")</f>
        <v>United Kingdom</v>
      </c>
      <c r="I527" s="7">
        <f>IFERROR(__xludf.DUMMYFUNCTION("""COMPUTED_VALUE"""),40148.0)</f>
        <v>40148</v>
      </c>
      <c r="J527" s="8">
        <f>IFERROR(__xludf.DUMMYFUNCTION("""COMPUTED_VALUE"""),0.4895833333321207)</f>
        <v>0.4895833333</v>
      </c>
      <c r="K527" s="2">
        <f>IFERROR(__xludf.DUMMYFUNCTION("""COMPUTED_VALUE"""),11.0)</f>
        <v>11</v>
      </c>
      <c r="L527" s="2">
        <f>IFERROR(__xludf.DUMMYFUNCTION("""COMPUTED_VALUE"""),7.5)</f>
        <v>7.5</v>
      </c>
    </row>
    <row r="528">
      <c r="A528" s="2">
        <f>IFERROR(__xludf.DUMMYFUNCTION("""COMPUTED_VALUE"""),489522.0)</f>
        <v>489522</v>
      </c>
      <c r="B528" s="2" t="str">
        <f>IFERROR(__xludf.DUMMYFUNCTION("""COMPUTED_VALUE"""),"21833")</f>
        <v>21833</v>
      </c>
      <c r="C528" s="2" t="str">
        <f>IFERROR(__xludf.DUMMYFUNCTION("""COMPUTED_VALUE"""),"CAMOUFLAGE LED TORCH")</f>
        <v>CAMOUFLAGE LED TORCH</v>
      </c>
      <c r="D528" s="2">
        <f>IFERROR(__xludf.DUMMYFUNCTION("""COMPUTED_VALUE"""),12.0)</f>
        <v>12</v>
      </c>
      <c r="E528" s="6">
        <f>IFERROR(__xludf.DUMMYFUNCTION("""COMPUTED_VALUE"""),40148.489583333336)</f>
        <v>40148.48958</v>
      </c>
      <c r="F528" s="2">
        <f>IFERROR(__xludf.DUMMYFUNCTION("""COMPUTED_VALUE"""),1.69)</f>
        <v>1.69</v>
      </c>
      <c r="G528" s="2">
        <f>IFERROR(__xludf.DUMMYFUNCTION("""COMPUTED_VALUE"""),15998.0)</f>
        <v>15998</v>
      </c>
      <c r="H528" s="2" t="str">
        <f>IFERROR(__xludf.DUMMYFUNCTION("""COMPUTED_VALUE"""),"United Kingdom")</f>
        <v>United Kingdom</v>
      </c>
      <c r="I528" s="7">
        <f>IFERROR(__xludf.DUMMYFUNCTION("""COMPUTED_VALUE"""),40148.0)</f>
        <v>40148</v>
      </c>
      <c r="J528" s="8">
        <f>IFERROR(__xludf.DUMMYFUNCTION("""COMPUTED_VALUE"""),0.4895833333321207)</f>
        <v>0.4895833333</v>
      </c>
      <c r="K528" s="2">
        <f>IFERROR(__xludf.DUMMYFUNCTION("""COMPUTED_VALUE"""),11.0)</f>
        <v>11</v>
      </c>
      <c r="L528" s="2">
        <f>IFERROR(__xludf.DUMMYFUNCTION("""COMPUTED_VALUE"""),20.28)</f>
        <v>20.28</v>
      </c>
    </row>
    <row r="529">
      <c r="A529" s="2">
        <f>IFERROR(__xludf.DUMMYFUNCTION("""COMPUTED_VALUE"""),489522.0)</f>
        <v>489522</v>
      </c>
      <c r="B529" s="2" t="str">
        <f>IFERROR(__xludf.DUMMYFUNCTION("""COMPUTED_VALUE"""),"21832")</f>
        <v>21832</v>
      </c>
      <c r="C529" s="2" t="str">
        <f>IFERROR(__xludf.DUMMYFUNCTION("""COMPUTED_VALUE"""),"CHOCOLATE CALCULATOR")</f>
        <v>CHOCOLATE CALCULATOR</v>
      </c>
      <c r="D529" s="2">
        <f>IFERROR(__xludf.DUMMYFUNCTION("""COMPUTED_VALUE"""),5.0)</f>
        <v>5</v>
      </c>
      <c r="E529" s="6">
        <f>IFERROR(__xludf.DUMMYFUNCTION("""COMPUTED_VALUE"""),40148.489583333336)</f>
        <v>40148.48958</v>
      </c>
      <c r="F529" s="2">
        <f>IFERROR(__xludf.DUMMYFUNCTION("""COMPUTED_VALUE"""),1.65)</f>
        <v>1.65</v>
      </c>
      <c r="G529" s="2">
        <f>IFERROR(__xludf.DUMMYFUNCTION("""COMPUTED_VALUE"""),15998.0)</f>
        <v>15998</v>
      </c>
      <c r="H529" s="2" t="str">
        <f>IFERROR(__xludf.DUMMYFUNCTION("""COMPUTED_VALUE"""),"United Kingdom")</f>
        <v>United Kingdom</v>
      </c>
      <c r="I529" s="7">
        <f>IFERROR(__xludf.DUMMYFUNCTION("""COMPUTED_VALUE"""),40148.0)</f>
        <v>40148</v>
      </c>
      <c r="J529" s="8">
        <f>IFERROR(__xludf.DUMMYFUNCTION("""COMPUTED_VALUE"""),0.4895833333321207)</f>
        <v>0.4895833333</v>
      </c>
      <c r="K529" s="2">
        <f>IFERROR(__xludf.DUMMYFUNCTION("""COMPUTED_VALUE"""),11.0)</f>
        <v>11</v>
      </c>
      <c r="L529" s="2">
        <f>IFERROR(__xludf.DUMMYFUNCTION("""COMPUTED_VALUE"""),8.25)</f>
        <v>8.25</v>
      </c>
    </row>
    <row r="530">
      <c r="A530" s="2">
        <f>IFERROR(__xludf.DUMMYFUNCTION("""COMPUTED_VALUE"""),489522.0)</f>
        <v>489522</v>
      </c>
      <c r="B530" s="2" t="str">
        <f>IFERROR(__xludf.DUMMYFUNCTION("""COMPUTED_VALUE"""),"22315")</f>
        <v>22315</v>
      </c>
      <c r="C530" s="2" t="str">
        <f>IFERROR(__xludf.DUMMYFUNCTION("""COMPUTED_VALUE"""),"200 RED + WHITE BENDY STRAWS")</f>
        <v>200 RED + WHITE BENDY STRAWS</v>
      </c>
      <c r="D530" s="2">
        <f>IFERROR(__xludf.DUMMYFUNCTION("""COMPUTED_VALUE"""),1.0)</f>
        <v>1</v>
      </c>
      <c r="E530" s="6">
        <f>IFERROR(__xludf.DUMMYFUNCTION("""COMPUTED_VALUE"""),40148.489583333336)</f>
        <v>40148.48958</v>
      </c>
      <c r="F530" s="2">
        <f>IFERROR(__xludf.DUMMYFUNCTION("""COMPUTED_VALUE"""),1.25)</f>
        <v>1.25</v>
      </c>
      <c r="G530" s="2">
        <f>IFERROR(__xludf.DUMMYFUNCTION("""COMPUTED_VALUE"""),15998.0)</f>
        <v>15998</v>
      </c>
      <c r="H530" s="2" t="str">
        <f>IFERROR(__xludf.DUMMYFUNCTION("""COMPUTED_VALUE"""),"United Kingdom")</f>
        <v>United Kingdom</v>
      </c>
      <c r="I530" s="7">
        <f>IFERROR(__xludf.DUMMYFUNCTION("""COMPUTED_VALUE"""),40148.0)</f>
        <v>40148</v>
      </c>
      <c r="J530" s="8">
        <f>IFERROR(__xludf.DUMMYFUNCTION("""COMPUTED_VALUE"""),0.4895833333321207)</f>
        <v>0.4895833333</v>
      </c>
      <c r="K530" s="2">
        <f>IFERROR(__xludf.DUMMYFUNCTION("""COMPUTED_VALUE"""),11.0)</f>
        <v>11</v>
      </c>
      <c r="L530" s="2">
        <f>IFERROR(__xludf.DUMMYFUNCTION("""COMPUTED_VALUE"""),1.25)</f>
        <v>1.25</v>
      </c>
    </row>
    <row r="531">
      <c r="A531" s="2">
        <f>IFERROR(__xludf.DUMMYFUNCTION("""COMPUTED_VALUE"""),489522.0)</f>
        <v>489522</v>
      </c>
      <c r="B531" s="2" t="str">
        <f>IFERROR(__xludf.DUMMYFUNCTION("""COMPUTED_VALUE"""),"21870")</f>
        <v>21870</v>
      </c>
      <c r="C531" s="2" t="str">
        <f>IFERROR(__xludf.DUMMYFUNCTION("""COMPUTED_VALUE"""),"I CAN ONLY PLEASE ONE PERSON MUG")</f>
        <v>I CAN ONLY PLEASE ONE PERSON MUG</v>
      </c>
      <c r="D531" s="2">
        <f>IFERROR(__xludf.DUMMYFUNCTION("""COMPUTED_VALUE"""),1.0)</f>
        <v>1</v>
      </c>
      <c r="E531" s="6">
        <f>IFERROR(__xludf.DUMMYFUNCTION("""COMPUTED_VALUE"""),40148.489583333336)</f>
        <v>40148.48958</v>
      </c>
      <c r="F531" s="2">
        <f>IFERROR(__xludf.DUMMYFUNCTION("""COMPUTED_VALUE"""),1.25)</f>
        <v>1.25</v>
      </c>
      <c r="G531" s="2">
        <f>IFERROR(__xludf.DUMMYFUNCTION("""COMPUTED_VALUE"""),15998.0)</f>
        <v>15998</v>
      </c>
      <c r="H531" s="2" t="str">
        <f>IFERROR(__xludf.DUMMYFUNCTION("""COMPUTED_VALUE"""),"United Kingdom")</f>
        <v>United Kingdom</v>
      </c>
      <c r="I531" s="7">
        <f>IFERROR(__xludf.DUMMYFUNCTION("""COMPUTED_VALUE"""),40148.0)</f>
        <v>40148</v>
      </c>
      <c r="J531" s="8">
        <f>IFERROR(__xludf.DUMMYFUNCTION("""COMPUTED_VALUE"""),0.4895833333321207)</f>
        <v>0.4895833333</v>
      </c>
      <c r="K531" s="2">
        <f>IFERROR(__xludf.DUMMYFUNCTION("""COMPUTED_VALUE"""),11.0)</f>
        <v>11</v>
      </c>
      <c r="L531" s="2">
        <f>IFERROR(__xludf.DUMMYFUNCTION("""COMPUTED_VALUE"""),1.25)</f>
        <v>1.25</v>
      </c>
    </row>
    <row r="532">
      <c r="A532" s="2">
        <f>IFERROR(__xludf.DUMMYFUNCTION("""COMPUTED_VALUE"""),489522.0)</f>
        <v>489522</v>
      </c>
      <c r="B532" s="2" t="str">
        <f>IFERROR(__xludf.DUMMYFUNCTION("""COMPUTED_VALUE"""),"82600")</f>
        <v>82600</v>
      </c>
      <c r="C532" s="2" t="str">
        <f>IFERROR(__xludf.DUMMYFUNCTION("""COMPUTED_VALUE"""),"NO SINGING METAL SIGN")</f>
        <v>NO SINGING METAL SIGN</v>
      </c>
      <c r="D532" s="2">
        <f>IFERROR(__xludf.DUMMYFUNCTION("""COMPUTED_VALUE"""),1.0)</f>
        <v>1</v>
      </c>
      <c r="E532" s="6">
        <f>IFERROR(__xludf.DUMMYFUNCTION("""COMPUTED_VALUE"""),40148.489583333336)</f>
        <v>40148.48958</v>
      </c>
      <c r="F532" s="2">
        <f>IFERROR(__xludf.DUMMYFUNCTION("""COMPUTED_VALUE"""),2.1)</f>
        <v>2.1</v>
      </c>
      <c r="G532" s="2">
        <f>IFERROR(__xludf.DUMMYFUNCTION("""COMPUTED_VALUE"""),15998.0)</f>
        <v>15998</v>
      </c>
      <c r="H532" s="2" t="str">
        <f>IFERROR(__xludf.DUMMYFUNCTION("""COMPUTED_VALUE"""),"United Kingdom")</f>
        <v>United Kingdom</v>
      </c>
      <c r="I532" s="7">
        <f>IFERROR(__xludf.DUMMYFUNCTION("""COMPUTED_VALUE"""),40148.0)</f>
        <v>40148</v>
      </c>
      <c r="J532" s="8">
        <f>IFERROR(__xludf.DUMMYFUNCTION("""COMPUTED_VALUE"""),0.4895833333321207)</f>
        <v>0.4895833333</v>
      </c>
      <c r="K532" s="2">
        <f>IFERROR(__xludf.DUMMYFUNCTION("""COMPUTED_VALUE"""),11.0)</f>
        <v>11</v>
      </c>
      <c r="L532" s="2">
        <f>IFERROR(__xludf.DUMMYFUNCTION("""COMPUTED_VALUE"""),2.1)</f>
        <v>2.1</v>
      </c>
    </row>
    <row r="533">
      <c r="A533" s="2">
        <f>IFERROR(__xludf.DUMMYFUNCTION("""COMPUTED_VALUE"""),489522.0)</f>
        <v>489522</v>
      </c>
      <c r="B533" s="2" t="str">
        <f>IFERROR(__xludf.DUMMYFUNCTION("""COMPUTED_VALUE"""),"21181")</f>
        <v>21181</v>
      </c>
      <c r="C533" s="2" t="str">
        <f>IFERROR(__xludf.DUMMYFUNCTION("""COMPUTED_VALUE"""),"PLEASE ONE PERSON METAL SIGN")</f>
        <v>PLEASE ONE PERSON METAL SIGN</v>
      </c>
      <c r="D533" s="2">
        <f>IFERROR(__xludf.DUMMYFUNCTION("""COMPUTED_VALUE"""),2.0)</f>
        <v>2</v>
      </c>
      <c r="E533" s="6">
        <f>IFERROR(__xludf.DUMMYFUNCTION("""COMPUTED_VALUE"""),40148.489583333336)</f>
        <v>40148.48958</v>
      </c>
      <c r="F533" s="2">
        <f>IFERROR(__xludf.DUMMYFUNCTION("""COMPUTED_VALUE"""),2.1)</f>
        <v>2.1</v>
      </c>
      <c r="G533" s="2">
        <f>IFERROR(__xludf.DUMMYFUNCTION("""COMPUTED_VALUE"""),15998.0)</f>
        <v>15998</v>
      </c>
      <c r="H533" s="2" t="str">
        <f>IFERROR(__xludf.DUMMYFUNCTION("""COMPUTED_VALUE"""),"United Kingdom")</f>
        <v>United Kingdom</v>
      </c>
      <c r="I533" s="7">
        <f>IFERROR(__xludf.DUMMYFUNCTION("""COMPUTED_VALUE"""),40148.0)</f>
        <v>40148</v>
      </c>
      <c r="J533" s="8">
        <f>IFERROR(__xludf.DUMMYFUNCTION("""COMPUTED_VALUE"""),0.4895833333321207)</f>
        <v>0.4895833333</v>
      </c>
      <c r="K533" s="2">
        <f>IFERROR(__xludf.DUMMYFUNCTION("""COMPUTED_VALUE"""),11.0)</f>
        <v>11</v>
      </c>
      <c r="L533" s="2">
        <f>IFERROR(__xludf.DUMMYFUNCTION("""COMPUTED_VALUE"""),4.2)</f>
        <v>4.2</v>
      </c>
    </row>
    <row r="534">
      <c r="A534" s="2">
        <f>IFERROR(__xludf.DUMMYFUNCTION("""COMPUTED_VALUE"""),489522.0)</f>
        <v>489522</v>
      </c>
      <c r="B534" s="2" t="str">
        <f>IFERROR(__xludf.DUMMYFUNCTION("""COMPUTED_VALUE"""),"22115")</f>
        <v>22115</v>
      </c>
      <c r="C534" s="2" t="str">
        <f>IFERROR(__xludf.DUMMYFUNCTION("""COMPUTED_VALUE"""),"METAL SIGN EMPIRE TEA")</f>
        <v>METAL SIGN EMPIRE TEA</v>
      </c>
      <c r="D534" s="2">
        <f>IFERROR(__xludf.DUMMYFUNCTION("""COMPUTED_VALUE"""),1.0)</f>
        <v>1</v>
      </c>
      <c r="E534" s="6">
        <f>IFERROR(__xludf.DUMMYFUNCTION("""COMPUTED_VALUE"""),40148.489583333336)</f>
        <v>40148.48958</v>
      </c>
      <c r="F534" s="2">
        <f>IFERROR(__xludf.DUMMYFUNCTION("""COMPUTED_VALUE"""),2.95)</f>
        <v>2.95</v>
      </c>
      <c r="G534" s="2">
        <f>IFERROR(__xludf.DUMMYFUNCTION("""COMPUTED_VALUE"""),15998.0)</f>
        <v>15998</v>
      </c>
      <c r="H534" s="2" t="str">
        <f>IFERROR(__xludf.DUMMYFUNCTION("""COMPUTED_VALUE"""),"United Kingdom")</f>
        <v>United Kingdom</v>
      </c>
      <c r="I534" s="7">
        <f>IFERROR(__xludf.DUMMYFUNCTION("""COMPUTED_VALUE"""),40148.0)</f>
        <v>40148</v>
      </c>
      <c r="J534" s="8">
        <f>IFERROR(__xludf.DUMMYFUNCTION("""COMPUTED_VALUE"""),0.4895833333321207)</f>
        <v>0.4895833333</v>
      </c>
      <c r="K534" s="2">
        <f>IFERROR(__xludf.DUMMYFUNCTION("""COMPUTED_VALUE"""),11.0)</f>
        <v>11</v>
      </c>
      <c r="L534" s="2">
        <f>IFERROR(__xludf.DUMMYFUNCTION("""COMPUTED_VALUE"""),2.95)</f>
        <v>2.95</v>
      </c>
    </row>
    <row r="535">
      <c r="A535" s="2">
        <f>IFERROR(__xludf.DUMMYFUNCTION("""COMPUTED_VALUE"""),489522.0)</f>
        <v>489522</v>
      </c>
      <c r="B535" s="2" t="str">
        <f>IFERROR(__xludf.DUMMYFUNCTION("""COMPUTED_VALUE"""),"21166")</f>
        <v>21166</v>
      </c>
      <c r="C535" s="2" t="str">
        <f>IFERROR(__xludf.DUMMYFUNCTION("""COMPUTED_VALUE"""),"COOK WITH WINE METAL SIGN")</f>
        <v>COOK WITH WINE METAL SIGN</v>
      </c>
      <c r="D535" s="2">
        <f>IFERROR(__xludf.DUMMYFUNCTION("""COMPUTED_VALUE"""),2.0)</f>
        <v>2</v>
      </c>
      <c r="E535" s="6">
        <f>IFERROR(__xludf.DUMMYFUNCTION("""COMPUTED_VALUE"""),40148.489583333336)</f>
        <v>40148.48958</v>
      </c>
      <c r="F535" s="2">
        <f>IFERROR(__xludf.DUMMYFUNCTION("""COMPUTED_VALUE"""),1.95)</f>
        <v>1.95</v>
      </c>
      <c r="G535" s="2">
        <f>IFERROR(__xludf.DUMMYFUNCTION("""COMPUTED_VALUE"""),15998.0)</f>
        <v>15998</v>
      </c>
      <c r="H535" s="2" t="str">
        <f>IFERROR(__xludf.DUMMYFUNCTION("""COMPUTED_VALUE"""),"United Kingdom")</f>
        <v>United Kingdom</v>
      </c>
      <c r="I535" s="7">
        <f>IFERROR(__xludf.DUMMYFUNCTION("""COMPUTED_VALUE"""),40148.0)</f>
        <v>40148</v>
      </c>
      <c r="J535" s="8">
        <f>IFERROR(__xludf.DUMMYFUNCTION("""COMPUTED_VALUE"""),0.4895833333321207)</f>
        <v>0.4895833333</v>
      </c>
      <c r="K535" s="2">
        <f>IFERROR(__xludf.DUMMYFUNCTION("""COMPUTED_VALUE"""),11.0)</f>
        <v>11</v>
      </c>
      <c r="L535" s="2">
        <f>IFERROR(__xludf.DUMMYFUNCTION("""COMPUTED_VALUE"""),3.9)</f>
        <v>3.9</v>
      </c>
    </row>
    <row r="536">
      <c r="A536" s="2">
        <f>IFERROR(__xludf.DUMMYFUNCTION("""COMPUTED_VALUE"""),489522.0)</f>
        <v>489522</v>
      </c>
      <c r="B536" s="2" t="str">
        <f>IFERROR(__xludf.DUMMYFUNCTION("""COMPUTED_VALUE"""),"21175")</f>
        <v>21175</v>
      </c>
      <c r="C536" s="2" t="str">
        <f>IFERROR(__xludf.DUMMYFUNCTION("""COMPUTED_VALUE"""),"GIN + TONIC DIET METAL SIGN")</f>
        <v>GIN + TONIC DIET METAL SIGN</v>
      </c>
      <c r="D536" s="2">
        <f>IFERROR(__xludf.DUMMYFUNCTION("""COMPUTED_VALUE"""),2.0)</f>
        <v>2</v>
      </c>
      <c r="E536" s="6">
        <f>IFERROR(__xludf.DUMMYFUNCTION("""COMPUTED_VALUE"""),40148.489583333336)</f>
        <v>40148.48958</v>
      </c>
      <c r="F536" s="2">
        <f>IFERROR(__xludf.DUMMYFUNCTION("""COMPUTED_VALUE"""),2.1)</f>
        <v>2.1</v>
      </c>
      <c r="G536" s="2">
        <f>IFERROR(__xludf.DUMMYFUNCTION("""COMPUTED_VALUE"""),15998.0)</f>
        <v>15998</v>
      </c>
      <c r="H536" s="2" t="str">
        <f>IFERROR(__xludf.DUMMYFUNCTION("""COMPUTED_VALUE"""),"United Kingdom")</f>
        <v>United Kingdom</v>
      </c>
      <c r="I536" s="7">
        <f>IFERROR(__xludf.DUMMYFUNCTION("""COMPUTED_VALUE"""),40148.0)</f>
        <v>40148</v>
      </c>
      <c r="J536" s="8">
        <f>IFERROR(__xludf.DUMMYFUNCTION("""COMPUTED_VALUE"""),0.4895833333321207)</f>
        <v>0.4895833333</v>
      </c>
      <c r="K536" s="2">
        <f>IFERROR(__xludf.DUMMYFUNCTION("""COMPUTED_VALUE"""),11.0)</f>
        <v>11</v>
      </c>
      <c r="L536" s="2">
        <f>IFERROR(__xludf.DUMMYFUNCTION("""COMPUTED_VALUE"""),4.2)</f>
        <v>4.2</v>
      </c>
    </row>
    <row r="537">
      <c r="A537" s="2">
        <f>IFERROR(__xludf.DUMMYFUNCTION("""COMPUTED_VALUE"""),489522.0)</f>
        <v>489522</v>
      </c>
      <c r="B537" s="2" t="str">
        <f>IFERROR(__xludf.DUMMYFUNCTION("""COMPUTED_VALUE"""),"21174")</f>
        <v>21174</v>
      </c>
      <c r="C537" s="2" t="str">
        <f>IFERROR(__xludf.DUMMYFUNCTION("""COMPUTED_VALUE"""),"POTTERING IN THE SHED METAL SIGN")</f>
        <v>POTTERING IN THE SHED METAL SIGN</v>
      </c>
      <c r="D537" s="2">
        <f>IFERROR(__xludf.DUMMYFUNCTION("""COMPUTED_VALUE"""),1.0)</f>
        <v>1</v>
      </c>
      <c r="E537" s="6">
        <f>IFERROR(__xludf.DUMMYFUNCTION("""COMPUTED_VALUE"""),40148.489583333336)</f>
        <v>40148.48958</v>
      </c>
      <c r="F537" s="2">
        <f>IFERROR(__xludf.DUMMYFUNCTION("""COMPUTED_VALUE"""),1.95)</f>
        <v>1.95</v>
      </c>
      <c r="G537" s="2">
        <f>IFERROR(__xludf.DUMMYFUNCTION("""COMPUTED_VALUE"""),15998.0)</f>
        <v>15998</v>
      </c>
      <c r="H537" s="2" t="str">
        <f>IFERROR(__xludf.DUMMYFUNCTION("""COMPUTED_VALUE"""),"United Kingdom")</f>
        <v>United Kingdom</v>
      </c>
      <c r="I537" s="7">
        <f>IFERROR(__xludf.DUMMYFUNCTION("""COMPUTED_VALUE"""),40148.0)</f>
        <v>40148</v>
      </c>
      <c r="J537" s="8">
        <f>IFERROR(__xludf.DUMMYFUNCTION("""COMPUTED_VALUE"""),0.4895833333321207)</f>
        <v>0.4895833333</v>
      </c>
      <c r="K537" s="2">
        <f>IFERROR(__xludf.DUMMYFUNCTION("""COMPUTED_VALUE"""),11.0)</f>
        <v>11</v>
      </c>
      <c r="L537" s="2">
        <f>IFERROR(__xludf.DUMMYFUNCTION("""COMPUTED_VALUE"""),1.95)</f>
        <v>1.95</v>
      </c>
    </row>
    <row r="538">
      <c r="A538" s="2">
        <f>IFERROR(__xludf.DUMMYFUNCTION("""COMPUTED_VALUE"""),489522.0)</f>
        <v>489522</v>
      </c>
      <c r="B538" s="2" t="str">
        <f>IFERROR(__xludf.DUMMYFUNCTION("""COMPUTED_VALUE"""),"21908")</f>
        <v>21908</v>
      </c>
      <c r="C538" s="2" t="str">
        <f>IFERROR(__xludf.DUMMYFUNCTION("""COMPUTED_VALUE"""),"CHOCOLATE THIS WAY METAL SIGN")</f>
        <v>CHOCOLATE THIS WAY METAL SIGN</v>
      </c>
      <c r="D538" s="2">
        <f>IFERROR(__xludf.DUMMYFUNCTION("""COMPUTED_VALUE"""),3.0)</f>
        <v>3</v>
      </c>
      <c r="E538" s="6">
        <f>IFERROR(__xludf.DUMMYFUNCTION("""COMPUTED_VALUE"""),40148.489583333336)</f>
        <v>40148.48958</v>
      </c>
      <c r="F538" s="2">
        <f>IFERROR(__xludf.DUMMYFUNCTION("""COMPUTED_VALUE"""),2.1)</f>
        <v>2.1</v>
      </c>
      <c r="G538" s="2">
        <f>IFERROR(__xludf.DUMMYFUNCTION("""COMPUTED_VALUE"""),15998.0)</f>
        <v>15998</v>
      </c>
      <c r="H538" s="2" t="str">
        <f>IFERROR(__xludf.DUMMYFUNCTION("""COMPUTED_VALUE"""),"United Kingdom")</f>
        <v>United Kingdom</v>
      </c>
      <c r="I538" s="7">
        <f>IFERROR(__xludf.DUMMYFUNCTION("""COMPUTED_VALUE"""),40148.0)</f>
        <v>40148</v>
      </c>
      <c r="J538" s="8">
        <f>IFERROR(__xludf.DUMMYFUNCTION("""COMPUTED_VALUE"""),0.4895833333321207)</f>
        <v>0.4895833333</v>
      </c>
      <c r="K538" s="2">
        <f>IFERROR(__xludf.DUMMYFUNCTION("""COMPUTED_VALUE"""),11.0)</f>
        <v>11</v>
      </c>
      <c r="L538" s="2">
        <f>IFERROR(__xludf.DUMMYFUNCTION("""COMPUTED_VALUE"""),6.3)</f>
        <v>6.3</v>
      </c>
    </row>
    <row r="539">
      <c r="A539" s="2">
        <f>IFERROR(__xludf.DUMMYFUNCTION("""COMPUTED_VALUE"""),489522.0)</f>
        <v>489522</v>
      </c>
      <c r="B539" s="2" t="str">
        <f>IFERROR(__xludf.DUMMYFUNCTION("""COMPUTED_VALUE"""),"82582")</f>
        <v>82582</v>
      </c>
      <c r="C539" s="2" t="str">
        <f>IFERROR(__xludf.DUMMYFUNCTION("""COMPUTED_VALUE"""),"AREA PATROLLED METAL SIGN")</f>
        <v>AREA PATROLLED METAL SIGN</v>
      </c>
      <c r="D539" s="2">
        <f>IFERROR(__xludf.DUMMYFUNCTION("""COMPUTED_VALUE"""),1.0)</f>
        <v>1</v>
      </c>
      <c r="E539" s="6">
        <f>IFERROR(__xludf.DUMMYFUNCTION("""COMPUTED_VALUE"""),40148.489583333336)</f>
        <v>40148.48958</v>
      </c>
      <c r="F539" s="2">
        <f>IFERROR(__xludf.DUMMYFUNCTION("""COMPUTED_VALUE"""),2.1)</f>
        <v>2.1</v>
      </c>
      <c r="G539" s="2">
        <f>IFERROR(__xludf.DUMMYFUNCTION("""COMPUTED_VALUE"""),15998.0)</f>
        <v>15998</v>
      </c>
      <c r="H539" s="2" t="str">
        <f>IFERROR(__xludf.DUMMYFUNCTION("""COMPUTED_VALUE"""),"United Kingdom")</f>
        <v>United Kingdom</v>
      </c>
      <c r="I539" s="7">
        <f>IFERROR(__xludf.DUMMYFUNCTION("""COMPUTED_VALUE"""),40148.0)</f>
        <v>40148</v>
      </c>
      <c r="J539" s="8">
        <f>IFERROR(__xludf.DUMMYFUNCTION("""COMPUTED_VALUE"""),0.4895833333321207)</f>
        <v>0.4895833333</v>
      </c>
      <c r="K539" s="2">
        <f>IFERROR(__xludf.DUMMYFUNCTION("""COMPUTED_VALUE"""),11.0)</f>
        <v>11</v>
      </c>
      <c r="L539" s="2">
        <f>IFERROR(__xludf.DUMMYFUNCTION("""COMPUTED_VALUE"""),2.1)</f>
        <v>2.1</v>
      </c>
    </row>
    <row r="540">
      <c r="A540" s="2">
        <f>IFERROR(__xludf.DUMMYFUNCTION("""COMPUTED_VALUE"""),489522.0)</f>
        <v>489522</v>
      </c>
      <c r="B540" s="2" t="str">
        <f>IFERROR(__xludf.DUMMYFUNCTION("""COMPUTED_VALUE"""),"85152")</f>
        <v>85152</v>
      </c>
      <c r="C540" s="2" t="str">
        <f>IFERROR(__xludf.DUMMYFUNCTION("""COMPUTED_VALUE"""),"HAND OVER THE CHOCOLATE SIGN")</f>
        <v>HAND OVER THE CHOCOLATE SIGN</v>
      </c>
      <c r="D540" s="2">
        <f>IFERROR(__xludf.DUMMYFUNCTION("""COMPUTED_VALUE"""),2.0)</f>
        <v>2</v>
      </c>
      <c r="E540" s="6">
        <f>IFERROR(__xludf.DUMMYFUNCTION("""COMPUTED_VALUE"""),40148.489583333336)</f>
        <v>40148.48958</v>
      </c>
      <c r="F540" s="2">
        <f>IFERROR(__xludf.DUMMYFUNCTION("""COMPUTED_VALUE"""),2.1)</f>
        <v>2.1</v>
      </c>
      <c r="G540" s="2">
        <f>IFERROR(__xludf.DUMMYFUNCTION("""COMPUTED_VALUE"""),15998.0)</f>
        <v>15998</v>
      </c>
      <c r="H540" s="2" t="str">
        <f>IFERROR(__xludf.DUMMYFUNCTION("""COMPUTED_VALUE"""),"United Kingdom")</f>
        <v>United Kingdom</v>
      </c>
      <c r="I540" s="7">
        <f>IFERROR(__xludf.DUMMYFUNCTION("""COMPUTED_VALUE"""),40148.0)</f>
        <v>40148</v>
      </c>
      <c r="J540" s="8">
        <f>IFERROR(__xludf.DUMMYFUNCTION("""COMPUTED_VALUE"""),0.4895833333321207)</f>
        <v>0.4895833333</v>
      </c>
      <c r="K540" s="2">
        <f>IFERROR(__xludf.DUMMYFUNCTION("""COMPUTED_VALUE"""),11.0)</f>
        <v>11</v>
      </c>
      <c r="L540" s="2">
        <f>IFERROR(__xludf.DUMMYFUNCTION("""COMPUTED_VALUE"""),4.2)</f>
        <v>4.2</v>
      </c>
    </row>
    <row r="541">
      <c r="A541" s="2">
        <f>IFERROR(__xludf.DUMMYFUNCTION("""COMPUTED_VALUE"""),489522.0)</f>
        <v>489522</v>
      </c>
      <c r="B541" s="2" t="str">
        <f>IFERROR(__xludf.DUMMYFUNCTION("""COMPUTED_VALUE"""),"85150")</f>
        <v>85150</v>
      </c>
      <c r="C541" s="2" t="str">
        <f>IFERROR(__xludf.DUMMYFUNCTION("""COMPUTED_VALUE"""),"LADIES &amp; GENTLEMEN METAL SIGN")</f>
        <v>LADIES &amp; GENTLEMEN METAL SIGN</v>
      </c>
      <c r="D541" s="2">
        <f>IFERROR(__xludf.DUMMYFUNCTION("""COMPUTED_VALUE"""),1.0)</f>
        <v>1</v>
      </c>
      <c r="E541" s="6">
        <f>IFERROR(__xludf.DUMMYFUNCTION("""COMPUTED_VALUE"""),40148.489583333336)</f>
        <v>40148.48958</v>
      </c>
      <c r="F541" s="2">
        <f>IFERROR(__xludf.DUMMYFUNCTION("""COMPUTED_VALUE"""),2.55)</f>
        <v>2.55</v>
      </c>
      <c r="G541" s="2">
        <f>IFERROR(__xludf.DUMMYFUNCTION("""COMPUTED_VALUE"""),15998.0)</f>
        <v>15998</v>
      </c>
      <c r="H541" s="2" t="str">
        <f>IFERROR(__xludf.DUMMYFUNCTION("""COMPUTED_VALUE"""),"United Kingdom")</f>
        <v>United Kingdom</v>
      </c>
      <c r="I541" s="7">
        <f>IFERROR(__xludf.DUMMYFUNCTION("""COMPUTED_VALUE"""),40148.0)</f>
        <v>40148</v>
      </c>
      <c r="J541" s="8">
        <f>IFERROR(__xludf.DUMMYFUNCTION("""COMPUTED_VALUE"""),0.4895833333321207)</f>
        <v>0.4895833333</v>
      </c>
      <c r="K541" s="2">
        <f>IFERROR(__xludf.DUMMYFUNCTION("""COMPUTED_VALUE"""),11.0)</f>
        <v>11</v>
      </c>
      <c r="L541" s="2">
        <f>IFERROR(__xludf.DUMMYFUNCTION("""COMPUTED_VALUE"""),2.55)</f>
        <v>2.55</v>
      </c>
    </row>
    <row r="542">
      <c r="A542" s="2">
        <f>IFERROR(__xludf.DUMMYFUNCTION("""COMPUTED_VALUE"""),489522.0)</f>
        <v>489522</v>
      </c>
      <c r="B542" s="2" t="str">
        <f>IFERROR(__xludf.DUMMYFUNCTION("""COMPUTED_VALUE"""),"22197")</f>
        <v>22197</v>
      </c>
      <c r="C542" s="2" t="str">
        <f>IFERROR(__xludf.DUMMYFUNCTION("""COMPUTED_VALUE"""),"POPCORN HOLDER , SMALL")</f>
        <v>POPCORN HOLDER , SMALL</v>
      </c>
      <c r="D542" s="2">
        <f>IFERROR(__xludf.DUMMYFUNCTION("""COMPUTED_VALUE"""),10.0)</f>
        <v>10</v>
      </c>
      <c r="E542" s="6">
        <f>IFERROR(__xludf.DUMMYFUNCTION("""COMPUTED_VALUE"""),40148.489583333336)</f>
        <v>40148.48958</v>
      </c>
      <c r="F542" s="2">
        <f>IFERROR(__xludf.DUMMYFUNCTION("""COMPUTED_VALUE"""),0.85)</f>
        <v>0.85</v>
      </c>
      <c r="G542" s="2">
        <f>IFERROR(__xludf.DUMMYFUNCTION("""COMPUTED_VALUE"""),15998.0)</f>
        <v>15998</v>
      </c>
      <c r="H542" s="2" t="str">
        <f>IFERROR(__xludf.DUMMYFUNCTION("""COMPUTED_VALUE"""),"United Kingdom")</f>
        <v>United Kingdom</v>
      </c>
      <c r="I542" s="7">
        <f>IFERROR(__xludf.DUMMYFUNCTION("""COMPUTED_VALUE"""),40148.0)</f>
        <v>40148</v>
      </c>
      <c r="J542" s="8">
        <f>IFERROR(__xludf.DUMMYFUNCTION("""COMPUTED_VALUE"""),0.4895833333321207)</f>
        <v>0.4895833333</v>
      </c>
      <c r="K542" s="2">
        <f>IFERROR(__xludf.DUMMYFUNCTION("""COMPUTED_VALUE"""),11.0)</f>
        <v>11</v>
      </c>
      <c r="L542" s="2">
        <f>IFERROR(__xludf.DUMMYFUNCTION("""COMPUTED_VALUE"""),8.5)</f>
        <v>8.5</v>
      </c>
    </row>
    <row r="543">
      <c r="A543" s="2">
        <f>IFERROR(__xludf.DUMMYFUNCTION("""COMPUTED_VALUE"""),489522.0)</f>
        <v>489522</v>
      </c>
      <c r="B543" s="2" t="str">
        <f>IFERROR(__xludf.DUMMYFUNCTION("""COMPUTED_VALUE"""),"21094")</f>
        <v>21094</v>
      </c>
      <c r="C543" s="2" t="str">
        <f>IFERROR(__xludf.DUMMYFUNCTION("""COMPUTED_VALUE"""),"SET/6 RED SPOTTY PAPER PLATES")</f>
        <v>SET/6 RED SPOTTY PAPER PLATES</v>
      </c>
      <c r="D543" s="2">
        <f>IFERROR(__xludf.DUMMYFUNCTION("""COMPUTED_VALUE"""),4.0)</f>
        <v>4</v>
      </c>
      <c r="E543" s="6">
        <f>IFERROR(__xludf.DUMMYFUNCTION("""COMPUTED_VALUE"""),40148.489583333336)</f>
        <v>40148.48958</v>
      </c>
      <c r="F543" s="2">
        <f>IFERROR(__xludf.DUMMYFUNCTION("""COMPUTED_VALUE"""),0.85)</f>
        <v>0.85</v>
      </c>
      <c r="G543" s="2">
        <f>IFERROR(__xludf.DUMMYFUNCTION("""COMPUTED_VALUE"""),15998.0)</f>
        <v>15998</v>
      </c>
      <c r="H543" s="2" t="str">
        <f>IFERROR(__xludf.DUMMYFUNCTION("""COMPUTED_VALUE"""),"United Kingdom")</f>
        <v>United Kingdom</v>
      </c>
      <c r="I543" s="7">
        <f>IFERROR(__xludf.DUMMYFUNCTION("""COMPUTED_VALUE"""),40148.0)</f>
        <v>40148</v>
      </c>
      <c r="J543" s="8">
        <f>IFERROR(__xludf.DUMMYFUNCTION("""COMPUTED_VALUE"""),0.4895833333321207)</f>
        <v>0.4895833333</v>
      </c>
      <c r="K543" s="2">
        <f>IFERROR(__xludf.DUMMYFUNCTION("""COMPUTED_VALUE"""),11.0)</f>
        <v>11</v>
      </c>
      <c r="L543" s="2">
        <f>IFERROR(__xludf.DUMMYFUNCTION("""COMPUTED_VALUE"""),3.4)</f>
        <v>3.4</v>
      </c>
    </row>
    <row r="544">
      <c r="A544" s="2">
        <f>IFERROR(__xludf.DUMMYFUNCTION("""COMPUTED_VALUE"""),489522.0)</f>
        <v>489522</v>
      </c>
      <c r="B544" s="2" t="str">
        <f>IFERROR(__xludf.DUMMYFUNCTION("""COMPUTED_VALUE"""),"72724")</f>
        <v>72724</v>
      </c>
      <c r="C544" s="2" t="str">
        <f>IFERROR(__xludf.DUMMYFUNCTION("""COMPUTED_VALUE"""),"SET/6 CHRISTMAS ICICLE T-LIGHTS")</f>
        <v>SET/6 CHRISTMAS ICICLE T-LIGHTS</v>
      </c>
      <c r="D544" s="2">
        <f>IFERROR(__xludf.DUMMYFUNCTION("""COMPUTED_VALUE"""),7.0)</f>
        <v>7</v>
      </c>
      <c r="E544" s="6">
        <f>IFERROR(__xludf.DUMMYFUNCTION("""COMPUTED_VALUE"""),40148.489583333336)</f>
        <v>40148.48958</v>
      </c>
      <c r="F544" s="2">
        <f>IFERROR(__xludf.DUMMYFUNCTION("""COMPUTED_VALUE"""),1.25)</f>
        <v>1.25</v>
      </c>
      <c r="G544" s="2">
        <f>IFERROR(__xludf.DUMMYFUNCTION("""COMPUTED_VALUE"""),15998.0)</f>
        <v>15998</v>
      </c>
      <c r="H544" s="2" t="str">
        <f>IFERROR(__xludf.DUMMYFUNCTION("""COMPUTED_VALUE"""),"United Kingdom")</f>
        <v>United Kingdom</v>
      </c>
      <c r="I544" s="7">
        <f>IFERROR(__xludf.DUMMYFUNCTION("""COMPUTED_VALUE"""),40148.0)</f>
        <v>40148</v>
      </c>
      <c r="J544" s="8">
        <f>IFERROR(__xludf.DUMMYFUNCTION("""COMPUTED_VALUE"""),0.4895833333321207)</f>
        <v>0.4895833333</v>
      </c>
      <c r="K544" s="2">
        <f>IFERROR(__xludf.DUMMYFUNCTION("""COMPUTED_VALUE"""),11.0)</f>
        <v>11</v>
      </c>
      <c r="L544" s="2">
        <f>IFERROR(__xludf.DUMMYFUNCTION("""COMPUTED_VALUE"""),8.75)</f>
        <v>8.75</v>
      </c>
    </row>
    <row r="545">
      <c r="A545" s="2">
        <f>IFERROR(__xludf.DUMMYFUNCTION("""COMPUTED_VALUE"""),489522.0)</f>
        <v>489522</v>
      </c>
      <c r="B545" s="2" t="str">
        <f>IFERROR(__xludf.DUMMYFUNCTION("""COMPUTED_VALUE"""),"22103")</f>
        <v>22103</v>
      </c>
      <c r="C545" s="2" t="str">
        <f>IFERROR(__xludf.DUMMYFUNCTION("""COMPUTED_VALUE"""),"MIRROR MOSAIC T-LIGHT HOLDER ROUND")</f>
        <v>MIRROR MOSAIC T-LIGHT HOLDER ROUND</v>
      </c>
      <c r="D545" s="2">
        <f>IFERROR(__xludf.DUMMYFUNCTION("""COMPUTED_VALUE"""),6.0)</f>
        <v>6</v>
      </c>
      <c r="E545" s="6">
        <f>IFERROR(__xludf.DUMMYFUNCTION("""COMPUTED_VALUE"""),40148.489583333336)</f>
        <v>40148.48958</v>
      </c>
      <c r="F545" s="2">
        <f>IFERROR(__xludf.DUMMYFUNCTION("""COMPUTED_VALUE"""),1.65)</f>
        <v>1.65</v>
      </c>
      <c r="G545" s="2">
        <f>IFERROR(__xludf.DUMMYFUNCTION("""COMPUTED_VALUE"""),15998.0)</f>
        <v>15998</v>
      </c>
      <c r="H545" s="2" t="str">
        <f>IFERROR(__xludf.DUMMYFUNCTION("""COMPUTED_VALUE"""),"United Kingdom")</f>
        <v>United Kingdom</v>
      </c>
      <c r="I545" s="7">
        <f>IFERROR(__xludf.DUMMYFUNCTION("""COMPUTED_VALUE"""),40148.0)</f>
        <v>40148</v>
      </c>
      <c r="J545" s="8">
        <f>IFERROR(__xludf.DUMMYFUNCTION("""COMPUTED_VALUE"""),0.4895833333321207)</f>
        <v>0.4895833333</v>
      </c>
      <c r="K545" s="2">
        <f>IFERROR(__xludf.DUMMYFUNCTION("""COMPUTED_VALUE"""),11.0)</f>
        <v>11</v>
      </c>
      <c r="L545" s="2">
        <f>IFERROR(__xludf.DUMMYFUNCTION("""COMPUTED_VALUE"""),9.89999999999999)</f>
        <v>9.9</v>
      </c>
    </row>
    <row r="546">
      <c r="A546" s="2">
        <f>IFERROR(__xludf.DUMMYFUNCTION("""COMPUTED_VALUE"""),489522.0)</f>
        <v>489522</v>
      </c>
      <c r="B546" s="2" t="str">
        <f>IFERROR(__xludf.DUMMYFUNCTION("""COMPUTED_VALUE"""),"37424")</f>
        <v>37424</v>
      </c>
      <c r="C546" s="2" t="str">
        <f>IFERROR(__xludf.DUMMYFUNCTION("""COMPUTED_VALUE"""),"WHITE WITH BLACK CATS MUG")</f>
        <v>WHITE WITH BLACK CATS MUG</v>
      </c>
      <c r="D546" s="2">
        <f>IFERROR(__xludf.DUMMYFUNCTION("""COMPUTED_VALUE"""),6.0)</f>
        <v>6</v>
      </c>
      <c r="E546" s="6">
        <f>IFERROR(__xludf.DUMMYFUNCTION("""COMPUTED_VALUE"""),40148.489583333336)</f>
        <v>40148.48958</v>
      </c>
      <c r="F546" s="2">
        <f>IFERROR(__xludf.DUMMYFUNCTION("""COMPUTED_VALUE"""),0.85)</f>
        <v>0.85</v>
      </c>
      <c r="G546" s="2">
        <f>IFERROR(__xludf.DUMMYFUNCTION("""COMPUTED_VALUE"""),15998.0)</f>
        <v>15998</v>
      </c>
      <c r="H546" s="2" t="str">
        <f>IFERROR(__xludf.DUMMYFUNCTION("""COMPUTED_VALUE"""),"United Kingdom")</f>
        <v>United Kingdom</v>
      </c>
      <c r="I546" s="7">
        <f>IFERROR(__xludf.DUMMYFUNCTION("""COMPUTED_VALUE"""),40148.0)</f>
        <v>40148</v>
      </c>
      <c r="J546" s="8">
        <f>IFERROR(__xludf.DUMMYFUNCTION("""COMPUTED_VALUE"""),0.4895833333321207)</f>
        <v>0.4895833333</v>
      </c>
      <c r="K546" s="2">
        <f>IFERROR(__xludf.DUMMYFUNCTION("""COMPUTED_VALUE"""),11.0)</f>
        <v>11</v>
      </c>
      <c r="L546" s="2">
        <f>IFERROR(__xludf.DUMMYFUNCTION("""COMPUTED_VALUE"""),5.1)</f>
        <v>5.1</v>
      </c>
    </row>
    <row r="547">
      <c r="A547" s="2">
        <f>IFERROR(__xludf.DUMMYFUNCTION("""COMPUTED_VALUE"""),489522.0)</f>
        <v>489522</v>
      </c>
      <c r="B547" s="2" t="str">
        <f>IFERROR(__xludf.DUMMYFUNCTION("""COMPUTED_VALUE"""),"21136")</f>
        <v>21136</v>
      </c>
      <c r="C547" s="2" t="str">
        <f>IFERROR(__xludf.DUMMYFUNCTION("""COMPUTED_VALUE"""),"PAINTED METAL PEARS ASSORTED")</f>
        <v>PAINTED METAL PEARS ASSORTED</v>
      </c>
      <c r="D547" s="2">
        <f>IFERROR(__xludf.DUMMYFUNCTION("""COMPUTED_VALUE"""),8.0)</f>
        <v>8</v>
      </c>
      <c r="E547" s="6">
        <f>IFERROR(__xludf.DUMMYFUNCTION("""COMPUTED_VALUE"""),40148.489583333336)</f>
        <v>40148.48958</v>
      </c>
      <c r="F547" s="2">
        <f>IFERROR(__xludf.DUMMYFUNCTION("""COMPUTED_VALUE"""),1.69)</f>
        <v>1.69</v>
      </c>
      <c r="G547" s="2">
        <f>IFERROR(__xludf.DUMMYFUNCTION("""COMPUTED_VALUE"""),15998.0)</f>
        <v>15998</v>
      </c>
      <c r="H547" s="2" t="str">
        <f>IFERROR(__xludf.DUMMYFUNCTION("""COMPUTED_VALUE"""),"United Kingdom")</f>
        <v>United Kingdom</v>
      </c>
      <c r="I547" s="7">
        <f>IFERROR(__xludf.DUMMYFUNCTION("""COMPUTED_VALUE"""),40148.0)</f>
        <v>40148</v>
      </c>
      <c r="J547" s="8">
        <f>IFERROR(__xludf.DUMMYFUNCTION("""COMPUTED_VALUE"""),0.4895833333321207)</f>
        <v>0.4895833333</v>
      </c>
      <c r="K547" s="2">
        <f>IFERROR(__xludf.DUMMYFUNCTION("""COMPUTED_VALUE"""),11.0)</f>
        <v>11</v>
      </c>
      <c r="L547" s="2">
        <f>IFERROR(__xludf.DUMMYFUNCTION("""COMPUTED_VALUE"""),13.52)</f>
        <v>13.52</v>
      </c>
    </row>
    <row r="548">
      <c r="A548" s="2">
        <f>IFERROR(__xludf.DUMMYFUNCTION("""COMPUTED_VALUE"""),489522.0)</f>
        <v>489522</v>
      </c>
      <c r="B548" s="2" t="str">
        <f>IFERROR(__xludf.DUMMYFUNCTION("""COMPUTED_VALUE"""),"21755")</f>
        <v>21755</v>
      </c>
      <c r="C548" s="2" t="str">
        <f>IFERROR(__xludf.DUMMYFUNCTION("""COMPUTED_VALUE"""),"LOVE BUILDING BLOCK WORD")</f>
        <v>LOVE BUILDING BLOCK WORD</v>
      </c>
      <c r="D548" s="2">
        <f>IFERROR(__xludf.DUMMYFUNCTION("""COMPUTED_VALUE"""),1.0)</f>
        <v>1</v>
      </c>
      <c r="E548" s="6">
        <f>IFERROR(__xludf.DUMMYFUNCTION("""COMPUTED_VALUE"""),40148.489583333336)</f>
        <v>40148.48958</v>
      </c>
      <c r="F548" s="2">
        <f>IFERROR(__xludf.DUMMYFUNCTION("""COMPUTED_VALUE"""),5.95)</f>
        <v>5.95</v>
      </c>
      <c r="G548" s="2">
        <f>IFERROR(__xludf.DUMMYFUNCTION("""COMPUTED_VALUE"""),15998.0)</f>
        <v>15998</v>
      </c>
      <c r="H548" s="2" t="str">
        <f>IFERROR(__xludf.DUMMYFUNCTION("""COMPUTED_VALUE"""),"United Kingdom")</f>
        <v>United Kingdom</v>
      </c>
      <c r="I548" s="7">
        <f>IFERROR(__xludf.DUMMYFUNCTION("""COMPUTED_VALUE"""),40148.0)</f>
        <v>40148</v>
      </c>
      <c r="J548" s="8">
        <f>IFERROR(__xludf.DUMMYFUNCTION("""COMPUTED_VALUE"""),0.4895833333321207)</f>
        <v>0.4895833333</v>
      </c>
      <c r="K548" s="2">
        <f>IFERROR(__xludf.DUMMYFUNCTION("""COMPUTED_VALUE"""),11.0)</f>
        <v>11</v>
      </c>
      <c r="L548" s="2">
        <f>IFERROR(__xludf.DUMMYFUNCTION("""COMPUTED_VALUE"""),5.95)</f>
        <v>5.95</v>
      </c>
    </row>
    <row r="549">
      <c r="A549" s="2">
        <f>IFERROR(__xludf.DUMMYFUNCTION("""COMPUTED_VALUE"""),489522.0)</f>
        <v>489522</v>
      </c>
      <c r="B549" s="2" t="str">
        <f>IFERROR(__xludf.DUMMYFUNCTION("""COMPUTED_VALUE"""),"84879")</f>
        <v>84879</v>
      </c>
      <c r="C549" s="2" t="str">
        <f>IFERROR(__xludf.DUMMYFUNCTION("""COMPUTED_VALUE"""),"ASSORTED COLOUR BIRD ORNAMENT")</f>
        <v>ASSORTED COLOUR BIRD ORNAMENT</v>
      </c>
      <c r="D549" s="2">
        <f>IFERROR(__xludf.DUMMYFUNCTION("""COMPUTED_VALUE"""),8.0)</f>
        <v>8</v>
      </c>
      <c r="E549" s="6">
        <f>IFERROR(__xludf.DUMMYFUNCTION("""COMPUTED_VALUE"""),40148.489583333336)</f>
        <v>40148.48958</v>
      </c>
      <c r="F549" s="2">
        <f>IFERROR(__xludf.DUMMYFUNCTION("""COMPUTED_VALUE"""),1.69)</f>
        <v>1.69</v>
      </c>
      <c r="G549" s="2">
        <f>IFERROR(__xludf.DUMMYFUNCTION("""COMPUTED_VALUE"""),15998.0)</f>
        <v>15998</v>
      </c>
      <c r="H549" s="2" t="str">
        <f>IFERROR(__xludf.DUMMYFUNCTION("""COMPUTED_VALUE"""),"United Kingdom")</f>
        <v>United Kingdom</v>
      </c>
      <c r="I549" s="7">
        <f>IFERROR(__xludf.DUMMYFUNCTION("""COMPUTED_VALUE"""),40148.0)</f>
        <v>40148</v>
      </c>
      <c r="J549" s="8">
        <f>IFERROR(__xludf.DUMMYFUNCTION("""COMPUTED_VALUE"""),0.4895833333321207)</f>
        <v>0.4895833333</v>
      </c>
      <c r="K549" s="2">
        <f>IFERROR(__xludf.DUMMYFUNCTION("""COMPUTED_VALUE"""),11.0)</f>
        <v>11</v>
      </c>
      <c r="L549" s="2">
        <f>IFERROR(__xludf.DUMMYFUNCTION("""COMPUTED_VALUE"""),13.52)</f>
        <v>13.52</v>
      </c>
    </row>
    <row r="550">
      <c r="A550" s="2">
        <f>IFERROR(__xludf.DUMMYFUNCTION("""COMPUTED_VALUE"""),489522.0)</f>
        <v>489522</v>
      </c>
      <c r="B550" s="2" t="str">
        <f>IFERROR(__xludf.DUMMYFUNCTION("""COMPUTED_VALUE"""),"84997B")</f>
        <v>84997B</v>
      </c>
      <c r="C550" s="2" t="str">
        <f>IFERROR(__xludf.DUMMYFUNCTION("""COMPUTED_VALUE"""),"RED 3 PIECE MINI DOTS CUTLERY SET")</f>
        <v>RED 3 PIECE MINI DOTS CUTLERY SET</v>
      </c>
      <c r="D550" s="2">
        <f>IFERROR(__xludf.DUMMYFUNCTION("""COMPUTED_VALUE"""),1.0)</f>
        <v>1</v>
      </c>
      <c r="E550" s="6">
        <f>IFERROR(__xludf.DUMMYFUNCTION("""COMPUTED_VALUE"""),40148.489583333336)</f>
        <v>40148.48958</v>
      </c>
      <c r="F550" s="2">
        <f>IFERROR(__xludf.DUMMYFUNCTION("""COMPUTED_VALUE"""),3.75)</f>
        <v>3.75</v>
      </c>
      <c r="G550" s="2">
        <f>IFERROR(__xludf.DUMMYFUNCTION("""COMPUTED_VALUE"""),15998.0)</f>
        <v>15998</v>
      </c>
      <c r="H550" s="2" t="str">
        <f>IFERROR(__xludf.DUMMYFUNCTION("""COMPUTED_VALUE"""),"United Kingdom")</f>
        <v>United Kingdom</v>
      </c>
      <c r="I550" s="7">
        <f>IFERROR(__xludf.DUMMYFUNCTION("""COMPUTED_VALUE"""),40148.0)</f>
        <v>40148</v>
      </c>
      <c r="J550" s="8">
        <f>IFERROR(__xludf.DUMMYFUNCTION("""COMPUTED_VALUE"""),0.4895833333321207)</f>
        <v>0.4895833333</v>
      </c>
      <c r="K550" s="2">
        <f>IFERROR(__xludf.DUMMYFUNCTION("""COMPUTED_VALUE"""),11.0)</f>
        <v>11</v>
      </c>
      <c r="L550" s="2">
        <f>IFERROR(__xludf.DUMMYFUNCTION("""COMPUTED_VALUE"""),3.75)</f>
        <v>3.75</v>
      </c>
    </row>
    <row r="551">
      <c r="A551" s="2">
        <f>IFERROR(__xludf.DUMMYFUNCTION("""COMPUTED_VALUE"""),489522.0)</f>
        <v>489522</v>
      </c>
      <c r="B551" s="2" t="str">
        <f>IFERROR(__xludf.DUMMYFUNCTION("""COMPUTED_VALUE"""),"84997D")</f>
        <v>84997D</v>
      </c>
      <c r="C551" s="2" t="str">
        <f>IFERROR(__xludf.DUMMYFUNCTION("""COMPUTED_VALUE"""),"PINK 3 PIECE MINI DOTS CUTLERY SET")</f>
        <v>PINK 3 PIECE MINI DOTS CUTLERY SET</v>
      </c>
      <c r="D551" s="2">
        <f>IFERROR(__xludf.DUMMYFUNCTION("""COMPUTED_VALUE"""),1.0)</f>
        <v>1</v>
      </c>
      <c r="E551" s="6">
        <f>IFERROR(__xludf.DUMMYFUNCTION("""COMPUTED_VALUE"""),40148.489583333336)</f>
        <v>40148.48958</v>
      </c>
      <c r="F551" s="2">
        <f>IFERROR(__xludf.DUMMYFUNCTION("""COMPUTED_VALUE"""),3.75)</f>
        <v>3.75</v>
      </c>
      <c r="G551" s="2">
        <f>IFERROR(__xludf.DUMMYFUNCTION("""COMPUTED_VALUE"""),15998.0)</f>
        <v>15998</v>
      </c>
      <c r="H551" s="2" t="str">
        <f>IFERROR(__xludf.DUMMYFUNCTION("""COMPUTED_VALUE"""),"United Kingdom")</f>
        <v>United Kingdom</v>
      </c>
      <c r="I551" s="7">
        <f>IFERROR(__xludf.DUMMYFUNCTION("""COMPUTED_VALUE"""),40148.0)</f>
        <v>40148</v>
      </c>
      <c r="J551" s="8">
        <f>IFERROR(__xludf.DUMMYFUNCTION("""COMPUTED_VALUE"""),0.4895833333321207)</f>
        <v>0.4895833333</v>
      </c>
      <c r="K551" s="2">
        <f>IFERROR(__xludf.DUMMYFUNCTION("""COMPUTED_VALUE"""),11.0)</f>
        <v>11</v>
      </c>
      <c r="L551" s="2">
        <f>IFERROR(__xludf.DUMMYFUNCTION("""COMPUTED_VALUE"""),3.75)</f>
        <v>3.75</v>
      </c>
    </row>
    <row r="552">
      <c r="A552" s="2">
        <f>IFERROR(__xludf.DUMMYFUNCTION("""COMPUTED_VALUE"""),489522.0)</f>
        <v>489522</v>
      </c>
      <c r="B552" s="2" t="str">
        <f>IFERROR(__xludf.DUMMYFUNCTION("""COMPUTED_VALUE"""),"84997C")</f>
        <v>84997C</v>
      </c>
      <c r="C552" s="2" t="str">
        <f>IFERROR(__xludf.DUMMYFUNCTION("""COMPUTED_VALUE"""),"BLUE 3 PIECE MINI DOTS CUTLERY SET")</f>
        <v>BLUE 3 PIECE MINI DOTS CUTLERY SET</v>
      </c>
      <c r="D552" s="2">
        <f>IFERROR(__xludf.DUMMYFUNCTION("""COMPUTED_VALUE"""),1.0)</f>
        <v>1</v>
      </c>
      <c r="E552" s="6">
        <f>IFERROR(__xludf.DUMMYFUNCTION("""COMPUTED_VALUE"""),40148.489583333336)</f>
        <v>40148.48958</v>
      </c>
      <c r="F552" s="2">
        <f>IFERROR(__xludf.DUMMYFUNCTION("""COMPUTED_VALUE"""),3.75)</f>
        <v>3.75</v>
      </c>
      <c r="G552" s="2">
        <f>IFERROR(__xludf.DUMMYFUNCTION("""COMPUTED_VALUE"""),15998.0)</f>
        <v>15998</v>
      </c>
      <c r="H552" s="2" t="str">
        <f>IFERROR(__xludf.DUMMYFUNCTION("""COMPUTED_VALUE"""),"United Kingdom")</f>
        <v>United Kingdom</v>
      </c>
      <c r="I552" s="7">
        <f>IFERROR(__xludf.DUMMYFUNCTION("""COMPUTED_VALUE"""),40148.0)</f>
        <v>40148</v>
      </c>
      <c r="J552" s="8">
        <f>IFERROR(__xludf.DUMMYFUNCTION("""COMPUTED_VALUE"""),0.4895833333321207)</f>
        <v>0.4895833333</v>
      </c>
      <c r="K552" s="2">
        <f>IFERROR(__xludf.DUMMYFUNCTION("""COMPUTED_VALUE"""),11.0)</f>
        <v>11</v>
      </c>
      <c r="L552" s="2">
        <f>IFERROR(__xludf.DUMMYFUNCTION("""COMPUTED_VALUE"""),3.75)</f>
        <v>3.75</v>
      </c>
    </row>
    <row r="553">
      <c r="A553" s="2">
        <f>IFERROR(__xludf.DUMMYFUNCTION("""COMPUTED_VALUE"""),489522.0)</f>
        <v>489522</v>
      </c>
      <c r="B553" s="2" t="str">
        <f>IFERROR(__xludf.DUMMYFUNCTION("""COMPUTED_VALUE"""),"21238")</f>
        <v>21238</v>
      </c>
      <c r="C553" s="2" t="str">
        <f>IFERROR(__xludf.DUMMYFUNCTION("""COMPUTED_VALUE"""),"RED SPOTTY CUP")</f>
        <v>RED SPOTTY CUP</v>
      </c>
      <c r="D553" s="2">
        <f>IFERROR(__xludf.DUMMYFUNCTION("""COMPUTED_VALUE"""),4.0)</f>
        <v>4</v>
      </c>
      <c r="E553" s="6">
        <f>IFERROR(__xludf.DUMMYFUNCTION("""COMPUTED_VALUE"""),40148.489583333336)</f>
        <v>40148.48958</v>
      </c>
      <c r="F553" s="2">
        <f>IFERROR(__xludf.DUMMYFUNCTION("""COMPUTED_VALUE"""),0.85)</f>
        <v>0.85</v>
      </c>
      <c r="G553" s="2">
        <f>IFERROR(__xludf.DUMMYFUNCTION("""COMPUTED_VALUE"""),15998.0)</f>
        <v>15998</v>
      </c>
      <c r="H553" s="2" t="str">
        <f>IFERROR(__xludf.DUMMYFUNCTION("""COMPUTED_VALUE"""),"United Kingdom")</f>
        <v>United Kingdom</v>
      </c>
      <c r="I553" s="7">
        <f>IFERROR(__xludf.DUMMYFUNCTION("""COMPUTED_VALUE"""),40148.0)</f>
        <v>40148</v>
      </c>
      <c r="J553" s="8">
        <f>IFERROR(__xludf.DUMMYFUNCTION("""COMPUTED_VALUE"""),0.4895833333321207)</f>
        <v>0.4895833333</v>
      </c>
      <c r="K553" s="2">
        <f>IFERROR(__xludf.DUMMYFUNCTION("""COMPUTED_VALUE"""),11.0)</f>
        <v>11</v>
      </c>
      <c r="L553" s="2">
        <f>IFERROR(__xludf.DUMMYFUNCTION("""COMPUTED_VALUE"""),3.4)</f>
        <v>3.4</v>
      </c>
    </row>
    <row r="554">
      <c r="A554" s="2">
        <f>IFERROR(__xludf.DUMMYFUNCTION("""COMPUTED_VALUE"""),489522.0)</f>
        <v>489522</v>
      </c>
      <c r="B554" s="2" t="str">
        <f>IFERROR(__xludf.DUMMYFUNCTION("""COMPUTED_VALUE"""),"21240")</f>
        <v>21240</v>
      </c>
      <c r="C554" s="2" t="str">
        <f>IFERROR(__xludf.DUMMYFUNCTION("""COMPUTED_VALUE"""),"BLUE SPOTTY CUP")</f>
        <v>BLUE SPOTTY CUP</v>
      </c>
      <c r="D554" s="2">
        <f>IFERROR(__xludf.DUMMYFUNCTION("""COMPUTED_VALUE"""),4.0)</f>
        <v>4</v>
      </c>
      <c r="E554" s="6">
        <f>IFERROR(__xludf.DUMMYFUNCTION("""COMPUTED_VALUE"""),40148.489583333336)</f>
        <v>40148.48958</v>
      </c>
      <c r="F554" s="2">
        <f>IFERROR(__xludf.DUMMYFUNCTION("""COMPUTED_VALUE"""),0.85)</f>
        <v>0.85</v>
      </c>
      <c r="G554" s="2">
        <f>IFERROR(__xludf.DUMMYFUNCTION("""COMPUTED_VALUE"""),15998.0)</f>
        <v>15998</v>
      </c>
      <c r="H554" s="2" t="str">
        <f>IFERROR(__xludf.DUMMYFUNCTION("""COMPUTED_VALUE"""),"United Kingdom")</f>
        <v>United Kingdom</v>
      </c>
      <c r="I554" s="7">
        <f>IFERROR(__xludf.DUMMYFUNCTION("""COMPUTED_VALUE"""),40148.0)</f>
        <v>40148</v>
      </c>
      <c r="J554" s="8">
        <f>IFERROR(__xludf.DUMMYFUNCTION("""COMPUTED_VALUE"""),0.4895833333321207)</f>
        <v>0.4895833333</v>
      </c>
      <c r="K554" s="2">
        <f>IFERROR(__xludf.DUMMYFUNCTION("""COMPUTED_VALUE"""),11.0)</f>
        <v>11</v>
      </c>
      <c r="L554" s="2">
        <f>IFERROR(__xludf.DUMMYFUNCTION("""COMPUTED_VALUE"""),3.4)</f>
        <v>3.4</v>
      </c>
    </row>
    <row r="555">
      <c r="A555" s="2">
        <f>IFERROR(__xludf.DUMMYFUNCTION("""COMPUTED_VALUE"""),489522.0)</f>
        <v>489522</v>
      </c>
      <c r="B555" s="2" t="str">
        <f>IFERROR(__xludf.DUMMYFUNCTION("""COMPUTED_VALUE"""),"21239")</f>
        <v>21239</v>
      </c>
      <c r="C555" s="2" t="str">
        <f>IFERROR(__xludf.DUMMYFUNCTION("""COMPUTED_VALUE"""),"PINK SPOTTY CUP")</f>
        <v>PINK SPOTTY CUP</v>
      </c>
      <c r="D555" s="2">
        <f>IFERROR(__xludf.DUMMYFUNCTION("""COMPUTED_VALUE"""),4.0)</f>
        <v>4</v>
      </c>
      <c r="E555" s="6">
        <f>IFERROR(__xludf.DUMMYFUNCTION("""COMPUTED_VALUE"""),40148.489583333336)</f>
        <v>40148.48958</v>
      </c>
      <c r="F555" s="2">
        <f>IFERROR(__xludf.DUMMYFUNCTION("""COMPUTED_VALUE"""),0.85)</f>
        <v>0.85</v>
      </c>
      <c r="G555" s="2">
        <f>IFERROR(__xludf.DUMMYFUNCTION("""COMPUTED_VALUE"""),15998.0)</f>
        <v>15998</v>
      </c>
      <c r="H555" s="2" t="str">
        <f>IFERROR(__xludf.DUMMYFUNCTION("""COMPUTED_VALUE"""),"United Kingdom")</f>
        <v>United Kingdom</v>
      </c>
      <c r="I555" s="7">
        <f>IFERROR(__xludf.DUMMYFUNCTION("""COMPUTED_VALUE"""),40148.0)</f>
        <v>40148</v>
      </c>
      <c r="J555" s="8">
        <f>IFERROR(__xludf.DUMMYFUNCTION("""COMPUTED_VALUE"""),0.4895833333321207)</f>
        <v>0.4895833333</v>
      </c>
      <c r="K555" s="2">
        <f>IFERROR(__xludf.DUMMYFUNCTION("""COMPUTED_VALUE"""),11.0)</f>
        <v>11</v>
      </c>
      <c r="L555" s="2">
        <f>IFERROR(__xludf.DUMMYFUNCTION("""COMPUTED_VALUE"""),3.4)</f>
        <v>3.4</v>
      </c>
    </row>
    <row r="556">
      <c r="A556" s="2">
        <f>IFERROR(__xludf.DUMMYFUNCTION("""COMPUTED_VALUE"""),489522.0)</f>
        <v>489522</v>
      </c>
      <c r="B556" s="2" t="str">
        <f>IFERROR(__xludf.DUMMYFUNCTION("""COMPUTED_VALUE"""),"84007")</f>
        <v>84007</v>
      </c>
      <c r="C556" s="2" t="str">
        <f>IFERROR(__xludf.DUMMYFUNCTION("""COMPUTED_VALUE"""),"MAGIC GARDEN MOUNT FUJI")</f>
        <v>MAGIC GARDEN MOUNT FUJI</v>
      </c>
      <c r="D556" s="2">
        <f>IFERROR(__xludf.DUMMYFUNCTION("""COMPUTED_VALUE"""),4.0)</f>
        <v>4</v>
      </c>
      <c r="E556" s="6">
        <f>IFERROR(__xludf.DUMMYFUNCTION("""COMPUTED_VALUE"""),40148.489583333336)</f>
        <v>40148.48958</v>
      </c>
      <c r="F556" s="2">
        <f>IFERROR(__xludf.DUMMYFUNCTION("""COMPUTED_VALUE"""),2.55)</f>
        <v>2.55</v>
      </c>
      <c r="G556" s="2">
        <f>IFERROR(__xludf.DUMMYFUNCTION("""COMPUTED_VALUE"""),15998.0)</f>
        <v>15998</v>
      </c>
      <c r="H556" s="2" t="str">
        <f>IFERROR(__xludf.DUMMYFUNCTION("""COMPUTED_VALUE"""),"United Kingdom")</f>
        <v>United Kingdom</v>
      </c>
      <c r="I556" s="7">
        <f>IFERROR(__xludf.DUMMYFUNCTION("""COMPUTED_VALUE"""),40148.0)</f>
        <v>40148</v>
      </c>
      <c r="J556" s="8">
        <f>IFERROR(__xludf.DUMMYFUNCTION("""COMPUTED_VALUE"""),0.4895833333321207)</f>
        <v>0.4895833333</v>
      </c>
      <c r="K556" s="2">
        <f>IFERROR(__xludf.DUMMYFUNCTION("""COMPUTED_VALUE"""),11.0)</f>
        <v>11</v>
      </c>
      <c r="L556" s="2">
        <f>IFERROR(__xludf.DUMMYFUNCTION("""COMPUTED_VALUE"""),10.2)</f>
        <v>10.2</v>
      </c>
    </row>
    <row r="557">
      <c r="A557" s="2">
        <f>IFERROR(__xludf.DUMMYFUNCTION("""COMPUTED_VALUE"""),489522.0)</f>
        <v>489522</v>
      </c>
      <c r="B557" s="2" t="str">
        <f>IFERROR(__xludf.DUMMYFUNCTION("""COMPUTED_VALUE"""),"84012")</f>
        <v>84012</v>
      </c>
      <c r="C557" s="2" t="str">
        <f>IFERROR(__xludf.DUMMYFUNCTION("""COMPUTED_VALUE"""),"MAGIC SHEEP WOOL GROWING FROM PAPER")</f>
        <v>MAGIC SHEEP WOOL GROWING FROM PAPER</v>
      </c>
      <c r="D557" s="2">
        <f>IFERROR(__xludf.DUMMYFUNCTION("""COMPUTED_VALUE"""),4.0)</f>
        <v>4</v>
      </c>
      <c r="E557" s="6">
        <f>IFERROR(__xludf.DUMMYFUNCTION("""COMPUTED_VALUE"""),40148.489583333336)</f>
        <v>40148.48958</v>
      </c>
      <c r="F557" s="2">
        <f>IFERROR(__xludf.DUMMYFUNCTION("""COMPUTED_VALUE"""),2.55)</f>
        <v>2.55</v>
      </c>
      <c r="G557" s="2">
        <f>IFERROR(__xludf.DUMMYFUNCTION("""COMPUTED_VALUE"""),15998.0)</f>
        <v>15998</v>
      </c>
      <c r="H557" s="2" t="str">
        <f>IFERROR(__xludf.DUMMYFUNCTION("""COMPUTED_VALUE"""),"United Kingdom")</f>
        <v>United Kingdom</v>
      </c>
      <c r="I557" s="7">
        <f>IFERROR(__xludf.DUMMYFUNCTION("""COMPUTED_VALUE"""),40148.0)</f>
        <v>40148</v>
      </c>
      <c r="J557" s="8">
        <f>IFERROR(__xludf.DUMMYFUNCTION("""COMPUTED_VALUE"""),0.4895833333321207)</f>
        <v>0.4895833333</v>
      </c>
      <c r="K557" s="2">
        <f>IFERROR(__xludf.DUMMYFUNCTION("""COMPUTED_VALUE"""),11.0)</f>
        <v>11</v>
      </c>
      <c r="L557" s="2">
        <f>IFERROR(__xludf.DUMMYFUNCTION("""COMPUTED_VALUE"""),10.2)</f>
        <v>10.2</v>
      </c>
    </row>
    <row r="558">
      <c r="A558" s="2">
        <f>IFERROR(__xludf.DUMMYFUNCTION("""COMPUTED_VALUE"""),489522.0)</f>
        <v>489522</v>
      </c>
      <c r="B558" s="2" t="str">
        <f>IFERROR(__xludf.DUMMYFUNCTION("""COMPUTED_VALUE"""),"22077")</f>
        <v>22077</v>
      </c>
      <c r="C558" s="2" t="str">
        <f>IFERROR(__xludf.DUMMYFUNCTION("""COMPUTED_VALUE"""),"6 RIBBONS RUSTIC CHARM")</f>
        <v>6 RIBBONS RUSTIC CHARM</v>
      </c>
      <c r="D558" s="2">
        <f>IFERROR(__xludf.DUMMYFUNCTION("""COMPUTED_VALUE"""),1.0)</f>
        <v>1</v>
      </c>
      <c r="E558" s="6">
        <f>IFERROR(__xludf.DUMMYFUNCTION("""COMPUTED_VALUE"""),40148.489583333336)</f>
        <v>40148.48958</v>
      </c>
      <c r="F558" s="2">
        <f>IFERROR(__xludf.DUMMYFUNCTION("""COMPUTED_VALUE"""),1.65)</f>
        <v>1.65</v>
      </c>
      <c r="G558" s="2">
        <f>IFERROR(__xludf.DUMMYFUNCTION("""COMPUTED_VALUE"""),15998.0)</f>
        <v>15998</v>
      </c>
      <c r="H558" s="2" t="str">
        <f>IFERROR(__xludf.DUMMYFUNCTION("""COMPUTED_VALUE"""),"United Kingdom")</f>
        <v>United Kingdom</v>
      </c>
      <c r="I558" s="7">
        <f>IFERROR(__xludf.DUMMYFUNCTION("""COMPUTED_VALUE"""),40148.0)</f>
        <v>40148</v>
      </c>
      <c r="J558" s="8">
        <f>IFERROR(__xludf.DUMMYFUNCTION("""COMPUTED_VALUE"""),0.4895833333321207)</f>
        <v>0.4895833333</v>
      </c>
      <c r="K558" s="2">
        <f>IFERROR(__xludf.DUMMYFUNCTION("""COMPUTED_VALUE"""),11.0)</f>
        <v>11</v>
      </c>
      <c r="L558" s="2">
        <f>IFERROR(__xludf.DUMMYFUNCTION("""COMPUTED_VALUE"""),1.65)</f>
        <v>1.65</v>
      </c>
    </row>
    <row r="559">
      <c r="A559" s="2">
        <f>IFERROR(__xludf.DUMMYFUNCTION("""COMPUTED_VALUE"""),489522.0)</f>
        <v>489522</v>
      </c>
      <c r="B559" s="2" t="str">
        <f>IFERROR(__xludf.DUMMYFUNCTION("""COMPUTED_VALUE"""),"85049A")</f>
        <v>85049A</v>
      </c>
      <c r="C559" s="2" t="str">
        <f>IFERROR(__xludf.DUMMYFUNCTION("""COMPUTED_VALUE"""),"TRADITIONAL CHRISTMAS RIBBONS")</f>
        <v>TRADITIONAL CHRISTMAS RIBBONS</v>
      </c>
      <c r="D559" s="2">
        <f>IFERROR(__xludf.DUMMYFUNCTION("""COMPUTED_VALUE"""),2.0)</f>
        <v>2</v>
      </c>
      <c r="E559" s="6">
        <f>IFERROR(__xludf.DUMMYFUNCTION("""COMPUTED_VALUE"""),40148.489583333336)</f>
        <v>40148.48958</v>
      </c>
      <c r="F559" s="2">
        <f>IFERROR(__xludf.DUMMYFUNCTION("""COMPUTED_VALUE"""),1.25)</f>
        <v>1.25</v>
      </c>
      <c r="G559" s="2">
        <f>IFERROR(__xludf.DUMMYFUNCTION("""COMPUTED_VALUE"""),15998.0)</f>
        <v>15998</v>
      </c>
      <c r="H559" s="2" t="str">
        <f>IFERROR(__xludf.DUMMYFUNCTION("""COMPUTED_VALUE"""),"United Kingdom")</f>
        <v>United Kingdom</v>
      </c>
      <c r="I559" s="7">
        <f>IFERROR(__xludf.DUMMYFUNCTION("""COMPUTED_VALUE"""),40148.0)</f>
        <v>40148</v>
      </c>
      <c r="J559" s="8">
        <f>IFERROR(__xludf.DUMMYFUNCTION("""COMPUTED_VALUE"""),0.4895833333321207)</f>
        <v>0.4895833333</v>
      </c>
      <c r="K559" s="2">
        <f>IFERROR(__xludf.DUMMYFUNCTION("""COMPUTED_VALUE"""),11.0)</f>
        <v>11</v>
      </c>
      <c r="L559" s="2">
        <f>IFERROR(__xludf.DUMMYFUNCTION("""COMPUTED_VALUE"""),2.5)</f>
        <v>2.5</v>
      </c>
    </row>
    <row r="560">
      <c r="A560" s="2">
        <f>IFERROR(__xludf.DUMMYFUNCTION("""COMPUTED_VALUE"""),489522.0)</f>
        <v>489522</v>
      </c>
      <c r="B560" s="2" t="str">
        <f>IFERROR(__xludf.DUMMYFUNCTION("""COMPUTED_VALUE"""),"85049E")</f>
        <v>85049E</v>
      </c>
      <c r="C560" s="2" t="str">
        <f>IFERROR(__xludf.DUMMYFUNCTION("""COMPUTED_VALUE"""),"SCANDINAVIAN REDS RIBBONS")</f>
        <v>SCANDINAVIAN REDS RIBBONS</v>
      </c>
      <c r="D560" s="2">
        <f>IFERROR(__xludf.DUMMYFUNCTION("""COMPUTED_VALUE"""),2.0)</f>
        <v>2</v>
      </c>
      <c r="E560" s="6">
        <f>IFERROR(__xludf.DUMMYFUNCTION("""COMPUTED_VALUE"""),40148.489583333336)</f>
        <v>40148.48958</v>
      </c>
      <c r="F560" s="2">
        <f>IFERROR(__xludf.DUMMYFUNCTION("""COMPUTED_VALUE"""),1.25)</f>
        <v>1.25</v>
      </c>
      <c r="G560" s="2">
        <f>IFERROR(__xludf.DUMMYFUNCTION("""COMPUTED_VALUE"""),15998.0)</f>
        <v>15998</v>
      </c>
      <c r="H560" s="2" t="str">
        <f>IFERROR(__xludf.DUMMYFUNCTION("""COMPUTED_VALUE"""),"United Kingdom")</f>
        <v>United Kingdom</v>
      </c>
      <c r="I560" s="7">
        <f>IFERROR(__xludf.DUMMYFUNCTION("""COMPUTED_VALUE"""),40148.0)</f>
        <v>40148</v>
      </c>
      <c r="J560" s="8">
        <f>IFERROR(__xludf.DUMMYFUNCTION("""COMPUTED_VALUE"""),0.4895833333321207)</f>
        <v>0.4895833333</v>
      </c>
      <c r="K560" s="2">
        <f>IFERROR(__xludf.DUMMYFUNCTION("""COMPUTED_VALUE"""),11.0)</f>
        <v>11</v>
      </c>
      <c r="L560" s="2">
        <f>IFERROR(__xludf.DUMMYFUNCTION("""COMPUTED_VALUE"""),2.5)</f>
        <v>2.5</v>
      </c>
    </row>
    <row r="561">
      <c r="A561" s="2">
        <f>IFERROR(__xludf.DUMMYFUNCTION("""COMPUTED_VALUE"""),489522.0)</f>
        <v>489522</v>
      </c>
      <c r="B561" s="2" t="str">
        <f>IFERROR(__xludf.DUMMYFUNCTION("""COMPUTED_VALUE"""),"22075")</f>
        <v>22075</v>
      </c>
      <c r="C561" s="2" t="str">
        <f>IFERROR(__xludf.DUMMYFUNCTION("""COMPUTED_VALUE"""),"6 RIBBONS ELEGANT CHRISTMAS")</f>
        <v>6 RIBBONS ELEGANT CHRISTMAS</v>
      </c>
      <c r="D561" s="2">
        <f>IFERROR(__xludf.DUMMYFUNCTION("""COMPUTED_VALUE"""),2.0)</f>
        <v>2</v>
      </c>
      <c r="E561" s="6">
        <f>IFERROR(__xludf.DUMMYFUNCTION("""COMPUTED_VALUE"""),40148.489583333336)</f>
        <v>40148.48958</v>
      </c>
      <c r="F561" s="2">
        <f>IFERROR(__xludf.DUMMYFUNCTION("""COMPUTED_VALUE"""),1.65)</f>
        <v>1.65</v>
      </c>
      <c r="G561" s="2">
        <f>IFERROR(__xludf.DUMMYFUNCTION("""COMPUTED_VALUE"""),15998.0)</f>
        <v>15998</v>
      </c>
      <c r="H561" s="2" t="str">
        <f>IFERROR(__xludf.DUMMYFUNCTION("""COMPUTED_VALUE"""),"United Kingdom")</f>
        <v>United Kingdom</v>
      </c>
      <c r="I561" s="7">
        <f>IFERROR(__xludf.DUMMYFUNCTION("""COMPUTED_VALUE"""),40148.0)</f>
        <v>40148</v>
      </c>
      <c r="J561" s="8">
        <f>IFERROR(__xludf.DUMMYFUNCTION("""COMPUTED_VALUE"""),0.4895833333321207)</f>
        <v>0.4895833333</v>
      </c>
      <c r="K561" s="2">
        <f>IFERROR(__xludf.DUMMYFUNCTION("""COMPUTED_VALUE"""),11.0)</f>
        <v>11</v>
      </c>
      <c r="L561" s="2">
        <f>IFERROR(__xludf.DUMMYFUNCTION("""COMPUTED_VALUE"""),3.3)</f>
        <v>3.3</v>
      </c>
    </row>
    <row r="562">
      <c r="A562" s="2">
        <f>IFERROR(__xludf.DUMMYFUNCTION("""COMPUTED_VALUE"""),489522.0)</f>
        <v>489522</v>
      </c>
      <c r="B562" s="2" t="str">
        <f>IFERROR(__xludf.DUMMYFUNCTION("""COMPUTED_VALUE"""),"22076")</f>
        <v>22076</v>
      </c>
      <c r="C562" s="2" t="str">
        <f>IFERROR(__xludf.DUMMYFUNCTION("""COMPUTED_VALUE"""),"6 RIBBONS EMPIRE")</f>
        <v>6 RIBBONS EMPIRE</v>
      </c>
      <c r="D562" s="2">
        <f>IFERROR(__xludf.DUMMYFUNCTION("""COMPUTED_VALUE"""),1.0)</f>
        <v>1</v>
      </c>
      <c r="E562" s="6">
        <f>IFERROR(__xludf.DUMMYFUNCTION("""COMPUTED_VALUE"""),40148.489583333336)</f>
        <v>40148.48958</v>
      </c>
      <c r="F562" s="2">
        <f>IFERROR(__xludf.DUMMYFUNCTION("""COMPUTED_VALUE"""),1.65)</f>
        <v>1.65</v>
      </c>
      <c r="G562" s="2">
        <f>IFERROR(__xludf.DUMMYFUNCTION("""COMPUTED_VALUE"""),15998.0)</f>
        <v>15998</v>
      </c>
      <c r="H562" s="2" t="str">
        <f>IFERROR(__xludf.DUMMYFUNCTION("""COMPUTED_VALUE"""),"United Kingdom")</f>
        <v>United Kingdom</v>
      </c>
      <c r="I562" s="7">
        <f>IFERROR(__xludf.DUMMYFUNCTION("""COMPUTED_VALUE"""),40148.0)</f>
        <v>40148</v>
      </c>
      <c r="J562" s="8">
        <f>IFERROR(__xludf.DUMMYFUNCTION("""COMPUTED_VALUE"""),0.4895833333321207)</f>
        <v>0.4895833333</v>
      </c>
      <c r="K562" s="2">
        <f>IFERROR(__xludf.DUMMYFUNCTION("""COMPUTED_VALUE"""),11.0)</f>
        <v>11</v>
      </c>
      <c r="L562" s="2">
        <f>IFERROR(__xludf.DUMMYFUNCTION("""COMPUTED_VALUE"""),1.65)</f>
        <v>1.65</v>
      </c>
    </row>
    <row r="563">
      <c r="A563" s="2">
        <f>IFERROR(__xludf.DUMMYFUNCTION("""COMPUTED_VALUE"""),489522.0)</f>
        <v>489522</v>
      </c>
      <c r="B563" s="2" t="str">
        <f>IFERROR(__xludf.DUMMYFUNCTION("""COMPUTED_VALUE"""),"79323W")</f>
        <v>79323W</v>
      </c>
      <c r="C563" s="2" t="str">
        <f>IFERROR(__xludf.DUMMYFUNCTION("""COMPUTED_VALUE"""),"WHITE CHERRY LIGHTS")</f>
        <v>WHITE CHERRY LIGHTS</v>
      </c>
      <c r="D563" s="2">
        <f>IFERROR(__xludf.DUMMYFUNCTION("""COMPUTED_VALUE"""),1.0)</f>
        <v>1</v>
      </c>
      <c r="E563" s="6">
        <f>IFERROR(__xludf.DUMMYFUNCTION("""COMPUTED_VALUE"""),40148.489583333336)</f>
        <v>40148.48958</v>
      </c>
      <c r="F563" s="2">
        <f>IFERROR(__xludf.DUMMYFUNCTION("""COMPUTED_VALUE"""),6.75)</f>
        <v>6.75</v>
      </c>
      <c r="G563" s="2">
        <f>IFERROR(__xludf.DUMMYFUNCTION("""COMPUTED_VALUE"""),15998.0)</f>
        <v>15998</v>
      </c>
      <c r="H563" s="2" t="str">
        <f>IFERROR(__xludf.DUMMYFUNCTION("""COMPUTED_VALUE"""),"United Kingdom")</f>
        <v>United Kingdom</v>
      </c>
      <c r="I563" s="7">
        <f>IFERROR(__xludf.DUMMYFUNCTION("""COMPUTED_VALUE"""),40148.0)</f>
        <v>40148</v>
      </c>
      <c r="J563" s="8">
        <f>IFERROR(__xludf.DUMMYFUNCTION("""COMPUTED_VALUE"""),0.4895833333321207)</f>
        <v>0.4895833333</v>
      </c>
      <c r="K563" s="2">
        <f>IFERROR(__xludf.DUMMYFUNCTION("""COMPUTED_VALUE"""),11.0)</f>
        <v>11</v>
      </c>
      <c r="L563" s="2">
        <f>IFERROR(__xludf.DUMMYFUNCTION("""COMPUTED_VALUE"""),6.75)</f>
        <v>6.75</v>
      </c>
    </row>
    <row r="564">
      <c r="A564" s="2">
        <f>IFERROR(__xludf.DUMMYFUNCTION("""COMPUTED_VALUE"""),489522.0)</f>
        <v>489522</v>
      </c>
      <c r="B564" s="2" t="str">
        <f>IFERROR(__xludf.DUMMYFUNCTION("""COMPUTED_VALUE"""),"79323LP")</f>
        <v>79323LP</v>
      </c>
      <c r="C564" s="2" t="str">
        <f>IFERROR(__xludf.DUMMYFUNCTION("""COMPUTED_VALUE"""),"LIGHT PINK CHERRY LIGHTS")</f>
        <v>LIGHT PINK CHERRY LIGHTS</v>
      </c>
      <c r="D564" s="2">
        <f>IFERROR(__xludf.DUMMYFUNCTION("""COMPUTED_VALUE"""),1.0)</f>
        <v>1</v>
      </c>
      <c r="E564" s="6">
        <f>IFERROR(__xludf.DUMMYFUNCTION("""COMPUTED_VALUE"""),40148.489583333336)</f>
        <v>40148.48958</v>
      </c>
      <c r="F564" s="2">
        <f>IFERROR(__xludf.DUMMYFUNCTION("""COMPUTED_VALUE"""),6.75)</f>
        <v>6.75</v>
      </c>
      <c r="G564" s="2">
        <f>IFERROR(__xludf.DUMMYFUNCTION("""COMPUTED_VALUE"""),15998.0)</f>
        <v>15998</v>
      </c>
      <c r="H564" s="2" t="str">
        <f>IFERROR(__xludf.DUMMYFUNCTION("""COMPUTED_VALUE"""),"United Kingdom")</f>
        <v>United Kingdom</v>
      </c>
      <c r="I564" s="7">
        <f>IFERROR(__xludf.DUMMYFUNCTION("""COMPUTED_VALUE"""),40148.0)</f>
        <v>40148</v>
      </c>
      <c r="J564" s="8">
        <f>IFERROR(__xludf.DUMMYFUNCTION("""COMPUTED_VALUE"""),0.4895833333321207)</f>
        <v>0.4895833333</v>
      </c>
      <c r="K564" s="2">
        <f>IFERROR(__xludf.DUMMYFUNCTION("""COMPUTED_VALUE"""),11.0)</f>
        <v>11</v>
      </c>
      <c r="L564" s="2">
        <f>IFERROR(__xludf.DUMMYFUNCTION("""COMPUTED_VALUE"""),6.75)</f>
        <v>6.75</v>
      </c>
    </row>
    <row r="565">
      <c r="A565" s="2">
        <f>IFERROR(__xludf.DUMMYFUNCTION("""COMPUTED_VALUE"""),489522.0)</f>
        <v>489522</v>
      </c>
      <c r="B565" s="2" t="str">
        <f>IFERROR(__xludf.DUMMYFUNCTION("""COMPUTED_VALUE"""),"79342B")</f>
        <v>79342B</v>
      </c>
      <c r="C565" s="2" t="str">
        <f>IFERROR(__xludf.DUMMYFUNCTION("""COMPUTED_VALUE"""),"BROWN FLOWER LIGHTS")</f>
        <v>BROWN FLOWER LIGHTS</v>
      </c>
      <c r="D565" s="2">
        <f>IFERROR(__xludf.DUMMYFUNCTION("""COMPUTED_VALUE"""),1.0)</f>
        <v>1</v>
      </c>
      <c r="E565" s="6">
        <f>IFERROR(__xludf.DUMMYFUNCTION("""COMPUTED_VALUE"""),40148.489583333336)</f>
        <v>40148.48958</v>
      </c>
      <c r="F565" s="2">
        <f>IFERROR(__xludf.DUMMYFUNCTION("""COMPUTED_VALUE"""),6.75)</f>
        <v>6.75</v>
      </c>
      <c r="G565" s="2">
        <f>IFERROR(__xludf.DUMMYFUNCTION("""COMPUTED_VALUE"""),15998.0)</f>
        <v>15998</v>
      </c>
      <c r="H565" s="2" t="str">
        <f>IFERROR(__xludf.DUMMYFUNCTION("""COMPUTED_VALUE"""),"United Kingdom")</f>
        <v>United Kingdom</v>
      </c>
      <c r="I565" s="7">
        <f>IFERROR(__xludf.DUMMYFUNCTION("""COMPUTED_VALUE"""),40148.0)</f>
        <v>40148</v>
      </c>
      <c r="J565" s="8">
        <f>IFERROR(__xludf.DUMMYFUNCTION("""COMPUTED_VALUE"""),0.4895833333321207)</f>
        <v>0.4895833333</v>
      </c>
      <c r="K565" s="2">
        <f>IFERROR(__xludf.DUMMYFUNCTION("""COMPUTED_VALUE"""),11.0)</f>
        <v>11</v>
      </c>
      <c r="L565" s="2">
        <f>IFERROR(__xludf.DUMMYFUNCTION("""COMPUTED_VALUE"""),6.75)</f>
        <v>6.75</v>
      </c>
    </row>
    <row r="566">
      <c r="A566" s="2">
        <f>IFERROR(__xludf.DUMMYFUNCTION("""COMPUTED_VALUE"""),489522.0)</f>
        <v>489522</v>
      </c>
      <c r="B566" s="2" t="str">
        <f>IFERROR(__xludf.DUMMYFUNCTION("""COMPUTED_VALUE"""),"79341")</f>
        <v>79341</v>
      </c>
      <c r="C566" s="2" t="str">
        <f>IFERROR(__xludf.DUMMYFUNCTION("""COMPUTED_VALUE"""),"WILLOW BRANCH LIGHTS.")</f>
        <v>WILLOW BRANCH LIGHTS.</v>
      </c>
      <c r="D566" s="2">
        <f>IFERROR(__xludf.DUMMYFUNCTION("""COMPUTED_VALUE"""),6.0)</f>
        <v>6</v>
      </c>
      <c r="E566" s="6">
        <f>IFERROR(__xludf.DUMMYFUNCTION("""COMPUTED_VALUE"""),40148.489583333336)</f>
        <v>40148.48958</v>
      </c>
      <c r="F566" s="2">
        <f>IFERROR(__xludf.DUMMYFUNCTION("""COMPUTED_VALUE"""),6.75)</f>
        <v>6.75</v>
      </c>
      <c r="G566" s="2">
        <f>IFERROR(__xludf.DUMMYFUNCTION("""COMPUTED_VALUE"""),15998.0)</f>
        <v>15998</v>
      </c>
      <c r="H566" s="2" t="str">
        <f>IFERROR(__xludf.DUMMYFUNCTION("""COMPUTED_VALUE"""),"United Kingdom")</f>
        <v>United Kingdom</v>
      </c>
      <c r="I566" s="7">
        <f>IFERROR(__xludf.DUMMYFUNCTION("""COMPUTED_VALUE"""),40148.0)</f>
        <v>40148</v>
      </c>
      <c r="J566" s="8">
        <f>IFERROR(__xludf.DUMMYFUNCTION("""COMPUTED_VALUE"""),0.4895833333321207)</f>
        <v>0.4895833333</v>
      </c>
      <c r="K566" s="2">
        <f>IFERROR(__xludf.DUMMYFUNCTION("""COMPUTED_VALUE"""),11.0)</f>
        <v>11</v>
      </c>
      <c r="L566" s="2">
        <f>IFERROR(__xludf.DUMMYFUNCTION("""COMPUTED_VALUE"""),40.5)</f>
        <v>40.5</v>
      </c>
    </row>
    <row r="567">
      <c r="A567" s="2">
        <f>IFERROR(__xludf.DUMMYFUNCTION("""COMPUTED_VALUE"""),489523.0)</f>
        <v>489523</v>
      </c>
      <c r="B567" s="2" t="str">
        <f>IFERROR(__xludf.DUMMYFUNCTION("""COMPUTED_VALUE"""),"84879")</f>
        <v>84879</v>
      </c>
      <c r="C567" s="2" t="str">
        <f>IFERROR(__xludf.DUMMYFUNCTION("""COMPUTED_VALUE"""),"ASSORTED COLOUR BIRD ORNAMENT")</f>
        <v>ASSORTED COLOUR BIRD ORNAMENT</v>
      </c>
      <c r="D567" s="2">
        <f>IFERROR(__xludf.DUMMYFUNCTION("""COMPUTED_VALUE"""),800.0)</f>
        <v>800</v>
      </c>
      <c r="E567" s="6">
        <f>IFERROR(__xludf.DUMMYFUNCTION("""COMPUTED_VALUE"""),40148.490277777775)</f>
        <v>40148.49028</v>
      </c>
      <c r="F567" s="2">
        <f>IFERROR(__xludf.DUMMYFUNCTION("""COMPUTED_VALUE"""),1.45)</f>
        <v>1.45</v>
      </c>
      <c r="G567" s="2">
        <f>IFERROR(__xludf.DUMMYFUNCTION("""COMPUTED_VALUE"""),12931.0)</f>
        <v>12931</v>
      </c>
      <c r="H567" s="2" t="str">
        <f>IFERROR(__xludf.DUMMYFUNCTION("""COMPUTED_VALUE"""),"United Kingdom")</f>
        <v>United Kingdom</v>
      </c>
      <c r="I567" s="7">
        <f>IFERROR(__xludf.DUMMYFUNCTION("""COMPUTED_VALUE"""),40148.0)</f>
        <v>40148</v>
      </c>
      <c r="J567" s="8">
        <f>IFERROR(__xludf.DUMMYFUNCTION("""COMPUTED_VALUE"""),0.49027777777882875)</f>
        <v>0.4902777778</v>
      </c>
      <c r="K567" s="2">
        <f>IFERROR(__xludf.DUMMYFUNCTION("""COMPUTED_VALUE"""),11.0)</f>
        <v>11</v>
      </c>
      <c r="L567" s="2">
        <f>IFERROR(__xludf.DUMMYFUNCTION("""COMPUTED_VALUE"""),1160.0)</f>
        <v>1160</v>
      </c>
    </row>
    <row r="568">
      <c r="A568" s="2"/>
      <c r="B568" s="2" t="str">
        <f>IFERROR(__xludf.DUMMYFUNCTION("""COMPUTED_VALUE"""),"21258")</f>
        <v>21258</v>
      </c>
      <c r="C568" s="2" t="str">
        <f>IFERROR(__xludf.DUMMYFUNCTION("""COMPUTED_VALUE"""),"VICTORIAN SEWING BOX LARGE")</f>
        <v>VICTORIAN SEWING BOX LARGE</v>
      </c>
      <c r="D568" s="2">
        <f>IFERROR(__xludf.DUMMYFUNCTION("""COMPUTED_VALUE"""),-1.0)</f>
        <v>-1</v>
      </c>
      <c r="E568" s="6">
        <f>IFERROR(__xludf.DUMMYFUNCTION("""COMPUTED_VALUE"""),40148.49166666667)</f>
        <v>40148.49167</v>
      </c>
      <c r="F568" s="2">
        <f>IFERROR(__xludf.DUMMYFUNCTION("""COMPUTED_VALUE"""),12.75)</f>
        <v>12.75</v>
      </c>
      <c r="G568" s="2">
        <f>IFERROR(__xludf.DUMMYFUNCTION("""COMPUTED_VALUE"""),15614.0)</f>
        <v>15614</v>
      </c>
      <c r="H568" s="2" t="str">
        <f>IFERROR(__xludf.DUMMYFUNCTION("""COMPUTED_VALUE"""),"United Kingdom")</f>
        <v>United Kingdom</v>
      </c>
      <c r="I568" s="7">
        <f>IFERROR(__xludf.DUMMYFUNCTION("""COMPUTED_VALUE"""),40148.0)</f>
        <v>40148</v>
      </c>
      <c r="J568" s="8">
        <f>IFERROR(__xludf.DUMMYFUNCTION("""COMPUTED_VALUE"""),0.49166666666496894)</f>
        <v>0.4916666667</v>
      </c>
      <c r="K568" s="2">
        <f>IFERROR(__xludf.DUMMYFUNCTION("""COMPUTED_VALUE"""),11.0)</f>
        <v>11</v>
      </c>
      <c r="L568" s="2">
        <f>IFERROR(__xludf.DUMMYFUNCTION("""COMPUTED_VALUE"""),-12.75)</f>
        <v>-12.75</v>
      </c>
    </row>
    <row r="569">
      <c r="A569" s="2">
        <f>IFERROR(__xludf.DUMMYFUNCTION("""COMPUTED_VALUE"""),489525.0)</f>
        <v>489525</v>
      </c>
      <c r="B569" s="2" t="str">
        <f>IFERROR(__xludf.DUMMYFUNCTION("""COMPUTED_VALUE"""),"85226C")</f>
        <v>85226C</v>
      </c>
      <c r="C569" s="2" t="str">
        <f>IFERROR(__xludf.DUMMYFUNCTION("""COMPUTED_VALUE"""),"BLUE PULL BACK RACING CAR")</f>
        <v>BLUE PULL BACK RACING CAR</v>
      </c>
      <c r="D569" s="2">
        <f>IFERROR(__xludf.DUMMYFUNCTION("""COMPUTED_VALUE"""),1.0)</f>
        <v>1</v>
      </c>
      <c r="E569" s="6">
        <f>IFERROR(__xludf.DUMMYFUNCTION("""COMPUTED_VALUE"""),40148.492361111115)</f>
        <v>40148.49236</v>
      </c>
      <c r="F569" s="2">
        <f>IFERROR(__xludf.DUMMYFUNCTION("""COMPUTED_VALUE"""),0.55)</f>
        <v>0.55</v>
      </c>
      <c r="G569" s="2"/>
      <c r="H569" s="2" t="str">
        <f>IFERROR(__xludf.DUMMYFUNCTION("""COMPUTED_VALUE"""),"United Kingdom")</f>
        <v>United Kingdom</v>
      </c>
      <c r="I569" s="7">
        <f>IFERROR(__xludf.DUMMYFUNCTION("""COMPUTED_VALUE"""),40148.0)</f>
        <v>40148</v>
      </c>
      <c r="J569" s="8">
        <f>IFERROR(__xludf.DUMMYFUNCTION("""COMPUTED_VALUE"""),0.492361111111677)</f>
        <v>0.4923611111</v>
      </c>
      <c r="K569" s="2">
        <f>IFERROR(__xludf.DUMMYFUNCTION("""COMPUTED_VALUE"""),11.0)</f>
        <v>11</v>
      </c>
      <c r="L569" s="2">
        <f>IFERROR(__xludf.DUMMYFUNCTION("""COMPUTED_VALUE"""),0.55)</f>
        <v>0.55</v>
      </c>
    </row>
    <row r="570">
      <c r="A570" s="2">
        <f>IFERROR(__xludf.DUMMYFUNCTION("""COMPUTED_VALUE"""),489525.0)</f>
        <v>489525</v>
      </c>
      <c r="B570" s="2" t="str">
        <f>IFERROR(__xludf.DUMMYFUNCTION("""COMPUTED_VALUE"""),"85227")</f>
        <v>85227</v>
      </c>
      <c r="C570" s="2" t="str">
        <f>IFERROR(__xludf.DUMMYFUNCTION("""COMPUTED_VALUE"""),"SET/6 3D KIT CARDS FOR KIDS")</f>
        <v>SET/6 3D KIT CARDS FOR KIDS</v>
      </c>
      <c r="D570" s="2">
        <f>IFERROR(__xludf.DUMMYFUNCTION("""COMPUTED_VALUE"""),1.0)</f>
        <v>1</v>
      </c>
      <c r="E570" s="6">
        <f>IFERROR(__xludf.DUMMYFUNCTION("""COMPUTED_VALUE"""),40148.492361111115)</f>
        <v>40148.49236</v>
      </c>
      <c r="F570" s="2">
        <f>IFERROR(__xludf.DUMMYFUNCTION("""COMPUTED_VALUE"""),0.85)</f>
        <v>0.85</v>
      </c>
      <c r="G570" s="2"/>
      <c r="H570" s="2" t="str">
        <f>IFERROR(__xludf.DUMMYFUNCTION("""COMPUTED_VALUE"""),"United Kingdom")</f>
        <v>United Kingdom</v>
      </c>
      <c r="I570" s="7">
        <f>IFERROR(__xludf.DUMMYFUNCTION("""COMPUTED_VALUE"""),40148.0)</f>
        <v>40148</v>
      </c>
      <c r="J570" s="8">
        <f>IFERROR(__xludf.DUMMYFUNCTION("""COMPUTED_VALUE"""),0.492361111111677)</f>
        <v>0.4923611111</v>
      </c>
      <c r="K570" s="2">
        <f>IFERROR(__xludf.DUMMYFUNCTION("""COMPUTED_VALUE"""),11.0)</f>
        <v>11</v>
      </c>
      <c r="L570" s="2">
        <f>IFERROR(__xludf.DUMMYFUNCTION("""COMPUTED_VALUE"""),0.85)</f>
        <v>0.85</v>
      </c>
    </row>
    <row r="571">
      <c r="A571" s="2">
        <f>IFERROR(__xludf.DUMMYFUNCTION("""COMPUTED_VALUE"""),489526.0)</f>
        <v>489526</v>
      </c>
      <c r="B571" s="2" t="str">
        <f>IFERROR(__xludf.DUMMYFUNCTION("""COMPUTED_VALUE"""),"85049E")</f>
        <v>85049E</v>
      </c>
      <c r="C571" s="2" t="str">
        <f>IFERROR(__xludf.DUMMYFUNCTION("""COMPUTED_VALUE"""),"SCANDINAVIAN REDS RIBBONS")</f>
        <v>SCANDINAVIAN REDS RIBBONS</v>
      </c>
      <c r="D571" s="2">
        <f>IFERROR(__xludf.DUMMYFUNCTION("""COMPUTED_VALUE"""),12.0)</f>
        <v>12</v>
      </c>
      <c r="E571" s="6">
        <f>IFERROR(__xludf.DUMMYFUNCTION("""COMPUTED_VALUE"""),40148.493055555555)</f>
        <v>40148.49306</v>
      </c>
      <c r="F571" s="2">
        <f>IFERROR(__xludf.DUMMYFUNCTION("""COMPUTED_VALUE"""),1.25)</f>
        <v>1.25</v>
      </c>
      <c r="G571" s="2">
        <f>IFERROR(__xludf.DUMMYFUNCTION("""COMPUTED_VALUE"""),12533.0)</f>
        <v>12533</v>
      </c>
      <c r="H571" s="2" t="str">
        <f>IFERROR(__xludf.DUMMYFUNCTION("""COMPUTED_VALUE"""),"Germany")</f>
        <v>Germany</v>
      </c>
      <c r="I571" s="7">
        <f>IFERROR(__xludf.DUMMYFUNCTION("""COMPUTED_VALUE"""),40148.0)</f>
        <v>40148</v>
      </c>
      <c r="J571" s="8">
        <f>IFERROR(__xludf.DUMMYFUNCTION("""COMPUTED_VALUE"""),0.4930555555547471)</f>
        <v>0.4930555556</v>
      </c>
      <c r="K571" s="2">
        <f>IFERROR(__xludf.DUMMYFUNCTION("""COMPUTED_VALUE"""),11.0)</f>
        <v>11</v>
      </c>
      <c r="L571" s="2">
        <f>IFERROR(__xludf.DUMMYFUNCTION("""COMPUTED_VALUE"""),15.0)</f>
        <v>15</v>
      </c>
    </row>
    <row r="572">
      <c r="A572" s="2">
        <f>IFERROR(__xludf.DUMMYFUNCTION("""COMPUTED_VALUE"""),489526.0)</f>
        <v>489526</v>
      </c>
      <c r="B572" s="2" t="str">
        <f>IFERROR(__xludf.DUMMYFUNCTION("""COMPUTED_VALUE"""),"21976")</f>
        <v>21976</v>
      </c>
      <c r="C572" s="2" t="str">
        <f>IFERROR(__xludf.DUMMYFUNCTION("""COMPUTED_VALUE"""),"PACK OF 60 MUSHROOM CAKE CASES")</f>
        <v>PACK OF 60 MUSHROOM CAKE CASES</v>
      </c>
      <c r="D572" s="2">
        <f>IFERROR(__xludf.DUMMYFUNCTION("""COMPUTED_VALUE"""),24.0)</f>
        <v>24</v>
      </c>
      <c r="E572" s="6">
        <f>IFERROR(__xludf.DUMMYFUNCTION("""COMPUTED_VALUE"""),40148.493055555555)</f>
        <v>40148.49306</v>
      </c>
      <c r="F572" s="2">
        <f>IFERROR(__xludf.DUMMYFUNCTION("""COMPUTED_VALUE"""),0.55)</f>
        <v>0.55</v>
      </c>
      <c r="G572" s="2">
        <f>IFERROR(__xludf.DUMMYFUNCTION("""COMPUTED_VALUE"""),12533.0)</f>
        <v>12533</v>
      </c>
      <c r="H572" s="2" t="str">
        <f>IFERROR(__xludf.DUMMYFUNCTION("""COMPUTED_VALUE"""),"Germany")</f>
        <v>Germany</v>
      </c>
      <c r="I572" s="7">
        <f>IFERROR(__xludf.DUMMYFUNCTION("""COMPUTED_VALUE"""),40148.0)</f>
        <v>40148</v>
      </c>
      <c r="J572" s="8">
        <f>IFERROR(__xludf.DUMMYFUNCTION("""COMPUTED_VALUE"""),0.4930555555547471)</f>
        <v>0.4930555556</v>
      </c>
      <c r="K572" s="2">
        <f>IFERROR(__xludf.DUMMYFUNCTION("""COMPUTED_VALUE"""),11.0)</f>
        <v>11</v>
      </c>
      <c r="L572" s="2">
        <f>IFERROR(__xludf.DUMMYFUNCTION("""COMPUTED_VALUE"""),13.2)</f>
        <v>13.2</v>
      </c>
    </row>
    <row r="573">
      <c r="A573" s="2">
        <f>IFERROR(__xludf.DUMMYFUNCTION("""COMPUTED_VALUE"""),489526.0)</f>
        <v>489526</v>
      </c>
      <c r="B573" s="2" t="str">
        <f>IFERROR(__xludf.DUMMYFUNCTION("""COMPUTED_VALUE"""),"21498")</f>
        <v>21498</v>
      </c>
      <c r="C573" s="2" t="str">
        <f>IFERROR(__xludf.DUMMYFUNCTION("""COMPUTED_VALUE"""),"RED SPOTS WRAP")</f>
        <v>RED SPOTS WRAP</v>
      </c>
      <c r="D573" s="2">
        <f>IFERROR(__xludf.DUMMYFUNCTION("""COMPUTED_VALUE"""),25.0)</f>
        <v>25</v>
      </c>
      <c r="E573" s="6">
        <f>IFERROR(__xludf.DUMMYFUNCTION("""COMPUTED_VALUE"""),40148.493055555555)</f>
        <v>40148.49306</v>
      </c>
      <c r="F573" s="2">
        <f>IFERROR(__xludf.DUMMYFUNCTION("""COMPUTED_VALUE"""),0.42)</f>
        <v>0.42</v>
      </c>
      <c r="G573" s="2">
        <f>IFERROR(__xludf.DUMMYFUNCTION("""COMPUTED_VALUE"""),12533.0)</f>
        <v>12533</v>
      </c>
      <c r="H573" s="2" t="str">
        <f>IFERROR(__xludf.DUMMYFUNCTION("""COMPUTED_VALUE"""),"Germany")</f>
        <v>Germany</v>
      </c>
      <c r="I573" s="7">
        <f>IFERROR(__xludf.DUMMYFUNCTION("""COMPUTED_VALUE"""),40148.0)</f>
        <v>40148</v>
      </c>
      <c r="J573" s="8">
        <f>IFERROR(__xludf.DUMMYFUNCTION("""COMPUTED_VALUE"""),0.4930555555547471)</f>
        <v>0.4930555556</v>
      </c>
      <c r="K573" s="2">
        <f>IFERROR(__xludf.DUMMYFUNCTION("""COMPUTED_VALUE"""),11.0)</f>
        <v>11</v>
      </c>
      <c r="L573" s="2">
        <f>IFERROR(__xludf.DUMMYFUNCTION("""COMPUTED_VALUE"""),10.5)</f>
        <v>10.5</v>
      </c>
    </row>
    <row r="574">
      <c r="A574" s="2">
        <f>IFERROR(__xludf.DUMMYFUNCTION("""COMPUTED_VALUE"""),489526.0)</f>
        <v>489526</v>
      </c>
      <c r="B574" s="2" t="str">
        <f>IFERROR(__xludf.DUMMYFUNCTION("""COMPUTED_VALUE"""),"22077")</f>
        <v>22077</v>
      </c>
      <c r="C574" s="2" t="str">
        <f>IFERROR(__xludf.DUMMYFUNCTION("""COMPUTED_VALUE"""),"6 RIBBONS RUSTIC CHARM")</f>
        <v>6 RIBBONS RUSTIC CHARM</v>
      </c>
      <c r="D574" s="2">
        <f>IFERROR(__xludf.DUMMYFUNCTION("""COMPUTED_VALUE"""),12.0)</f>
        <v>12</v>
      </c>
      <c r="E574" s="6">
        <f>IFERROR(__xludf.DUMMYFUNCTION("""COMPUTED_VALUE"""),40148.493055555555)</f>
        <v>40148.49306</v>
      </c>
      <c r="F574" s="2">
        <f>IFERROR(__xludf.DUMMYFUNCTION("""COMPUTED_VALUE"""),1.65)</f>
        <v>1.65</v>
      </c>
      <c r="G574" s="2">
        <f>IFERROR(__xludf.DUMMYFUNCTION("""COMPUTED_VALUE"""),12533.0)</f>
        <v>12533</v>
      </c>
      <c r="H574" s="2" t="str">
        <f>IFERROR(__xludf.DUMMYFUNCTION("""COMPUTED_VALUE"""),"Germany")</f>
        <v>Germany</v>
      </c>
      <c r="I574" s="7">
        <f>IFERROR(__xludf.DUMMYFUNCTION("""COMPUTED_VALUE"""),40148.0)</f>
        <v>40148</v>
      </c>
      <c r="J574" s="8">
        <f>IFERROR(__xludf.DUMMYFUNCTION("""COMPUTED_VALUE"""),0.4930555555547471)</f>
        <v>0.4930555556</v>
      </c>
      <c r="K574" s="2">
        <f>IFERROR(__xludf.DUMMYFUNCTION("""COMPUTED_VALUE"""),11.0)</f>
        <v>11</v>
      </c>
      <c r="L574" s="2">
        <f>IFERROR(__xludf.DUMMYFUNCTION("""COMPUTED_VALUE"""),19.7999999999999)</f>
        <v>19.8</v>
      </c>
    </row>
    <row r="575">
      <c r="A575" s="2">
        <f>IFERROR(__xludf.DUMMYFUNCTION("""COMPUTED_VALUE"""),489526.0)</f>
        <v>489526</v>
      </c>
      <c r="B575" s="2" t="str">
        <f>IFERROR(__xludf.DUMMYFUNCTION("""COMPUTED_VALUE"""),"84946")</f>
        <v>84946</v>
      </c>
      <c r="C575" s="2" t="str">
        <f>IFERROR(__xludf.DUMMYFUNCTION("""COMPUTED_VALUE"""),"ANTIQUE SILVER TEA GLASS ETCHED")</f>
        <v>ANTIQUE SILVER TEA GLASS ETCHED</v>
      </c>
      <c r="D575" s="2">
        <f>IFERROR(__xludf.DUMMYFUNCTION("""COMPUTED_VALUE"""),12.0)</f>
        <v>12</v>
      </c>
      <c r="E575" s="6">
        <f>IFERROR(__xludf.DUMMYFUNCTION("""COMPUTED_VALUE"""),40148.493055555555)</f>
        <v>40148.49306</v>
      </c>
      <c r="F575" s="2">
        <f>IFERROR(__xludf.DUMMYFUNCTION("""COMPUTED_VALUE"""),1.25)</f>
        <v>1.25</v>
      </c>
      <c r="G575" s="2">
        <f>IFERROR(__xludf.DUMMYFUNCTION("""COMPUTED_VALUE"""),12533.0)</f>
        <v>12533</v>
      </c>
      <c r="H575" s="2" t="str">
        <f>IFERROR(__xludf.DUMMYFUNCTION("""COMPUTED_VALUE"""),"Germany")</f>
        <v>Germany</v>
      </c>
      <c r="I575" s="7">
        <f>IFERROR(__xludf.DUMMYFUNCTION("""COMPUTED_VALUE"""),40148.0)</f>
        <v>40148</v>
      </c>
      <c r="J575" s="8">
        <f>IFERROR(__xludf.DUMMYFUNCTION("""COMPUTED_VALUE"""),0.4930555555547471)</f>
        <v>0.4930555556</v>
      </c>
      <c r="K575" s="2">
        <f>IFERROR(__xludf.DUMMYFUNCTION("""COMPUTED_VALUE"""),11.0)</f>
        <v>11</v>
      </c>
      <c r="L575" s="2">
        <f>IFERROR(__xludf.DUMMYFUNCTION("""COMPUTED_VALUE"""),15.0)</f>
        <v>15</v>
      </c>
    </row>
    <row r="576">
      <c r="A576" s="2">
        <f>IFERROR(__xludf.DUMMYFUNCTION("""COMPUTED_VALUE"""),489526.0)</f>
        <v>489526</v>
      </c>
      <c r="B576" s="2" t="str">
        <f>IFERROR(__xludf.DUMMYFUNCTION("""COMPUTED_VALUE"""),"84948")</f>
        <v>84948</v>
      </c>
      <c r="C576" s="2" t="str">
        <f>IFERROR(__xludf.DUMMYFUNCTION("""COMPUTED_VALUE"""),"SILVER HANGING T-LIGHT HOLDER DOME")</f>
        <v>SILVER HANGING T-LIGHT HOLDER DOME</v>
      </c>
      <c r="D576" s="2">
        <f>IFERROR(__xludf.DUMMYFUNCTION("""COMPUTED_VALUE"""),24.0)</f>
        <v>24</v>
      </c>
      <c r="E576" s="6">
        <f>IFERROR(__xludf.DUMMYFUNCTION("""COMPUTED_VALUE"""),40148.493055555555)</f>
        <v>40148.49306</v>
      </c>
      <c r="F576" s="2">
        <f>IFERROR(__xludf.DUMMYFUNCTION("""COMPUTED_VALUE"""),1.65)</f>
        <v>1.65</v>
      </c>
      <c r="G576" s="2">
        <f>IFERROR(__xludf.DUMMYFUNCTION("""COMPUTED_VALUE"""),12533.0)</f>
        <v>12533</v>
      </c>
      <c r="H576" s="2" t="str">
        <f>IFERROR(__xludf.DUMMYFUNCTION("""COMPUTED_VALUE"""),"Germany")</f>
        <v>Germany</v>
      </c>
      <c r="I576" s="7">
        <f>IFERROR(__xludf.DUMMYFUNCTION("""COMPUTED_VALUE"""),40148.0)</f>
        <v>40148</v>
      </c>
      <c r="J576" s="8">
        <f>IFERROR(__xludf.DUMMYFUNCTION("""COMPUTED_VALUE"""),0.4930555555547471)</f>
        <v>0.4930555556</v>
      </c>
      <c r="K576" s="2">
        <f>IFERROR(__xludf.DUMMYFUNCTION("""COMPUTED_VALUE"""),11.0)</f>
        <v>11</v>
      </c>
      <c r="L576" s="2">
        <f>IFERROR(__xludf.DUMMYFUNCTION("""COMPUTED_VALUE"""),39.5999999999999)</f>
        <v>39.6</v>
      </c>
    </row>
    <row r="577">
      <c r="A577" s="2">
        <f>IFERROR(__xludf.DUMMYFUNCTION("""COMPUTED_VALUE"""),489526.0)</f>
        <v>489526</v>
      </c>
      <c r="B577" s="2" t="str">
        <f>IFERROR(__xludf.DUMMYFUNCTION("""COMPUTED_VALUE"""),"21537")</f>
        <v>21537</v>
      </c>
      <c r="C577" s="2" t="str">
        <f>IFERROR(__xludf.DUMMYFUNCTION("""COMPUTED_VALUE"""),"RETRO SPOTS PUDDING BOWL")</f>
        <v>RETRO SPOTS PUDDING BOWL</v>
      </c>
      <c r="D577" s="2">
        <f>IFERROR(__xludf.DUMMYFUNCTION("""COMPUTED_VALUE"""),4.0)</f>
        <v>4</v>
      </c>
      <c r="E577" s="6">
        <f>IFERROR(__xludf.DUMMYFUNCTION("""COMPUTED_VALUE"""),40148.493055555555)</f>
        <v>40148.49306</v>
      </c>
      <c r="F577" s="2">
        <f>IFERROR(__xludf.DUMMYFUNCTION("""COMPUTED_VALUE"""),4.25)</f>
        <v>4.25</v>
      </c>
      <c r="G577" s="2">
        <f>IFERROR(__xludf.DUMMYFUNCTION("""COMPUTED_VALUE"""),12533.0)</f>
        <v>12533</v>
      </c>
      <c r="H577" s="2" t="str">
        <f>IFERROR(__xludf.DUMMYFUNCTION("""COMPUTED_VALUE"""),"Germany")</f>
        <v>Germany</v>
      </c>
      <c r="I577" s="7">
        <f>IFERROR(__xludf.DUMMYFUNCTION("""COMPUTED_VALUE"""),40148.0)</f>
        <v>40148</v>
      </c>
      <c r="J577" s="8">
        <f>IFERROR(__xludf.DUMMYFUNCTION("""COMPUTED_VALUE"""),0.4930555555547471)</f>
        <v>0.4930555556</v>
      </c>
      <c r="K577" s="2">
        <f>IFERROR(__xludf.DUMMYFUNCTION("""COMPUTED_VALUE"""),11.0)</f>
        <v>11</v>
      </c>
      <c r="L577" s="2">
        <f>IFERROR(__xludf.DUMMYFUNCTION("""COMPUTED_VALUE"""),17.0)</f>
        <v>17</v>
      </c>
    </row>
    <row r="578">
      <c r="A578" s="2">
        <f>IFERROR(__xludf.DUMMYFUNCTION("""COMPUTED_VALUE"""),489526.0)</f>
        <v>489526</v>
      </c>
      <c r="B578" s="2" t="str">
        <f>IFERROR(__xludf.DUMMYFUNCTION("""COMPUTED_VALUE"""),"21733")</f>
        <v>21733</v>
      </c>
      <c r="C578" s="2" t="str">
        <f>IFERROR(__xludf.DUMMYFUNCTION("""COMPUTED_VALUE"""),"RED HANGING HEART T-LIGHT HOLDER")</f>
        <v>RED HANGING HEART T-LIGHT HOLDER</v>
      </c>
      <c r="D578" s="2">
        <f>IFERROR(__xludf.DUMMYFUNCTION("""COMPUTED_VALUE"""),6.0)</f>
        <v>6</v>
      </c>
      <c r="E578" s="6">
        <f>IFERROR(__xludf.DUMMYFUNCTION("""COMPUTED_VALUE"""),40148.493055555555)</f>
        <v>40148.49306</v>
      </c>
      <c r="F578" s="2">
        <f>IFERROR(__xludf.DUMMYFUNCTION("""COMPUTED_VALUE"""),2.95)</f>
        <v>2.95</v>
      </c>
      <c r="G578" s="2">
        <f>IFERROR(__xludf.DUMMYFUNCTION("""COMPUTED_VALUE"""),12533.0)</f>
        <v>12533</v>
      </c>
      <c r="H578" s="2" t="str">
        <f>IFERROR(__xludf.DUMMYFUNCTION("""COMPUTED_VALUE"""),"Germany")</f>
        <v>Germany</v>
      </c>
      <c r="I578" s="7">
        <f>IFERROR(__xludf.DUMMYFUNCTION("""COMPUTED_VALUE"""),40148.0)</f>
        <v>40148</v>
      </c>
      <c r="J578" s="8">
        <f>IFERROR(__xludf.DUMMYFUNCTION("""COMPUTED_VALUE"""),0.4930555555547471)</f>
        <v>0.4930555556</v>
      </c>
      <c r="K578" s="2">
        <f>IFERROR(__xludf.DUMMYFUNCTION("""COMPUTED_VALUE"""),11.0)</f>
        <v>11</v>
      </c>
      <c r="L578" s="2">
        <f>IFERROR(__xludf.DUMMYFUNCTION("""COMPUTED_VALUE"""),17.7)</f>
        <v>17.7</v>
      </c>
    </row>
    <row r="579">
      <c r="A579" s="2">
        <f>IFERROR(__xludf.DUMMYFUNCTION("""COMPUTED_VALUE"""),489526.0)</f>
        <v>489526</v>
      </c>
      <c r="B579" s="2" t="str">
        <f>IFERROR(__xludf.DUMMYFUNCTION("""COMPUTED_VALUE"""),"85123A")</f>
        <v>85123A</v>
      </c>
      <c r="C579" s="2" t="str">
        <f>IFERROR(__xludf.DUMMYFUNCTION("""COMPUTED_VALUE"""),"WHITE HANGING HEART T-LIGHT HOLDER")</f>
        <v>WHITE HANGING HEART T-LIGHT HOLDER</v>
      </c>
      <c r="D579" s="2">
        <f>IFERROR(__xludf.DUMMYFUNCTION("""COMPUTED_VALUE"""),6.0)</f>
        <v>6</v>
      </c>
      <c r="E579" s="6">
        <f>IFERROR(__xludf.DUMMYFUNCTION("""COMPUTED_VALUE"""),40148.493055555555)</f>
        <v>40148.49306</v>
      </c>
      <c r="F579" s="2">
        <f>IFERROR(__xludf.DUMMYFUNCTION("""COMPUTED_VALUE"""),2.95)</f>
        <v>2.95</v>
      </c>
      <c r="G579" s="2">
        <f>IFERROR(__xludf.DUMMYFUNCTION("""COMPUTED_VALUE"""),12533.0)</f>
        <v>12533</v>
      </c>
      <c r="H579" s="2" t="str">
        <f>IFERROR(__xludf.DUMMYFUNCTION("""COMPUTED_VALUE"""),"Germany")</f>
        <v>Germany</v>
      </c>
      <c r="I579" s="7">
        <f>IFERROR(__xludf.DUMMYFUNCTION("""COMPUTED_VALUE"""),40148.0)</f>
        <v>40148</v>
      </c>
      <c r="J579" s="8">
        <f>IFERROR(__xludf.DUMMYFUNCTION("""COMPUTED_VALUE"""),0.4930555555547471)</f>
        <v>0.4930555556</v>
      </c>
      <c r="K579" s="2">
        <f>IFERROR(__xludf.DUMMYFUNCTION("""COMPUTED_VALUE"""),11.0)</f>
        <v>11</v>
      </c>
      <c r="L579" s="2">
        <f>IFERROR(__xludf.DUMMYFUNCTION("""COMPUTED_VALUE"""),17.7)</f>
        <v>17.7</v>
      </c>
    </row>
    <row r="580">
      <c r="A580" s="2">
        <f>IFERROR(__xludf.DUMMYFUNCTION("""COMPUTED_VALUE"""),489526.0)</f>
        <v>489526</v>
      </c>
      <c r="B580" s="2" t="str">
        <f>IFERROR(__xludf.DUMMYFUNCTION("""COMPUTED_VALUE"""),"20718")</f>
        <v>20718</v>
      </c>
      <c r="C580" s="2" t="str">
        <f>IFERROR(__xludf.DUMMYFUNCTION("""COMPUTED_VALUE"""),"RED SPOTTY SHOPPER BAG")</f>
        <v>RED SPOTTY SHOPPER BAG</v>
      </c>
      <c r="D580" s="2">
        <f>IFERROR(__xludf.DUMMYFUNCTION("""COMPUTED_VALUE"""),10.0)</f>
        <v>10</v>
      </c>
      <c r="E580" s="6">
        <f>IFERROR(__xludf.DUMMYFUNCTION("""COMPUTED_VALUE"""),40148.493055555555)</f>
        <v>40148.49306</v>
      </c>
      <c r="F580" s="2">
        <f>IFERROR(__xludf.DUMMYFUNCTION("""COMPUTED_VALUE"""),1.25)</f>
        <v>1.25</v>
      </c>
      <c r="G580" s="2">
        <f>IFERROR(__xludf.DUMMYFUNCTION("""COMPUTED_VALUE"""),12533.0)</f>
        <v>12533</v>
      </c>
      <c r="H580" s="2" t="str">
        <f>IFERROR(__xludf.DUMMYFUNCTION("""COMPUTED_VALUE"""),"Germany")</f>
        <v>Germany</v>
      </c>
      <c r="I580" s="7">
        <f>IFERROR(__xludf.DUMMYFUNCTION("""COMPUTED_VALUE"""),40148.0)</f>
        <v>40148</v>
      </c>
      <c r="J580" s="8">
        <f>IFERROR(__xludf.DUMMYFUNCTION("""COMPUTED_VALUE"""),0.4930555555547471)</f>
        <v>0.4930555556</v>
      </c>
      <c r="K580" s="2">
        <f>IFERROR(__xludf.DUMMYFUNCTION("""COMPUTED_VALUE"""),11.0)</f>
        <v>11</v>
      </c>
      <c r="L580" s="2">
        <f>IFERROR(__xludf.DUMMYFUNCTION("""COMPUTED_VALUE"""),12.5)</f>
        <v>12.5</v>
      </c>
    </row>
    <row r="581">
      <c r="A581" s="2"/>
      <c r="B581" s="2" t="str">
        <f>IFERROR(__xludf.DUMMYFUNCTION("""COMPUTED_VALUE"""),"21041")</f>
        <v>21041</v>
      </c>
      <c r="C581" s="2" t="str">
        <f>IFERROR(__xludf.DUMMYFUNCTION("""COMPUTED_VALUE"""),"RED SPOTTY OVEN GLOVE DOUBLE")</f>
        <v>RED SPOTTY OVEN GLOVE DOUBLE</v>
      </c>
      <c r="D581" s="2">
        <f>IFERROR(__xludf.DUMMYFUNCTION("""COMPUTED_VALUE"""),-3.0)</f>
        <v>-3</v>
      </c>
      <c r="E581" s="6">
        <f>IFERROR(__xludf.DUMMYFUNCTION("""COMPUTED_VALUE"""),40148.493055555555)</f>
        <v>40148.49306</v>
      </c>
      <c r="F581" s="2">
        <f>IFERROR(__xludf.DUMMYFUNCTION("""COMPUTED_VALUE"""),2.95)</f>
        <v>2.95</v>
      </c>
      <c r="G581" s="2">
        <f>IFERROR(__xludf.DUMMYFUNCTION("""COMPUTED_VALUE"""),16128.0)</f>
        <v>16128</v>
      </c>
      <c r="H581" s="2" t="str">
        <f>IFERROR(__xludf.DUMMYFUNCTION("""COMPUTED_VALUE"""),"United Kingdom")</f>
        <v>United Kingdom</v>
      </c>
      <c r="I581" s="7">
        <f>IFERROR(__xludf.DUMMYFUNCTION("""COMPUTED_VALUE"""),40148.0)</f>
        <v>40148</v>
      </c>
      <c r="J581" s="8">
        <f>IFERROR(__xludf.DUMMYFUNCTION("""COMPUTED_VALUE"""),0.4930555555547471)</f>
        <v>0.4930555556</v>
      </c>
      <c r="K581" s="2">
        <f>IFERROR(__xludf.DUMMYFUNCTION("""COMPUTED_VALUE"""),11.0)</f>
        <v>11</v>
      </c>
      <c r="L581" s="2">
        <f>IFERROR(__xludf.DUMMYFUNCTION("""COMPUTED_VALUE"""),-8.85)</f>
        <v>-8.85</v>
      </c>
    </row>
    <row r="582">
      <c r="A582" s="2"/>
      <c r="B582" s="2" t="str">
        <f>IFERROR(__xludf.DUMMYFUNCTION("""COMPUTED_VALUE"""),"21173")</f>
        <v>21173</v>
      </c>
      <c r="C582" s="2" t="str">
        <f>IFERROR(__xludf.DUMMYFUNCTION("""COMPUTED_VALUE"""),"LOO ROLL METAL SIGN")</f>
        <v>LOO ROLL METAL SIGN</v>
      </c>
      <c r="D582" s="2">
        <f>IFERROR(__xludf.DUMMYFUNCTION("""COMPUTED_VALUE"""),-12.0)</f>
        <v>-12</v>
      </c>
      <c r="E582" s="6">
        <f>IFERROR(__xludf.DUMMYFUNCTION("""COMPUTED_VALUE"""),40148.493055555555)</f>
        <v>40148.49306</v>
      </c>
      <c r="F582" s="2">
        <f>IFERROR(__xludf.DUMMYFUNCTION("""COMPUTED_VALUE"""),1.65)</f>
        <v>1.65</v>
      </c>
      <c r="G582" s="2">
        <f>IFERROR(__xludf.DUMMYFUNCTION("""COMPUTED_VALUE"""),16128.0)</f>
        <v>16128</v>
      </c>
      <c r="H582" s="2" t="str">
        <f>IFERROR(__xludf.DUMMYFUNCTION("""COMPUTED_VALUE"""),"United Kingdom")</f>
        <v>United Kingdom</v>
      </c>
      <c r="I582" s="7">
        <f>IFERROR(__xludf.DUMMYFUNCTION("""COMPUTED_VALUE"""),40148.0)</f>
        <v>40148</v>
      </c>
      <c r="J582" s="8">
        <f>IFERROR(__xludf.DUMMYFUNCTION("""COMPUTED_VALUE"""),0.4930555555547471)</f>
        <v>0.4930555556</v>
      </c>
      <c r="K582" s="2">
        <f>IFERROR(__xludf.DUMMYFUNCTION("""COMPUTED_VALUE"""),11.0)</f>
        <v>11</v>
      </c>
      <c r="L582" s="2">
        <f>IFERROR(__xludf.DUMMYFUNCTION("""COMPUTED_VALUE"""),-19.7999999999999)</f>
        <v>-19.8</v>
      </c>
    </row>
    <row r="583">
      <c r="A583" s="2"/>
      <c r="B583" s="2" t="str">
        <f>IFERROR(__xludf.DUMMYFUNCTION("""COMPUTED_VALUE"""),"85124A")</f>
        <v>85124A</v>
      </c>
      <c r="C583" s="2" t="str">
        <f>IFERROR(__xludf.DUMMYFUNCTION("""COMPUTED_VALUE"""),"PINK JUICY FRUIT PHOTO FRAME")</f>
        <v>PINK JUICY FRUIT PHOTO FRAME</v>
      </c>
      <c r="D583" s="2">
        <f>IFERROR(__xludf.DUMMYFUNCTION("""COMPUTED_VALUE"""),-6.0)</f>
        <v>-6</v>
      </c>
      <c r="E583" s="6">
        <f>IFERROR(__xludf.DUMMYFUNCTION("""COMPUTED_VALUE"""),40148.493055555555)</f>
        <v>40148.49306</v>
      </c>
      <c r="F583" s="2">
        <f>IFERROR(__xludf.DUMMYFUNCTION("""COMPUTED_VALUE"""),2.55)</f>
        <v>2.55</v>
      </c>
      <c r="G583" s="2">
        <f>IFERROR(__xludf.DUMMYFUNCTION("""COMPUTED_VALUE"""),16128.0)</f>
        <v>16128</v>
      </c>
      <c r="H583" s="2" t="str">
        <f>IFERROR(__xludf.DUMMYFUNCTION("""COMPUTED_VALUE"""),"United Kingdom")</f>
        <v>United Kingdom</v>
      </c>
      <c r="I583" s="7">
        <f>IFERROR(__xludf.DUMMYFUNCTION("""COMPUTED_VALUE"""),40148.0)</f>
        <v>40148</v>
      </c>
      <c r="J583" s="8">
        <f>IFERROR(__xludf.DUMMYFUNCTION("""COMPUTED_VALUE"""),0.4930555555547471)</f>
        <v>0.4930555556</v>
      </c>
      <c r="K583" s="2">
        <f>IFERROR(__xludf.DUMMYFUNCTION("""COMPUTED_VALUE"""),11.0)</f>
        <v>11</v>
      </c>
      <c r="L583" s="2">
        <f>IFERROR(__xludf.DUMMYFUNCTION("""COMPUTED_VALUE"""),-15.2999999999999)</f>
        <v>-15.3</v>
      </c>
    </row>
    <row r="584">
      <c r="A584" s="2">
        <f>IFERROR(__xludf.DUMMYFUNCTION("""COMPUTED_VALUE"""),489526.0)</f>
        <v>489526</v>
      </c>
      <c r="B584" s="2" t="str">
        <f>IFERROR(__xludf.DUMMYFUNCTION("""COMPUTED_VALUE"""),"21539")</f>
        <v>21539</v>
      </c>
      <c r="C584" s="2" t="str">
        <f>IFERROR(__xludf.DUMMYFUNCTION("""COMPUTED_VALUE"""),"RETRO SPOTS BUTTER DISH")</f>
        <v>RETRO SPOTS BUTTER DISH</v>
      </c>
      <c r="D584" s="2">
        <f>IFERROR(__xludf.DUMMYFUNCTION("""COMPUTED_VALUE"""),3.0)</f>
        <v>3</v>
      </c>
      <c r="E584" s="6">
        <f>IFERROR(__xludf.DUMMYFUNCTION("""COMPUTED_VALUE"""),40148.493055555555)</f>
        <v>40148.49306</v>
      </c>
      <c r="F584" s="2">
        <f>IFERROR(__xludf.DUMMYFUNCTION("""COMPUTED_VALUE"""),4.95)</f>
        <v>4.95</v>
      </c>
      <c r="G584" s="2">
        <f>IFERROR(__xludf.DUMMYFUNCTION("""COMPUTED_VALUE"""),12533.0)</f>
        <v>12533</v>
      </c>
      <c r="H584" s="2" t="str">
        <f>IFERROR(__xludf.DUMMYFUNCTION("""COMPUTED_VALUE"""),"Germany")</f>
        <v>Germany</v>
      </c>
      <c r="I584" s="7">
        <f>IFERROR(__xludf.DUMMYFUNCTION("""COMPUTED_VALUE"""),40148.0)</f>
        <v>40148</v>
      </c>
      <c r="J584" s="8">
        <f>IFERROR(__xludf.DUMMYFUNCTION("""COMPUTED_VALUE"""),0.4930555555547471)</f>
        <v>0.4930555556</v>
      </c>
      <c r="K584" s="2">
        <f>IFERROR(__xludf.DUMMYFUNCTION("""COMPUTED_VALUE"""),11.0)</f>
        <v>11</v>
      </c>
      <c r="L584" s="2">
        <f>IFERROR(__xludf.DUMMYFUNCTION("""COMPUTED_VALUE"""),14.85)</f>
        <v>14.85</v>
      </c>
    </row>
    <row r="585">
      <c r="A585" s="2">
        <f>IFERROR(__xludf.DUMMYFUNCTION("""COMPUTED_VALUE"""),489526.0)</f>
        <v>489526</v>
      </c>
      <c r="B585" s="2" t="str">
        <f>IFERROR(__xludf.DUMMYFUNCTION("""COMPUTED_VALUE"""),"16169F")</f>
        <v>16169F</v>
      </c>
      <c r="C585" s="2" t="str">
        <f>IFERROR(__xludf.DUMMYFUNCTION("""COMPUTED_VALUE"""),"WRAP BLIZZARD")</f>
        <v>WRAP BLIZZARD</v>
      </c>
      <c r="D585" s="2">
        <f>IFERROR(__xludf.DUMMYFUNCTION("""COMPUTED_VALUE"""),25.0)</f>
        <v>25</v>
      </c>
      <c r="E585" s="6">
        <f>IFERROR(__xludf.DUMMYFUNCTION("""COMPUTED_VALUE"""),40148.493055555555)</f>
        <v>40148.49306</v>
      </c>
      <c r="F585" s="2">
        <f>IFERROR(__xludf.DUMMYFUNCTION("""COMPUTED_VALUE"""),0.42)</f>
        <v>0.42</v>
      </c>
      <c r="G585" s="2">
        <f>IFERROR(__xludf.DUMMYFUNCTION("""COMPUTED_VALUE"""),12533.0)</f>
        <v>12533</v>
      </c>
      <c r="H585" s="2" t="str">
        <f>IFERROR(__xludf.DUMMYFUNCTION("""COMPUTED_VALUE"""),"Germany")</f>
        <v>Germany</v>
      </c>
      <c r="I585" s="7">
        <f>IFERROR(__xludf.DUMMYFUNCTION("""COMPUTED_VALUE"""),40148.0)</f>
        <v>40148</v>
      </c>
      <c r="J585" s="8">
        <f>IFERROR(__xludf.DUMMYFUNCTION("""COMPUTED_VALUE"""),0.4930555555547471)</f>
        <v>0.4930555556</v>
      </c>
      <c r="K585" s="2">
        <f>IFERROR(__xludf.DUMMYFUNCTION("""COMPUTED_VALUE"""),11.0)</f>
        <v>11</v>
      </c>
      <c r="L585" s="2">
        <f>IFERROR(__xludf.DUMMYFUNCTION("""COMPUTED_VALUE"""),10.5)</f>
        <v>10.5</v>
      </c>
    </row>
    <row r="586">
      <c r="A586" s="2">
        <f>IFERROR(__xludf.DUMMYFUNCTION("""COMPUTED_VALUE"""),489526.0)</f>
        <v>489526</v>
      </c>
      <c r="B586" s="2" t="str">
        <f>IFERROR(__xludf.DUMMYFUNCTION("""COMPUTED_VALUE"""),"84836")</f>
        <v>84836</v>
      </c>
      <c r="C586" s="2" t="str">
        <f>IFERROR(__xludf.DUMMYFUNCTION("""COMPUTED_VALUE"""),"ZINC METAL HEART DECORATION")</f>
        <v>ZINC METAL HEART DECORATION</v>
      </c>
      <c r="D586" s="2">
        <f>IFERROR(__xludf.DUMMYFUNCTION("""COMPUTED_VALUE"""),24.0)</f>
        <v>24</v>
      </c>
      <c r="E586" s="6">
        <f>IFERROR(__xludf.DUMMYFUNCTION("""COMPUTED_VALUE"""),40148.493055555555)</f>
        <v>40148.49306</v>
      </c>
      <c r="F586" s="2">
        <f>IFERROR(__xludf.DUMMYFUNCTION("""COMPUTED_VALUE"""),1.25)</f>
        <v>1.25</v>
      </c>
      <c r="G586" s="2">
        <f>IFERROR(__xludf.DUMMYFUNCTION("""COMPUTED_VALUE"""),12533.0)</f>
        <v>12533</v>
      </c>
      <c r="H586" s="2" t="str">
        <f>IFERROR(__xludf.DUMMYFUNCTION("""COMPUTED_VALUE"""),"Germany")</f>
        <v>Germany</v>
      </c>
      <c r="I586" s="7">
        <f>IFERROR(__xludf.DUMMYFUNCTION("""COMPUTED_VALUE"""),40148.0)</f>
        <v>40148</v>
      </c>
      <c r="J586" s="8">
        <f>IFERROR(__xludf.DUMMYFUNCTION("""COMPUTED_VALUE"""),0.4930555555547471)</f>
        <v>0.4930555556</v>
      </c>
      <c r="K586" s="2">
        <f>IFERROR(__xludf.DUMMYFUNCTION("""COMPUTED_VALUE"""),11.0)</f>
        <v>11</v>
      </c>
      <c r="L586" s="2">
        <f>IFERROR(__xludf.DUMMYFUNCTION("""COMPUTED_VALUE"""),30.0)</f>
        <v>30</v>
      </c>
    </row>
    <row r="587">
      <c r="A587" s="2">
        <f>IFERROR(__xludf.DUMMYFUNCTION("""COMPUTED_VALUE"""),489526.0)</f>
        <v>489526</v>
      </c>
      <c r="B587" s="2" t="str">
        <f>IFERROR(__xludf.DUMMYFUNCTION("""COMPUTED_VALUE"""),"21527")</f>
        <v>21527</v>
      </c>
      <c r="C587" s="2" t="str">
        <f>IFERROR(__xludf.DUMMYFUNCTION("""COMPUTED_VALUE"""),"RETRO SPOT TRADITIONAL TEAPOT")</f>
        <v>RETRO SPOT TRADITIONAL TEAPOT</v>
      </c>
      <c r="D587" s="2">
        <f>IFERROR(__xludf.DUMMYFUNCTION("""COMPUTED_VALUE"""),2.0)</f>
        <v>2</v>
      </c>
      <c r="E587" s="6">
        <f>IFERROR(__xludf.DUMMYFUNCTION("""COMPUTED_VALUE"""),40148.493055555555)</f>
        <v>40148.49306</v>
      </c>
      <c r="F587" s="2">
        <f>IFERROR(__xludf.DUMMYFUNCTION("""COMPUTED_VALUE"""),7.95)</f>
        <v>7.95</v>
      </c>
      <c r="G587" s="2">
        <f>IFERROR(__xludf.DUMMYFUNCTION("""COMPUTED_VALUE"""),12533.0)</f>
        <v>12533</v>
      </c>
      <c r="H587" s="2" t="str">
        <f>IFERROR(__xludf.DUMMYFUNCTION("""COMPUTED_VALUE"""),"Germany")</f>
        <v>Germany</v>
      </c>
      <c r="I587" s="7">
        <f>IFERROR(__xludf.DUMMYFUNCTION("""COMPUTED_VALUE"""),40148.0)</f>
        <v>40148</v>
      </c>
      <c r="J587" s="8">
        <f>IFERROR(__xludf.DUMMYFUNCTION("""COMPUTED_VALUE"""),0.4930555555547471)</f>
        <v>0.4930555556</v>
      </c>
      <c r="K587" s="2">
        <f>IFERROR(__xludf.DUMMYFUNCTION("""COMPUTED_VALUE"""),11.0)</f>
        <v>11</v>
      </c>
      <c r="L587" s="2">
        <f>IFERROR(__xludf.DUMMYFUNCTION("""COMPUTED_VALUE"""),15.9)</f>
        <v>15.9</v>
      </c>
    </row>
    <row r="588">
      <c r="A588" s="2">
        <f>IFERROR(__xludf.DUMMYFUNCTION("""COMPUTED_VALUE"""),489526.0)</f>
        <v>489526</v>
      </c>
      <c r="B588" s="2" t="str">
        <f>IFERROR(__xludf.DUMMYFUNCTION("""COMPUTED_VALUE"""),"21533")</f>
        <v>21533</v>
      </c>
      <c r="C588" s="2" t="str">
        <f>IFERROR(__xludf.DUMMYFUNCTION("""COMPUTED_VALUE"""),"RETRO SPOT LARGE MILK JUG")</f>
        <v>RETRO SPOT LARGE MILK JUG</v>
      </c>
      <c r="D588" s="2">
        <f>IFERROR(__xludf.DUMMYFUNCTION("""COMPUTED_VALUE"""),6.0)</f>
        <v>6</v>
      </c>
      <c r="E588" s="6">
        <f>IFERROR(__xludf.DUMMYFUNCTION("""COMPUTED_VALUE"""),40148.493055555555)</f>
        <v>40148.49306</v>
      </c>
      <c r="F588" s="2">
        <f>IFERROR(__xludf.DUMMYFUNCTION("""COMPUTED_VALUE"""),4.95)</f>
        <v>4.95</v>
      </c>
      <c r="G588" s="2">
        <f>IFERROR(__xludf.DUMMYFUNCTION("""COMPUTED_VALUE"""),12533.0)</f>
        <v>12533</v>
      </c>
      <c r="H588" s="2" t="str">
        <f>IFERROR(__xludf.DUMMYFUNCTION("""COMPUTED_VALUE"""),"Germany")</f>
        <v>Germany</v>
      </c>
      <c r="I588" s="7">
        <f>IFERROR(__xludf.DUMMYFUNCTION("""COMPUTED_VALUE"""),40148.0)</f>
        <v>40148</v>
      </c>
      <c r="J588" s="8">
        <f>IFERROR(__xludf.DUMMYFUNCTION("""COMPUTED_VALUE"""),0.4930555555547471)</f>
        <v>0.4930555556</v>
      </c>
      <c r="K588" s="2">
        <f>IFERROR(__xludf.DUMMYFUNCTION("""COMPUTED_VALUE"""),11.0)</f>
        <v>11</v>
      </c>
      <c r="L588" s="2">
        <f>IFERROR(__xludf.DUMMYFUNCTION("""COMPUTED_VALUE"""),29.7)</f>
        <v>29.7</v>
      </c>
    </row>
    <row r="589">
      <c r="A589" s="2">
        <f>IFERROR(__xludf.DUMMYFUNCTION("""COMPUTED_VALUE"""),489526.0)</f>
        <v>489526</v>
      </c>
      <c r="B589" s="2" t="str">
        <f>IFERROR(__xludf.DUMMYFUNCTION("""COMPUTED_VALUE"""),"21531")</f>
        <v>21531</v>
      </c>
      <c r="C589" s="2" t="str">
        <f>IFERROR(__xludf.DUMMYFUNCTION("""COMPUTED_VALUE"""),"RETRO SPOT SUGAR JAM BOWL")</f>
        <v>RETRO SPOT SUGAR JAM BOWL</v>
      </c>
      <c r="D589" s="2">
        <f>IFERROR(__xludf.DUMMYFUNCTION("""COMPUTED_VALUE"""),6.0)</f>
        <v>6</v>
      </c>
      <c r="E589" s="6">
        <f>IFERROR(__xludf.DUMMYFUNCTION("""COMPUTED_VALUE"""),40148.493055555555)</f>
        <v>40148.49306</v>
      </c>
      <c r="F589" s="2">
        <f>IFERROR(__xludf.DUMMYFUNCTION("""COMPUTED_VALUE"""),2.55)</f>
        <v>2.55</v>
      </c>
      <c r="G589" s="2">
        <f>IFERROR(__xludf.DUMMYFUNCTION("""COMPUTED_VALUE"""),12533.0)</f>
        <v>12533</v>
      </c>
      <c r="H589" s="2" t="str">
        <f>IFERROR(__xludf.DUMMYFUNCTION("""COMPUTED_VALUE"""),"Germany")</f>
        <v>Germany</v>
      </c>
      <c r="I589" s="7">
        <f>IFERROR(__xludf.DUMMYFUNCTION("""COMPUTED_VALUE"""),40148.0)</f>
        <v>40148</v>
      </c>
      <c r="J589" s="8">
        <f>IFERROR(__xludf.DUMMYFUNCTION("""COMPUTED_VALUE"""),0.4930555555547471)</f>
        <v>0.4930555556</v>
      </c>
      <c r="K589" s="2">
        <f>IFERROR(__xludf.DUMMYFUNCTION("""COMPUTED_VALUE"""),11.0)</f>
        <v>11</v>
      </c>
      <c r="L589" s="2">
        <f>IFERROR(__xludf.DUMMYFUNCTION("""COMPUTED_VALUE"""),15.2999999999999)</f>
        <v>15.3</v>
      </c>
    </row>
    <row r="590">
      <c r="A590" s="2">
        <f>IFERROR(__xludf.DUMMYFUNCTION("""COMPUTED_VALUE"""),489526.0)</f>
        <v>489526</v>
      </c>
      <c r="B590" s="2" t="str">
        <f>IFERROR(__xludf.DUMMYFUNCTION("""COMPUTED_VALUE"""),"22180")</f>
        <v>22180</v>
      </c>
      <c r="C590" s="2" t="str">
        <f>IFERROR(__xludf.DUMMYFUNCTION("""COMPUTED_VALUE"""),"RETRO SPOT LAMP")</f>
        <v>RETRO SPOT LAMP</v>
      </c>
      <c r="D590" s="2">
        <f>IFERROR(__xludf.DUMMYFUNCTION("""COMPUTED_VALUE"""),3.0)</f>
        <v>3</v>
      </c>
      <c r="E590" s="6">
        <f>IFERROR(__xludf.DUMMYFUNCTION("""COMPUTED_VALUE"""),40148.493055555555)</f>
        <v>40148.49306</v>
      </c>
      <c r="F590" s="2">
        <f>IFERROR(__xludf.DUMMYFUNCTION("""COMPUTED_VALUE"""),9.95)</f>
        <v>9.95</v>
      </c>
      <c r="G590" s="2">
        <f>IFERROR(__xludf.DUMMYFUNCTION("""COMPUTED_VALUE"""),12533.0)</f>
        <v>12533</v>
      </c>
      <c r="H590" s="2" t="str">
        <f>IFERROR(__xludf.DUMMYFUNCTION("""COMPUTED_VALUE"""),"Germany")</f>
        <v>Germany</v>
      </c>
      <c r="I590" s="7">
        <f>IFERROR(__xludf.DUMMYFUNCTION("""COMPUTED_VALUE"""),40148.0)</f>
        <v>40148</v>
      </c>
      <c r="J590" s="8">
        <f>IFERROR(__xludf.DUMMYFUNCTION("""COMPUTED_VALUE"""),0.4930555555547471)</f>
        <v>0.4930555556</v>
      </c>
      <c r="K590" s="2">
        <f>IFERROR(__xludf.DUMMYFUNCTION("""COMPUTED_VALUE"""),11.0)</f>
        <v>11</v>
      </c>
      <c r="L590" s="2">
        <f>IFERROR(__xludf.DUMMYFUNCTION("""COMPUTED_VALUE"""),29.8499999999999)</f>
        <v>29.85</v>
      </c>
    </row>
    <row r="591">
      <c r="A591" s="2">
        <f>IFERROR(__xludf.DUMMYFUNCTION("""COMPUTED_VALUE"""),489526.0)</f>
        <v>489526</v>
      </c>
      <c r="B591" s="2" t="str">
        <f>IFERROR(__xludf.DUMMYFUNCTION("""COMPUTED_VALUE"""),"22333")</f>
        <v>22333</v>
      </c>
      <c r="C591" s="2" t="str">
        <f>IFERROR(__xludf.DUMMYFUNCTION("""COMPUTED_VALUE"""),"RETRO SPORT PARTY BAG + STICKER SET")</f>
        <v>RETRO SPORT PARTY BAG + STICKER SET</v>
      </c>
      <c r="D591" s="2">
        <f>IFERROR(__xludf.DUMMYFUNCTION("""COMPUTED_VALUE"""),8.0)</f>
        <v>8</v>
      </c>
      <c r="E591" s="6">
        <f>IFERROR(__xludf.DUMMYFUNCTION("""COMPUTED_VALUE"""),40148.493055555555)</f>
        <v>40148.49306</v>
      </c>
      <c r="F591" s="2">
        <f>IFERROR(__xludf.DUMMYFUNCTION("""COMPUTED_VALUE"""),1.65)</f>
        <v>1.65</v>
      </c>
      <c r="G591" s="2">
        <f>IFERROR(__xludf.DUMMYFUNCTION("""COMPUTED_VALUE"""),12533.0)</f>
        <v>12533</v>
      </c>
      <c r="H591" s="2" t="str">
        <f>IFERROR(__xludf.DUMMYFUNCTION("""COMPUTED_VALUE"""),"Germany")</f>
        <v>Germany</v>
      </c>
      <c r="I591" s="7">
        <f>IFERROR(__xludf.DUMMYFUNCTION("""COMPUTED_VALUE"""),40148.0)</f>
        <v>40148</v>
      </c>
      <c r="J591" s="8">
        <f>IFERROR(__xludf.DUMMYFUNCTION("""COMPUTED_VALUE"""),0.4930555555547471)</f>
        <v>0.4930555556</v>
      </c>
      <c r="K591" s="2">
        <f>IFERROR(__xludf.DUMMYFUNCTION("""COMPUTED_VALUE"""),11.0)</f>
        <v>11</v>
      </c>
      <c r="L591" s="2">
        <f>IFERROR(__xludf.DUMMYFUNCTION("""COMPUTED_VALUE"""),13.2)</f>
        <v>13.2</v>
      </c>
    </row>
    <row r="592">
      <c r="A592" s="2">
        <f>IFERROR(__xludf.DUMMYFUNCTION("""COMPUTED_VALUE"""),489526.0)</f>
        <v>489526</v>
      </c>
      <c r="B592" s="2" t="str">
        <f>IFERROR(__xludf.DUMMYFUNCTION("""COMPUTED_VALUE"""),"22319")</f>
        <v>22319</v>
      </c>
      <c r="C592" s="2" t="str">
        <f>IFERROR(__xludf.DUMMYFUNCTION("""COMPUTED_VALUE"""),"HAIRCLIPS FORTIES FABRIC ASSORTED")</f>
        <v>HAIRCLIPS FORTIES FABRIC ASSORTED</v>
      </c>
      <c r="D592" s="2">
        <f>IFERROR(__xludf.DUMMYFUNCTION("""COMPUTED_VALUE"""),24.0)</f>
        <v>24</v>
      </c>
      <c r="E592" s="6">
        <f>IFERROR(__xludf.DUMMYFUNCTION("""COMPUTED_VALUE"""),40148.493055555555)</f>
        <v>40148.49306</v>
      </c>
      <c r="F592" s="2">
        <f>IFERROR(__xludf.DUMMYFUNCTION("""COMPUTED_VALUE"""),0.65)</f>
        <v>0.65</v>
      </c>
      <c r="G592" s="2">
        <f>IFERROR(__xludf.DUMMYFUNCTION("""COMPUTED_VALUE"""),12533.0)</f>
        <v>12533</v>
      </c>
      <c r="H592" s="2" t="str">
        <f>IFERROR(__xludf.DUMMYFUNCTION("""COMPUTED_VALUE"""),"Germany")</f>
        <v>Germany</v>
      </c>
      <c r="I592" s="7">
        <f>IFERROR(__xludf.DUMMYFUNCTION("""COMPUTED_VALUE"""),40148.0)</f>
        <v>40148</v>
      </c>
      <c r="J592" s="8">
        <f>IFERROR(__xludf.DUMMYFUNCTION("""COMPUTED_VALUE"""),0.4930555555547471)</f>
        <v>0.4930555556</v>
      </c>
      <c r="K592" s="2">
        <f>IFERROR(__xludf.DUMMYFUNCTION("""COMPUTED_VALUE"""),11.0)</f>
        <v>11</v>
      </c>
      <c r="L592" s="2">
        <f>IFERROR(__xludf.DUMMYFUNCTION("""COMPUTED_VALUE"""),15.6)</f>
        <v>15.6</v>
      </c>
    </row>
    <row r="593">
      <c r="A593" s="2">
        <f>IFERROR(__xludf.DUMMYFUNCTION("""COMPUTED_VALUE"""),489526.0)</f>
        <v>489526</v>
      </c>
      <c r="B593" s="2" t="str">
        <f>IFERROR(__xludf.DUMMYFUNCTION("""COMPUTED_VALUE"""),"85232B")</f>
        <v>85232B</v>
      </c>
      <c r="C593" s="2" t="str">
        <f>IFERROR(__xludf.DUMMYFUNCTION("""COMPUTED_VALUE"""),"SET/3 RUSSIAN DOLL STACKING TINS")</f>
        <v>SET/3 RUSSIAN DOLL STACKING TINS</v>
      </c>
      <c r="D593" s="2">
        <f>IFERROR(__xludf.DUMMYFUNCTION("""COMPUTED_VALUE"""),9.0)</f>
        <v>9</v>
      </c>
      <c r="E593" s="6">
        <f>IFERROR(__xludf.DUMMYFUNCTION("""COMPUTED_VALUE"""),40148.493055555555)</f>
        <v>40148.49306</v>
      </c>
      <c r="F593" s="2">
        <f>IFERROR(__xludf.DUMMYFUNCTION("""COMPUTED_VALUE"""),4.95)</f>
        <v>4.95</v>
      </c>
      <c r="G593" s="2">
        <f>IFERROR(__xludf.DUMMYFUNCTION("""COMPUTED_VALUE"""),12533.0)</f>
        <v>12533</v>
      </c>
      <c r="H593" s="2" t="str">
        <f>IFERROR(__xludf.DUMMYFUNCTION("""COMPUTED_VALUE"""),"Germany")</f>
        <v>Germany</v>
      </c>
      <c r="I593" s="7">
        <f>IFERROR(__xludf.DUMMYFUNCTION("""COMPUTED_VALUE"""),40148.0)</f>
        <v>40148</v>
      </c>
      <c r="J593" s="8">
        <f>IFERROR(__xludf.DUMMYFUNCTION("""COMPUTED_VALUE"""),0.4930555555547471)</f>
        <v>0.4930555556</v>
      </c>
      <c r="K593" s="2">
        <f>IFERROR(__xludf.DUMMYFUNCTION("""COMPUTED_VALUE"""),11.0)</f>
        <v>11</v>
      </c>
      <c r="L593" s="2">
        <f>IFERROR(__xludf.DUMMYFUNCTION("""COMPUTED_VALUE"""),44.55)</f>
        <v>44.55</v>
      </c>
    </row>
    <row r="594">
      <c r="A594" s="2">
        <f>IFERROR(__xludf.DUMMYFUNCTION("""COMPUTED_VALUE"""),489526.0)</f>
        <v>489526</v>
      </c>
      <c r="B594" s="2" t="str">
        <f>IFERROR(__xludf.DUMMYFUNCTION("""COMPUTED_VALUE"""),"20676")</f>
        <v>20676</v>
      </c>
      <c r="C594" s="2" t="str">
        <f>IFERROR(__xludf.DUMMYFUNCTION("""COMPUTED_VALUE"""),"RED SPOTTY BOWL")</f>
        <v>RED SPOTTY BOWL</v>
      </c>
      <c r="D594" s="2">
        <f>IFERROR(__xludf.DUMMYFUNCTION("""COMPUTED_VALUE"""),8.0)</f>
        <v>8</v>
      </c>
      <c r="E594" s="6">
        <f>IFERROR(__xludf.DUMMYFUNCTION("""COMPUTED_VALUE"""),40148.493055555555)</f>
        <v>40148.49306</v>
      </c>
      <c r="F594" s="2">
        <f>IFERROR(__xludf.DUMMYFUNCTION("""COMPUTED_VALUE"""),1.25)</f>
        <v>1.25</v>
      </c>
      <c r="G594" s="2">
        <f>IFERROR(__xludf.DUMMYFUNCTION("""COMPUTED_VALUE"""),12533.0)</f>
        <v>12533</v>
      </c>
      <c r="H594" s="2" t="str">
        <f>IFERROR(__xludf.DUMMYFUNCTION("""COMPUTED_VALUE"""),"Germany")</f>
        <v>Germany</v>
      </c>
      <c r="I594" s="7">
        <f>IFERROR(__xludf.DUMMYFUNCTION("""COMPUTED_VALUE"""),40148.0)</f>
        <v>40148</v>
      </c>
      <c r="J594" s="8">
        <f>IFERROR(__xludf.DUMMYFUNCTION("""COMPUTED_VALUE"""),0.4930555555547471)</f>
        <v>0.4930555556</v>
      </c>
      <c r="K594" s="2">
        <f>IFERROR(__xludf.DUMMYFUNCTION("""COMPUTED_VALUE"""),11.0)</f>
        <v>11</v>
      </c>
      <c r="L594" s="2">
        <f>IFERROR(__xludf.DUMMYFUNCTION("""COMPUTED_VALUE"""),10.0)</f>
        <v>10</v>
      </c>
    </row>
    <row r="595">
      <c r="A595" s="2">
        <f>IFERROR(__xludf.DUMMYFUNCTION("""COMPUTED_VALUE"""),489526.0)</f>
        <v>489526</v>
      </c>
      <c r="B595" s="2" t="str">
        <f>IFERROR(__xludf.DUMMYFUNCTION("""COMPUTED_VALUE"""),"20914")</f>
        <v>20914</v>
      </c>
      <c r="C595" s="2" t="str">
        <f>IFERROR(__xludf.DUMMYFUNCTION("""COMPUTED_VALUE"""),"SET/5 RED SPOTTY LID GLASS BOWLS")</f>
        <v>SET/5 RED SPOTTY LID GLASS BOWLS</v>
      </c>
      <c r="D595" s="2">
        <f>IFERROR(__xludf.DUMMYFUNCTION("""COMPUTED_VALUE"""),12.0)</f>
        <v>12</v>
      </c>
      <c r="E595" s="6">
        <f>IFERROR(__xludf.DUMMYFUNCTION("""COMPUTED_VALUE"""),40148.493055555555)</f>
        <v>40148.49306</v>
      </c>
      <c r="F595" s="2">
        <f>IFERROR(__xludf.DUMMYFUNCTION("""COMPUTED_VALUE"""),2.95)</f>
        <v>2.95</v>
      </c>
      <c r="G595" s="2">
        <f>IFERROR(__xludf.DUMMYFUNCTION("""COMPUTED_VALUE"""),12533.0)</f>
        <v>12533</v>
      </c>
      <c r="H595" s="2" t="str">
        <f>IFERROR(__xludf.DUMMYFUNCTION("""COMPUTED_VALUE"""),"Germany")</f>
        <v>Germany</v>
      </c>
      <c r="I595" s="7">
        <f>IFERROR(__xludf.DUMMYFUNCTION("""COMPUTED_VALUE"""),40148.0)</f>
        <v>40148</v>
      </c>
      <c r="J595" s="8">
        <f>IFERROR(__xludf.DUMMYFUNCTION("""COMPUTED_VALUE"""),0.4930555555547471)</f>
        <v>0.4930555556</v>
      </c>
      <c r="K595" s="2">
        <f>IFERROR(__xludf.DUMMYFUNCTION("""COMPUTED_VALUE"""),11.0)</f>
        <v>11</v>
      </c>
      <c r="L595" s="2">
        <f>IFERROR(__xludf.DUMMYFUNCTION("""COMPUTED_VALUE"""),35.4)</f>
        <v>35.4</v>
      </c>
    </row>
    <row r="596">
      <c r="A596" s="2">
        <f>IFERROR(__xludf.DUMMYFUNCTION("""COMPUTED_VALUE"""),489526.0)</f>
        <v>489526</v>
      </c>
      <c r="B596" s="2" t="str">
        <f>IFERROR(__xludf.DUMMYFUNCTION("""COMPUTED_VALUE"""),"21217")</f>
        <v>21217</v>
      </c>
      <c r="C596" s="2" t="str">
        <f>IFERROR(__xludf.DUMMYFUNCTION("""COMPUTED_VALUE"""),"RED SPOTTY ROUND CAKE TINS")</f>
        <v>RED SPOTTY ROUND CAKE TINS</v>
      </c>
      <c r="D596" s="2">
        <f>IFERROR(__xludf.DUMMYFUNCTION("""COMPUTED_VALUE"""),3.0)</f>
        <v>3</v>
      </c>
      <c r="E596" s="6">
        <f>IFERROR(__xludf.DUMMYFUNCTION("""COMPUTED_VALUE"""),40148.493055555555)</f>
        <v>40148.49306</v>
      </c>
      <c r="F596" s="2">
        <f>IFERROR(__xludf.DUMMYFUNCTION("""COMPUTED_VALUE"""),9.95)</f>
        <v>9.95</v>
      </c>
      <c r="G596" s="2">
        <f>IFERROR(__xludf.DUMMYFUNCTION("""COMPUTED_VALUE"""),12533.0)</f>
        <v>12533</v>
      </c>
      <c r="H596" s="2" t="str">
        <f>IFERROR(__xludf.DUMMYFUNCTION("""COMPUTED_VALUE"""),"Germany")</f>
        <v>Germany</v>
      </c>
      <c r="I596" s="7">
        <f>IFERROR(__xludf.DUMMYFUNCTION("""COMPUTED_VALUE"""),40148.0)</f>
        <v>40148</v>
      </c>
      <c r="J596" s="8">
        <f>IFERROR(__xludf.DUMMYFUNCTION("""COMPUTED_VALUE"""),0.4930555555547471)</f>
        <v>0.4930555556</v>
      </c>
      <c r="K596" s="2">
        <f>IFERROR(__xludf.DUMMYFUNCTION("""COMPUTED_VALUE"""),11.0)</f>
        <v>11</v>
      </c>
      <c r="L596" s="2">
        <f>IFERROR(__xludf.DUMMYFUNCTION("""COMPUTED_VALUE"""),29.8499999999999)</f>
        <v>29.85</v>
      </c>
    </row>
    <row r="597">
      <c r="A597" s="2">
        <f>IFERROR(__xludf.DUMMYFUNCTION("""COMPUTED_VALUE"""),489526.0)</f>
        <v>489526</v>
      </c>
      <c r="B597" s="2" t="str">
        <f>IFERROR(__xludf.DUMMYFUNCTION("""COMPUTED_VALUE"""),"21238")</f>
        <v>21238</v>
      </c>
      <c r="C597" s="2" t="str">
        <f>IFERROR(__xludf.DUMMYFUNCTION("""COMPUTED_VALUE"""),"RED SPOTTY CUP")</f>
        <v>RED SPOTTY CUP</v>
      </c>
      <c r="D597" s="2">
        <f>IFERROR(__xludf.DUMMYFUNCTION("""COMPUTED_VALUE"""),16.0)</f>
        <v>16</v>
      </c>
      <c r="E597" s="6">
        <f>IFERROR(__xludf.DUMMYFUNCTION("""COMPUTED_VALUE"""),40148.493055555555)</f>
        <v>40148.49306</v>
      </c>
      <c r="F597" s="2">
        <f>IFERROR(__xludf.DUMMYFUNCTION("""COMPUTED_VALUE"""),0.85)</f>
        <v>0.85</v>
      </c>
      <c r="G597" s="2">
        <f>IFERROR(__xludf.DUMMYFUNCTION("""COMPUTED_VALUE"""),12533.0)</f>
        <v>12533</v>
      </c>
      <c r="H597" s="2" t="str">
        <f>IFERROR(__xludf.DUMMYFUNCTION("""COMPUTED_VALUE"""),"Germany")</f>
        <v>Germany</v>
      </c>
      <c r="I597" s="7">
        <f>IFERROR(__xludf.DUMMYFUNCTION("""COMPUTED_VALUE"""),40148.0)</f>
        <v>40148</v>
      </c>
      <c r="J597" s="8">
        <f>IFERROR(__xludf.DUMMYFUNCTION("""COMPUTED_VALUE"""),0.4930555555547471)</f>
        <v>0.4930555556</v>
      </c>
      <c r="K597" s="2">
        <f>IFERROR(__xludf.DUMMYFUNCTION("""COMPUTED_VALUE"""),11.0)</f>
        <v>11</v>
      </c>
      <c r="L597" s="2">
        <f>IFERROR(__xludf.DUMMYFUNCTION("""COMPUTED_VALUE"""),13.6)</f>
        <v>13.6</v>
      </c>
    </row>
    <row r="598">
      <c r="A598" s="2">
        <f>IFERROR(__xludf.DUMMYFUNCTION("""COMPUTED_VALUE"""),489526.0)</f>
        <v>489526</v>
      </c>
      <c r="B598" s="2" t="str">
        <f>IFERROR(__xludf.DUMMYFUNCTION("""COMPUTED_VALUE"""),"21242")</f>
        <v>21242</v>
      </c>
      <c r="C598" s="2" t="str">
        <f>IFERROR(__xludf.DUMMYFUNCTION("""COMPUTED_VALUE"""),"RED SPOTTY PLATE")</f>
        <v>RED SPOTTY PLATE</v>
      </c>
      <c r="D598" s="2">
        <f>IFERROR(__xludf.DUMMYFUNCTION("""COMPUTED_VALUE"""),8.0)</f>
        <v>8</v>
      </c>
      <c r="E598" s="6">
        <f>IFERROR(__xludf.DUMMYFUNCTION("""COMPUTED_VALUE"""),40148.493055555555)</f>
        <v>40148.49306</v>
      </c>
      <c r="F598" s="2">
        <f>IFERROR(__xludf.DUMMYFUNCTION("""COMPUTED_VALUE"""),1.69)</f>
        <v>1.69</v>
      </c>
      <c r="G598" s="2">
        <f>IFERROR(__xludf.DUMMYFUNCTION("""COMPUTED_VALUE"""),12533.0)</f>
        <v>12533</v>
      </c>
      <c r="H598" s="2" t="str">
        <f>IFERROR(__xludf.DUMMYFUNCTION("""COMPUTED_VALUE"""),"Germany")</f>
        <v>Germany</v>
      </c>
      <c r="I598" s="7">
        <f>IFERROR(__xludf.DUMMYFUNCTION("""COMPUTED_VALUE"""),40148.0)</f>
        <v>40148</v>
      </c>
      <c r="J598" s="8">
        <f>IFERROR(__xludf.DUMMYFUNCTION("""COMPUTED_VALUE"""),0.4930555555547471)</f>
        <v>0.4930555556</v>
      </c>
      <c r="K598" s="2">
        <f>IFERROR(__xludf.DUMMYFUNCTION("""COMPUTED_VALUE"""),11.0)</f>
        <v>11</v>
      </c>
      <c r="L598" s="2">
        <f>IFERROR(__xludf.DUMMYFUNCTION("""COMPUTED_VALUE"""),13.52)</f>
        <v>13.52</v>
      </c>
    </row>
    <row r="599">
      <c r="A599" s="2">
        <f>IFERROR(__xludf.DUMMYFUNCTION("""COMPUTED_VALUE"""),489526.0)</f>
        <v>489526</v>
      </c>
      <c r="B599" s="2" t="str">
        <f>IFERROR(__xludf.DUMMYFUNCTION("""COMPUTED_VALUE"""),"22232")</f>
        <v>22232</v>
      </c>
      <c r="C599" s="2" t="str">
        <f>IFERROR(__xludf.DUMMYFUNCTION("""COMPUTED_VALUE"""),"JIGSAW TOADSTOOLS 3 PIECE")</f>
        <v>JIGSAW TOADSTOOLS 3 PIECE</v>
      </c>
      <c r="D599" s="2">
        <f>IFERROR(__xludf.DUMMYFUNCTION("""COMPUTED_VALUE"""),8.0)</f>
        <v>8</v>
      </c>
      <c r="E599" s="6">
        <f>IFERROR(__xludf.DUMMYFUNCTION("""COMPUTED_VALUE"""),40148.493055555555)</f>
        <v>40148.49306</v>
      </c>
      <c r="F599" s="2">
        <f>IFERROR(__xludf.DUMMYFUNCTION("""COMPUTED_VALUE"""),1.65)</f>
        <v>1.65</v>
      </c>
      <c r="G599" s="2">
        <f>IFERROR(__xludf.DUMMYFUNCTION("""COMPUTED_VALUE"""),12533.0)</f>
        <v>12533</v>
      </c>
      <c r="H599" s="2" t="str">
        <f>IFERROR(__xludf.DUMMYFUNCTION("""COMPUTED_VALUE"""),"Germany")</f>
        <v>Germany</v>
      </c>
      <c r="I599" s="7">
        <f>IFERROR(__xludf.DUMMYFUNCTION("""COMPUTED_VALUE"""),40148.0)</f>
        <v>40148</v>
      </c>
      <c r="J599" s="8">
        <f>IFERROR(__xludf.DUMMYFUNCTION("""COMPUTED_VALUE"""),0.4930555555547471)</f>
        <v>0.4930555556</v>
      </c>
      <c r="K599" s="2">
        <f>IFERROR(__xludf.DUMMYFUNCTION("""COMPUTED_VALUE"""),11.0)</f>
        <v>11</v>
      </c>
      <c r="L599" s="2">
        <f>IFERROR(__xludf.DUMMYFUNCTION("""COMPUTED_VALUE"""),13.2)</f>
        <v>13.2</v>
      </c>
    </row>
    <row r="600">
      <c r="A600" s="2">
        <f>IFERROR(__xludf.DUMMYFUNCTION("""COMPUTED_VALUE"""),489526.0)</f>
        <v>489526</v>
      </c>
      <c r="B600" s="2" t="str">
        <f>IFERROR(__xludf.DUMMYFUNCTION("""COMPUTED_VALUE"""),"21535")</f>
        <v>21535</v>
      </c>
      <c r="C600" s="2" t="str">
        <f>IFERROR(__xludf.DUMMYFUNCTION("""COMPUTED_VALUE"""),"RETRO SPOT SMALL MILK JUG")</f>
        <v>RETRO SPOT SMALL MILK JUG</v>
      </c>
      <c r="D600" s="2">
        <f>IFERROR(__xludf.DUMMYFUNCTION("""COMPUTED_VALUE"""),6.0)</f>
        <v>6</v>
      </c>
      <c r="E600" s="6">
        <f>IFERROR(__xludf.DUMMYFUNCTION("""COMPUTED_VALUE"""),40148.493055555555)</f>
        <v>40148.49306</v>
      </c>
      <c r="F600" s="2">
        <f>IFERROR(__xludf.DUMMYFUNCTION("""COMPUTED_VALUE"""),2.55)</f>
        <v>2.55</v>
      </c>
      <c r="G600" s="2">
        <f>IFERROR(__xludf.DUMMYFUNCTION("""COMPUTED_VALUE"""),12533.0)</f>
        <v>12533</v>
      </c>
      <c r="H600" s="2" t="str">
        <f>IFERROR(__xludf.DUMMYFUNCTION("""COMPUTED_VALUE"""),"Germany")</f>
        <v>Germany</v>
      </c>
      <c r="I600" s="7">
        <f>IFERROR(__xludf.DUMMYFUNCTION("""COMPUTED_VALUE"""),40148.0)</f>
        <v>40148</v>
      </c>
      <c r="J600" s="8">
        <f>IFERROR(__xludf.DUMMYFUNCTION("""COMPUTED_VALUE"""),0.4930555555547471)</f>
        <v>0.4930555556</v>
      </c>
      <c r="K600" s="2">
        <f>IFERROR(__xludf.DUMMYFUNCTION("""COMPUTED_VALUE"""),11.0)</f>
        <v>11</v>
      </c>
      <c r="L600" s="2">
        <f>IFERROR(__xludf.DUMMYFUNCTION("""COMPUTED_VALUE"""),15.2999999999999)</f>
        <v>15.3</v>
      </c>
    </row>
    <row r="601">
      <c r="A601" s="2">
        <f>IFERROR(__xludf.DUMMYFUNCTION("""COMPUTED_VALUE"""),489526.0)</f>
        <v>489526</v>
      </c>
      <c r="B601" s="2" t="str">
        <f>IFERROR(__xludf.DUMMYFUNCTION("""COMPUTED_VALUE"""),"21844")</f>
        <v>21844</v>
      </c>
      <c r="C601" s="2" t="str">
        <f>IFERROR(__xludf.DUMMYFUNCTION("""COMPUTED_VALUE"""),"RETRO SPOT MUG")</f>
        <v>RETRO SPOT MUG</v>
      </c>
      <c r="D601" s="2">
        <f>IFERROR(__xludf.DUMMYFUNCTION("""COMPUTED_VALUE"""),6.0)</f>
        <v>6</v>
      </c>
      <c r="E601" s="6">
        <f>IFERROR(__xludf.DUMMYFUNCTION("""COMPUTED_VALUE"""),40148.493055555555)</f>
        <v>40148.49306</v>
      </c>
      <c r="F601" s="2">
        <f>IFERROR(__xludf.DUMMYFUNCTION("""COMPUTED_VALUE"""),2.95)</f>
        <v>2.95</v>
      </c>
      <c r="G601" s="2">
        <f>IFERROR(__xludf.DUMMYFUNCTION("""COMPUTED_VALUE"""),12533.0)</f>
        <v>12533</v>
      </c>
      <c r="H601" s="2" t="str">
        <f>IFERROR(__xludf.DUMMYFUNCTION("""COMPUTED_VALUE"""),"Germany")</f>
        <v>Germany</v>
      </c>
      <c r="I601" s="7">
        <f>IFERROR(__xludf.DUMMYFUNCTION("""COMPUTED_VALUE"""),40148.0)</f>
        <v>40148</v>
      </c>
      <c r="J601" s="8">
        <f>IFERROR(__xludf.DUMMYFUNCTION("""COMPUTED_VALUE"""),0.4930555555547471)</f>
        <v>0.4930555556</v>
      </c>
      <c r="K601" s="2">
        <f>IFERROR(__xludf.DUMMYFUNCTION("""COMPUTED_VALUE"""),11.0)</f>
        <v>11</v>
      </c>
      <c r="L601" s="2">
        <f>IFERROR(__xludf.DUMMYFUNCTION("""COMPUTED_VALUE"""),17.7)</f>
        <v>17.7</v>
      </c>
    </row>
    <row r="602">
      <c r="A602" s="2">
        <f>IFERROR(__xludf.DUMMYFUNCTION("""COMPUTED_VALUE"""),489526.0)</f>
        <v>489526</v>
      </c>
      <c r="B602" s="2" t="str">
        <f>IFERROR(__xludf.DUMMYFUNCTION("""COMPUTED_VALUE"""),"22073")</f>
        <v>22073</v>
      </c>
      <c r="C602" s="2" t="str">
        <f>IFERROR(__xludf.DUMMYFUNCTION("""COMPUTED_VALUE"""),"RETRO SPOT STORAGE JAR")</f>
        <v>RETRO SPOT STORAGE JAR</v>
      </c>
      <c r="D602" s="2">
        <f>IFERROR(__xludf.DUMMYFUNCTION("""COMPUTED_VALUE"""),4.0)</f>
        <v>4</v>
      </c>
      <c r="E602" s="6">
        <f>IFERROR(__xludf.DUMMYFUNCTION("""COMPUTED_VALUE"""),40148.493055555555)</f>
        <v>40148.49306</v>
      </c>
      <c r="F602" s="2">
        <f>IFERROR(__xludf.DUMMYFUNCTION("""COMPUTED_VALUE"""),3.75)</f>
        <v>3.75</v>
      </c>
      <c r="G602" s="2">
        <f>IFERROR(__xludf.DUMMYFUNCTION("""COMPUTED_VALUE"""),12533.0)</f>
        <v>12533</v>
      </c>
      <c r="H602" s="2" t="str">
        <f>IFERROR(__xludf.DUMMYFUNCTION("""COMPUTED_VALUE"""),"Germany")</f>
        <v>Germany</v>
      </c>
      <c r="I602" s="7">
        <f>IFERROR(__xludf.DUMMYFUNCTION("""COMPUTED_VALUE"""),40148.0)</f>
        <v>40148</v>
      </c>
      <c r="J602" s="8">
        <f>IFERROR(__xludf.DUMMYFUNCTION("""COMPUTED_VALUE"""),0.4930555555547471)</f>
        <v>0.4930555556</v>
      </c>
      <c r="K602" s="2">
        <f>IFERROR(__xludf.DUMMYFUNCTION("""COMPUTED_VALUE"""),11.0)</f>
        <v>11</v>
      </c>
      <c r="L602" s="2">
        <f>IFERROR(__xludf.DUMMYFUNCTION("""COMPUTED_VALUE"""),15.0)</f>
        <v>15</v>
      </c>
    </row>
    <row r="603">
      <c r="A603" s="2">
        <f>IFERROR(__xludf.DUMMYFUNCTION("""COMPUTED_VALUE"""),489526.0)</f>
        <v>489526</v>
      </c>
      <c r="B603" s="2" t="str">
        <f>IFERROR(__xludf.DUMMYFUNCTION("""COMPUTED_VALUE"""),"22072")</f>
        <v>22072</v>
      </c>
      <c r="C603" s="2" t="str">
        <f>IFERROR(__xludf.DUMMYFUNCTION("""COMPUTED_VALUE"""),"TEA CUP AND SAUCER RETRO SPOT")</f>
        <v>TEA CUP AND SAUCER RETRO SPOT</v>
      </c>
      <c r="D603" s="2">
        <f>IFERROR(__xludf.DUMMYFUNCTION("""COMPUTED_VALUE"""),4.0)</f>
        <v>4</v>
      </c>
      <c r="E603" s="6">
        <f>IFERROR(__xludf.DUMMYFUNCTION("""COMPUTED_VALUE"""),40148.493055555555)</f>
        <v>40148.49306</v>
      </c>
      <c r="F603" s="2">
        <f>IFERROR(__xludf.DUMMYFUNCTION("""COMPUTED_VALUE"""),3.75)</f>
        <v>3.75</v>
      </c>
      <c r="G603" s="2">
        <f>IFERROR(__xludf.DUMMYFUNCTION("""COMPUTED_VALUE"""),12533.0)</f>
        <v>12533</v>
      </c>
      <c r="H603" s="2" t="str">
        <f>IFERROR(__xludf.DUMMYFUNCTION("""COMPUTED_VALUE"""),"Germany")</f>
        <v>Germany</v>
      </c>
      <c r="I603" s="7">
        <f>IFERROR(__xludf.DUMMYFUNCTION("""COMPUTED_VALUE"""),40148.0)</f>
        <v>40148</v>
      </c>
      <c r="J603" s="8">
        <f>IFERROR(__xludf.DUMMYFUNCTION("""COMPUTED_VALUE"""),0.4930555555547471)</f>
        <v>0.4930555556</v>
      </c>
      <c r="K603" s="2">
        <f>IFERROR(__xludf.DUMMYFUNCTION("""COMPUTED_VALUE"""),11.0)</f>
        <v>11</v>
      </c>
      <c r="L603" s="2">
        <f>IFERROR(__xludf.DUMMYFUNCTION("""COMPUTED_VALUE"""),15.0)</f>
        <v>15</v>
      </c>
    </row>
    <row r="604">
      <c r="A604" s="2">
        <f>IFERROR(__xludf.DUMMYFUNCTION("""COMPUTED_VALUE"""),489526.0)</f>
        <v>489526</v>
      </c>
      <c r="B604" s="2" t="str">
        <f>IFERROR(__xludf.DUMMYFUNCTION("""COMPUTED_VALUE"""),"22321")</f>
        <v>22321</v>
      </c>
      <c r="C604" s="2" t="str">
        <f>IFERROR(__xludf.DUMMYFUNCTION("""COMPUTED_VALUE"""),"BIRD DECORATION RED SPOT")</f>
        <v>BIRD DECORATION RED SPOT</v>
      </c>
      <c r="D604" s="2">
        <f>IFERROR(__xludf.DUMMYFUNCTION("""COMPUTED_VALUE"""),24.0)</f>
        <v>24</v>
      </c>
      <c r="E604" s="6">
        <f>IFERROR(__xludf.DUMMYFUNCTION("""COMPUTED_VALUE"""),40148.493055555555)</f>
        <v>40148.49306</v>
      </c>
      <c r="F604" s="2">
        <f>IFERROR(__xludf.DUMMYFUNCTION("""COMPUTED_VALUE"""),0.85)</f>
        <v>0.85</v>
      </c>
      <c r="G604" s="2">
        <f>IFERROR(__xludf.DUMMYFUNCTION("""COMPUTED_VALUE"""),12533.0)</f>
        <v>12533</v>
      </c>
      <c r="H604" s="2" t="str">
        <f>IFERROR(__xludf.DUMMYFUNCTION("""COMPUTED_VALUE"""),"Germany")</f>
        <v>Germany</v>
      </c>
      <c r="I604" s="7">
        <f>IFERROR(__xludf.DUMMYFUNCTION("""COMPUTED_VALUE"""),40148.0)</f>
        <v>40148</v>
      </c>
      <c r="J604" s="8">
        <f>IFERROR(__xludf.DUMMYFUNCTION("""COMPUTED_VALUE"""),0.4930555555547471)</f>
        <v>0.4930555556</v>
      </c>
      <c r="K604" s="2">
        <f>IFERROR(__xludf.DUMMYFUNCTION("""COMPUTED_VALUE"""),11.0)</f>
        <v>11</v>
      </c>
      <c r="L604" s="2">
        <f>IFERROR(__xludf.DUMMYFUNCTION("""COMPUTED_VALUE"""),20.4)</f>
        <v>20.4</v>
      </c>
    </row>
    <row r="605">
      <c r="A605" s="2">
        <f>IFERROR(__xludf.DUMMYFUNCTION("""COMPUTED_VALUE"""),489526.0)</f>
        <v>489526</v>
      </c>
      <c r="B605" s="2" t="str">
        <f>IFERROR(__xludf.DUMMYFUNCTION("""COMPUTED_VALUE"""),"15056BL")</f>
        <v>15056BL</v>
      </c>
      <c r="C605" s="2" t="str">
        <f>IFERROR(__xludf.DUMMYFUNCTION("""COMPUTED_VALUE"""),"EDWARDIAN PARASOL BLACK")</f>
        <v>EDWARDIAN PARASOL BLACK</v>
      </c>
      <c r="D605" s="2">
        <f>IFERROR(__xludf.DUMMYFUNCTION("""COMPUTED_VALUE"""),6.0)</f>
        <v>6</v>
      </c>
      <c r="E605" s="6">
        <f>IFERROR(__xludf.DUMMYFUNCTION("""COMPUTED_VALUE"""),40148.493055555555)</f>
        <v>40148.49306</v>
      </c>
      <c r="F605" s="2">
        <f>IFERROR(__xludf.DUMMYFUNCTION("""COMPUTED_VALUE"""),5.95)</f>
        <v>5.95</v>
      </c>
      <c r="G605" s="2">
        <f>IFERROR(__xludf.DUMMYFUNCTION("""COMPUTED_VALUE"""),12533.0)</f>
        <v>12533</v>
      </c>
      <c r="H605" s="2" t="str">
        <f>IFERROR(__xludf.DUMMYFUNCTION("""COMPUTED_VALUE"""),"Germany")</f>
        <v>Germany</v>
      </c>
      <c r="I605" s="7">
        <f>IFERROR(__xludf.DUMMYFUNCTION("""COMPUTED_VALUE"""),40148.0)</f>
        <v>40148</v>
      </c>
      <c r="J605" s="8">
        <f>IFERROR(__xludf.DUMMYFUNCTION("""COMPUTED_VALUE"""),0.4930555555547471)</f>
        <v>0.4930555556</v>
      </c>
      <c r="K605" s="2">
        <f>IFERROR(__xludf.DUMMYFUNCTION("""COMPUTED_VALUE"""),11.0)</f>
        <v>11</v>
      </c>
      <c r="L605" s="2">
        <f>IFERROR(__xludf.DUMMYFUNCTION("""COMPUTED_VALUE"""),35.7)</f>
        <v>35.7</v>
      </c>
    </row>
    <row r="606">
      <c r="A606" s="2">
        <f>IFERROR(__xludf.DUMMYFUNCTION("""COMPUTED_VALUE"""),489526.0)</f>
        <v>489526</v>
      </c>
      <c r="B606" s="2" t="str">
        <f>IFERROR(__xludf.DUMMYFUNCTION("""COMPUTED_VALUE"""),"15056N")</f>
        <v>15056N</v>
      </c>
      <c r="C606" s="2" t="str">
        <f>IFERROR(__xludf.DUMMYFUNCTION("""COMPUTED_VALUE"""),"EDWARDIAN PARASOL NATURAL")</f>
        <v>EDWARDIAN PARASOL NATURAL</v>
      </c>
      <c r="D606" s="2">
        <f>IFERROR(__xludf.DUMMYFUNCTION("""COMPUTED_VALUE"""),6.0)</f>
        <v>6</v>
      </c>
      <c r="E606" s="6">
        <f>IFERROR(__xludf.DUMMYFUNCTION("""COMPUTED_VALUE"""),40148.493055555555)</f>
        <v>40148.49306</v>
      </c>
      <c r="F606" s="2">
        <f>IFERROR(__xludf.DUMMYFUNCTION("""COMPUTED_VALUE"""),5.95)</f>
        <v>5.95</v>
      </c>
      <c r="G606" s="2">
        <f>IFERROR(__xludf.DUMMYFUNCTION("""COMPUTED_VALUE"""),12533.0)</f>
        <v>12533</v>
      </c>
      <c r="H606" s="2" t="str">
        <f>IFERROR(__xludf.DUMMYFUNCTION("""COMPUTED_VALUE"""),"Germany")</f>
        <v>Germany</v>
      </c>
      <c r="I606" s="7">
        <f>IFERROR(__xludf.DUMMYFUNCTION("""COMPUTED_VALUE"""),40148.0)</f>
        <v>40148</v>
      </c>
      <c r="J606" s="8">
        <f>IFERROR(__xludf.DUMMYFUNCTION("""COMPUTED_VALUE"""),0.4930555555547471)</f>
        <v>0.4930555556</v>
      </c>
      <c r="K606" s="2">
        <f>IFERROR(__xludf.DUMMYFUNCTION("""COMPUTED_VALUE"""),11.0)</f>
        <v>11</v>
      </c>
      <c r="L606" s="2">
        <f>IFERROR(__xludf.DUMMYFUNCTION("""COMPUTED_VALUE"""),35.7)</f>
        <v>35.7</v>
      </c>
    </row>
    <row r="607">
      <c r="A607" s="2">
        <f>IFERROR(__xludf.DUMMYFUNCTION("""COMPUTED_VALUE"""),489526.0)</f>
        <v>489526</v>
      </c>
      <c r="B607" s="2" t="str">
        <f>IFERROR(__xludf.DUMMYFUNCTION("""COMPUTED_VALUE"""),"21731")</f>
        <v>21731</v>
      </c>
      <c r="C607" s="2" t="str">
        <f>IFERROR(__xludf.DUMMYFUNCTION("""COMPUTED_VALUE"""),"RED TOADSTOOL LED NIGHT LIGHT")</f>
        <v>RED TOADSTOOL LED NIGHT LIGHT</v>
      </c>
      <c r="D607" s="2">
        <f>IFERROR(__xludf.DUMMYFUNCTION("""COMPUTED_VALUE"""),12.0)</f>
        <v>12</v>
      </c>
      <c r="E607" s="6">
        <f>IFERROR(__xludf.DUMMYFUNCTION("""COMPUTED_VALUE"""),40148.493055555555)</f>
        <v>40148.49306</v>
      </c>
      <c r="F607" s="2">
        <f>IFERROR(__xludf.DUMMYFUNCTION("""COMPUTED_VALUE"""),1.65)</f>
        <v>1.65</v>
      </c>
      <c r="G607" s="2">
        <f>IFERROR(__xludf.DUMMYFUNCTION("""COMPUTED_VALUE"""),12533.0)</f>
        <v>12533</v>
      </c>
      <c r="H607" s="2" t="str">
        <f>IFERROR(__xludf.DUMMYFUNCTION("""COMPUTED_VALUE"""),"Germany")</f>
        <v>Germany</v>
      </c>
      <c r="I607" s="7">
        <f>IFERROR(__xludf.DUMMYFUNCTION("""COMPUTED_VALUE"""),40148.0)</f>
        <v>40148</v>
      </c>
      <c r="J607" s="8">
        <f>IFERROR(__xludf.DUMMYFUNCTION("""COMPUTED_VALUE"""),0.4930555555547471)</f>
        <v>0.4930555556</v>
      </c>
      <c r="K607" s="2">
        <f>IFERROR(__xludf.DUMMYFUNCTION("""COMPUTED_VALUE"""),11.0)</f>
        <v>11</v>
      </c>
      <c r="L607" s="2">
        <f>IFERROR(__xludf.DUMMYFUNCTION("""COMPUTED_VALUE"""),19.7999999999999)</f>
        <v>19.8</v>
      </c>
    </row>
    <row r="608">
      <c r="A608" s="2">
        <f>IFERROR(__xludf.DUMMYFUNCTION("""COMPUTED_VALUE"""),489526.0)</f>
        <v>489526</v>
      </c>
      <c r="B608" s="2" t="str">
        <f>IFERROR(__xludf.DUMMYFUNCTION("""COMPUTED_VALUE"""),"22254")</f>
        <v>22254</v>
      </c>
      <c r="C608" s="2" t="str">
        <f>IFERROR(__xludf.DUMMYFUNCTION("""COMPUTED_VALUE"""),"FELT TOADSTOOL LARGE")</f>
        <v>FELT TOADSTOOL LARGE</v>
      </c>
      <c r="D608" s="2">
        <f>IFERROR(__xludf.DUMMYFUNCTION("""COMPUTED_VALUE"""),12.0)</f>
        <v>12</v>
      </c>
      <c r="E608" s="6">
        <f>IFERROR(__xludf.DUMMYFUNCTION("""COMPUTED_VALUE"""),40148.493055555555)</f>
        <v>40148.49306</v>
      </c>
      <c r="F608" s="2">
        <f>IFERROR(__xludf.DUMMYFUNCTION("""COMPUTED_VALUE"""),1.25)</f>
        <v>1.25</v>
      </c>
      <c r="G608" s="2">
        <f>IFERROR(__xludf.DUMMYFUNCTION("""COMPUTED_VALUE"""),12533.0)</f>
        <v>12533</v>
      </c>
      <c r="H608" s="2" t="str">
        <f>IFERROR(__xludf.DUMMYFUNCTION("""COMPUTED_VALUE"""),"Germany")</f>
        <v>Germany</v>
      </c>
      <c r="I608" s="7">
        <f>IFERROR(__xludf.DUMMYFUNCTION("""COMPUTED_VALUE"""),40148.0)</f>
        <v>40148</v>
      </c>
      <c r="J608" s="8">
        <f>IFERROR(__xludf.DUMMYFUNCTION("""COMPUTED_VALUE"""),0.4930555555547471)</f>
        <v>0.4930555556</v>
      </c>
      <c r="K608" s="2">
        <f>IFERROR(__xludf.DUMMYFUNCTION("""COMPUTED_VALUE"""),11.0)</f>
        <v>11</v>
      </c>
      <c r="L608" s="2">
        <f>IFERROR(__xludf.DUMMYFUNCTION("""COMPUTED_VALUE"""),15.0)</f>
        <v>15</v>
      </c>
    </row>
    <row r="609">
      <c r="A609" s="2">
        <f>IFERROR(__xludf.DUMMYFUNCTION("""COMPUTED_VALUE"""),489526.0)</f>
        <v>489526</v>
      </c>
      <c r="B609" s="2" t="str">
        <f>IFERROR(__xludf.DUMMYFUNCTION("""COMPUTED_VALUE"""),"22255")</f>
        <v>22255</v>
      </c>
      <c r="C609" s="2" t="str">
        <f>IFERROR(__xludf.DUMMYFUNCTION("""COMPUTED_VALUE"""),"FELT TOADSTOOL SMALL")</f>
        <v>FELT TOADSTOOL SMALL</v>
      </c>
      <c r="D609" s="2">
        <f>IFERROR(__xludf.DUMMYFUNCTION("""COMPUTED_VALUE"""),12.0)</f>
        <v>12</v>
      </c>
      <c r="E609" s="6">
        <f>IFERROR(__xludf.DUMMYFUNCTION("""COMPUTED_VALUE"""),40148.493055555555)</f>
        <v>40148.49306</v>
      </c>
      <c r="F609" s="2">
        <f>IFERROR(__xludf.DUMMYFUNCTION("""COMPUTED_VALUE"""),0.85)</f>
        <v>0.85</v>
      </c>
      <c r="G609" s="2">
        <f>IFERROR(__xludf.DUMMYFUNCTION("""COMPUTED_VALUE"""),12533.0)</f>
        <v>12533</v>
      </c>
      <c r="H609" s="2" t="str">
        <f>IFERROR(__xludf.DUMMYFUNCTION("""COMPUTED_VALUE"""),"Germany")</f>
        <v>Germany</v>
      </c>
      <c r="I609" s="7">
        <f>IFERROR(__xludf.DUMMYFUNCTION("""COMPUTED_VALUE"""),40148.0)</f>
        <v>40148</v>
      </c>
      <c r="J609" s="8">
        <f>IFERROR(__xludf.DUMMYFUNCTION("""COMPUTED_VALUE"""),0.4930555555547471)</f>
        <v>0.4930555556</v>
      </c>
      <c r="K609" s="2">
        <f>IFERROR(__xludf.DUMMYFUNCTION("""COMPUTED_VALUE"""),11.0)</f>
        <v>11</v>
      </c>
      <c r="L609" s="2">
        <f>IFERROR(__xludf.DUMMYFUNCTION("""COMPUTED_VALUE"""),10.2)</f>
        <v>10.2</v>
      </c>
    </row>
    <row r="610">
      <c r="A610" s="2">
        <f>IFERROR(__xludf.DUMMYFUNCTION("""COMPUTED_VALUE"""),489526.0)</f>
        <v>489526</v>
      </c>
      <c r="B610" s="2" t="str">
        <f>IFERROR(__xludf.DUMMYFUNCTION("""COMPUTED_VALUE"""),"46000S")</f>
        <v>46000S</v>
      </c>
      <c r="C610" s="2" t="str">
        <f>IFERROR(__xludf.DUMMYFUNCTION("""COMPUTED_VALUE"""),"POLYESTER FILLER PAD 40x40cm")</f>
        <v>POLYESTER FILLER PAD 40x40cm</v>
      </c>
      <c r="D610" s="2">
        <f>IFERROR(__xludf.DUMMYFUNCTION("""COMPUTED_VALUE"""),2.0)</f>
        <v>2</v>
      </c>
      <c r="E610" s="6">
        <f>IFERROR(__xludf.DUMMYFUNCTION("""COMPUTED_VALUE"""),40148.493055555555)</f>
        <v>40148.49306</v>
      </c>
      <c r="F610" s="2">
        <f>IFERROR(__xludf.DUMMYFUNCTION("""COMPUTED_VALUE"""),1.45)</f>
        <v>1.45</v>
      </c>
      <c r="G610" s="2">
        <f>IFERROR(__xludf.DUMMYFUNCTION("""COMPUTED_VALUE"""),12533.0)</f>
        <v>12533</v>
      </c>
      <c r="H610" s="2" t="str">
        <f>IFERROR(__xludf.DUMMYFUNCTION("""COMPUTED_VALUE"""),"Germany")</f>
        <v>Germany</v>
      </c>
      <c r="I610" s="7">
        <f>IFERROR(__xludf.DUMMYFUNCTION("""COMPUTED_VALUE"""),40148.0)</f>
        <v>40148</v>
      </c>
      <c r="J610" s="8">
        <f>IFERROR(__xludf.DUMMYFUNCTION("""COMPUTED_VALUE"""),0.4930555555547471)</f>
        <v>0.4930555556</v>
      </c>
      <c r="K610" s="2">
        <f>IFERROR(__xludf.DUMMYFUNCTION("""COMPUTED_VALUE"""),11.0)</f>
        <v>11</v>
      </c>
      <c r="L610" s="2">
        <f>IFERROR(__xludf.DUMMYFUNCTION("""COMPUTED_VALUE"""),2.9)</f>
        <v>2.9</v>
      </c>
    </row>
    <row r="611">
      <c r="A611" s="2">
        <f>IFERROR(__xludf.DUMMYFUNCTION("""COMPUTED_VALUE"""),489526.0)</f>
        <v>489526</v>
      </c>
      <c r="B611" s="2" t="str">
        <f>IFERROR(__xludf.DUMMYFUNCTION("""COMPUTED_VALUE"""),"20964")</f>
        <v>20964</v>
      </c>
      <c r="C611" s="2" t="str">
        <f>IFERROR(__xludf.DUMMYFUNCTION("""COMPUTED_VALUE"""),"POLYESTER FILLER PAD 60x40cm")</f>
        <v>POLYESTER FILLER PAD 60x40cm</v>
      </c>
      <c r="D611" s="2">
        <f>IFERROR(__xludf.DUMMYFUNCTION("""COMPUTED_VALUE"""),3.0)</f>
        <v>3</v>
      </c>
      <c r="E611" s="6">
        <f>IFERROR(__xludf.DUMMYFUNCTION("""COMPUTED_VALUE"""),40148.493055555555)</f>
        <v>40148.49306</v>
      </c>
      <c r="F611" s="2">
        <f>IFERROR(__xludf.DUMMYFUNCTION("""COMPUTED_VALUE"""),2.55)</f>
        <v>2.55</v>
      </c>
      <c r="G611" s="2">
        <f>IFERROR(__xludf.DUMMYFUNCTION("""COMPUTED_VALUE"""),12533.0)</f>
        <v>12533</v>
      </c>
      <c r="H611" s="2" t="str">
        <f>IFERROR(__xludf.DUMMYFUNCTION("""COMPUTED_VALUE"""),"Germany")</f>
        <v>Germany</v>
      </c>
      <c r="I611" s="7">
        <f>IFERROR(__xludf.DUMMYFUNCTION("""COMPUTED_VALUE"""),40148.0)</f>
        <v>40148</v>
      </c>
      <c r="J611" s="8">
        <f>IFERROR(__xludf.DUMMYFUNCTION("""COMPUTED_VALUE"""),0.4930555555547471)</f>
        <v>0.4930555556</v>
      </c>
      <c r="K611" s="2">
        <f>IFERROR(__xludf.DUMMYFUNCTION("""COMPUTED_VALUE"""),11.0)</f>
        <v>11</v>
      </c>
      <c r="L611" s="2">
        <f>IFERROR(__xludf.DUMMYFUNCTION("""COMPUTED_VALUE"""),7.64999999999999)</f>
        <v>7.65</v>
      </c>
    </row>
    <row r="612">
      <c r="A612" s="2">
        <f>IFERROR(__xludf.DUMMYFUNCTION("""COMPUTED_VALUE"""),489526.0)</f>
        <v>489526</v>
      </c>
      <c r="B612" s="2" t="str">
        <f>IFERROR(__xludf.DUMMYFUNCTION("""COMPUTED_VALUE"""),"21788")</f>
        <v>21788</v>
      </c>
      <c r="C612" s="2" t="str">
        <f>IFERROR(__xludf.DUMMYFUNCTION("""COMPUTED_VALUE"""),"KIDS RAIN MAC BLUE")</f>
        <v>KIDS RAIN MAC BLUE</v>
      </c>
      <c r="D612" s="2">
        <f>IFERROR(__xludf.DUMMYFUNCTION("""COMPUTED_VALUE"""),24.0)</f>
        <v>24</v>
      </c>
      <c r="E612" s="6">
        <f>IFERROR(__xludf.DUMMYFUNCTION("""COMPUTED_VALUE"""),40148.493055555555)</f>
        <v>40148.49306</v>
      </c>
      <c r="F612" s="2">
        <f>IFERROR(__xludf.DUMMYFUNCTION("""COMPUTED_VALUE"""),0.85)</f>
        <v>0.85</v>
      </c>
      <c r="G612" s="2">
        <f>IFERROR(__xludf.DUMMYFUNCTION("""COMPUTED_VALUE"""),12533.0)</f>
        <v>12533</v>
      </c>
      <c r="H612" s="2" t="str">
        <f>IFERROR(__xludf.DUMMYFUNCTION("""COMPUTED_VALUE"""),"Germany")</f>
        <v>Germany</v>
      </c>
      <c r="I612" s="7">
        <f>IFERROR(__xludf.DUMMYFUNCTION("""COMPUTED_VALUE"""),40148.0)</f>
        <v>40148</v>
      </c>
      <c r="J612" s="8">
        <f>IFERROR(__xludf.DUMMYFUNCTION("""COMPUTED_VALUE"""),0.4930555555547471)</f>
        <v>0.4930555556</v>
      </c>
      <c r="K612" s="2">
        <f>IFERROR(__xludf.DUMMYFUNCTION("""COMPUTED_VALUE"""),11.0)</f>
        <v>11</v>
      </c>
      <c r="L612" s="2">
        <f>IFERROR(__xludf.DUMMYFUNCTION("""COMPUTED_VALUE"""),20.4)</f>
        <v>20.4</v>
      </c>
    </row>
    <row r="613">
      <c r="A613" s="2">
        <f>IFERROR(__xludf.DUMMYFUNCTION("""COMPUTED_VALUE"""),489526.0)</f>
        <v>489526</v>
      </c>
      <c r="B613" s="2" t="str">
        <f>IFERROR(__xludf.DUMMYFUNCTION("""COMPUTED_VALUE"""),"21789")</f>
        <v>21789</v>
      </c>
      <c r="C613" s="2" t="str">
        <f>IFERROR(__xludf.DUMMYFUNCTION("""COMPUTED_VALUE"""),"KIDS RAIN MAC PINK")</f>
        <v>KIDS RAIN MAC PINK</v>
      </c>
      <c r="D613" s="2">
        <f>IFERROR(__xludf.DUMMYFUNCTION("""COMPUTED_VALUE"""),24.0)</f>
        <v>24</v>
      </c>
      <c r="E613" s="6">
        <f>IFERROR(__xludf.DUMMYFUNCTION("""COMPUTED_VALUE"""),40148.493055555555)</f>
        <v>40148.49306</v>
      </c>
      <c r="F613" s="2">
        <f>IFERROR(__xludf.DUMMYFUNCTION("""COMPUTED_VALUE"""),0.85)</f>
        <v>0.85</v>
      </c>
      <c r="G613" s="2">
        <f>IFERROR(__xludf.DUMMYFUNCTION("""COMPUTED_VALUE"""),12533.0)</f>
        <v>12533</v>
      </c>
      <c r="H613" s="2" t="str">
        <f>IFERROR(__xludf.DUMMYFUNCTION("""COMPUTED_VALUE"""),"Germany")</f>
        <v>Germany</v>
      </c>
      <c r="I613" s="7">
        <f>IFERROR(__xludf.DUMMYFUNCTION("""COMPUTED_VALUE"""),40148.0)</f>
        <v>40148</v>
      </c>
      <c r="J613" s="8">
        <f>IFERROR(__xludf.DUMMYFUNCTION("""COMPUTED_VALUE"""),0.4930555555547471)</f>
        <v>0.4930555556</v>
      </c>
      <c r="K613" s="2">
        <f>IFERROR(__xludf.DUMMYFUNCTION("""COMPUTED_VALUE"""),11.0)</f>
        <v>11</v>
      </c>
      <c r="L613" s="2">
        <f>IFERROR(__xludf.DUMMYFUNCTION("""COMPUTED_VALUE"""),20.4)</f>
        <v>20.4</v>
      </c>
    </row>
    <row r="614">
      <c r="A614" s="2">
        <f>IFERROR(__xludf.DUMMYFUNCTION("""COMPUTED_VALUE"""),489526.0)</f>
        <v>489526</v>
      </c>
      <c r="B614" s="2" t="str">
        <f>IFERROR(__xludf.DUMMYFUNCTION("""COMPUTED_VALUE"""),"20682")</f>
        <v>20682</v>
      </c>
      <c r="C614" s="2" t="str">
        <f>IFERROR(__xludf.DUMMYFUNCTION("""COMPUTED_VALUE"""),"RED SPOTTY CHILDS UMBRELLA")</f>
        <v>RED SPOTTY CHILDS UMBRELLA</v>
      </c>
      <c r="D614" s="2">
        <f>IFERROR(__xludf.DUMMYFUNCTION("""COMPUTED_VALUE"""),6.0)</f>
        <v>6</v>
      </c>
      <c r="E614" s="6">
        <f>IFERROR(__xludf.DUMMYFUNCTION("""COMPUTED_VALUE"""),40148.493055555555)</f>
        <v>40148.49306</v>
      </c>
      <c r="F614" s="2">
        <f>IFERROR(__xludf.DUMMYFUNCTION("""COMPUTED_VALUE"""),3.25)</f>
        <v>3.25</v>
      </c>
      <c r="G614" s="2">
        <f>IFERROR(__xludf.DUMMYFUNCTION("""COMPUTED_VALUE"""),12533.0)</f>
        <v>12533</v>
      </c>
      <c r="H614" s="2" t="str">
        <f>IFERROR(__xludf.DUMMYFUNCTION("""COMPUTED_VALUE"""),"Germany")</f>
        <v>Germany</v>
      </c>
      <c r="I614" s="7">
        <f>IFERROR(__xludf.DUMMYFUNCTION("""COMPUTED_VALUE"""),40148.0)</f>
        <v>40148</v>
      </c>
      <c r="J614" s="8">
        <f>IFERROR(__xludf.DUMMYFUNCTION("""COMPUTED_VALUE"""),0.4930555555547471)</f>
        <v>0.4930555556</v>
      </c>
      <c r="K614" s="2">
        <f>IFERROR(__xludf.DUMMYFUNCTION("""COMPUTED_VALUE"""),11.0)</f>
        <v>11</v>
      </c>
      <c r="L614" s="2">
        <f>IFERROR(__xludf.DUMMYFUNCTION("""COMPUTED_VALUE"""),19.5)</f>
        <v>19.5</v>
      </c>
    </row>
    <row r="615">
      <c r="A615" s="2">
        <f>IFERROR(__xludf.DUMMYFUNCTION("""COMPUTED_VALUE"""),489526.0)</f>
        <v>489526</v>
      </c>
      <c r="B615" s="2" t="str">
        <f>IFERROR(__xludf.DUMMYFUNCTION("""COMPUTED_VALUE"""),"85014C")</f>
        <v>85014C</v>
      </c>
      <c r="C615" s="2" t="str">
        <f>IFERROR(__xludf.DUMMYFUNCTION("""COMPUTED_VALUE"""),"BLUE/BROWN DOTS RUFFLED UMBRELLA")</f>
        <v>BLUE/BROWN DOTS RUFFLED UMBRELLA</v>
      </c>
      <c r="D615" s="2">
        <f>IFERROR(__xludf.DUMMYFUNCTION("""COMPUTED_VALUE"""),3.0)</f>
        <v>3</v>
      </c>
      <c r="E615" s="6">
        <f>IFERROR(__xludf.DUMMYFUNCTION("""COMPUTED_VALUE"""),40148.493055555555)</f>
        <v>40148.49306</v>
      </c>
      <c r="F615" s="2">
        <f>IFERROR(__xludf.DUMMYFUNCTION("""COMPUTED_VALUE"""),5.95)</f>
        <v>5.95</v>
      </c>
      <c r="G615" s="2">
        <f>IFERROR(__xludf.DUMMYFUNCTION("""COMPUTED_VALUE"""),12533.0)</f>
        <v>12533</v>
      </c>
      <c r="H615" s="2" t="str">
        <f>IFERROR(__xludf.DUMMYFUNCTION("""COMPUTED_VALUE"""),"Germany")</f>
        <v>Germany</v>
      </c>
      <c r="I615" s="7">
        <f>IFERROR(__xludf.DUMMYFUNCTION("""COMPUTED_VALUE"""),40148.0)</f>
        <v>40148</v>
      </c>
      <c r="J615" s="8">
        <f>IFERROR(__xludf.DUMMYFUNCTION("""COMPUTED_VALUE"""),0.4930555555547471)</f>
        <v>0.4930555556</v>
      </c>
      <c r="K615" s="2">
        <f>IFERROR(__xludf.DUMMYFUNCTION("""COMPUTED_VALUE"""),11.0)</f>
        <v>11</v>
      </c>
      <c r="L615" s="2">
        <f>IFERROR(__xludf.DUMMYFUNCTION("""COMPUTED_VALUE"""),17.85)</f>
        <v>17.85</v>
      </c>
    </row>
    <row r="616">
      <c r="A616" s="2">
        <f>IFERROR(__xludf.DUMMYFUNCTION("""COMPUTED_VALUE"""),489526.0)</f>
        <v>489526</v>
      </c>
      <c r="B616" s="2" t="str">
        <f>IFERROR(__xludf.DUMMYFUNCTION("""COMPUTED_VALUE"""),"84832")</f>
        <v>84832</v>
      </c>
      <c r="C616" s="2" t="str">
        <f>IFERROR(__xludf.DUMMYFUNCTION("""COMPUTED_VALUE"""),"ZINC WILLIE WINKIE CANDLE STICK")</f>
        <v>ZINC WILLIE WINKIE CANDLE STICK</v>
      </c>
      <c r="D616" s="2">
        <f>IFERROR(__xludf.DUMMYFUNCTION("""COMPUTED_VALUE"""),24.0)</f>
        <v>24</v>
      </c>
      <c r="E616" s="6">
        <f>IFERROR(__xludf.DUMMYFUNCTION("""COMPUTED_VALUE"""),40148.493055555555)</f>
        <v>40148.49306</v>
      </c>
      <c r="F616" s="2">
        <f>IFERROR(__xludf.DUMMYFUNCTION("""COMPUTED_VALUE"""),0.85)</f>
        <v>0.85</v>
      </c>
      <c r="G616" s="2">
        <f>IFERROR(__xludf.DUMMYFUNCTION("""COMPUTED_VALUE"""),12533.0)</f>
        <v>12533</v>
      </c>
      <c r="H616" s="2" t="str">
        <f>IFERROR(__xludf.DUMMYFUNCTION("""COMPUTED_VALUE"""),"Germany")</f>
        <v>Germany</v>
      </c>
      <c r="I616" s="7">
        <f>IFERROR(__xludf.DUMMYFUNCTION("""COMPUTED_VALUE"""),40148.0)</f>
        <v>40148</v>
      </c>
      <c r="J616" s="8">
        <f>IFERROR(__xludf.DUMMYFUNCTION("""COMPUTED_VALUE"""),0.4930555555547471)</f>
        <v>0.4930555556</v>
      </c>
      <c r="K616" s="2">
        <f>IFERROR(__xludf.DUMMYFUNCTION("""COMPUTED_VALUE"""),11.0)</f>
        <v>11</v>
      </c>
      <c r="L616" s="2">
        <f>IFERROR(__xludf.DUMMYFUNCTION("""COMPUTED_VALUE"""),20.4)</f>
        <v>20.4</v>
      </c>
    </row>
    <row r="617">
      <c r="A617" s="2">
        <f>IFERROR(__xludf.DUMMYFUNCTION("""COMPUTED_VALUE"""),489526.0)</f>
        <v>489526</v>
      </c>
      <c r="B617" s="2" t="str">
        <f>IFERROR(__xludf.DUMMYFUNCTION("""COMPUTED_VALUE"""),"POST")</f>
        <v>POST</v>
      </c>
      <c r="C617" s="2" t="str">
        <f>IFERROR(__xludf.DUMMYFUNCTION("""COMPUTED_VALUE"""),"POSTAGE")</f>
        <v>POSTAGE</v>
      </c>
      <c r="D617" s="2">
        <f>IFERROR(__xludf.DUMMYFUNCTION("""COMPUTED_VALUE"""),6.0)</f>
        <v>6</v>
      </c>
      <c r="E617" s="6">
        <f>IFERROR(__xludf.DUMMYFUNCTION("""COMPUTED_VALUE"""),40148.493055555555)</f>
        <v>40148.49306</v>
      </c>
      <c r="F617" s="2">
        <f>IFERROR(__xludf.DUMMYFUNCTION("""COMPUTED_VALUE"""),18.0)</f>
        <v>18</v>
      </c>
      <c r="G617" s="2">
        <f>IFERROR(__xludf.DUMMYFUNCTION("""COMPUTED_VALUE"""),12533.0)</f>
        <v>12533</v>
      </c>
      <c r="H617" s="2" t="str">
        <f>IFERROR(__xludf.DUMMYFUNCTION("""COMPUTED_VALUE"""),"Germany")</f>
        <v>Germany</v>
      </c>
      <c r="I617" s="7">
        <f>IFERROR(__xludf.DUMMYFUNCTION("""COMPUTED_VALUE"""),40148.0)</f>
        <v>40148</v>
      </c>
      <c r="J617" s="8">
        <f>IFERROR(__xludf.DUMMYFUNCTION("""COMPUTED_VALUE"""),0.4930555555547471)</f>
        <v>0.4930555556</v>
      </c>
      <c r="K617" s="2">
        <f>IFERROR(__xludf.DUMMYFUNCTION("""COMPUTED_VALUE"""),11.0)</f>
        <v>11</v>
      </c>
      <c r="L617" s="2">
        <f>IFERROR(__xludf.DUMMYFUNCTION("""COMPUTED_VALUE"""),108.0)</f>
        <v>108</v>
      </c>
    </row>
    <row r="618">
      <c r="A618" s="2"/>
      <c r="B618" s="2" t="str">
        <f>IFERROR(__xludf.DUMMYFUNCTION("""COMPUTED_VALUE"""),"85048")</f>
        <v>85048</v>
      </c>
      <c r="C618" s="2" t="str">
        <f>IFERROR(__xludf.DUMMYFUNCTION("""COMPUTED_VALUE"""),"15CM CHRISTMAS GLASS BALL 20 LIGHTS")</f>
        <v>15CM CHRISTMAS GLASS BALL 20 LIGHTS</v>
      </c>
      <c r="D618" s="2">
        <f>IFERROR(__xludf.DUMMYFUNCTION("""COMPUTED_VALUE"""),-1.0)</f>
        <v>-1</v>
      </c>
      <c r="E618" s="6">
        <f>IFERROR(__xludf.DUMMYFUNCTION("""COMPUTED_VALUE"""),40148.493055555555)</f>
        <v>40148.49306</v>
      </c>
      <c r="F618" s="2">
        <f>IFERROR(__xludf.DUMMYFUNCTION("""COMPUTED_VALUE"""),7.95)</f>
        <v>7.95</v>
      </c>
      <c r="G618" s="2">
        <f>IFERROR(__xludf.DUMMYFUNCTION("""COMPUTED_VALUE"""),16714.0)</f>
        <v>16714</v>
      </c>
      <c r="H618" s="2" t="str">
        <f>IFERROR(__xludf.DUMMYFUNCTION("""COMPUTED_VALUE"""),"United Kingdom")</f>
        <v>United Kingdom</v>
      </c>
      <c r="I618" s="7">
        <f>IFERROR(__xludf.DUMMYFUNCTION("""COMPUTED_VALUE"""),40148.0)</f>
        <v>40148</v>
      </c>
      <c r="J618" s="8">
        <f>IFERROR(__xludf.DUMMYFUNCTION("""COMPUTED_VALUE"""),0.4930555555547471)</f>
        <v>0.4930555556</v>
      </c>
      <c r="K618" s="2">
        <f>IFERROR(__xludf.DUMMYFUNCTION("""COMPUTED_VALUE"""),11.0)</f>
        <v>11</v>
      </c>
      <c r="L618" s="2">
        <f>IFERROR(__xludf.DUMMYFUNCTION("""COMPUTED_VALUE"""),-7.95)</f>
        <v>-7.95</v>
      </c>
    </row>
    <row r="619">
      <c r="A619" s="2">
        <f>IFERROR(__xludf.DUMMYFUNCTION("""COMPUTED_VALUE"""),489529.0)</f>
        <v>489529</v>
      </c>
      <c r="B619" s="2" t="str">
        <f>IFERROR(__xludf.DUMMYFUNCTION("""COMPUTED_VALUE"""),"85063")</f>
        <v>85063</v>
      </c>
      <c r="C619" s="2" t="str">
        <f>IFERROR(__xludf.DUMMYFUNCTION("""COMPUTED_VALUE"""),"CREAM SWEETHEART MAGAZINE RACK")</f>
        <v>CREAM SWEETHEART MAGAZINE RACK</v>
      </c>
      <c r="D619" s="2">
        <f>IFERROR(__xludf.DUMMYFUNCTION("""COMPUTED_VALUE"""),1.0)</f>
        <v>1</v>
      </c>
      <c r="E619" s="6">
        <f>IFERROR(__xludf.DUMMYFUNCTION("""COMPUTED_VALUE"""),40148.49375)</f>
        <v>40148.49375</v>
      </c>
      <c r="F619" s="2">
        <f>IFERROR(__xludf.DUMMYFUNCTION("""COMPUTED_VALUE"""),16.95)</f>
        <v>16.95</v>
      </c>
      <c r="G619" s="2">
        <f>IFERROR(__xludf.DUMMYFUNCTION("""COMPUTED_VALUE"""),17984.0)</f>
        <v>17984</v>
      </c>
      <c r="H619" s="2" t="str">
        <f>IFERROR(__xludf.DUMMYFUNCTION("""COMPUTED_VALUE"""),"United Kingdom")</f>
        <v>United Kingdom</v>
      </c>
      <c r="I619" s="7">
        <f>IFERROR(__xludf.DUMMYFUNCTION("""COMPUTED_VALUE"""),40148.0)</f>
        <v>40148</v>
      </c>
      <c r="J619" s="8">
        <f>IFERROR(__xludf.DUMMYFUNCTION("""COMPUTED_VALUE"""),0.4937500000014552)</f>
        <v>0.49375</v>
      </c>
      <c r="K619" s="2">
        <f>IFERROR(__xludf.DUMMYFUNCTION("""COMPUTED_VALUE"""),11.0)</f>
        <v>11</v>
      </c>
      <c r="L619" s="2">
        <f>IFERROR(__xludf.DUMMYFUNCTION("""COMPUTED_VALUE"""),16.95)</f>
        <v>16.95</v>
      </c>
    </row>
    <row r="620">
      <c r="A620" s="2">
        <f>IFERROR(__xludf.DUMMYFUNCTION("""COMPUTED_VALUE"""),489529.0)</f>
        <v>489529</v>
      </c>
      <c r="B620" s="2" t="str">
        <f>IFERROR(__xludf.DUMMYFUNCTION("""COMPUTED_VALUE"""),"48129")</f>
        <v>48129</v>
      </c>
      <c r="C620" s="2" t="str">
        <f>IFERROR(__xludf.DUMMYFUNCTION("""COMPUTED_VALUE"""),"DOOR MAT TOPIARY")</f>
        <v>DOOR MAT TOPIARY</v>
      </c>
      <c r="D620" s="2">
        <f>IFERROR(__xludf.DUMMYFUNCTION("""COMPUTED_VALUE"""),1.0)</f>
        <v>1</v>
      </c>
      <c r="E620" s="6">
        <f>IFERROR(__xludf.DUMMYFUNCTION("""COMPUTED_VALUE"""),40148.49375)</f>
        <v>40148.49375</v>
      </c>
      <c r="F620" s="2">
        <f>IFERROR(__xludf.DUMMYFUNCTION("""COMPUTED_VALUE"""),6.75)</f>
        <v>6.75</v>
      </c>
      <c r="G620" s="2">
        <f>IFERROR(__xludf.DUMMYFUNCTION("""COMPUTED_VALUE"""),17984.0)</f>
        <v>17984</v>
      </c>
      <c r="H620" s="2" t="str">
        <f>IFERROR(__xludf.DUMMYFUNCTION("""COMPUTED_VALUE"""),"United Kingdom")</f>
        <v>United Kingdom</v>
      </c>
      <c r="I620" s="7">
        <f>IFERROR(__xludf.DUMMYFUNCTION("""COMPUTED_VALUE"""),40148.0)</f>
        <v>40148</v>
      </c>
      <c r="J620" s="8">
        <f>IFERROR(__xludf.DUMMYFUNCTION("""COMPUTED_VALUE"""),0.4937500000014552)</f>
        <v>0.49375</v>
      </c>
      <c r="K620" s="2">
        <f>IFERROR(__xludf.DUMMYFUNCTION("""COMPUTED_VALUE"""),11.0)</f>
        <v>11</v>
      </c>
      <c r="L620" s="2">
        <f>IFERROR(__xludf.DUMMYFUNCTION("""COMPUTED_VALUE"""),6.75)</f>
        <v>6.75</v>
      </c>
    </row>
    <row r="621">
      <c r="A621" s="2">
        <f>IFERROR(__xludf.DUMMYFUNCTION("""COMPUTED_VALUE"""),489529.0)</f>
        <v>489529</v>
      </c>
      <c r="B621" s="2" t="str">
        <f>IFERROR(__xludf.DUMMYFUNCTION("""COMPUTED_VALUE"""),"21491")</f>
        <v>21491</v>
      </c>
      <c r="C621" s="2" t="str">
        <f>IFERROR(__xludf.DUMMYFUNCTION("""COMPUTED_VALUE"""),"SET OF THREE VINTAGE GIFT WRAPS")</f>
        <v>SET OF THREE VINTAGE GIFT WRAPS</v>
      </c>
      <c r="D621" s="2">
        <f>IFERROR(__xludf.DUMMYFUNCTION("""COMPUTED_VALUE"""),1.0)</f>
        <v>1</v>
      </c>
      <c r="E621" s="6">
        <f>IFERROR(__xludf.DUMMYFUNCTION("""COMPUTED_VALUE"""),40148.49375)</f>
        <v>40148.49375</v>
      </c>
      <c r="F621" s="2">
        <f>IFERROR(__xludf.DUMMYFUNCTION("""COMPUTED_VALUE"""),1.95)</f>
        <v>1.95</v>
      </c>
      <c r="G621" s="2">
        <f>IFERROR(__xludf.DUMMYFUNCTION("""COMPUTED_VALUE"""),17984.0)</f>
        <v>17984</v>
      </c>
      <c r="H621" s="2" t="str">
        <f>IFERROR(__xludf.DUMMYFUNCTION("""COMPUTED_VALUE"""),"United Kingdom")</f>
        <v>United Kingdom</v>
      </c>
      <c r="I621" s="7">
        <f>IFERROR(__xludf.DUMMYFUNCTION("""COMPUTED_VALUE"""),40148.0)</f>
        <v>40148</v>
      </c>
      <c r="J621" s="8">
        <f>IFERROR(__xludf.DUMMYFUNCTION("""COMPUTED_VALUE"""),0.4937500000014552)</f>
        <v>0.49375</v>
      </c>
      <c r="K621" s="2">
        <f>IFERROR(__xludf.DUMMYFUNCTION("""COMPUTED_VALUE"""),11.0)</f>
        <v>11</v>
      </c>
      <c r="L621" s="2">
        <f>IFERROR(__xludf.DUMMYFUNCTION("""COMPUTED_VALUE"""),1.95)</f>
        <v>1.95</v>
      </c>
    </row>
    <row r="622">
      <c r="A622" s="2">
        <f>IFERROR(__xludf.DUMMYFUNCTION("""COMPUTED_VALUE"""),489529.0)</f>
        <v>489529</v>
      </c>
      <c r="B622" s="2" t="str">
        <f>IFERROR(__xludf.DUMMYFUNCTION("""COMPUTED_VALUE"""),"22030")</f>
        <v>22030</v>
      </c>
      <c r="C622" s="2" t="str">
        <f>IFERROR(__xludf.DUMMYFUNCTION("""COMPUTED_VALUE"""),"SWALLOWS GREETING CARD")</f>
        <v>SWALLOWS GREETING CARD</v>
      </c>
      <c r="D622" s="2">
        <f>IFERROR(__xludf.DUMMYFUNCTION("""COMPUTED_VALUE"""),1.0)</f>
        <v>1</v>
      </c>
      <c r="E622" s="6">
        <f>IFERROR(__xludf.DUMMYFUNCTION("""COMPUTED_VALUE"""),40148.49375)</f>
        <v>40148.49375</v>
      </c>
      <c r="F622" s="2">
        <f>IFERROR(__xludf.DUMMYFUNCTION("""COMPUTED_VALUE"""),0.42)</f>
        <v>0.42</v>
      </c>
      <c r="G622" s="2">
        <f>IFERROR(__xludf.DUMMYFUNCTION("""COMPUTED_VALUE"""),17984.0)</f>
        <v>17984</v>
      </c>
      <c r="H622" s="2" t="str">
        <f>IFERROR(__xludf.DUMMYFUNCTION("""COMPUTED_VALUE"""),"United Kingdom")</f>
        <v>United Kingdom</v>
      </c>
      <c r="I622" s="7">
        <f>IFERROR(__xludf.DUMMYFUNCTION("""COMPUTED_VALUE"""),40148.0)</f>
        <v>40148</v>
      </c>
      <c r="J622" s="8">
        <f>IFERROR(__xludf.DUMMYFUNCTION("""COMPUTED_VALUE"""),0.4937500000014552)</f>
        <v>0.49375</v>
      </c>
      <c r="K622" s="2">
        <f>IFERROR(__xludf.DUMMYFUNCTION("""COMPUTED_VALUE"""),11.0)</f>
        <v>11</v>
      </c>
      <c r="L622" s="2">
        <f>IFERROR(__xludf.DUMMYFUNCTION("""COMPUTED_VALUE"""),0.42)</f>
        <v>0.42</v>
      </c>
    </row>
    <row r="623">
      <c r="A623" s="2">
        <f>IFERROR(__xludf.DUMMYFUNCTION("""COMPUTED_VALUE"""),489529.0)</f>
        <v>489529</v>
      </c>
      <c r="B623" s="2" t="str">
        <f>IFERROR(__xludf.DUMMYFUNCTION("""COMPUTED_VALUE"""),"21081")</f>
        <v>21081</v>
      </c>
      <c r="C623" s="2" t="str">
        <f>IFERROR(__xludf.DUMMYFUNCTION("""COMPUTED_VALUE"""),"SET/20 POSIES PAPER NAPKINS")</f>
        <v>SET/20 POSIES PAPER NAPKINS</v>
      </c>
      <c r="D623" s="2">
        <f>IFERROR(__xludf.DUMMYFUNCTION("""COMPUTED_VALUE"""),1.0)</f>
        <v>1</v>
      </c>
      <c r="E623" s="6">
        <f>IFERROR(__xludf.DUMMYFUNCTION("""COMPUTED_VALUE"""),40148.49375)</f>
        <v>40148.49375</v>
      </c>
      <c r="F623" s="2">
        <f>IFERROR(__xludf.DUMMYFUNCTION("""COMPUTED_VALUE"""),0.85)</f>
        <v>0.85</v>
      </c>
      <c r="G623" s="2">
        <f>IFERROR(__xludf.DUMMYFUNCTION("""COMPUTED_VALUE"""),17984.0)</f>
        <v>17984</v>
      </c>
      <c r="H623" s="2" t="str">
        <f>IFERROR(__xludf.DUMMYFUNCTION("""COMPUTED_VALUE"""),"United Kingdom")</f>
        <v>United Kingdom</v>
      </c>
      <c r="I623" s="7">
        <f>IFERROR(__xludf.DUMMYFUNCTION("""COMPUTED_VALUE"""),40148.0)</f>
        <v>40148</v>
      </c>
      <c r="J623" s="8">
        <f>IFERROR(__xludf.DUMMYFUNCTION("""COMPUTED_VALUE"""),0.4937500000014552)</f>
        <v>0.49375</v>
      </c>
      <c r="K623" s="2">
        <f>IFERROR(__xludf.DUMMYFUNCTION("""COMPUTED_VALUE"""),11.0)</f>
        <v>11</v>
      </c>
      <c r="L623" s="2">
        <f>IFERROR(__xludf.DUMMYFUNCTION("""COMPUTED_VALUE"""),0.85)</f>
        <v>0.85</v>
      </c>
    </row>
    <row r="624">
      <c r="A624" s="2">
        <f>IFERROR(__xludf.DUMMYFUNCTION("""COMPUTED_VALUE"""),489529.0)</f>
        <v>489529</v>
      </c>
      <c r="B624" s="2" t="str">
        <f>IFERROR(__xludf.DUMMYFUNCTION("""COMPUTED_VALUE"""),"20773")</f>
        <v>20773</v>
      </c>
      <c r="C624" s="2" t="str">
        <f>IFERROR(__xludf.DUMMYFUNCTION("""COMPUTED_VALUE"""),"BLUE PAISLEY NOTEBOOK")</f>
        <v>BLUE PAISLEY NOTEBOOK</v>
      </c>
      <c r="D624" s="2">
        <f>IFERROR(__xludf.DUMMYFUNCTION("""COMPUTED_VALUE"""),1.0)</f>
        <v>1</v>
      </c>
      <c r="E624" s="6">
        <f>IFERROR(__xludf.DUMMYFUNCTION("""COMPUTED_VALUE"""),40148.49375)</f>
        <v>40148.49375</v>
      </c>
      <c r="F624" s="2">
        <f>IFERROR(__xludf.DUMMYFUNCTION("""COMPUTED_VALUE"""),1.65)</f>
        <v>1.65</v>
      </c>
      <c r="G624" s="2">
        <f>IFERROR(__xludf.DUMMYFUNCTION("""COMPUTED_VALUE"""),17984.0)</f>
        <v>17984</v>
      </c>
      <c r="H624" s="2" t="str">
        <f>IFERROR(__xludf.DUMMYFUNCTION("""COMPUTED_VALUE"""),"United Kingdom")</f>
        <v>United Kingdom</v>
      </c>
      <c r="I624" s="7">
        <f>IFERROR(__xludf.DUMMYFUNCTION("""COMPUTED_VALUE"""),40148.0)</f>
        <v>40148</v>
      </c>
      <c r="J624" s="8">
        <f>IFERROR(__xludf.DUMMYFUNCTION("""COMPUTED_VALUE"""),0.4937500000014552)</f>
        <v>0.49375</v>
      </c>
      <c r="K624" s="2">
        <f>IFERROR(__xludf.DUMMYFUNCTION("""COMPUTED_VALUE"""),11.0)</f>
        <v>11</v>
      </c>
      <c r="L624" s="2">
        <f>IFERROR(__xludf.DUMMYFUNCTION("""COMPUTED_VALUE"""),1.65)</f>
        <v>1.65</v>
      </c>
    </row>
    <row r="625">
      <c r="A625" s="2">
        <f>IFERROR(__xludf.DUMMYFUNCTION("""COMPUTED_VALUE"""),489529.0)</f>
        <v>489529</v>
      </c>
      <c r="B625" s="2" t="str">
        <f>IFERROR(__xludf.DUMMYFUNCTION("""COMPUTED_VALUE"""),"20767")</f>
        <v>20767</v>
      </c>
      <c r="C625" s="2" t="str">
        <f>IFERROR(__xludf.DUMMYFUNCTION("""COMPUTED_VALUE"""),"BLUE PAISLEY JOURNAL")</f>
        <v>BLUE PAISLEY JOURNAL</v>
      </c>
      <c r="D625" s="2">
        <f>IFERROR(__xludf.DUMMYFUNCTION("""COMPUTED_VALUE"""),1.0)</f>
        <v>1</v>
      </c>
      <c r="E625" s="6">
        <f>IFERROR(__xludf.DUMMYFUNCTION("""COMPUTED_VALUE"""),40148.49375)</f>
        <v>40148.49375</v>
      </c>
      <c r="F625" s="2">
        <f>IFERROR(__xludf.DUMMYFUNCTION("""COMPUTED_VALUE"""),2.55)</f>
        <v>2.55</v>
      </c>
      <c r="G625" s="2">
        <f>IFERROR(__xludf.DUMMYFUNCTION("""COMPUTED_VALUE"""),17984.0)</f>
        <v>17984</v>
      </c>
      <c r="H625" s="2" t="str">
        <f>IFERROR(__xludf.DUMMYFUNCTION("""COMPUTED_VALUE"""),"United Kingdom")</f>
        <v>United Kingdom</v>
      </c>
      <c r="I625" s="7">
        <f>IFERROR(__xludf.DUMMYFUNCTION("""COMPUTED_VALUE"""),40148.0)</f>
        <v>40148</v>
      </c>
      <c r="J625" s="8">
        <f>IFERROR(__xludf.DUMMYFUNCTION("""COMPUTED_VALUE"""),0.4937500000014552)</f>
        <v>0.49375</v>
      </c>
      <c r="K625" s="2">
        <f>IFERROR(__xludf.DUMMYFUNCTION("""COMPUTED_VALUE"""),11.0)</f>
        <v>11</v>
      </c>
      <c r="L625" s="2">
        <f>IFERROR(__xludf.DUMMYFUNCTION("""COMPUTED_VALUE"""),2.55)</f>
        <v>2.55</v>
      </c>
    </row>
    <row r="626">
      <c r="A626" s="2">
        <f>IFERROR(__xludf.DUMMYFUNCTION("""COMPUTED_VALUE"""),489529.0)</f>
        <v>489529</v>
      </c>
      <c r="B626" s="2" t="str">
        <f>IFERROR(__xludf.DUMMYFUNCTION("""COMPUTED_VALUE"""),"22028")</f>
        <v>22028</v>
      </c>
      <c r="C626" s="2" t="str">
        <f>IFERROR(__xludf.DUMMYFUNCTION("""COMPUTED_VALUE"""),"PENNY FARTHING BIRTHDAY CARD")</f>
        <v>PENNY FARTHING BIRTHDAY CARD</v>
      </c>
      <c r="D626" s="2">
        <f>IFERROR(__xludf.DUMMYFUNCTION("""COMPUTED_VALUE"""),12.0)</f>
        <v>12</v>
      </c>
      <c r="E626" s="6">
        <f>IFERROR(__xludf.DUMMYFUNCTION("""COMPUTED_VALUE"""),40148.49375)</f>
        <v>40148.49375</v>
      </c>
      <c r="F626" s="2">
        <f>IFERROR(__xludf.DUMMYFUNCTION("""COMPUTED_VALUE"""),0.42)</f>
        <v>0.42</v>
      </c>
      <c r="G626" s="2">
        <f>IFERROR(__xludf.DUMMYFUNCTION("""COMPUTED_VALUE"""),17984.0)</f>
        <v>17984</v>
      </c>
      <c r="H626" s="2" t="str">
        <f>IFERROR(__xludf.DUMMYFUNCTION("""COMPUTED_VALUE"""),"United Kingdom")</f>
        <v>United Kingdom</v>
      </c>
      <c r="I626" s="7">
        <f>IFERROR(__xludf.DUMMYFUNCTION("""COMPUTED_VALUE"""),40148.0)</f>
        <v>40148</v>
      </c>
      <c r="J626" s="8">
        <f>IFERROR(__xludf.DUMMYFUNCTION("""COMPUTED_VALUE"""),0.4937500000014552)</f>
        <v>0.49375</v>
      </c>
      <c r="K626" s="2">
        <f>IFERROR(__xludf.DUMMYFUNCTION("""COMPUTED_VALUE"""),11.0)</f>
        <v>11</v>
      </c>
      <c r="L626" s="2">
        <f>IFERROR(__xludf.DUMMYFUNCTION("""COMPUTED_VALUE"""),5.04)</f>
        <v>5.04</v>
      </c>
    </row>
    <row r="627">
      <c r="A627" s="2">
        <f>IFERROR(__xludf.DUMMYFUNCTION("""COMPUTED_VALUE"""),489529.0)</f>
        <v>489529</v>
      </c>
      <c r="B627" s="2" t="str">
        <f>IFERROR(__xludf.DUMMYFUNCTION("""COMPUTED_VALUE"""),"20622")</f>
        <v>20622</v>
      </c>
      <c r="C627" s="2" t="str">
        <f>IFERROR(__xludf.DUMMYFUNCTION("""COMPUTED_VALUE"""),"VIPPASSPORT COVER")</f>
        <v>VIPPASSPORT COVER</v>
      </c>
      <c r="D627" s="2">
        <f>IFERROR(__xludf.DUMMYFUNCTION("""COMPUTED_VALUE"""),1.0)</f>
        <v>1</v>
      </c>
      <c r="E627" s="6">
        <f>IFERROR(__xludf.DUMMYFUNCTION("""COMPUTED_VALUE"""),40148.49375)</f>
        <v>40148.49375</v>
      </c>
      <c r="F627" s="2">
        <f>IFERROR(__xludf.DUMMYFUNCTION("""COMPUTED_VALUE"""),2.1)</f>
        <v>2.1</v>
      </c>
      <c r="G627" s="2">
        <f>IFERROR(__xludf.DUMMYFUNCTION("""COMPUTED_VALUE"""),17984.0)</f>
        <v>17984</v>
      </c>
      <c r="H627" s="2" t="str">
        <f>IFERROR(__xludf.DUMMYFUNCTION("""COMPUTED_VALUE"""),"United Kingdom")</f>
        <v>United Kingdom</v>
      </c>
      <c r="I627" s="7">
        <f>IFERROR(__xludf.DUMMYFUNCTION("""COMPUTED_VALUE"""),40148.0)</f>
        <v>40148</v>
      </c>
      <c r="J627" s="8">
        <f>IFERROR(__xludf.DUMMYFUNCTION("""COMPUTED_VALUE"""),0.4937500000014552)</f>
        <v>0.49375</v>
      </c>
      <c r="K627" s="2">
        <f>IFERROR(__xludf.DUMMYFUNCTION("""COMPUTED_VALUE"""),11.0)</f>
        <v>11</v>
      </c>
      <c r="L627" s="2">
        <f>IFERROR(__xludf.DUMMYFUNCTION("""COMPUTED_VALUE"""),2.1)</f>
        <v>2.1</v>
      </c>
    </row>
    <row r="628">
      <c r="A628" s="2">
        <f>IFERROR(__xludf.DUMMYFUNCTION("""COMPUTED_VALUE"""),489529.0)</f>
        <v>489529</v>
      </c>
      <c r="B628" s="2" t="str">
        <f>IFERROR(__xludf.DUMMYFUNCTION("""COMPUTED_VALUE"""),"21122")</f>
        <v>21122</v>
      </c>
      <c r="C628" s="2" t="str">
        <f>IFERROR(__xludf.DUMMYFUNCTION("""COMPUTED_VALUE"""),"SET/10 PINK SPOTTY PARTY CANDLES")</f>
        <v>SET/10 PINK SPOTTY PARTY CANDLES</v>
      </c>
      <c r="D628" s="2">
        <f>IFERROR(__xludf.DUMMYFUNCTION("""COMPUTED_VALUE"""),1.0)</f>
        <v>1</v>
      </c>
      <c r="E628" s="6">
        <f>IFERROR(__xludf.DUMMYFUNCTION("""COMPUTED_VALUE"""),40148.49375)</f>
        <v>40148.49375</v>
      </c>
      <c r="F628" s="2">
        <f>IFERROR(__xludf.DUMMYFUNCTION("""COMPUTED_VALUE"""),1.25)</f>
        <v>1.25</v>
      </c>
      <c r="G628" s="2">
        <f>IFERROR(__xludf.DUMMYFUNCTION("""COMPUTED_VALUE"""),17984.0)</f>
        <v>17984</v>
      </c>
      <c r="H628" s="2" t="str">
        <f>IFERROR(__xludf.DUMMYFUNCTION("""COMPUTED_VALUE"""),"United Kingdom")</f>
        <v>United Kingdom</v>
      </c>
      <c r="I628" s="7">
        <f>IFERROR(__xludf.DUMMYFUNCTION("""COMPUTED_VALUE"""),40148.0)</f>
        <v>40148</v>
      </c>
      <c r="J628" s="8">
        <f>IFERROR(__xludf.DUMMYFUNCTION("""COMPUTED_VALUE"""),0.4937500000014552)</f>
        <v>0.49375</v>
      </c>
      <c r="K628" s="2">
        <f>IFERROR(__xludf.DUMMYFUNCTION("""COMPUTED_VALUE"""),11.0)</f>
        <v>11</v>
      </c>
      <c r="L628" s="2">
        <f>IFERROR(__xludf.DUMMYFUNCTION("""COMPUTED_VALUE"""),1.25)</f>
        <v>1.25</v>
      </c>
    </row>
    <row r="629">
      <c r="A629" s="2">
        <f>IFERROR(__xludf.DUMMYFUNCTION("""COMPUTED_VALUE"""),489529.0)</f>
        <v>489529</v>
      </c>
      <c r="B629" s="2" t="str">
        <f>IFERROR(__xludf.DUMMYFUNCTION("""COMPUTED_VALUE"""),"21124")</f>
        <v>21124</v>
      </c>
      <c r="C629" s="2" t="str">
        <f>IFERROR(__xludf.DUMMYFUNCTION("""COMPUTED_VALUE"""),"SET/10 BLUE SPOTTY PARTY CANDLES")</f>
        <v>SET/10 BLUE SPOTTY PARTY CANDLES</v>
      </c>
      <c r="D629" s="2">
        <f>IFERROR(__xludf.DUMMYFUNCTION("""COMPUTED_VALUE"""),1.0)</f>
        <v>1</v>
      </c>
      <c r="E629" s="6">
        <f>IFERROR(__xludf.DUMMYFUNCTION("""COMPUTED_VALUE"""),40148.49375)</f>
        <v>40148.49375</v>
      </c>
      <c r="F629" s="2">
        <f>IFERROR(__xludf.DUMMYFUNCTION("""COMPUTED_VALUE"""),1.25)</f>
        <v>1.25</v>
      </c>
      <c r="G629" s="2">
        <f>IFERROR(__xludf.DUMMYFUNCTION("""COMPUTED_VALUE"""),17984.0)</f>
        <v>17984</v>
      </c>
      <c r="H629" s="2" t="str">
        <f>IFERROR(__xludf.DUMMYFUNCTION("""COMPUTED_VALUE"""),"United Kingdom")</f>
        <v>United Kingdom</v>
      </c>
      <c r="I629" s="7">
        <f>IFERROR(__xludf.DUMMYFUNCTION("""COMPUTED_VALUE"""),40148.0)</f>
        <v>40148</v>
      </c>
      <c r="J629" s="8">
        <f>IFERROR(__xludf.DUMMYFUNCTION("""COMPUTED_VALUE"""),0.4937500000014552)</f>
        <v>0.49375</v>
      </c>
      <c r="K629" s="2">
        <f>IFERROR(__xludf.DUMMYFUNCTION("""COMPUTED_VALUE"""),11.0)</f>
        <v>11</v>
      </c>
      <c r="L629" s="2">
        <f>IFERROR(__xludf.DUMMYFUNCTION("""COMPUTED_VALUE"""),1.25)</f>
        <v>1.25</v>
      </c>
    </row>
    <row r="630">
      <c r="A630" s="2">
        <f>IFERROR(__xludf.DUMMYFUNCTION("""COMPUTED_VALUE"""),489529.0)</f>
        <v>489529</v>
      </c>
      <c r="B630" s="2" t="str">
        <f>IFERROR(__xludf.DUMMYFUNCTION("""COMPUTED_VALUE"""),"20657")</f>
        <v>20657</v>
      </c>
      <c r="C630" s="2" t="str">
        <f>IFERROR(__xludf.DUMMYFUNCTION("""COMPUTED_VALUE"""),"TROPICAL LUGGAGE TAG")</f>
        <v>TROPICAL LUGGAGE TAG</v>
      </c>
      <c r="D630" s="2">
        <f>IFERROR(__xludf.DUMMYFUNCTION("""COMPUTED_VALUE"""),1.0)</f>
        <v>1</v>
      </c>
      <c r="E630" s="6">
        <f>IFERROR(__xludf.DUMMYFUNCTION("""COMPUTED_VALUE"""),40148.49375)</f>
        <v>40148.49375</v>
      </c>
      <c r="F630" s="2">
        <f>IFERROR(__xludf.DUMMYFUNCTION("""COMPUTED_VALUE"""),1.25)</f>
        <v>1.25</v>
      </c>
      <c r="G630" s="2">
        <f>IFERROR(__xludf.DUMMYFUNCTION("""COMPUTED_VALUE"""),17984.0)</f>
        <v>17984</v>
      </c>
      <c r="H630" s="2" t="str">
        <f>IFERROR(__xludf.DUMMYFUNCTION("""COMPUTED_VALUE"""),"United Kingdom")</f>
        <v>United Kingdom</v>
      </c>
      <c r="I630" s="7">
        <f>IFERROR(__xludf.DUMMYFUNCTION("""COMPUTED_VALUE"""),40148.0)</f>
        <v>40148</v>
      </c>
      <c r="J630" s="8">
        <f>IFERROR(__xludf.DUMMYFUNCTION("""COMPUTED_VALUE"""),0.4937500000014552)</f>
        <v>0.49375</v>
      </c>
      <c r="K630" s="2">
        <f>IFERROR(__xludf.DUMMYFUNCTION("""COMPUTED_VALUE"""),11.0)</f>
        <v>11</v>
      </c>
      <c r="L630" s="2">
        <f>IFERROR(__xludf.DUMMYFUNCTION("""COMPUTED_VALUE"""),1.25)</f>
        <v>1.25</v>
      </c>
    </row>
    <row r="631">
      <c r="A631" s="2">
        <f>IFERROR(__xludf.DUMMYFUNCTION("""COMPUTED_VALUE"""),489529.0)</f>
        <v>489529</v>
      </c>
      <c r="B631" s="2" t="str">
        <f>IFERROR(__xludf.DUMMYFUNCTION("""COMPUTED_VALUE"""),"16156N")</f>
        <v>16156N</v>
      </c>
      <c r="C631" s="2" t="str">
        <f>IFERROR(__xludf.DUMMYFUNCTION("""COMPUTED_VALUE"""),"WRAP, FRIENDSHIP ON GREEN")</f>
        <v>WRAP, FRIENDSHIP ON GREEN</v>
      </c>
      <c r="D631" s="2">
        <f>IFERROR(__xludf.DUMMYFUNCTION("""COMPUTED_VALUE"""),25.0)</f>
        <v>25</v>
      </c>
      <c r="E631" s="6">
        <f>IFERROR(__xludf.DUMMYFUNCTION("""COMPUTED_VALUE"""),40148.49375)</f>
        <v>40148.49375</v>
      </c>
      <c r="F631" s="2">
        <f>IFERROR(__xludf.DUMMYFUNCTION("""COMPUTED_VALUE"""),0.42)</f>
        <v>0.42</v>
      </c>
      <c r="G631" s="2">
        <f>IFERROR(__xludf.DUMMYFUNCTION("""COMPUTED_VALUE"""),17984.0)</f>
        <v>17984</v>
      </c>
      <c r="H631" s="2" t="str">
        <f>IFERROR(__xludf.DUMMYFUNCTION("""COMPUTED_VALUE"""),"United Kingdom")</f>
        <v>United Kingdom</v>
      </c>
      <c r="I631" s="7">
        <f>IFERROR(__xludf.DUMMYFUNCTION("""COMPUTED_VALUE"""),40148.0)</f>
        <v>40148</v>
      </c>
      <c r="J631" s="8">
        <f>IFERROR(__xludf.DUMMYFUNCTION("""COMPUTED_VALUE"""),0.4937500000014552)</f>
        <v>0.49375</v>
      </c>
      <c r="K631" s="2">
        <f>IFERROR(__xludf.DUMMYFUNCTION("""COMPUTED_VALUE"""),11.0)</f>
        <v>11</v>
      </c>
      <c r="L631" s="2">
        <f>IFERROR(__xludf.DUMMYFUNCTION("""COMPUTED_VALUE"""),10.5)</f>
        <v>10.5</v>
      </c>
    </row>
    <row r="632">
      <c r="A632" s="2">
        <f>IFERROR(__xludf.DUMMYFUNCTION("""COMPUTED_VALUE"""),489529.0)</f>
        <v>489529</v>
      </c>
      <c r="B632" s="2" t="str">
        <f>IFERROR(__xludf.DUMMYFUNCTION("""COMPUTED_VALUE"""),"20673")</f>
        <v>20673</v>
      </c>
      <c r="C632" s="2" t="str">
        <f>IFERROR(__xludf.DUMMYFUNCTION("""COMPUTED_VALUE"""),"STRAWBERRIES PRINT BOWL")</f>
        <v>STRAWBERRIES PRINT BOWL</v>
      </c>
      <c r="D632" s="2">
        <f>IFERROR(__xludf.DUMMYFUNCTION("""COMPUTED_VALUE"""),4.0)</f>
        <v>4</v>
      </c>
      <c r="E632" s="6">
        <f>IFERROR(__xludf.DUMMYFUNCTION("""COMPUTED_VALUE"""),40148.49375)</f>
        <v>40148.49375</v>
      </c>
      <c r="F632" s="2">
        <f>IFERROR(__xludf.DUMMYFUNCTION("""COMPUTED_VALUE"""),1.25)</f>
        <v>1.25</v>
      </c>
      <c r="G632" s="2">
        <f>IFERROR(__xludf.DUMMYFUNCTION("""COMPUTED_VALUE"""),17984.0)</f>
        <v>17984</v>
      </c>
      <c r="H632" s="2" t="str">
        <f>IFERROR(__xludf.DUMMYFUNCTION("""COMPUTED_VALUE"""),"United Kingdom")</f>
        <v>United Kingdom</v>
      </c>
      <c r="I632" s="7">
        <f>IFERROR(__xludf.DUMMYFUNCTION("""COMPUTED_VALUE"""),40148.0)</f>
        <v>40148</v>
      </c>
      <c r="J632" s="8">
        <f>IFERROR(__xludf.DUMMYFUNCTION("""COMPUTED_VALUE"""),0.4937500000014552)</f>
        <v>0.49375</v>
      </c>
      <c r="K632" s="2">
        <f>IFERROR(__xludf.DUMMYFUNCTION("""COMPUTED_VALUE"""),11.0)</f>
        <v>11</v>
      </c>
      <c r="L632" s="2">
        <f>IFERROR(__xludf.DUMMYFUNCTION("""COMPUTED_VALUE"""),5.0)</f>
        <v>5</v>
      </c>
    </row>
    <row r="633">
      <c r="A633" s="2">
        <f>IFERROR(__xludf.DUMMYFUNCTION("""COMPUTED_VALUE"""),489529.0)</f>
        <v>489529</v>
      </c>
      <c r="B633" s="2" t="str">
        <f>IFERROR(__xludf.DUMMYFUNCTION("""COMPUTED_VALUE"""),"22300")</f>
        <v>22300</v>
      </c>
      <c r="C633" s="2" t="str">
        <f>IFERROR(__xludf.DUMMYFUNCTION("""COMPUTED_VALUE"""),"COFFEE MUG DOG + BALL DESIGN")</f>
        <v>COFFEE MUG DOG + BALL DESIGN</v>
      </c>
      <c r="D633" s="2">
        <f>IFERROR(__xludf.DUMMYFUNCTION("""COMPUTED_VALUE"""),6.0)</f>
        <v>6</v>
      </c>
      <c r="E633" s="6">
        <f>IFERROR(__xludf.DUMMYFUNCTION("""COMPUTED_VALUE"""),40148.49375)</f>
        <v>40148.49375</v>
      </c>
      <c r="F633" s="2">
        <f>IFERROR(__xludf.DUMMYFUNCTION("""COMPUTED_VALUE"""),2.55)</f>
        <v>2.55</v>
      </c>
      <c r="G633" s="2">
        <f>IFERROR(__xludf.DUMMYFUNCTION("""COMPUTED_VALUE"""),17984.0)</f>
        <v>17984</v>
      </c>
      <c r="H633" s="2" t="str">
        <f>IFERROR(__xludf.DUMMYFUNCTION("""COMPUTED_VALUE"""),"United Kingdom")</f>
        <v>United Kingdom</v>
      </c>
      <c r="I633" s="7">
        <f>IFERROR(__xludf.DUMMYFUNCTION("""COMPUTED_VALUE"""),40148.0)</f>
        <v>40148</v>
      </c>
      <c r="J633" s="8">
        <f>IFERROR(__xludf.DUMMYFUNCTION("""COMPUTED_VALUE"""),0.4937500000014552)</f>
        <v>0.49375</v>
      </c>
      <c r="K633" s="2">
        <f>IFERROR(__xludf.DUMMYFUNCTION("""COMPUTED_VALUE"""),11.0)</f>
        <v>11</v>
      </c>
      <c r="L633" s="2">
        <f>IFERROR(__xludf.DUMMYFUNCTION("""COMPUTED_VALUE"""),15.2999999999999)</f>
        <v>15.3</v>
      </c>
    </row>
    <row r="634">
      <c r="A634" s="2">
        <f>IFERROR(__xludf.DUMMYFUNCTION("""COMPUTED_VALUE"""),489529.0)</f>
        <v>489529</v>
      </c>
      <c r="B634" s="2" t="str">
        <f>IFERROR(__xludf.DUMMYFUNCTION("""COMPUTED_VALUE"""),"84520B")</f>
        <v>84520B</v>
      </c>
      <c r="C634" s="2" t="str">
        <f>IFERROR(__xludf.DUMMYFUNCTION("""COMPUTED_VALUE"""),"PACK 20 ENGLISH ROSE PAPER NAPKINS")</f>
        <v>PACK 20 ENGLISH ROSE PAPER NAPKINS</v>
      </c>
      <c r="D634" s="2">
        <f>IFERROR(__xludf.DUMMYFUNCTION("""COMPUTED_VALUE"""),1.0)</f>
        <v>1</v>
      </c>
      <c r="E634" s="6">
        <f>IFERROR(__xludf.DUMMYFUNCTION("""COMPUTED_VALUE"""),40148.49375)</f>
        <v>40148.49375</v>
      </c>
      <c r="F634" s="2">
        <f>IFERROR(__xludf.DUMMYFUNCTION("""COMPUTED_VALUE"""),0.85)</f>
        <v>0.85</v>
      </c>
      <c r="G634" s="2">
        <f>IFERROR(__xludf.DUMMYFUNCTION("""COMPUTED_VALUE"""),17984.0)</f>
        <v>17984</v>
      </c>
      <c r="H634" s="2" t="str">
        <f>IFERROR(__xludf.DUMMYFUNCTION("""COMPUTED_VALUE"""),"United Kingdom")</f>
        <v>United Kingdom</v>
      </c>
      <c r="I634" s="7">
        <f>IFERROR(__xludf.DUMMYFUNCTION("""COMPUTED_VALUE"""),40148.0)</f>
        <v>40148</v>
      </c>
      <c r="J634" s="8">
        <f>IFERROR(__xludf.DUMMYFUNCTION("""COMPUTED_VALUE"""),0.4937500000014552)</f>
        <v>0.49375</v>
      </c>
      <c r="K634" s="2">
        <f>IFERROR(__xludf.DUMMYFUNCTION("""COMPUTED_VALUE"""),11.0)</f>
        <v>11</v>
      </c>
      <c r="L634" s="2">
        <f>IFERROR(__xludf.DUMMYFUNCTION("""COMPUTED_VALUE"""),0.85)</f>
        <v>0.85</v>
      </c>
    </row>
    <row r="635">
      <c r="A635" s="2">
        <f>IFERROR(__xludf.DUMMYFUNCTION("""COMPUTED_VALUE"""),489529.0)</f>
        <v>489529</v>
      </c>
      <c r="B635" s="2" t="str">
        <f>IFERROR(__xludf.DUMMYFUNCTION("""COMPUTED_VALUE"""),"22086")</f>
        <v>22086</v>
      </c>
      <c r="C635" s="2" t="str">
        <f>IFERROR(__xludf.DUMMYFUNCTION("""COMPUTED_VALUE"""),"PAPER CHAIN KIT 50'S CHRISTMAS")</f>
        <v>PAPER CHAIN KIT 50'S CHRISTMAS</v>
      </c>
      <c r="D635" s="2">
        <f>IFERROR(__xludf.DUMMYFUNCTION("""COMPUTED_VALUE"""),1.0)</f>
        <v>1</v>
      </c>
      <c r="E635" s="6">
        <f>IFERROR(__xludf.DUMMYFUNCTION("""COMPUTED_VALUE"""),40148.49375)</f>
        <v>40148.49375</v>
      </c>
      <c r="F635" s="2">
        <f>IFERROR(__xludf.DUMMYFUNCTION("""COMPUTED_VALUE"""),2.95)</f>
        <v>2.95</v>
      </c>
      <c r="G635" s="2">
        <f>IFERROR(__xludf.DUMMYFUNCTION("""COMPUTED_VALUE"""),17984.0)</f>
        <v>17984</v>
      </c>
      <c r="H635" s="2" t="str">
        <f>IFERROR(__xludf.DUMMYFUNCTION("""COMPUTED_VALUE"""),"United Kingdom")</f>
        <v>United Kingdom</v>
      </c>
      <c r="I635" s="7">
        <f>IFERROR(__xludf.DUMMYFUNCTION("""COMPUTED_VALUE"""),40148.0)</f>
        <v>40148</v>
      </c>
      <c r="J635" s="8">
        <f>IFERROR(__xludf.DUMMYFUNCTION("""COMPUTED_VALUE"""),0.4937500000014552)</f>
        <v>0.49375</v>
      </c>
      <c r="K635" s="2">
        <f>IFERROR(__xludf.DUMMYFUNCTION("""COMPUTED_VALUE"""),11.0)</f>
        <v>11</v>
      </c>
      <c r="L635" s="2">
        <f>IFERROR(__xludf.DUMMYFUNCTION("""COMPUTED_VALUE"""),2.95)</f>
        <v>2.95</v>
      </c>
    </row>
    <row r="636">
      <c r="A636" s="2">
        <f>IFERROR(__xludf.DUMMYFUNCTION("""COMPUTED_VALUE"""),489529.0)</f>
        <v>489529</v>
      </c>
      <c r="B636" s="2" t="str">
        <f>IFERROR(__xludf.DUMMYFUNCTION("""COMPUTED_VALUE"""),"20619")</f>
        <v>20619</v>
      </c>
      <c r="C636" s="2" t="str">
        <f>IFERROR(__xludf.DUMMYFUNCTION("""COMPUTED_VALUE"""),"TROPICAL PASSPORT COVER")</f>
        <v>TROPICAL PASSPORT COVER</v>
      </c>
      <c r="D636" s="2">
        <f>IFERROR(__xludf.DUMMYFUNCTION("""COMPUTED_VALUE"""),1.0)</f>
        <v>1</v>
      </c>
      <c r="E636" s="6">
        <f>IFERROR(__xludf.DUMMYFUNCTION("""COMPUTED_VALUE"""),40148.49375)</f>
        <v>40148.49375</v>
      </c>
      <c r="F636" s="2">
        <f>IFERROR(__xludf.DUMMYFUNCTION("""COMPUTED_VALUE"""),2.1)</f>
        <v>2.1</v>
      </c>
      <c r="G636" s="2">
        <f>IFERROR(__xludf.DUMMYFUNCTION("""COMPUTED_VALUE"""),17984.0)</f>
        <v>17984</v>
      </c>
      <c r="H636" s="2" t="str">
        <f>IFERROR(__xludf.DUMMYFUNCTION("""COMPUTED_VALUE"""),"United Kingdom")</f>
        <v>United Kingdom</v>
      </c>
      <c r="I636" s="7">
        <f>IFERROR(__xludf.DUMMYFUNCTION("""COMPUTED_VALUE"""),40148.0)</f>
        <v>40148</v>
      </c>
      <c r="J636" s="8">
        <f>IFERROR(__xludf.DUMMYFUNCTION("""COMPUTED_VALUE"""),0.4937500000014552)</f>
        <v>0.49375</v>
      </c>
      <c r="K636" s="2">
        <f>IFERROR(__xludf.DUMMYFUNCTION("""COMPUTED_VALUE"""),11.0)</f>
        <v>11</v>
      </c>
      <c r="L636" s="2">
        <f>IFERROR(__xludf.DUMMYFUNCTION("""COMPUTED_VALUE"""),2.1)</f>
        <v>2.1</v>
      </c>
    </row>
    <row r="637">
      <c r="A637" s="2">
        <f>IFERROR(__xludf.DUMMYFUNCTION("""COMPUTED_VALUE"""),489529.0)</f>
        <v>489529</v>
      </c>
      <c r="B637" s="2" t="str">
        <f>IFERROR(__xludf.DUMMYFUNCTION("""COMPUTED_VALUE"""),"21864")</f>
        <v>21864</v>
      </c>
      <c r="C637" s="2" t="str">
        <f>IFERROR(__xludf.DUMMYFUNCTION("""COMPUTED_VALUE"""),"UNION JACK FLAG PASSPORT COVER")</f>
        <v>UNION JACK FLAG PASSPORT COVER</v>
      </c>
      <c r="D637" s="2">
        <f>IFERROR(__xludf.DUMMYFUNCTION("""COMPUTED_VALUE"""),1.0)</f>
        <v>1</v>
      </c>
      <c r="E637" s="6">
        <f>IFERROR(__xludf.DUMMYFUNCTION("""COMPUTED_VALUE"""),40148.49375)</f>
        <v>40148.49375</v>
      </c>
      <c r="F637" s="2">
        <f>IFERROR(__xludf.DUMMYFUNCTION("""COMPUTED_VALUE"""),2.1)</f>
        <v>2.1</v>
      </c>
      <c r="G637" s="2">
        <f>IFERROR(__xludf.DUMMYFUNCTION("""COMPUTED_VALUE"""),17984.0)</f>
        <v>17984</v>
      </c>
      <c r="H637" s="2" t="str">
        <f>IFERROR(__xludf.DUMMYFUNCTION("""COMPUTED_VALUE"""),"United Kingdom")</f>
        <v>United Kingdom</v>
      </c>
      <c r="I637" s="7">
        <f>IFERROR(__xludf.DUMMYFUNCTION("""COMPUTED_VALUE"""),40148.0)</f>
        <v>40148</v>
      </c>
      <c r="J637" s="8">
        <f>IFERROR(__xludf.DUMMYFUNCTION("""COMPUTED_VALUE"""),0.4937500000014552)</f>
        <v>0.49375</v>
      </c>
      <c r="K637" s="2">
        <f>IFERROR(__xludf.DUMMYFUNCTION("""COMPUTED_VALUE"""),11.0)</f>
        <v>11</v>
      </c>
      <c r="L637" s="2">
        <f>IFERROR(__xludf.DUMMYFUNCTION("""COMPUTED_VALUE"""),2.1)</f>
        <v>2.1</v>
      </c>
    </row>
    <row r="638">
      <c r="A638" s="2">
        <f>IFERROR(__xludf.DUMMYFUNCTION("""COMPUTED_VALUE"""),489529.0)</f>
        <v>489529</v>
      </c>
      <c r="B638" s="2" t="str">
        <f>IFERROR(__xludf.DUMMYFUNCTION("""COMPUTED_VALUE"""),"21866")</f>
        <v>21866</v>
      </c>
      <c r="C638" s="2" t="str">
        <f>IFERROR(__xludf.DUMMYFUNCTION("""COMPUTED_VALUE"""),"UNION JACK FLAG LUGGAGE TAG")</f>
        <v>UNION JACK FLAG LUGGAGE TAG</v>
      </c>
      <c r="D638" s="2">
        <f>IFERROR(__xludf.DUMMYFUNCTION("""COMPUTED_VALUE"""),1.0)</f>
        <v>1</v>
      </c>
      <c r="E638" s="6">
        <f>IFERROR(__xludf.DUMMYFUNCTION("""COMPUTED_VALUE"""),40148.49375)</f>
        <v>40148.49375</v>
      </c>
      <c r="F638" s="2">
        <f>IFERROR(__xludf.DUMMYFUNCTION("""COMPUTED_VALUE"""),1.25)</f>
        <v>1.25</v>
      </c>
      <c r="G638" s="2">
        <f>IFERROR(__xludf.DUMMYFUNCTION("""COMPUTED_VALUE"""),17984.0)</f>
        <v>17984</v>
      </c>
      <c r="H638" s="2" t="str">
        <f>IFERROR(__xludf.DUMMYFUNCTION("""COMPUTED_VALUE"""),"United Kingdom")</f>
        <v>United Kingdom</v>
      </c>
      <c r="I638" s="7">
        <f>IFERROR(__xludf.DUMMYFUNCTION("""COMPUTED_VALUE"""),40148.0)</f>
        <v>40148</v>
      </c>
      <c r="J638" s="8">
        <f>IFERROR(__xludf.DUMMYFUNCTION("""COMPUTED_VALUE"""),0.4937500000014552)</f>
        <v>0.49375</v>
      </c>
      <c r="K638" s="2">
        <f>IFERROR(__xludf.DUMMYFUNCTION("""COMPUTED_VALUE"""),11.0)</f>
        <v>11</v>
      </c>
      <c r="L638" s="2">
        <f>IFERROR(__xludf.DUMMYFUNCTION("""COMPUTED_VALUE"""),1.25)</f>
        <v>1.25</v>
      </c>
    </row>
    <row r="639">
      <c r="A639" s="2">
        <f>IFERROR(__xludf.DUMMYFUNCTION("""COMPUTED_VALUE"""),489529.0)</f>
        <v>489529</v>
      </c>
      <c r="B639" s="2" t="str">
        <f>IFERROR(__xludf.DUMMYFUNCTION("""COMPUTED_VALUE"""),"20660")</f>
        <v>20660</v>
      </c>
      <c r="C639" s="2" t="str">
        <f>IFERROR(__xludf.DUMMYFUNCTION("""COMPUTED_VALUE"""),"VIP LUGGAGE TAG")</f>
        <v>VIP LUGGAGE TAG</v>
      </c>
      <c r="D639" s="2">
        <f>IFERROR(__xludf.DUMMYFUNCTION("""COMPUTED_VALUE"""),1.0)</f>
        <v>1</v>
      </c>
      <c r="E639" s="6">
        <f>IFERROR(__xludf.DUMMYFUNCTION("""COMPUTED_VALUE"""),40148.49375)</f>
        <v>40148.49375</v>
      </c>
      <c r="F639" s="2">
        <f>IFERROR(__xludf.DUMMYFUNCTION("""COMPUTED_VALUE"""),1.25)</f>
        <v>1.25</v>
      </c>
      <c r="G639" s="2">
        <f>IFERROR(__xludf.DUMMYFUNCTION("""COMPUTED_VALUE"""),17984.0)</f>
        <v>17984</v>
      </c>
      <c r="H639" s="2" t="str">
        <f>IFERROR(__xludf.DUMMYFUNCTION("""COMPUTED_VALUE"""),"United Kingdom")</f>
        <v>United Kingdom</v>
      </c>
      <c r="I639" s="7">
        <f>IFERROR(__xludf.DUMMYFUNCTION("""COMPUTED_VALUE"""),40148.0)</f>
        <v>40148</v>
      </c>
      <c r="J639" s="8">
        <f>IFERROR(__xludf.DUMMYFUNCTION("""COMPUTED_VALUE"""),0.4937500000014552)</f>
        <v>0.49375</v>
      </c>
      <c r="K639" s="2">
        <f>IFERROR(__xludf.DUMMYFUNCTION("""COMPUTED_VALUE"""),11.0)</f>
        <v>11</v>
      </c>
      <c r="L639" s="2">
        <f>IFERROR(__xludf.DUMMYFUNCTION("""COMPUTED_VALUE"""),1.25)</f>
        <v>1.25</v>
      </c>
    </row>
    <row r="640">
      <c r="A640" s="2">
        <f>IFERROR(__xludf.DUMMYFUNCTION("""COMPUTED_VALUE"""),489529.0)</f>
        <v>489529</v>
      </c>
      <c r="B640" s="2" t="str">
        <f>IFERROR(__xludf.DUMMYFUNCTION("""COMPUTED_VALUE"""),"21489")</f>
        <v>21489</v>
      </c>
      <c r="C640" s="2" t="str">
        <f>IFERROR(__xludf.DUMMYFUNCTION("""COMPUTED_VALUE"""),"BLUE WHITE SCARF HOT WATER BOTTLE")</f>
        <v>BLUE WHITE SCARF HOT WATER BOTTLE</v>
      </c>
      <c r="D640" s="2">
        <f>IFERROR(__xludf.DUMMYFUNCTION("""COMPUTED_VALUE"""),1.0)</f>
        <v>1</v>
      </c>
      <c r="E640" s="6">
        <f>IFERROR(__xludf.DUMMYFUNCTION("""COMPUTED_VALUE"""),40148.49375)</f>
        <v>40148.49375</v>
      </c>
      <c r="F640" s="2">
        <f>IFERROR(__xludf.DUMMYFUNCTION("""COMPUTED_VALUE"""),3.95)</f>
        <v>3.95</v>
      </c>
      <c r="G640" s="2">
        <f>IFERROR(__xludf.DUMMYFUNCTION("""COMPUTED_VALUE"""),17984.0)</f>
        <v>17984</v>
      </c>
      <c r="H640" s="2" t="str">
        <f>IFERROR(__xludf.DUMMYFUNCTION("""COMPUTED_VALUE"""),"United Kingdom")</f>
        <v>United Kingdom</v>
      </c>
      <c r="I640" s="7">
        <f>IFERROR(__xludf.DUMMYFUNCTION("""COMPUTED_VALUE"""),40148.0)</f>
        <v>40148</v>
      </c>
      <c r="J640" s="8">
        <f>IFERROR(__xludf.DUMMYFUNCTION("""COMPUTED_VALUE"""),0.4937500000014552)</f>
        <v>0.49375</v>
      </c>
      <c r="K640" s="2">
        <f>IFERROR(__xludf.DUMMYFUNCTION("""COMPUTED_VALUE"""),11.0)</f>
        <v>11</v>
      </c>
      <c r="L640" s="2">
        <f>IFERROR(__xludf.DUMMYFUNCTION("""COMPUTED_VALUE"""),3.95)</f>
        <v>3.95</v>
      </c>
    </row>
    <row r="641">
      <c r="A641" s="2">
        <f>IFERROR(__xludf.DUMMYFUNCTION("""COMPUTED_VALUE"""),489529.0)</f>
        <v>489529</v>
      </c>
      <c r="B641" s="2" t="str">
        <f>IFERROR(__xludf.DUMMYFUNCTION("""COMPUTED_VALUE"""),"16207A")</f>
        <v>16207A</v>
      </c>
      <c r="C641" s="2" t="str">
        <f>IFERROR(__xludf.DUMMYFUNCTION("""COMPUTED_VALUE"""),"PINK STRAWBERRY HANDBAG")</f>
        <v>PINK STRAWBERRY HANDBAG</v>
      </c>
      <c r="D641" s="2">
        <f>IFERROR(__xludf.DUMMYFUNCTION("""COMPUTED_VALUE"""),1.0)</f>
        <v>1</v>
      </c>
      <c r="E641" s="6">
        <f>IFERROR(__xludf.DUMMYFUNCTION("""COMPUTED_VALUE"""),40148.49375)</f>
        <v>40148.49375</v>
      </c>
      <c r="F641" s="2">
        <f>IFERROR(__xludf.DUMMYFUNCTION("""COMPUTED_VALUE"""),2.95)</f>
        <v>2.95</v>
      </c>
      <c r="G641" s="2">
        <f>IFERROR(__xludf.DUMMYFUNCTION("""COMPUTED_VALUE"""),17984.0)</f>
        <v>17984</v>
      </c>
      <c r="H641" s="2" t="str">
        <f>IFERROR(__xludf.DUMMYFUNCTION("""COMPUTED_VALUE"""),"United Kingdom")</f>
        <v>United Kingdom</v>
      </c>
      <c r="I641" s="7">
        <f>IFERROR(__xludf.DUMMYFUNCTION("""COMPUTED_VALUE"""),40148.0)</f>
        <v>40148</v>
      </c>
      <c r="J641" s="8">
        <f>IFERROR(__xludf.DUMMYFUNCTION("""COMPUTED_VALUE"""),0.4937500000014552)</f>
        <v>0.49375</v>
      </c>
      <c r="K641" s="2">
        <f>IFERROR(__xludf.DUMMYFUNCTION("""COMPUTED_VALUE"""),11.0)</f>
        <v>11</v>
      </c>
      <c r="L641" s="2">
        <f>IFERROR(__xludf.DUMMYFUNCTION("""COMPUTED_VALUE"""),2.95)</f>
        <v>2.95</v>
      </c>
    </row>
    <row r="642">
      <c r="A642" s="2">
        <f>IFERROR(__xludf.DUMMYFUNCTION("""COMPUTED_VALUE"""),489529.0)</f>
        <v>489529</v>
      </c>
      <c r="B642" s="2" t="str">
        <f>IFERROR(__xludf.DUMMYFUNCTION("""COMPUTED_VALUE"""),"20777")</f>
        <v>20777</v>
      </c>
      <c r="C642" s="2" t="str">
        <f>IFERROR(__xludf.DUMMYFUNCTION("""COMPUTED_VALUE"""),"CHRYSANTHEMUM NOTEBOOK")</f>
        <v>CHRYSANTHEMUM NOTEBOOK</v>
      </c>
      <c r="D642" s="2">
        <f>IFERROR(__xludf.DUMMYFUNCTION("""COMPUTED_VALUE"""),1.0)</f>
        <v>1</v>
      </c>
      <c r="E642" s="6">
        <f>IFERROR(__xludf.DUMMYFUNCTION("""COMPUTED_VALUE"""),40148.49375)</f>
        <v>40148.49375</v>
      </c>
      <c r="F642" s="2">
        <f>IFERROR(__xludf.DUMMYFUNCTION("""COMPUTED_VALUE"""),1.65)</f>
        <v>1.65</v>
      </c>
      <c r="G642" s="2">
        <f>IFERROR(__xludf.DUMMYFUNCTION("""COMPUTED_VALUE"""),17984.0)</f>
        <v>17984</v>
      </c>
      <c r="H642" s="2" t="str">
        <f>IFERROR(__xludf.DUMMYFUNCTION("""COMPUTED_VALUE"""),"United Kingdom")</f>
        <v>United Kingdom</v>
      </c>
      <c r="I642" s="7">
        <f>IFERROR(__xludf.DUMMYFUNCTION("""COMPUTED_VALUE"""),40148.0)</f>
        <v>40148</v>
      </c>
      <c r="J642" s="8">
        <f>IFERROR(__xludf.DUMMYFUNCTION("""COMPUTED_VALUE"""),0.4937500000014552)</f>
        <v>0.49375</v>
      </c>
      <c r="K642" s="2">
        <f>IFERROR(__xludf.DUMMYFUNCTION("""COMPUTED_VALUE"""),11.0)</f>
        <v>11</v>
      </c>
      <c r="L642" s="2">
        <f>IFERROR(__xludf.DUMMYFUNCTION("""COMPUTED_VALUE"""),1.65)</f>
        <v>1.65</v>
      </c>
    </row>
    <row r="643">
      <c r="A643" s="2">
        <f>IFERROR(__xludf.DUMMYFUNCTION("""COMPUTED_VALUE"""),489529.0)</f>
        <v>489529</v>
      </c>
      <c r="B643" s="2" t="str">
        <f>IFERROR(__xludf.DUMMYFUNCTION("""COMPUTED_VALUE"""),"20774")</f>
        <v>20774</v>
      </c>
      <c r="C643" s="2" t="str">
        <f>IFERROR(__xludf.DUMMYFUNCTION("""COMPUTED_VALUE"""),"GREEN FERN NOTEBOOK")</f>
        <v>GREEN FERN NOTEBOOK</v>
      </c>
      <c r="D643" s="2">
        <f>IFERROR(__xludf.DUMMYFUNCTION("""COMPUTED_VALUE"""),2.0)</f>
        <v>2</v>
      </c>
      <c r="E643" s="6">
        <f>IFERROR(__xludf.DUMMYFUNCTION("""COMPUTED_VALUE"""),40148.49375)</f>
        <v>40148.49375</v>
      </c>
      <c r="F643" s="2">
        <f>IFERROR(__xludf.DUMMYFUNCTION("""COMPUTED_VALUE"""),1.65)</f>
        <v>1.65</v>
      </c>
      <c r="G643" s="2">
        <f>IFERROR(__xludf.DUMMYFUNCTION("""COMPUTED_VALUE"""),17984.0)</f>
        <v>17984</v>
      </c>
      <c r="H643" s="2" t="str">
        <f>IFERROR(__xludf.DUMMYFUNCTION("""COMPUTED_VALUE"""),"United Kingdom")</f>
        <v>United Kingdom</v>
      </c>
      <c r="I643" s="7">
        <f>IFERROR(__xludf.DUMMYFUNCTION("""COMPUTED_VALUE"""),40148.0)</f>
        <v>40148</v>
      </c>
      <c r="J643" s="8">
        <f>IFERROR(__xludf.DUMMYFUNCTION("""COMPUTED_VALUE"""),0.4937500000014552)</f>
        <v>0.49375</v>
      </c>
      <c r="K643" s="2">
        <f>IFERROR(__xludf.DUMMYFUNCTION("""COMPUTED_VALUE"""),11.0)</f>
        <v>11</v>
      </c>
      <c r="L643" s="2">
        <f>IFERROR(__xludf.DUMMYFUNCTION("""COMPUTED_VALUE"""),3.3)</f>
        <v>3.3</v>
      </c>
    </row>
    <row r="644">
      <c r="A644" s="2">
        <f>IFERROR(__xludf.DUMMYFUNCTION("""COMPUTED_VALUE"""),489529.0)</f>
        <v>489529</v>
      </c>
      <c r="B644" s="2" t="str">
        <f>IFERROR(__xludf.DUMMYFUNCTION("""COMPUTED_VALUE"""),"22029")</f>
        <v>22029</v>
      </c>
      <c r="C644" s="2" t="str">
        <f>IFERROR(__xludf.DUMMYFUNCTION("""COMPUTED_VALUE"""),"SPACE BOY BIRTHDAY CARD")</f>
        <v>SPACE BOY BIRTHDAY CARD</v>
      </c>
      <c r="D644" s="2">
        <f>IFERROR(__xludf.DUMMYFUNCTION("""COMPUTED_VALUE"""),12.0)</f>
        <v>12</v>
      </c>
      <c r="E644" s="6">
        <f>IFERROR(__xludf.DUMMYFUNCTION("""COMPUTED_VALUE"""),40148.49375)</f>
        <v>40148.49375</v>
      </c>
      <c r="F644" s="2">
        <f>IFERROR(__xludf.DUMMYFUNCTION("""COMPUTED_VALUE"""),0.42)</f>
        <v>0.42</v>
      </c>
      <c r="G644" s="2">
        <f>IFERROR(__xludf.DUMMYFUNCTION("""COMPUTED_VALUE"""),17984.0)</f>
        <v>17984</v>
      </c>
      <c r="H644" s="2" t="str">
        <f>IFERROR(__xludf.DUMMYFUNCTION("""COMPUTED_VALUE"""),"United Kingdom")</f>
        <v>United Kingdom</v>
      </c>
      <c r="I644" s="7">
        <f>IFERROR(__xludf.DUMMYFUNCTION("""COMPUTED_VALUE"""),40148.0)</f>
        <v>40148</v>
      </c>
      <c r="J644" s="8">
        <f>IFERROR(__xludf.DUMMYFUNCTION("""COMPUTED_VALUE"""),0.4937500000014552)</f>
        <v>0.49375</v>
      </c>
      <c r="K644" s="2">
        <f>IFERROR(__xludf.DUMMYFUNCTION("""COMPUTED_VALUE"""),11.0)</f>
        <v>11</v>
      </c>
      <c r="L644" s="2">
        <f>IFERROR(__xludf.DUMMYFUNCTION("""COMPUTED_VALUE"""),5.04)</f>
        <v>5.04</v>
      </c>
    </row>
    <row r="645">
      <c r="A645" s="2">
        <f>IFERROR(__xludf.DUMMYFUNCTION("""COMPUTED_VALUE"""),489529.0)</f>
        <v>489529</v>
      </c>
      <c r="B645" s="2" t="str">
        <f>IFERROR(__xludf.DUMMYFUNCTION("""COMPUTED_VALUE"""),"22030")</f>
        <v>22030</v>
      </c>
      <c r="C645" s="2" t="str">
        <f>IFERROR(__xludf.DUMMYFUNCTION("""COMPUTED_VALUE"""),"SWALLOWS GREETING CARD")</f>
        <v>SWALLOWS GREETING CARD</v>
      </c>
      <c r="D645" s="2">
        <f>IFERROR(__xludf.DUMMYFUNCTION("""COMPUTED_VALUE"""),12.0)</f>
        <v>12</v>
      </c>
      <c r="E645" s="6">
        <f>IFERROR(__xludf.DUMMYFUNCTION("""COMPUTED_VALUE"""),40148.49375)</f>
        <v>40148.49375</v>
      </c>
      <c r="F645" s="2">
        <f>IFERROR(__xludf.DUMMYFUNCTION("""COMPUTED_VALUE"""),0.42)</f>
        <v>0.42</v>
      </c>
      <c r="G645" s="2">
        <f>IFERROR(__xludf.DUMMYFUNCTION("""COMPUTED_VALUE"""),17984.0)</f>
        <v>17984</v>
      </c>
      <c r="H645" s="2" t="str">
        <f>IFERROR(__xludf.DUMMYFUNCTION("""COMPUTED_VALUE"""),"United Kingdom")</f>
        <v>United Kingdom</v>
      </c>
      <c r="I645" s="7">
        <f>IFERROR(__xludf.DUMMYFUNCTION("""COMPUTED_VALUE"""),40148.0)</f>
        <v>40148</v>
      </c>
      <c r="J645" s="8">
        <f>IFERROR(__xludf.DUMMYFUNCTION("""COMPUTED_VALUE"""),0.4937500000014552)</f>
        <v>0.49375</v>
      </c>
      <c r="K645" s="2">
        <f>IFERROR(__xludf.DUMMYFUNCTION("""COMPUTED_VALUE"""),11.0)</f>
        <v>11</v>
      </c>
      <c r="L645" s="2">
        <f>IFERROR(__xludf.DUMMYFUNCTION("""COMPUTED_VALUE"""),5.04)</f>
        <v>5.04</v>
      </c>
    </row>
    <row r="646">
      <c r="A646" s="2">
        <f>IFERROR(__xludf.DUMMYFUNCTION("""COMPUTED_VALUE"""),489529.0)</f>
        <v>489529</v>
      </c>
      <c r="B646" s="2" t="str">
        <f>IFERROR(__xludf.DUMMYFUNCTION("""COMPUTED_VALUE"""),"22024")</f>
        <v>22024</v>
      </c>
      <c r="C646" s="2" t="str">
        <f>IFERROR(__xludf.DUMMYFUNCTION("""COMPUTED_VALUE"""),"RAINY LADIES BIRTHDAY CARD")</f>
        <v>RAINY LADIES BIRTHDAY CARD</v>
      </c>
      <c r="D646" s="2">
        <f>IFERROR(__xludf.DUMMYFUNCTION("""COMPUTED_VALUE"""),12.0)</f>
        <v>12</v>
      </c>
      <c r="E646" s="6">
        <f>IFERROR(__xludf.DUMMYFUNCTION("""COMPUTED_VALUE"""),40148.49375)</f>
        <v>40148.49375</v>
      </c>
      <c r="F646" s="2">
        <f>IFERROR(__xludf.DUMMYFUNCTION("""COMPUTED_VALUE"""),0.42)</f>
        <v>0.42</v>
      </c>
      <c r="G646" s="2">
        <f>IFERROR(__xludf.DUMMYFUNCTION("""COMPUTED_VALUE"""),17984.0)</f>
        <v>17984</v>
      </c>
      <c r="H646" s="2" t="str">
        <f>IFERROR(__xludf.DUMMYFUNCTION("""COMPUTED_VALUE"""),"United Kingdom")</f>
        <v>United Kingdom</v>
      </c>
      <c r="I646" s="7">
        <f>IFERROR(__xludf.DUMMYFUNCTION("""COMPUTED_VALUE"""),40148.0)</f>
        <v>40148</v>
      </c>
      <c r="J646" s="8">
        <f>IFERROR(__xludf.DUMMYFUNCTION("""COMPUTED_VALUE"""),0.4937500000014552)</f>
        <v>0.49375</v>
      </c>
      <c r="K646" s="2">
        <f>IFERROR(__xludf.DUMMYFUNCTION("""COMPUTED_VALUE"""),11.0)</f>
        <v>11</v>
      </c>
      <c r="L646" s="2">
        <f>IFERROR(__xludf.DUMMYFUNCTION("""COMPUTED_VALUE"""),5.04)</f>
        <v>5.04</v>
      </c>
    </row>
    <row r="647">
      <c r="A647" s="2">
        <f>IFERROR(__xludf.DUMMYFUNCTION("""COMPUTED_VALUE"""),489529.0)</f>
        <v>489529</v>
      </c>
      <c r="B647" s="2" t="str">
        <f>IFERROR(__xludf.DUMMYFUNCTION("""COMPUTED_VALUE"""),"22037")</f>
        <v>22037</v>
      </c>
      <c r="C647" s="2" t="str">
        <f>IFERROR(__xludf.DUMMYFUNCTION("""COMPUTED_VALUE"""),"ROBOT BIRTHDAY CARD")</f>
        <v>ROBOT BIRTHDAY CARD</v>
      </c>
      <c r="D647" s="2">
        <f>IFERROR(__xludf.DUMMYFUNCTION("""COMPUTED_VALUE"""),12.0)</f>
        <v>12</v>
      </c>
      <c r="E647" s="6">
        <f>IFERROR(__xludf.DUMMYFUNCTION("""COMPUTED_VALUE"""),40148.49375)</f>
        <v>40148.49375</v>
      </c>
      <c r="F647" s="2">
        <f>IFERROR(__xludf.DUMMYFUNCTION("""COMPUTED_VALUE"""),0.42)</f>
        <v>0.42</v>
      </c>
      <c r="G647" s="2">
        <f>IFERROR(__xludf.DUMMYFUNCTION("""COMPUTED_VALUE"""),17984.0)</f>
        <v>17984</v>
      </c>
      <c r="H647" s="2" t="str">
        <f>IFERROR(__xludf.DUMMYFUNCTION("""COMPUTED_VALUE"""),"United Kingdom")</f>
        <v>United Kingdom</v>
      </c>
      <c r="I647" s="7">
        <f>IFERROR(__xludf.DUMMYFUNCTION("""COMPUTED_VALUE"""),40148.0)</f>
        <v>40148</v>
      </c>
      <c r="J647" s="8">
        <f>IFERROR(__xludf.DUMMYFUNCTION("""COMPUTED_VALUE"""),0.4937500000014552)</f>
        <v>0.49375</v>
      </c>
      <c r="K647" s="2">
        <f>IFERROR(__xludf.DUMMYFUNCTION("""COMPUTED_VALUE"""),11.0)</f>
        <v>11</v>
      </c>
      <c r="L647" s="2">
        <f>IFERROR(__xludf.DUMMYFUNCTION("""COMPUTED_VALUE"""),5.04)</f>
        <v>5.04</v>
      </c>
    </row>
    <row r="648">
      <c r="A648" s="2">
        <f>IFERROR(__xludf.DUMMYFUNCTION("""COMPUTED_VALUE"""),489529.0)</f>
        <v>489529</v>
      </c>
      <c r="B648" s="2" t="str">
        <f>IFERROR(__xludf.DUMMYFUNCTION("""COMPUTED_VALUE"""),"22036")</f>
        <v>22036</v>
      </c>
      <c r="C648" s="2" t="str">
        <f>IFERROR(__xludf.DUMMYFUNCTION("""COMPUTED_VALUE"""),"DINOSAUR BIRTHDAY CARD")</f>
        <v>DINOSAUR BIRTHDAY CARD</v>
      </c>
      <c r="D648" s="2">
        <f>IFERROR(__xludf.DUMMYFUNCTION("""COMPUTED_VALUE"""),12.0)</f>
        <v>12</v>
      </c>
      <c r="E648" s="6">
        <f>IFERROR(__xludf.DUMMYFUNCTION("""COMPUTED_VALUE"""),40148.49375)</f>
        <v>40148.49375</v>
      </c>
      <c r="F648" s="2">
        <f>IFERROR(__xludf.DUMMYFUNCTION("""COMPUTED_VALUE"""),0.42)</f>
        <v>0.42</v>
      </c>
      <c r="G648" s="2">
        <f>IFERROR(__xludf.DUMMYFUNCTION("""COMPUTED_VALUE"""),17984.0)</f>
        <v>17984</v>
      </c>
      <c r="H648" s="2" t="str">
        <f>IFERROR(__xludf.DUMMYFUNCTION("""COMPUTED_VALUE"""),"United Kingdom")</f>
        <v>United Kingdom</v>
      </c>
      <c r="I648" s="7">
        <f>IFERROR(__xludf.DUMMYFUNCTION("""COMPUTED_VALUE"""),40148.0)</f>
        <v>40148</v>
      </c>
      <c r="J648" s="8">
        <f>IFERROR(__xludf.DUMMYFUNCTION("""COMPUTED_VALUE"""),0.4937500000014552)</f>
        <v>0.49375</v>
      </c>
      <c r="K648" s="2">
        <f>IFERROR(__xludf.DUMMYFUNCTION("""COMPUTED_VALUE"""),11.0)</f>
        <v>11</v>
      </c>
      <c r="L648" s="2">
        <f>IFERROR(__xludf.DUMMYFUNCTION("""COMPUTED_VALUE"""),5.04)</f>
        <v>5.04</v>
      </c>
    </row>
    <row r="649">
      <c r="A649" s="2">
        <f>IFERROR(__xludf.DUMMYFUNCTION("""COMPUTED_VALUE"""),489529.0)</f>
        <v>489529</v>
      </c>
      <c r="B649" s="2" t="str">
        <f>IFERROR(__xludf.DUMMYFUNCTION("""COMPUTED_VALUE"""),"21833")</f>
        <v>21833</v>
      </c>
      <c r="C649" s="2" t="str">
        <f>IFERROR(__xludf.DUMMYFUNCTION("""COMPUTED_VALUE"""),"CAMOUFLAGE LED TORCH")</f>
        <v>CAMOUFLAGE LED TORCH</v>
      </c>
      <c r="D649" s="2">
        <f>IFERROR(__xludf.DUMMYFUNCTION("""COMPUTED_VALUE"""),2.0)</f>
        <v>2</v>
      </c>
      <c r="E649" s="6">
        <f>IFERROR(__xludf.DUMMYFUNCTION("""COMPUTED_VALUE"""),40148.49375)</f>
        <v>40148.49375</v>
      </c>
      <c r="F649" s="2">
        <f>IFERROR(__xludf.DUMMYFUNCTION("""COMPUTED_VALUE"""),1.69)</f>
        <v>1.69</v>
      </c>
      <c r="G649" s="2">
        <f>IFERROR(__xludf.DUMMYFUNCTION("""COMPUTED_VALUE"""),17984.0)</f>
        <v>17984</v>
      </c>
      <c r="H649" s="2" t="str">
        <f>IFERROR(__xludf.DUMMYFUNCTION("""COMPUTED_VALUE"""),"United Kingdom")</f>
        <v>United Kingdom</v>
      </c>
      <c r="I649" s="7">
        <f>IFERROR(__xludf.DUMMYFUNCTION("""COMPUTED_VALUE"""),40148.0)</f>
        <v>40148</v>
      </c>
      <c r="J649" s="8">
        <f>IFERROR(__xludf.DUMMYFUNCTION("""COMPUTED_VALUE"""),0.4937500000014552)</f>
        <v>0.49375</v>
      </c>
      <c r="K649" s="2">
        <f>IFERROR(__xludf.DUMMYFUNCTION("""COMPUTED_VALUE"""),11.0)</f>
        <v>11</v>
      </c>
      <c r="L649" s="2">
        <f>IFERROR(__xludf.DUMMYFUNCTION("""COMPUTED_VALUE"""),3.38)</f>
        <v>3.38</v>
      </c>
    </row>
    <row r="650">
      <c r="A650" s="2">
        <f>IFERROR(__xludf.DUMMYFUNCTION("""COMPUTED_VALUE"""),489529.0)</f>
        <v>489529</v>
      </c>
      <c r="B650" s="2" t="str">
        <f>IFERROR(__xludf.DUMMYFUNCTION("""COMPUTED_VALUE"""),"21726")</f>
        <v>21726</v>
      </c>
      <c r="C650" s="2" t="str">
        <f>IFERROR(__xludf.DUMMYFUNCTION("""COMPUTED_VALUE"""),"MULTI HEARTS STICKERS")</f>
        <v>MULTI HEARTS STICKERS</v>
      </c>
      <c r="D650" s="2">
        <f>IFERROR(__xludf.DUMMYFUNCTION("""COMPUTED_VALUE"""),3.0)</f>
        <v>3</v>
      </c>
      <c r="E650" s="6">
        <f>IFERROR(__xludf.DUMMYFUNCTION("""COMPUTED_VALUE"""),40148.49375)</f>
        <v>40148.49375</v>
      </c>
      <c r="F650" s="2">
        <f>IFERROR(__xludf.DUMMYFUNCTION("""COMPUTED_VALUE"""),0.85)</f>
        <v>0.85</v>
      </c>
      <c r="G650" s="2">
        <f>IFERROR(__xludf.DUMMYFUNCTION("""COMPUTED_VALUE"""),17984.0)</f>
        <v>17984</v>
      </c>
      <c r="H650" s="2" t="str">
        <f>IFERROR(__xludf.DUMMYFUNCTION("""COMPUTED_VALUE"""),"United Kingdom")</f>
        <v>United Kingdom</v>
      </c>
      <c r="I650" s="7">
        <f>IFERROR(__xludf.DUMMYFUNCTION("""COMPUTED_VALUE"""),40148.0)</f>
        <v>40148</v>
      </c>
      <c r="J650" s="8">
        <f>IFERROR(__xludf.DUMMYFUNCTION("""COMPUTED_VALUE"""),0.4937500000014552)</f>
        <v>0.49375</v>
      </c>
      <c r="K650" s="2">
        <f>IFERROR(__xludf.DUMMYFUNCTION("""COMPUTED_VALUE"""),11.0)</f>
        <v>11</v>
      </c>
      <c r="L650" s="2">
        <f>IFERROR(__xludf.DUMMYFUNCTION("""COMPUTED_VALUE"""),2.55)</f>
        <v>2.55</v>
      </c>
    </row>
    <row r="651">
      <c r="A651" s="2">
        <f>IFERROR(__xludf.DUMMYFUNCTION("""COMPUTED_VALUE"""),489529.0)</f>
        <v>489529</v>
      </c>
      <c r="B651" s="2" t="str">
        <f>IFERROR(__xludf.DUMMYFUNCTION("""COMPUTED_VALUE"""),"21544")</f>
        <v>21544</v>
      </c>
      <c r="C651" s="2" t="str">
        <f>IFERROR(__xludf.DUMMYFUNCTION("""COMPUTED_VALUE"""),"SKULLS WATER TRANSFER TATTOOS")</f>
        <v>SKULLS WATER TRANSFER TATTOOS</v>
      </c>
      <c r="D651" s="2">
        <f>IFERROR(__xludf.DUMMYFUNCTION("""COMPUTED_VALUE"""),2.0)</f>
        <v>2</v>
      </c>
      <c r="E651" s="6">
        <f>IFERROR(__xludf.DUMMYFUNCTION("""COMPUTED_VALUE"""),40148.49375)</f>
        <v>40148.49375</v>
      </c>
      <c r="F651" s="2">
        <f>IFERROR(__xludf.DUMMYFUNCTION("""COMPUTED_VALUE"""),0.85)</f>
        <v>0.85</v>
      </c>
      <c r="G651" s="2">
        <f>IFERROR(__xludf.DUMMYFUNCTION("""COMPUTED_VALUE"""),17984.0)</f>
        <v>17984</v>
      </c>
      <c r="H651" s="2" t="str">
        <f>IFERROR(__xludf.DUMMYFUNCTION("""COMPUTED_VALUE"""),"United Kingdom")</f>
        <v>United Kingdom</v>
      </c>
      <c r="I651" s="7">
        <f>IFERROR(__xludf.DUMMYFUNCTION("""COMPUTED_VALUE"""),40148.0)</f>
        <v>40148</v>
      </c>
      <c r="J651" s="8">
        <f>IFERROR(__xludf.DUMMYFUNCTION("""COMPUTED_VALUE"""),0.4937500000014552)</f>
        <v>0.49375</v>
      </c>
      <c r="K651" s="2">
        <f>IFERROR(__xludf.DUMMYFUNCTION("""COMPUTED_VALUE"""),11.0)</f>
        <v>11</v>
      </c>
      <c r="L651" s="2">
        <f>IFERROR(__xludf.DUMMYFUNCTION("""COMPUTED_VALUE"""),1.7)</f>
        <v>1.7</v>
      </c>
    </row>
    <row r="652">
      <c r="A652" s="2">
        <f>IFERROR(__xludf.DUMMYFUNCTION("""COMPUTED_VALUE"""),489529.0)</f>
        <v>489529</v>
      </c>
      <c r="B652" s="2" t="str">
        <f>IFERROR(__xludf.DUMMYFUNCTION("""COMPUTED_VALUE"""),"21004")</f>
        <v>21004</v>
      </c>
      <c r="C652" s="2" t="str">
        <f>IFERROR(__xludf.DUMMYFUNCTION("""COMPUTED_VALUE"""),"ROSE DU SUD CHILDS APRON")</f>
        <v>ROSE DU SUD CHILDS APRON</v>
      </c>
      <c r="D652" s="2">
        <f>IFERROR(__xludf.DUMMYFUNCTION("""COMPUTED_VALUE"""),1.0)</f>
        <v>1</v>
      </c>
      <c r="E652" s="6">
        <f>IFERROR(__xludf.DUMMYFUNCTION("""COMPUTED_VALUE"""),40148.49375)</f>
        <v>40148.49375</v>
      </c>
      <c r="F652" s="2">
        <f>IFERROR(__xludf.DUMMYFUNCTION("""COMPUTED_VALUE"""),4.25)</f>
        <v>4.25</v>
      </c>
      <c r="G652" s="2">
        <f>IFERROR(__xludf.DUMMYFUNCTION("""COMPUTED_VALUE"""),17984.0)</f>
        <v>17984</v>
      </c>
      <c r="H652" s="2" t="str">
        <f>IFERROR(__xludf.DUMMYFUNCTION("""COMPUTED_VALUE"""),"United Kingdom")</f>
        <v>United Kingdom</v>
      </c>
      <c r="I652" s="7">
        <f>IFERROR(__xludf.DUMMYFUNCTION("""COMPUTED_VALUE"""),40148.0)</f>
        <v>40148</v>
      </c>
      <c r="J652" s="8">
        <f>IFERROR(__xludf.DUMMYFUNCTION("""COMPUTED_VALUE"""),0.4937500000014552)</f>
        <v>0.49375</v>
      </c>
      <c r="K652" s="2">
        <f>IFERROR(__xludf.DUMMYFUNCTION("""COMPUTED_VALUE"""),11.0)</f>
        <v>11</v>
      </c>
      <c r="L652" s="2">
        <f>IFERROR(__xludf.DUMMYFUNCTION("""COMPUTED_VALUE"""),4.25)</f>
        <v>4.25</v>
      </c>
    </row>
    <row r="653">
      <c r="A653" s="2">
        <f>IFERROR(__xludf.DUMMYFUNCTION("""COMPUTED_VALUE"""),489529.0)</f>
        <v>489529</v>
      </c>
      <c r="B653" s="2" t="str">
        <f>IFERROR(__xludf.DUMMYFUNCTION("""COMPUTED_VALUE"""),"20984")</f>
        <v>20984</v>
      </c>
      <c r="C653" s="2" t="str">
        <f>IFERROR(__xludf.DUMMYFUNCTION("""COMPUTED_VALUE"""),"12 PENCILS TALL TUBE POSY")</f>
        <v>12 PENCILS TALL TUBE POSY</v>
      </c>
      <c r="D653" s="2">
        <f>IFERROR(__xludf.DUMMYFUNCTION("""COMPUTED_VALUE"""),1.0)</f>
        <v>1</v>
      </c>
      <c r="E653" s="6">
        <f>IFERROR(__xludf.DUMMYFUNCTION("""COMPUTED_VALUE"""),40148.49375)</f>
        <v>40148.49375</v>
      </c>
      <c r="F653" s="2">
        <f>IFERROR(__xludf.DUMMYFUNCTION("""COMPUTED_VALUE"""),0.85)</f>
        <v>0.85</v>
      </c>
      <c r="G653" s="2">
        <f>IFERROR(__xludf.DUMMYFUNCTION("""COMPUTED_VALUE"""),17984.0)</f>
        <v>17984</v>
      </c>
      <c r="H653" s="2" t="str">
        <f>IFERROR(__xludf.DUMMYFUNCTION("""COMPUTED_VALUE"""),"United Kingdom")</f>
        <v>United Kingdom</v>
      </c>
      <c r="I653" s="7">
        <f>IFERROR(__xludf.DUMMYFUNCTION("""COMPUTED_VALUE"""),40148.0)</f>
        <v>40148</v>
      </c>
      <c r="J653" s="8">
        <f>IFERROR(__xludf.DUMMYFUNCTION("""COMPUTED_VALUE"""),0.4937500000014552)</f>
        <v>0.49375</v>
      </c>
      <c r="K653" s="2">
        <f>IFERROR(__xludf.DUMMYFUNCTION("""COMPUTED_VALUE"""),11.0)</f>
        <v>11</v>
      </c>
      <c r="L653" s="2">
        <f>IFERROR(__xludf.DUMMYFUNCTION("""COMPUTED_VALUE"""),0.85)</f>
        <v>0.85</v>
      </c>
    </row>
    <row r="654">
      <c r="A654" s="2">
        <f>IFERROR(__xludf.DUMMYFUNCTION("""COMPUTED_VALUE"""),489529.0)</f>
        <v>489529</v>
      </c>
      <c r="B654" s="2" t="str">
        <f>IFERROR(__xludf.DUMMYFUNCTION("""COMPUTED_VALUE"""),"20982")</f>
        <v>20982</v>
      </c>
      <c r="C654" s="2" t="str">
        <f>IFERROR(__xludf.DUMMYFUNCTION("""COMPUTED_VALUE"""),"12 PENCILS TALL TUBE SKULLS")</f>
        <v>12 PENCILS TALL TUBE SKULLS</v>
      </c>
      <c r="D654" s="2">
        <f>IFERROR(__xludf.DUMMYFUNCTION("""COMPUTED_VALUE"""),2.0)</f>
        <v>2</v>
      </c>
      <c r="E654" s="6">
        <f>IFERROR(__xludf.DUMMYFUNCTION("""COMPUTED_VALUE"""),40148.49375)</f>
        <v>40148.49375</v>
      </c>
      <c r="F654" s="2">
        <f>IFERROR(__xludf.DUMMYFUNCTION("""COMPUTED_VALUE"""),0.85)</f>
        <v>0.85</v>
      </c>
      <c r="G654" s="2">
        <f>IFERROR(__xludf.DUMMYFUNCTION("""COMPUTED_VALUE"""),17984.0)</f>
        <v>17984</v>
      </c>
      <c r="H654" s="2" t="str">
        <f>IFERROR(__xludf.DUMMYFUNCTION("""COMPUTED_VALUE"""),"United Kingdom")</f>
        <v>United Kingdom</v>
      </c>
      <c r="I654" s="7">
        <f>IFERROR(__xludf.DUMMYFUNCTION("""COMPUTED_VALUE"""),40148.0)</f>
        <v>40148</v>
      </c>
      <c r="J654" s="8">
        <f>IFERROR(__xludf.DUMMYFUNCTION("""COMPUTED_VALUE"""),0.4937500000014552)</f>
        <v>0.49375</v>
      </c>
      <c r="K654" s="2">
        <f>IFERROR(__xludf.DUMMYFUNCTION("""COMPUTED_VALUE"""),11.0)</f>
        <v>11</v>
      </c>
      <c r="L654" s="2">
        <f>IFERROR(__xludf.DUMMYFUNCTION("""COMPUTED_VALUE"""),1.7)</f>
        <v>1.7</v>
      </c>
    </row>
    <row r="655">
      <c r="A655" s="2">
        <f>IFERROR(__xludf.DUMMYFUNCTION("""COMPUTED_VALUE"""),489529.0)</f>
        <v>489529</v>
      </c>
      <c r="B655" s="2" t="str">
        <f>IFERROR(__xludf.DUMMYFUNCTION("""COMPUTED_VALUE"""),"84402D")</f>
        <v>84402D</v>
      </c>
      <c r="C655" s="2" t="str">
        <f>IFERROR(__xludf.DUMMYFUNCTION("""COMPUTED_VALUE"""),"PINK DRESS JEWELLERY STAND")</f>
        <v>PINK DRESS JEWELLERY STAND</v>
      </c>
      <c r="D655" s="2">
        <f>IFERROR(__xludf.DUMMYFUNCTION("""COMPUTED_VALUE"""),1.0)</f>
        <v>1</v>
      </c>
      <c r="E655" s="6">
        <f>IFERROR(__xludf.DUMMYFUNCTION("""COMPUTED_VALUE"""),40148.49375)</f>
        <v>40148.49375</v>
      </c>
      <c r="F655" s="2">
        <f>IFERROR(__xludf.DUMMYFUNCTION("""COMPUTED_VALUE"""),2.95)</f>
        <v>2.95</v>
      </c>
      <c r="G655" s="2">
        <f>IFERROR(__xludf.DUMMYFUNCTION("""COMPUTED_VALUE"""),17984.0)</f>
        <v>17984</v>
      </c>
      <c r="H655" s="2" t="str">
        <f>IFERROR(__xludf.DUMMYFUNCTION("""COMPUTED_VALUE"""),"United Kingdom")</f>
        <v>United Kingdom</v>
      </c>
      <c r="I655" s="7">
        <f>IFERROR(__xludf.DUMMYFUNCTION("""COMPUTED_VALUE"""),40148.0)</f>
        <v>40148</v>
      </c>
      <c r="J655" s="8">
        <f>IFERROR(__xludf.DUMMYFUNCTION("""COMPUTED_VALUE"""),0.4937500000014552)</f>
        <v>0.49375</v>
      </c>
      <c r="K655" s="2">
        <f>IFERROR(__xludf.DUMMYFUNCTION("""COMPUTED_VALUE"""),11.0)</f>
        <v>11</v>
      </c>
      <c r="L655" s="2">
        <f>IFERROR(__xludf.DUMMYFUNCTION("""COMPUTED_VALUE"""),2.95)</f>
        <v>2.95</v>
      </c>
    </row>
    <row r="656">
      <c r="A656" s="2">
        <f>IFERROR(__xludf.DUMMYFUNCTION("""COMPUTED_VALUE"""),489529.0)</f>
        <v>489529</v>
      </c>
      <c r="B656" s="2" t="str">
        <f>IFERROR(__xludf.DUMMYFUNCTION("""COMPUTED_VALUE"""),"84660B")</f>
        <v>84660B</v>
      </c>
      <c r="C656" s="2" t="str">
        <f>IFERROR(__xludf.DUMMYFUNCTION("""COMPUTED_VALUE"""),"BLACK STITCHED WALL CLOCK")</f>
        <v>BLACK STITCHED WALL CLOCK</v>
      </c>
      <c r="D656" s="2">
        <f>IFERROR(__xludf.DUMMYFUNCTION("""COMPUTED_VALUE"""),1.0)</f>
        <v>1</v>
      </c>
      <c r="E656" s="6">
        <f>IFERROR(__xludf.DUMMYFUNCTION("""COMPUTED_VALUE"""),40148.49375)</f>
        <v>40148.49375</v>
      </c>
      <c r="F656" s="2">
        <f>IFERROR(__xludf.DUMMYFUNCTION("""COMPUTED_VALUE"""),3.75)</f>
        <v>3.75</v>
      </c>
      <c r="G656" s="2">
        <f>IFERROR(__xludf.DUMMYFUNCTION("""COMPUTED_VALUE"""),17984.0)</f>
        <v>17984</v>
      </c>
      <c r="H656" s="2" t="str">
        <f>IFERROR(__xludf.DUMMYFUNCTION("""COMPUTED_VALUE"""),"United Kingdom")</f>
        <v>United Kingdom</v>
      </c>
      <c r="I656" s="7">
        <f>IFERROR(__xludf.DUMMYFUNCTION("""COMPUTED_VALUE"""),40148.0)</f>
        <v>40148</v>
      </c>
      <c r="J656" s="8">
        <f>IFERROR(__xludf.DUMMYFUNCTION("""COMPUTED_VALUE"""),0.4937500000014552)</f>
        <v>0.49375</v>
      </c>
      <c r="K656" s="2">
        <f>IFERROR(__xludf.DUMMYFUNCTION("""COMPUTED_VALUE"""),11.0)</f>
        <v>11</v>
      </c>
      <c r="L656" s="2">
        <f>IFERROR(__xludf.DUMMYFUNCTION("""COMPUTED_VALUE"""),3.75)</f>
        <v>3.75</v>
      </c>
    </row>
    <row r="657">
      <c r="A657" s="2">
        <f>IFERROR(__xludf.DUMMYFUNCTION("""COMPUTED_VALUE"""),489529.0)</f>
        <v>489529</v>
      </c>
      <c r="B657" s="2" t="str">
        <f>IFERROR(__xludf.DUMMYFUNCTION("""COMPUTED_VALUE"""),"21429")</f>
        <v>21429</v>
      </c>
      <c r="C657" s="2" t="str">
        <f>IFERROR(__xludf.DUMMYFUNCTION("""COMPUTED_VALUE"""),"RED GINGHAM ROSE JEWELLERY BOX")</f>
        <v>RED GINGHAM ROSE JEWELLERY BOX</v>
      </c>
      <c r="D657" s="2">
        <f>IFERROR(__xludf.DUMMYFUNCTION("""COMPUTED_VALUE"""),4.0)</f>
        <v>4</v>
      </c>
      <c r="E657" s="6">
        <f>IFERROR(__xludf.DUMMYFUNCTION("""COMPUTED_VALUE"""),40148.49375)</f>
        <v>40148.49375</v>
      </c>
      <c r="F657" s="2">
        <f>IFERROR(__xludf.DUMMYFUNCTION("""COMPUTED_VALUE"""),1.65)</f>
        <v>1.65</v>
      </c>
      <c r="G657" s="2">
        <f>IFERROR(__xludf.DUMMYFUNCTION("""COMPUTED_VALUE"""),17984.0)</f>
        <v>17984</v>
      </c>
      <c r="H657" s="2" t="str">
        <f>IFERROR(__xludf.DUMMYFUNCTION("""COMPUTED_VALUE"""),"United Kingdom")</f>
        <v>United Kingdom</v>
      </c>
      <c r="I657" s="7">
        <f>IFERROR(__xludf.DUMMYFUNCTION("""COMPUTED_VALUE"""),40148.0)</f>
        <v>40148</v>
      </c>
      <c r="J657" s="8">
        <f>IFERROR(__xludf.DUMMYFUNCTION("""COMPUTED_VALUE"""),0.4937500000014552)</f>
        <v>0.49375</v>
      </c>
      <c r="K657" s="2">
        <f>IFERROR(__xludf.DUMMYFUNCTION("""COMPUTED_VALUE"""),11.0)</f>
        <v>11</v>
      </c>
      <c r="L657" s="2">
        <f>IFERROR(__xludf.DUMMYFUNCTION("""COMPUTED_VALUE"""),6.6)</f>
        <v>6.6</v>
      </c>
    </row>
    <row r="658">
      <c r="A658" s="2">
        <f>IFERROR(__xludf.DUMMYFUNCTION("""COMPUTED_VALUE"""),489529.0)</f>
        <v>489529</v>
      </c>
      <c r="B658" s="2" t="str">
        <f>IFERROR(__xludf.DUMMYFUNCTION("""COMPUTED_VALUE"""),"72754B")</f>
        <v>72754B</v>
      </c>
      <c r="C658" s="2" t="str">
        <f>IFERROR(__xludf.DUMMYFUNCTION("""COMPUTED_VALUE"""),"F FAIRY POTPOURRI CUSHIONS LAVENDER")</f>
        <v>F FAIRY POTPOURRI CUSHIONS LAVENDER</v>
      </c>
      <c r="D658" s="2">
        <f>IFERROR(__xludf.DUMMYFUNCTION("""COMPUTED_VALUE"""),1.0)</f>
        <v>1</v>
      </c>
      <c r="E658" s="6">
        <f>IFERROR(__xludf.DUMMYFUNCTION("""COMPUTED_VALUE"""),40148.49375)</f>
        <v>40148.49375</v>
      </c>
      <c r="F658" s="2">
        <f>IFERROR(__xludf.DUMMYFUNCTION("""COMPUTED_VALUE"""),1.69)</f>
        <v>1.69</v>
      </c>
      <c r="G658" s="2">
        <f>IFERROR(__xludf.DUMMYFUNCTION("""COMPUTED_VALUE"""),17984.0)</f>
        <v>17984</v>
      </c>
      <c r="H658" s="2" t="str">
        <f>IFERROR(__xludf.DUMMYFUNCTION("""COMPUTED_VALUE"""),"United Kingdom")</f>
        <v>United Kingdom</v>
      </c>
      <c r="I658" s="7">
        <f>IFERROR(__xludf.DUMMYFUNCTION("""COMPUTED_VALUE"""),40148.0)</f>
        <v>40148</v>
      </c>
      <c r="J658" s="8">
        <f>IFERROR(__xludf.DUMMYFUNCTION("""COMPUTED_VALUE"""),0.4937500000014552)</f>
        <v>0.49375</v>
      </c>
      <c r="K658" s="2">
        <f>IFERROR(__xludf.DUMMYFUNCTION("""COMPUTED_VALUE"""),11.0)</f>
        <v>11</v>
      </c>
      <c r="L658" s="2">
        <f>IFERROR(__xludf.DUMMYFUNCTION("""COMPUTED_VALUE"""),1.69)</f>
        <v>1.69</v>
      </c>
    </row>
    <row r="659">
      <c r="A659" s="2">
        <f>IFERROR(__xludf.DUMMYFUNCTION("""COMPUTED_VALUE"""),489529.0)</f>
        <v>489529</v>
      </c>
      <c r="B659" s="2" t="str">
        <f>IFERROR(__xludf.DUMMYFUNCTION("""COMPUTED_VALUE"""),"21500")</f>
        <v>21500</v>
      </c>
      <c r="C659" s="2" t="str">
        <f>IFERROR(__xludf.DUMMYFUNCTION("""COMPUTED_VALUE"""),"PINK SPOTS WRAP")</f>
        <v>PINK SPOTS WRAP</v>
      </c>
      <c r="D659" s="2">
        <f>IFERROR(__xludf.DUMMYFUNCTION("""COMPUTED_VALUE"""),25.0)</f>
        <v>25</v>
      </c>
      <c r="E659" s="6">
        <f>IFERROR(__xludf.DUMMYFUNCTION("""COMPUTED_VALUE"""),40148.49375)</f>
        <v>40148.49375</v>
      </c>
      <c r="F659" s="2">
        <f>IFERROR(__xludf.DUMMYFUNCTION("""COMPUTED_VALUE"""),0.42)</f>
        <v>0.42</v>
      </c>
      <c r="G659" s="2">
        <f>IFERROR(__xludf.DUMMYFUNCTION("""COMPUTED_VALUE"""),17984.0)</f>
        <v>17984</v>
      </c>
      <c r="H659" s="2" t="str">
        <f>IFERROR(__xludf.DUMMYFUNCTION("""COMPUTED_VALUE"""),"United Kingdom")</f>
        <v>United Kingdom</v>
      </c>
      <c r="I659" s="7">
        <f>IFERROR(__xludf.DUMMYFUNCTION("""COMPUTED_VALUE"""),40148.0)</f>
        <v>40148</v>
      </c>
      <c r="J659" s="8">
        <f>IFERROR(__xludf.DUMMYFUNCTION("""COMPUTED_VALUE"""),0.4937500000014552)</f>
        <v>0.49375</v>
      </c>
      <c r="K659" s="2">
        <f>IFERROR(__xludf.DUMMYFUNCTION("""COMPUTED_VALUE"""),11.0)</f>
        <v>11</v>
      </c>
      <c r="L659" s="2">
        <f>IFERROR(__xludf.DUMMYFUNCTION("""COMPUTED_VALUE"""),10.5)</f>
        <v>10.5</v>
      </c>
    </row>
    <row r="660">
      <c r="A660" s="2">
        <f>IFERROR(__xludf.DUMMYFUNCTION("""COMPUTED_VALUE"""),489529.0)</f>
        <v>489529</v>
      </c>
      <c r="B660" s="2" t="str">
        <f>IFERROR(__xludf.DUMMYFUNCTION("""COMPUTED_VALUE"""),"21431")</f>
        <v>21431</v>
      </c>
      <c r="C660" s="2" t="str">
        <f>IFERROR(__xludf.DUMMYFUNCTION("""COMPUTED_VALUE"""),"GREEN GINGHAM FLOWER JEWELLERY BOX")</f>
        <v>GREEN GINGHAM FLOWER JEWELLERY BOX</v>
      </c>
      <c r="D660" s="2">
        <f>IFERROR(__xludf.DUMMYFUNCTION("""COMPUTED_VALUE"""),4.0)</f>
        <v>4</v>
      </c>
      <c r="E660" s="6">
        <f>IFERROR(__xludf.DUMMYFUNCTION("""COMPUTED_VALUE"""),40148.49375)</f>
        <v>40148.49375</v>
      </c>
      <c r="F660" s="2">
        <f>IFERROR(__xludf.DUMMYFUNCTION("""COMPUTED_VALUE"""),1.65)</f>
        <v>1.65</v>
      </c>
      <c r="G660" s="2">
        <f>IFERROR(__xludf.DUMMYFUNCTION("""COMPUTED_VALUE"""),17984.0)</f>
        <v>17984</v>
      </c>
      <c r="H660" s="2" t="str">
        <f>IFERROR(__xludf.DUMMYFUNCTION("""COMPUTED_VALUE"""),"United Kingdom")</f>
        <v>United Kingdom</v>
      </c>
      <c r="I660" s="7">
        <f>IFERROR(__xludf.DUMMYFUNCTION("""COMPUTED_VALUE"""),40148.0)</f>
        <v>40148</v>
      </c>
      <c r="J660" s="8">
        <f>IFERROR(__xludf.DUMMYFUNCTION("""COMPUTED_VALUE"""),0.4937500000014552)</f>
        <v>0.49375</v>
      </c>
      <c r="K660" s="2">
        <f>IFERROR(__xludf.DUMMYFUNCTION("""COMPUTED_VALUE"""),11.0)</f>
        <v>11</v>
      </c>
      <c r="L660" s="2">
        <f>IFERROR(__xludf.DUMMYFUNCTION("""COMPUTED_VALUE"""),6.6)</f>
        <v>6.6</v>
      </c>
    </row>
    <row r="661">
      <c r="A661" s="2">
        <f>IFERROR(__xludf.DUMMYFUNCTION("""COMPUTED_VALUE"""),489529.0)</f>
        <v>489529</v>
      </c>
      <c r="B661" s="2" t="str">
        <f>IFERROR(__xludf.DUMMYFUNCTION("""COMPUTED_VALUE"""),"21912")</f>
        <v>21912</v>
      </c>
      <c r="C661" s="2" t="str">
        <f>IFERROR(__xludf.DUMMYFUNCTION("""COMPUTED_VALUE"""),"VINTAGE SNAKES &amp; LADDERS")</f>
        <v>VINTAGE SNAKES &amp; LADDERS</v>
      </c>
      <c r="D661" s="2">
        <f>IFERROR(__xludf.DUMMYFUNCTION("""COMPUTED_VALUE"""),2.0)</f>
        <v>2</v>
      </c>
      <c r="E661" s="6">
        <f>IFERROR(__xludf.DUMMYFUNCTION("""COMPUTED_VALUE"""),40148.49375)</f>
        <v>40148.49375</v>
      </c>
      <c r="F661" s="2">
        <f>IFERROR(__xludf.DUMMYFUNCTION("""COMPUTED_VALUE"""),3.75)</f>
        <v>3.75</v>
      </c>
      <c r="G661" s="2">
        <f>IFERROR(__xludf.DUMMYFUNCTION("""COMPUTED_VALUE"""),17984.0)</f>
        <v>17984</v>
      </c>
      <c r="H661" s="2" t="str">
        <f>IFERROR(__xludf.DUMMYFUNCTION("""COMPUTED_VALUE"""),"United Kingdom")</f>
        <v>United Kingdom</v>
      </c>
      <c r="I661" s="7">
        <f>IFERROR(__xludf.DUMMYFUNCTION("""COMPUTED_VALUE"""),40148.0)</f>
        <v>40148</v>
      </c>
      <c r="J661" s="8">
        <f>IFERROR(__xludf.DUMMYFUNCTION("""COMPUTED_VALUE"""),0.4937500000014552)</f>
        <v>0.49375</v>
      </c>
      <c r="K661" s="2">
        <f>IFERROR(__xludf.DUMMYFUNCTION("""COMPUTED_VALUE"""),11.0)</f>
        <v>11</v>
      </c>
      <c r="L661" s="2">
        <f>IFERROR(__xludf.DUMMYFUNCTION("""COMPUTED_VALUE"""),7.5)</f>
        <v>7.5</v>
      </c>
    </row>
    <row r="662">
      <c r="A662" s="2">
        <f>IFERROR(__xludf.DUMMYFUNCTION("""COMPUTED_VALUE"""),489529.0)</f>
        <v>489529</v>
      </c>
      <c r="B662" s="2" t="str">
        <f>IFERROR(__xludf.DUMMYFUNCTION("""COMPUTED_VALUE"""),"22086")</f>
        <v>22086</v>
      </c>
      <c r="C662" s="2" t="str">
        <f>IFERROR(__xludf.DUMMYFUNCTION("""COMPUTED_VALUE"""),"PAPER CHAIN KIT 50'S CHRISTMAS")</f>
        <v>PAPER CHAIN KIT 50'S CHRISTMAS</v>
      </c>
      <c r="D662" s="2">
        <f>IFERROR(__xludf.DUMMYFUNCTION("""COMPUTED_VALUE"""),3.0)</f>
        <v>3</v>
      </c>
      <c r="E662" s="6">
        <f>IFERROR(__xludf.DUMMYFUNCTION("""COMPUTED_VALUE"""),40148.49375)</f>
        <v>40148.49375</v>
      </c>
      <c r="F662" s="2">
        <f>IFERROR(__xludf.DUMMYFUNCTION("""COMPUTED_VALUE"""),2.95)</f>
        <v>2.95</v>
      </c>
      <c r="G662" s="2">
        <f>IFERROR(__xludf.DUMMYFUNCTION("""COMPUTED_VALUE"""),17984.0)</f>
        <v>17984</v>
      </c>
      <c r="H662" s="2" t="str">
        <f>IFERROR(__xludf.DUMMYFUNCTION("""COMPUTED_VALUE"""),"United Kingdom")</f>
        <v>United Kingdom</v>
      </c>
      <c r="I662" s="7">
        <f>IFERROR(__xludf.DUMMYFUNCTION("""COMPUTED_VALUE"""),40148.0)</f>
        <v>40148</v>
      </c>
      <c r="J662" s="8">
        <f>IFERROR(__xludf.DUMMYFUNCTION("""COMPUTED_VALUE"""),0.4937500000014552)</f>
        <v>0.49375</v>
      </c>
      <c r="K662" s="2">
        <f>IFERROR(__xludf.DUMMYFUNCTION("""COMPUTED_VALUE"""),11.0)</f>
        <v>11</v>
      </c>
      <c r="L662" s="2">
        <f>IFERROR(__xludf.DUMMYFUNCTION("""COMPUTED_VALUE"""),8.85)</f>
        <v>8.85</v>
      </c>
    </row>
    <row r="663">
      <c r="A663" s="2">
        <f>IFERROR(__xludf.DUMMYFUNCTION("""COMPUTED_VALUE"""),489529.0)</f>
        <v>489529</v>
      </c>
      <c r="B663" s="2" t="str">
        <f>IFERROR(__xludf.DUMMYFUNCTION("""COMPUTED_VALUE"""),"20748")</f>
        <v>20748</v>
      </c>
      <c r="C663" s="2" t="str">
        <f>IFERROR(__xludf.DUMMYFUNCTION("""COMPUTED_VALUE"""),"KENSINGTON COFFEE SET")</f>
        <v>KENSINGTON COFFEE SET</v>
      </c>
      <c r="D663" s="2">
        <f>IFERROR(__xludf.DUMMYFUNCTION("""COMPUTED_VALUE"""),1.0)</f>
        <v>1</v>
      </c>
      <c r="E663" s="6">
        <f>IFERROR(__xludf.DUMMYFUNCTION("""COMPUTED_VALUE"""),40148.49375)</f>
        <v>40148.49375</v>
      </c>
      <c r="F663" s="2">
        <f>IFERROR(__xludf.DUMMYFUNCTION("""COMPUTED_VALUE"""),12.75)</f>
        <v>12.75</v>
      </c>
      <c r="G663" s="2">
        <f>IFERROR(__xludf.DUMMYFUNCTION("""COMPUTED_VALUE"""),17984.0)</f>
        <v>17984</v>
      </c>
      <c r="H663" s="2" t="str">
        <f>IFERROR(__xludf.DUMMYFUNCTION("""COMPUTED_VALUE"""),"United Kingdom")</f>
        <v>United Kingdom</v>
      </c>
      <c r="I663" s="7">
        <f>IFERROR(__xludf.DUMMYFUNCTION("""COMPUTED_VALUE"""),40148.0)</f>
        <v>40148</v>
      </c>
      <c r="J663" s="8">
        <f>IFERROR(__xludf.DUMMYFUNCTION("""COMPUTED_VALUE"""),0.4937500000014552)</f>
        <v>0.49375</v>
      </c>
      <c r="K663" s="2">
        <f>IFERROR(__xludf.DUMMYFUNCTION("""COMPUTED_VALUE"""),11.0)</f>
        <v>11</v>
      </c>
      <c r="L663" s="2">
        <f>IFERROR(__xludf.DUMMYFUNCTION("""COMPUTED_VALUE"""),12.75)</f>
        <v>12.75</v>
      </c>
    </row>
    <row r="664">
      <c r="A664" s="2">
        <f>IFERROR(__xludf.DUMMYFUNCTION("""COMPUTED_VALUE"""),489529.0)</f>
        <v>489529</v>
      </c>
      <c r="B664" s="2" t="str">
        <f>IFERROR(__xludf.DUMMYFUNCTION("""COMPUTED_VALUE"""),"21490")</f>
        <v>21490</v>
      </c>
      <c r="C664" s="2" t="str">
        <f>IFERROR(__xludf.DUMMYFUNCTION("""COMPUTED_VALUE"""),"SET OF THREE 50'S GIFT WRAPS")</f>
        <v>SET OF THREE 50'S GIFT WRAPS</v>
      </c>
      <c r="D664" s="2">
        <f>IFERROR(__xludf.DUMMYFUNCTION("""COMPUTED_VALUE"""),2.0)</f>
        <v>2</v>
      </c>
      <c r="E664" s="6">
        <f>IFERROR(__xludf.DUMMYFUNCTION("""COMPUTED_VALUE"""),40148.49375)</f>
        <v>40148.49375</v>
      </c>
      <c r="F664" s="2">
        <f>IFERROR(__xludf.DUMMYFUNCTION("""COMPUTED_VALUE"""),1.95)</f>
        <v>1.95</v>
      </c>
      <c r="G664" s="2">
        <f>IFERROR(__xludf.DUMMYFUNCTION("""COMPUTED_VALUE"""),17984.0)</f>
        <v>17984</v>
      </c>
      <c r="H664" s="2" t="str">
        <f>IFERROR(__xludf.DUMMYFUNCTION("""COMPUTED_VALUE"""),"United Kingdom")</f>
        <v>United Kingdom</v>
      </c>
      <c r="I664" s="7">
        <f>IFERROR(__xludf.DUMMYFUNCTION("""COMPUTED_VALUE"""),40148.0)</f>
        <v>40148</v>
      </c>
      <c r="J664" s="8">
        <f>IFERROR(__xludf.DUMMYFUNCTION("""COMPUTED_VALUE"""),0.4937500000014552)</f>
        <v>0.49375</v>
      </c>
      <c r="K664" s="2">
        <f>IFERROR(__xludf.DUMMYFUNCTION("""COMPUTED_VALUE"""),11.0)</f>
        <v>11</v>
      </c>
      <c r="L664" s="2">
        <f>IFERROR(__xludf.DUMMYFUNCTION("""COMPUTED_VALUE"""),3.9)</f>
        <v>3.9</v>
      </c>
    </row>
    <row r="665">
      <c r="A665" s="2">
        <f>IFERROR(__xludf.DUMMYFUNCTION("""COMPUTED_VALUE"""),489529.0)</f>
        <v>489529</v>
      </c>
      <c r="B665" s="2" t="str">
        <f>IFERROR(__xludf.DUMMYFUNCTION("""COMPUTED_VALUE"""),"72802B")</f>
        <v>72802B</v>
      </c>
      <c r="C665" s="2" t="str">
        <f>IFERROR(__xludf.DUMMYFUNCTION("""COMPUTED_VALUE"""),"OCEAN SCENT CANDLE IN JEWELLED BOX")</f>
        <v>OCEAN SCENT CANDLE IN JEWELLED BOX</v>
      </c>
      <c r="D665" s="2">
        <f>IFERROR(__xludf.DUMMYFUNCTION("""COMPUTED_VALUE"""),3.0)</f>
        <v>3</v>
      </c>
      <c r="E665" s="6">
        <f>IFERROR(__xludf.DUMMYFUNCTION("""COMPUTED_VALUE"""),40148.49375)</f>
        <v>40148.49375</v>
      </c>
      <c r="F665" s="2">
        <f>IFERROR(__xludf.DUMMYFUNCTION("""COMPUTED_VALUE"""),4.25)</f>
        <v>4.25</v>
      </c>
      <c r="G665" s="2">
        <f>IFERROR(__xludf.DUMMYFUNCTION("""COMPUTED_VALUE"""),17984.0)</f>
        <v>17984</v>
      </c>
      <c r="H665" s="2" t="str">
        <f>IFERROR(__xludf.DUMMYFUNCTION("""COMPUTED_VALUE"""),"United Kingdom")</f>
        <v>United Kingdom</v>
      </c>
      <c r="I665" s="7">
        <f>IFERROR(__xludf.DUMMYFUNCTION("""COMPUTED_VALUE"""),40148.0)</f>
        <v>40148</v>
      </c>
      <c r="J665" s="8">
        <f>IFERROR(__xludf.DUMMYFUNCTION("""COMPUTED_VALUE"""),0.4937500000014552)</f>
        <v>0.49375</v>
      </c>
      <c r="K665" s="2">
        <f>IFERROR(__xludf.DUMMYFUNCTION("""COMPUTED_VALUE"""),11.0)</f>
        <v>11</v>
      </c>
      <c r="L665" s="2">
        <f>IFERROR(__xludf.DUMMYFUNCTION("""COMPUTED_VALUE"""),12.75)</f>
        <v>12.75</v>
      </c>
    </row>
    <row r="666">
      <c r="A666" s="2"/>
      <c r="B666" s="2" t="str">
        <f>IFERROR(__xludf.DUMMYFUNCTION("""COMPUTED_VALUE"""),"72803A")</f>
        <v>72803A</v>
      </c>
      <c r="C666" s="2" t="str">
        <f>IFERROR(__xludf.DUMMYFUNCTION("""COMPUTED_VALUE"""),"ROSE SCENT CANDLE JEWELLED DRAWER")</f>
        <v>ROSE SCENT CANDLE JEWELLED DRAWER</v>
      </c>
      <c r="D666" s="2">
        <f>IFERROR(__xludf.DUMMYFUNCTION("""COMPUTED_VALUE"""),-1.0)</f>
        <v>-1</v>
      </c>
      <c r="E666" s="6">
        <f>IFERROR(__xludf.DUMMYFUNCTION("""COMPUTED_VALUE"""),40148.49722222222)</f>
        <v>40148.49722</v>
      </c>
      <c r="F666" s="2">
        <f>IFERROR(__xludf.DUMMYFUNCTION("""COMPUTED_VALUE"""),4.25)</f>
        <v>4.25</v>
      </c>
      <c r="G666" s="2">
        <f>IFERROR(__xludf.DUMMYFUNCTION("""COMPUTED_VALUE"""),14748.0)</f>
        <v>14748</v>
      </c>
      <c r="H666" s="2" t="str">
        <f>IFERROR(__xludf.DUMMYFUNCTION("""COMPUTED_VALUE"""),"United Kingdom")</f>
        <v>United Kingdom</v>
      </c>
      <c r="I666" s="7">
        <f>IFERROR(__xludf.DUMMYFUNCTION("""COMPUTED_VALUE"""),40148.0)</f>
        <v>40148</v>
      </c>
      <c r="J666" s="8">
        <f>IFERROR(__xludf.DUMMYFUNCTION("""COMPUTED_VALUE"""),0.49722222222044365)</f>
        <v>0.4972222222</v>
      </c>
      <c r="K666" s="2">
        <f>IFERROR(__xludf.DUMMYFUNCTION("""COMPUTED_VALUE"""),11.0)</f>
        <v>11</v>
      </c>
      <c r="L666" s="2">
        <f>IFERROR(__xludf.DUMMYFUNCTION("""COMPUTED_VALUE"""),-4.25)</f>
        <v>-4.25</v>
      </c>
    </row>
    <row r="667">
      <c r="A667" s="2">
        <f>IFERROR(__xludf.DUMMYFUNCTION("""COMPUTED_VALUE"""),489531.0)</f>
        <v>489531</v>
      </c>
      <c r="B667" s="2" t="str">
        <f>IFERROR(__xludf.DUMMYFUNCTION("""COMPUTED_VALUE"""),"79029")</f>
        <v>79029</v>
      </c>
      <c r="C667" s="2" t="str">
        <f>IFERROR(__xludf.DUMMYFUNCTION("""COMPUTED_VALUE"""),"GLASS HONEYPOT WASP CATCHER")</f>
        <v>GLASS HONEYPOT WASP CATCHER</v>
      </c>
      <c r="D667" s="2">
        <f>IFERROR(__xludf.DUMMYFUNCTION("""COMPUTED_VALUE"""),1.0)</f>
        <v>1</v>
      </c>
      <c r="E667" s="6">
        <f>IFERROR(__xludf.DUMMYFUNCTION("""COMPUTED_VALUE"""),40148.49791666667)</f>
        <v>40148.49792</v>
      </c>
      <c r="F667" s="2">
        <f>IFERROR(__xludf.DUMMYFUNCTION("""COMPUTED_VALUE"""),1.95)</f>
        <v>1.95</v>
      </c>
      <c r="G667" s="2">
        <f>IFERROR(__xludf.DUMMYFUNCTION("""COMPUTED_VALUE"""),14871.0)</f>
        <v>14871</v>
      </c>
      <c r="H667" s="2" t="str">
        <f>IFERROR(__xludf.DUMMYFUNCTION("""COMPUTED_VALUE"""),"United Kingdom")</f>
        <v>United Kingdom</v>
      </c>
      <c r="I667" s="7">
        <f>IFERROR(__xludf.DUMMYFUNCTION("""COMPUTED_VALUE"""),40148.0)</f>
        <v>40148</v>
      </c>
      <c r="J667" s="8">
        <f>IFERROR(__xludf.DUMMYFUNCTION("""COMPUTED_VALUE"""),0.49791666666715173)</f>
        <v>0.4979166667</v>
      </c>
      <c r="K667" s="2">
        <f>IFERROR(__xludf.DUMMYFUNCTION("""COMPUTED_VALUE"""),11.0)</f>
        <v>11</v>
      </c>
      <c r="L667" s="2">
        <f>IFERROR(__xludf.DUMMYFUNCTION("""COMPUTED_VALUE"""),1.95)</f>
        <v>1.95</v>
      </c>
    </row>
    <row r="668">
      <c r="A668" s="2">
        <f>IFERROR(__xludf.DUMMYFUNCTION("""COMPUTED_VALUE"""),489531.0)</f>
        <v>489531</v>
      </c>
      <c r="B668" s="2" t="str">
        <f>IFERROR(__xludf.DUMMYFUNCTION("""COMPUTED_VALUE"""),"71477")</f>
        <v>71477</v>
      </c>
      <c r="C668" s="2" t="str">
        <f>IFERROR(__xludf.DUMMYFUNCTION("""COMPUTED_VALUE"""),"COLOUR GLASS. STAR T-LIGHT HOLDER")</f>
        <v>COLOUR GLASS. STAR T-LIGHT HOLDER</v>
      </c>
      <c r="D668" s="2">
        <f>IFERROR(__xludf.DUMMYFUNCTION("""COMPUTED_VALUE"""),12.0)</f>
        <v>12</v>
      </c>
      <c r="E668" s="6">
        <f>IFERROR(__xludf.DUMMYFUNCTION("""COMPUTED_VALUE"""),40148.49791666667)</f>
        <v>40148.49792</v>
      </c>
      <c r="F668" s="2">
        <f>IFERROR(__xludf.DUMMYFUNCTION("""COMPUTED_VALUE"""),3.25)</f>
        <v>3.25</v>
      </c>
      <c r="G668" s="2">
        <f>IFERROR(__xludf.DUMMYFUNCTION("""COMPUTED_VALUE"""),14871.0)</f>
        <v>14871</v>
      </c>
      <c r="H668" s="2" t="str">
        <f>IFERROR(__xludf.DUMMYFUNCTION("""COMPUTED_VALUE"""),"United Kingdom")</f>
        <v>United Kingdom</v>
      </c>
      <c r="I668" s="7">
        <f>IFERROR(__xludf.DUMMYFUNCTION("""COMPUTED_VALUE"""),40148.0)</f>
        <v>40148</v>
      </c>
      <c r="J668" s="8">
        <f>IFERROR(__xludf.DUMMYFUNCTION("""COMPUTED_VALUE"""),0.49791666666715173)</f>
        <v>0.4979166667</v>
      </c>
      <c r="K668" s="2">
        <f>IFERROR(__xludf.DUMMYFUNCTION("""COMPUTED_VALUE"""),11.0)</f>
        <v>11</v>
      </c>
      <c r="L668" s="2">
        <f>IFERROR(__xludf.DUMMYFUNCTION("""COMPUTED_VALUE"""),39.0)</f>
        <v>39</v>
      </c>
    </row>
    <row r="669">
      <c r="A669" s="2">
        <f>IFERROR(__xludf.DUMMYFUNCTION("""COMPUTED_VALUE"""),489531.0)</f>
        <v>489531</v>
      </c>
      <c r="B669" s="2" t="str">
        <f>IFERROR(__xludf.DUMMYFUNCTION("""COMPUTED_VALUE"""),"85042")</f>
        <v>85042</v>
      </c>
      <c r="C669" s="2" t="str">
        <f>IFERROR(__xludf.DUMMYFUNCTION("""COMPUTED_VALUE"""),"ANTIQUE LILY FAIRY LIGHTS")</f>
        <v>ANTIQUE LILY FAIRY LIGHTS</v>
      </c>
      <c r="D669" s="2">
        <f>IFERROR(__xludf.DUMMYFUNCTION("""COMPUTED_VALUE"""),4.0)</f>
        <v>4</v>
      </c>
      <c r="E669" s="6">
        <f>IFERROR(__xludf.DUMMYFUNCTION("""COMPUTED_VALUE"""),40148.49791666667)</f>
        <v>40148.49792</v>
      </c>
      <c r="F669" s="2">
        <f>IFERROR(__xludf.DUMMYFUNCTION("""COMPUTED_VALUE"""),4.95)</f>
        <v>4.95</v>
      </c>
      <c r="G669" s="2">
        <f>IFERROR(__xludf.DUMMYFUNCTION("""COMPUTED_VALUE"""),14871.0)</f>
        <v>14871</v>
      </c>
      <c r="H669" s="2" t="str">
        <f>IFERROR(__xludf.DUMMYFUNCTION("""COMPUTED_VALUE"""),"United Kingdom")</f>
        <v>United Kingdom</v>
      </c>
      <c r="I669" s="7">
        <f>IFERROR(__xludf.DUMMYFUNCTION("""COMPUTED_VALUE"""),40148.0)</f>
        <v>40148</v>
      </c>
      <c r="J669" s="8">
        <f>IFERROR(__xludf.DUMMYFUNCTION("""COMPUTED_VALUE"""),0.49791666666715173)</f>
        <v>0.4979166667</v>
      </c>
      <c r="K669" s="2">
        <f>IFERROR(__xludf.DUMMYFUNCTION("""COMPUTED_VALUE"""),11.0)</f>
        <v>11</v>
      </c>
      <c r="L669" s="2">
        <f>IFERROR(__xludf.DUMMYFUNCTION("""COMPUTED_VALUE"""),19.8)</f>
        <v>19.8</v>
      </c>
    </row>
    <row r="670">
      <c r="A670" s="2">
        <f>IFERROR(__xludf.DUMMYFUNCTION("""COMPUTED_VALUE"""),489531.0)</f>
        <v>489531</v>
      </c>
      <c r="B670" s="2" t="str">
        <f>IFERROR(__xludf.DUMMYFUNCTION("""COMPUTED_VALUE"""),"85123A")</f>
        <v>85123A</v>
      </c>
      <c r="C670" s="2" t="str">
        <f>IFERROR(__xludf.DUMMYFUNCTION("""COMPUTED_VALUE"""),"WHITE HANGING HEART T-LIGHT HOLDER")</f>
        <v>WHITE HANGING HEART T-LIGHT HOLDER</v>
      </c>
      <c r="D670" s="2">
        <f>IFERROR(__xludf.DUMMYFUNCTION("""COMPUTED_VALUE"""),5.0)</f>
        <v>5</v>
      </c>
      <c r="E670" s="6">
        <f>IFERROR(__xludf.DUMMYFUNCTION("""COMPUTED_VALUE"""),40148.49791666667)</f>
        <v>40148.49792</v>
      </c>
      <c r="F670" s="2">
        <f>IFERROR(__xludf.DUMMYFUNCTION("""COMPUTED_VALUE"""),2.95)</f>
        <v>2.95</v>
      </c>
      <c r="G670" s="2">
        <f>IFERROR(__xludf.DUMMYFUNCTION("""COMPUTED_VALUE"""),14871.0)</f>
        <v>14871</v>
      </c>
      <c r="H670" s="2" t="str">
        <f>IFERROR(__xludf.DUMMYFUNCTION("""COMPUTED_VALUE"""),"United Kingdom")</f>
        <v>United Kingdom</v>
      </c>
      <c r="I670" s="7">
        <f>IFERROR(__xludf.DUMMYFUNCTION("""COMPUTED_VALUE"""),40148.0)</f>
        <v>40148</v>
      </c>
      <c r="J670" s="8">
        <f>IFERROR(__xludf.DUMMYFUNCTION("""COMPUTED_VALUE"""),0.49791666666715173)</f>
        <v>0.4979166667</v>
      </c>
      <c r="K670" s="2">
        <f>IFERROR(__xludf.DUMMYFUNCTION("""COMPUTED_VALUE"""),11.0)</f>
        <v>11</v>
      </c>
      <c r="L670" s="2">
        <f>IFERROR(__xludf.DUMMYFUNCTION("""COMPUTED_VALUE"""),14.75)</f>
        <v>14.75</v>
      </c>
    </row>
    <row r="671">
      <c r="A671" s="2">
        <f>IFERROR(__xludf.DUMMYFUNCTION("""COMPUTED_VALUE"""),489531.0)</f>
        <v>489531</v>
      </c>
      <c r="B671" s="2" t="str">
        <f>IFERROR(__xludf.DUMMYFUNCTION("""COMPUTED_VALUE"""),"21590")</f>
        <v>21590</v>
      </c>
      <c r="C671" s="2" t="str">
        <f>IFERROR(__xludf.DUMMYFUNCTION("""COMPUTED_VALUE"""),"KINGS CHOICE CIGAR BOX MATCHES")</f>
        <v>KINGS CHOICE CIGAR BOX MATCHES</v>
      </c>
      <c r="D671" s="2">
        <f>IFERROR(__xludf.DUMMYFUNCTION("""COMPUTED_VALUE"""),4.0)</f>
        <v>4</v>
      </c>
      <c r="E671" s="6">
        <f>IFERROR(__xludf.DUMMYFUNCTION("""COMPUTED_VALUE"""),40148.49791666667)</f>
        <v>40148.49792</v>
      </c>
      <c r="F671" s="2">
        <f>IFERROR(__xludf.DUMMYFUNCTION("""COMPUTED_VALUE"""),1.25)</f>
        <v>1.25</v>
      </c>
      <c r="G671" s="2">
        <f>IFERROR(__xludf.DUMMYFUNCTION("""COMPUTED_VALUE"""),14871.0)</f>
        <v>14871</v>
      </c>
      <c r="H671" s="2" t="str">
        <f>IFERROR(__xludf.DUMMYFUNCTION("""COMPUTED_VALUE"""),"United Kingdom")</f>
        <v>United Kingdom</v>
      </c>
      <c r="I671" s="7">
        <f>IFERROR(__xludf.DUMMYFUNCTION("""COMPUTED_VALUE"""),40148.0)</f>
        <v>40148</v>
      </c>
      <c r="J671" s="8">
        <f>IFERROR(__xludf.DUMMYFUNCTION("""COMPUTED_VALUE"""),0.49791666666715173)</f>
        <v>0.4979166667</v>
      </c>
      <c r="K671" s="2">
        <f>IFERROR(__xludf.DUMMYFUNCTION("""COMPUTED_VALUE"""),11.0)</f>
        <v>11</v>
      </c>
      <c r="L671" s="2">
        <f>IFERROR(__xludf.DUMMYFUNCTION("""COMPUTED_VALUE"""),5.0)</f>
        <v>5</v>
      </c>
    </row>
    <row r="672">
      <c r="A672" s="2">
        <f>IFERROR(__xludf.DUMMYFUNCTION("""COMPUTED_VALUE"""),489531.0)</f>
        <v>489531</v>
      </c>
      <c r="B672" s="2" t="str">
        <f>IFERROR(__xludf.DUMMYFUNCTION("""COMPUTED_VALUE"""),"21591")</f>
        <v>21591</v>
      </c>
      <c r="C672" s="2" t="str">
        <f>IFERROR(__xludf.DUMMYFUNCTION("""COMPUTED_VALUE"""),"COSY HOUR CIGAR BOX MATCHES")</f>
        <v>COSY HOUR CIGAR BOX MATCHES</v>
      </c>
      <c r="D672" s="2">
        <f>IFERROR(__xludf.DUMMYFUNCTION("""COMPUTED_VALUE"""),7.0)</f>
        <v>7</v>
      </c>
      <c r="E672" s="6">
        <f>IFERROR(__xludf.DUMMYFUNCTION("""COMPUTED_VALUE"""),40148.49791666667)</f>
        <v>40148.49792</v>
      </c>
      <c r="F672" s="2">
        <f>IFERROR(__xludf.DUMMYFUNCTION("""COMPUTED_VALUE"""),1.25)</f>
        <v>1.25</v>
      </c>
      <c r="G672" s="2">
        <f>IFERROR(__xludf.DUMMYFUNCTION("""COMPUTED_VALUE"""),14871.0)</f>
        <v>14871</v>
      </c>
      <c r="H672" s="2" t="str">
        <f>IFERROR(__xludf.DUMMYFUNCTION("""COMPUTED_VALUE"""),"United Kingdom")</f>
        <v>United Kingdom</v>
      </c>
      <c r="I672" s="7">
        <f>IFERROR(__xludf.DUMMYFUNCTION("""COMPUTED_VALUE"""),40148.0)</f>
        <v>40148</v>
      </c>
      <c r="J672" s="8">
        <f>IFERROR(__xludf.DUMMYFUNCTION("""COMPUTED_VALUE"""),0.49791666666715173)</f>
        <v>0.4979166667</v>
      </c>
      <c r="K672" s="2">
        <f>IFERROR(__xludf.DUMMYFUNCTION("""COMPUTED_VALUE"""),11.0)</f>
        <v>11</v>
      </c>
      <c r="L672" s="2">
        <f>IFERROR(__xludf.DUMMYFUNCTION("""COMPUTED_VALUE"""),8.75)</f>
        <v>8.75</v>
      </c>
    </row>
    <row r="673">
      <c r="A673" s="2">
        <f>IFERROR(__xludf.DUMMYFUNCTION("""COMPUTED_VALUE"""),489531.0)</f>
        <v>489531</v>
      </c>
      <c r="B673" s="2" t="str">
        <f>IFERROR(__xludf.DUMMYFUNCTION("""COMPUTED_VALUE"""),"21582")</f>
        <v>21582</v>
      </c>
      <c r="C673" s="2" t="str">
        <f>IFERROR(__xludf.DUMMYFUNCTION("""COMPUTED_VALUE"""),"KINGS CHOICE SMALL TUBE MATCHES")</f>
        <v>KINGS CHOICE SMALL TUBE MATCHES</v>
      </c>
      <c r="D673" s="2">
        <f>IFERROR(__xludf.DUMMYFUNCTION("""COMPUTED_VALUE"""),8.0)</f>
        <v>8</v>
      </c>
      <c r="E673" s="6">
        <f>IFERROR(__xludf.DUMMYFUNCTION("""COMPUTED_VALUE"""),40148.49791666667)</f>
        <v>40148.49792</v>
      </c>
      <c r="F673" s="2">
        <f>IFERROR(__xludf.DUMMYFUNCTION("""COMPUTED_VALUE"""),1.65)</f>
        <v>1.65</v>
      </c>
      <c r="G673" s="2">
        <f>IFERROR(__xludf.DUMMYFUNCTION("""COMPUTED_VALUE"""),14871.0)</f>
        <v>14871</v>
      </c>
      <c r="H673" s="2" t="str">
        <f>IFERROR(__xludf.DUMMYFUNCTION("""COMPUTED_VALUE"""),"United Kingdom")</f>
        <v>United Kingdom</v>
      </c>
      <c r="I673" s="7">
        <f>IFERROR(__xludf.DUMMYFUNCTION("""COMPUTED_VALUE"""),40148.0)</f>
        <v>40148</v>
      </c>
      <c r="J673" s="8">
        <f>IFERROR(__xludf.DUMMYFUNCTION("""COMPUTED_VALUE"""),0.49791666666715173)</f>
        <v>0.4979166667</v>
      </c>
      <c r="K673" s="2">
        <f>IFERROR(__xludf.DUMMYFUNCTION("""COMPUTED_VALUE"""),11.0)</f>
        <v>11</v>
      </c>
      <c r="L673" s="2">
        <f>IFERROR(__xludf.DUMMYFUNCTION("""COMPUTED_VALUE"""),13.2)</f>
        <v>13.2</v>
      </c>
    </row>
    <row r="674">
      <c r="A674" s="2">
        <f>IFERROR(__xludf.DUMMYFUNCTION("""COMPUTED_VALUE"""),489531.0)</f>
        <v>489531</v>
      </c>
      <c r="B674" s="2" t="str">
        <f>IFERROR(__xludf.DUMMYFUNCTION("""COMPUTED_VALUE"""),"21587")</f>
        <v>21587</v>
      </c>
      <c r="C674" s="2" t="str">
        <f>IFERROR(__xludf.DUMMYFUNCTION("""COMPUTED_VALUE"""),"COSY HOUR GIANT TUBE MATCHES")</f>
        <v>COSY HOUR GIANT TUBE MATCHES</v>
      </c>
      <c r="D674" s="2">
        <f>IFERROR(__xludf.DUMMYFUNCTION("""COMPUTED_VALUE"""),6.0)</f>
        <v>6</v>
      </c>
      <c r="E674" s="6">
        <f>IFERROR(__xludf.DUMMYFUNCTION("""COMPUTED_VALUE"""),40148.49791666667)</f>
        <v>40148.49792</v>
      </c>
      <c r="F674" s="2">
        <f>IFERROR(__xludf.DUMMYFUNCTION("""COMPUTED_VALUE"""),2.55)</f>
        <v>2.55</v>
      </c>
      <c r="G674" s="2">
        <f>IFERROR(__xludf.DUMMYFUNCTION("""COMPUTED_VALUE"""),14871.0)</f>
        <v>14871</v>
      </c>
      <c r="H674" s="2" t="str">
        <f>IFERROR(__xludf.DUMMYFUNCTION("""COMPUTED_VALUE"""),"United Kingdom")</f>
        <v>United Kingdom</v>
      </c>
      <c r="I674" s="7">
        <f>IFERROR(__xludf.DUMMYFUNCTION("""COMPUTED_VALUE"""),40148.0)</f>
        <v>40148</v>
      </c>
      <c r="J674" s="8">
        <f>IFERROR(__xludf.DUMMYFUNCTION("""COMPUTED_VALUE"""),0.49791666666715173)</f>
        <v>0.4979166667</v>
      </c>
      <c r="K674" s="2">
        <f>IFERROR(__xludf.DUMMYFUNCTION("""COMPUTED_VALUE"""),11.0)</f>
        <v>11</v>
      </c>
      <c r="L674" s="2">
        <f>IFERROR(__xludf.DUMMYFUNCTION("""COMPUTED_VALUE"""),15.2999999999999)</f>
        <v>15.3</v>
      </c>
    </row>
    <row r="675">
      <c r="A675" s="2">
        <f>IFERROR(__xludf.DUMMYFUNCTION("""COMPUTED_VALUE"""),489531.0)</f>
        <v>489531</v>
      </c>
      <c r="B675" s="2" t="str">
        <f>IFERROR(__xludf.DUMMYFUNCTION("""COMPUTED_VALUE"""),"82486")</f>
        <v>82486</v>
      </c>
      <c r="C675" s="2" t="str">
        <f>IFERROR(__xludf.DUMMYFUNCTION("""COMPUTED_VALUE"""),"WOOD S/3 CABINET ANT WHITE FINISH")</f>
        <v>WOOD S/3 CABINET ANT WHITE FINISH</v>
      </c>
      <c r="D675" s="2">
        <f>IFERROR(__xludf.DUMMYFUNCTION("""COMPUTED_VALUE"""),1.0)</f>
        <v>1</v>
      </c>
      <c r="E675" s="6">
        <f>IFERROR(__xludf.DUMMYFUNCTION("""COMPUTED_VALUE"""),40148.49791666667)</f>
        <v>40148.49792</v>
      </c>
      <c r="F675" s="2">
        <f>IFERROR(__xludf.DUMMYFUNCTION("""COMPUTED_VALUE"""),7.95)</f>
        <v>7.95</v>
      </c>
      <c r="G675" s="2">
        <f>IFERROR(__xludf.DUMMYFUNCTION("""COMPUTED_VALUE"""),14871.0)</f>
        <v>14871</v>
      </c>
      <c r="H675" s="2" t="str">
        <f>IFERROR(__xludf.DUMMYFUNCTION("""COMPUTED_VALUE"""),"United Kingdom")</f>
        <v>United Kingdom</v>
      </c>
      <c r="I675" s="7">
        <f>IFERROR(__xludf.DUMMYFUNCTION("""COMPUTED_VALUE"""),40148.0)</f>
        <v>40148</v>
      </c>
      <c r="J675" s="8">
        <f>IFERROR(__xludf.DUMMYFUNCTION("""COMPUTED_VALUE"""),0.49791666666715173)</f>
        <v>0.4979166667</v>
      </c>
      <c r="K675" s="2">
        <f>IFERROR(__xludf.DUMMYFUNCTION("""COMPUTED_VALUE"""),11.0)</f>
        <v>11</v>
      </c>
      <c r="L675" s="2">
        <f>IFERROR(__xludf.DUMMYFUNCTION("""COMPUTED_VALUE"""),7.95)</f>
        <v>7.95</v>
      </c>
    </row>
    <row r="676">
      <c r="A676" s="2">
        <f>IFERROR(__xludf.DUMMYFUNCTION("""COMPUTED_VALUE"""),489531.0)</f>
        <v>489531</v>
      </c>
      <c r="B676" s="2" t="str">
        <f>IFERROR(__xludf.DUMMYFUNCTION("""COMPUTED_VALUE"""),"82483")</f>
        <v>82483</v>
      </c>
      <c r="C676" s="2" t="str">
        <f>IFERROR(__xludf.DUMMYFUNCTION("""COMPUTED_VALUE"""),"WOOD 2 DRAWER CABINET WHITE FINISH")</f>
        <v>WOOD 2 DRAWER CABINET WHITE FINISH</v>
      </c>
      <c r="D676" s="2">
        <f>IFERROR(__xludf.DUMMYFUNCTION("""COMPUTED_VALUE"""),1.0)</f>
        <v>1</v>
      </c>
      <c r="E676" s="6">
        <f>IFERROR(__xludf.DUMMYFUNCTION("""COMPUTED_VALUE"""),40148.49791666667)</f>
        <v>40148.49792</v>
      </c>
      <c r="F676" s="2">
        <f>IFERROR(__xludf.DUMMYFUNCTION("""COMPUTED_VALUE"""),5.95)</f>
        <v>5.95</v>
      </c>
      <c r="G676" s="2">
        <f>IFERROR(__xludf.DUMMYFUNCTION("""COMPUTED_VALUE"""),14871.0)</f>
        <v>14871</v>
      </c>
      <c r="H676" s="2" t="str">
        <f>IFERROR(__xludf.DUMMYFUNCTION("""COMPUTED_VALUE"""),"United Kingdom")</f>
        <v>United Kingdom</v>
      </c>
      <c r="I676" s="7">
        <f>IFERROR(__xludf.DUMMYFUNCTION("""COMPUTED_VALUE"""),40148.0)</f>
        <v>40148</v>
      </c>
      <c r="J676" s="8">
        <f>IFERROR(__xludf.DUMMYFUNCTION("""COMPUTED_VALUE"""),0.49791666666715173)</f>
        <v>0.4979166667</v>
      </c>
      <c r="K676" s="2">
        <f>IFERROR(__xludf.DUMMYFUNCTION("""COMPUTED_VALUE"""),11.0)</f>
        <v>11</v>
      </c>
      <c r="L676" s="2">
        <f>IFERROR(__xludf.DUMMYFUNCTION("""COMPUTED_VALUE"""),5.95)</f>
        <v>5.95</v>
      </c>
    </row>
    <row r="677">
      <c r="A677" s="2">
        <f>IFERROR(__xludf.DUMMYFUNCTION("""COMPUTED_VALUE"""),489531.0)</f>
        <v>489531</v>
      </c>
      <c r="B677" s="2" t="str">
        <f>IFERROR(__xludf.DUMMYFUNCTION("""COMPUTED_VALUE"""),"22112")</f>
        <v>22112</v>
      </c>
      <c r="C677" s="2" t="str">
        <f>IFERROR(__xludf.DUMMYFUNCTION("""COMPUTED_VALUE"""),"CHOCOLATE HOT WATER BOTTLE")</f>
        <v>CHOCOLATE HOT WATER BOTTLE</v>
      </c>
      <c r="D677" s="2">
        <f>IFERROR(__xludf.DUMMYFUNCTION("""COMPUTED_VALUE"""),1.0)</f>
        <v>1</v>
      </c>
      <c r="E677" s="6">
        <f>IFERROR(__xludf.DUMMYFUNCTION("""COMPUTED_VALUE"""),40148.49791666667)</f>
        <v>40148.49792</v>
      </c>
      <c r="F677" s="2">
        <f>IFERROR(__xludf.DUMMYFUNCTION("""COMPUTED_VALUE"""),4.95)</f>
        <v>4.95</v>
      </c>
      <c r="G677" s="2">
        <f>IFERROR(__xludf.DUMMYFUNCTION("""COMPUTED_VALUE"""),14871.0)</f>
        <v>14871</v>
      </c>
      <c r="H677" s="2" t="str">
        <f>IFERROR(__xludf.DUMMYFUNCTION("""COMPUTED_VALUE"""),"United Kingdom")</f>
        <v>United Kingdom</v>
      </c>
      <c r="I677" s="7">
        <f>IFERROR(__xludf.DUMMYFUNCTION("""COMPUTED_VALUE"""),40148.0)</f>
        <v>40148</v>
      </c>
      <c r="J677" s="8">
        <f>IFERROR(__xludf.DUMMYFUNCTION("""COMPUTED_VALUE"""),0.49791666666715173)</f>
        <v>0.4979166667</v>
      </c>
      <c r="K677" s="2">
        <f>IFERROR(__xludf.DUMMYFUNCTION("""COMPUTED_VALUE"""),11.0)</f>
        <v>11</v>
      </c>
      <c r="L677" s="2">
        <f>IFERROR(__xludf.DUMMYFUNCTION("""COMPUTED_VALUE"""),4.95)</f>
        <v>4.95</v>
      </c>
    </row>
    <row r="678">
      <c r="A678" s="2">
        <f>IFERROR(__xludf.DUMMYFUNCTION("""COMPUTED_VALUE"""),489531.0)</f>
        <v>489531</v>
      </c>
      <c r="B678" s="2" t="str">
        <f>IFERROR(__xludf.DUMMYFUNCTION("""COMPUTED_VALUE"""),"22111")</f>
        <v>22111</v>
      </c>
      <c r="C678" s="2" t="str">
        <f>IFERROR(__xludf.DUMMYFUNCTION("""COMPUTED_VALUE"""),"SCOTTIE DOG HOT WATER BOTTLE")</f>
        <v>SCOTTIE DOG HOT WATER BOTTLE</v>
      </c>
      <c r="D678" s="2">
        <f>IFERROR(__xludf.DUMMYFUNCTION("""COMPUTED_VALUE"""),1.0)</f>
        <v>1</v>
      </c>
      <c r="E678" s="6">
        <f>IFERROR(__xludf.DUMMYFUNCTION("""COMPUTED_VALUE"""),40148.49791666667)</f>
        <v>40148.49792</v>
      </c>
      <c r="F678" s="2">
        <f>IFERROR(__xludf.DUMMYFUNCTION("""COMPUTED_VALUE"""),4.95)</f>
        <v>4.95</v>
      </c>
      <c r="G678" s="2">
        <f>IFERROR(__xludf.DUMMYFUNCTION("""COMPUTED_VALUE"""),14871.0)</f>
        <v>14871</v>
      </c>
      <c r="H678" s="2" t="str">
        <f>IFERROR(__xludf.DUMMYFUNCTION("""COMPUTED_VALUE"""),"United Kingdom")</f>
        <v>United Kingdom</v>
      </c>
      <c r="I678" s="7">
        <f>IFERROR(__xludf.DUMMYFUNCTION("""COMPUTED_VALUE"""),40148.0)</f>
        <v>40148</v>
      </c>
      <c r="J678" s="8">
        <f>IFERROR(__xludf.DUMMYFUNCTION("""COMPUTED_VALUE"""),0.49791666666715173)</f>
        <v>0.4979166667</v>
      </c>
      <c r="K678" s="2">
        <f>IFERROR(__xludf.DUMMYFUNCTION("""COMPUTED_VALUE"""),11.0)</f>
        <v>11</v>
      </c>
      <c r="L678" s="2">
        <f>IFERROR(__xludf.DUMMYFUNCTION("""COMPUTED_VALUE"""),4.95)</f>
        <v>4.95</v>
      </c>
    </row>
    <row r="679">
      <c r="A679" s="2">
        <f>IFERROR(__xludf.DUMMYFUNCTION("""COMPUTED_VALUE"""),489531.0)</f>
        <v>489531</v>
      </c>
      <c r="B679" s="2" t="str">
        <f>IFERROR(__xludf.DUMMYFUNCTION("""COMPUTED_VALUE"""),"72801E")</f>
        <v>72801E</v>
      </c>
      <c r="C679" s="2" t="str">
        <f>IFERROR(__xludf.DUMMYFUNCTION("""COMPUTED_VALUE"""),"S/4 FESTIVE GREEN DINNER CANDLES")</f>
        <v>S/4 FESTIVE GREEN DINNER CANDLES</v>
      </c>
      <c r="D679" s="2">
        <f>IFERROR(__xludf.DUMMYFUNCTION("""COMPUTED_VALUE"""),2.0)</f>
        <v>2</v>
      </c>
      <c r="E679" s="6">
        <f>IFERROR(__xludf.DUMMYFUNCTION("""COMPUTED_VALUE"""),40148.49791666667)</f>
        <v>40148.49792</v>
      </c>
      <c r="F679" s="2">
        <f>IFERROR(__xludf.DUMMYFUNCTION("""COMPUTED_VALUE"""),1.25)</f>
        <v>1.25</v>
      </c>
      <c r="G679" s="2">
        <f>IFERROR(__xludf.DUMMYFUNCTION("""COMPUTED_VALUE"""),14871.0)</f>
        <v>14871</v>
      </c>
      <c r="H679" s="2" t="str">
        <f>IFERROR(__xludf.DUMMYFUNCTION("""COMPUTED_VALUE"""),"United Kingdom")</f>
        <v>United Kingdom</v>
      </c>
      <c r="I679" s="7">
        <f>IFERROR(__xludf.DUMMYFUNCTION("""COMPUTED_VALUE"""),40148.0)</f>
        <v>40148</v>
      </c>
      <c r="J679" s="8">
        <f>IFERROR(__xludf.DUMMYFUNCTION("""COMPUTED_VALUE"""),0.49791666666715173)</f>
        <v>0.4979166667</v>
      </c>
      <c r="K679" s="2">
        <f>IFERROR(__xludf.DUMMYFUNCTION("""COMPUTED_VALUE"""),11.0)</f>
        <v>11</v>
      </c>
      <c r="L679" s="2">
        <f>IFERROR(__xludf.DUMMYFUNCTION("""COMPUTED_VALUE"""),2.5)</f>
        <v>2.5</v>
      </c>
    </row>
    <row r="680">
      <c r="A680" s="2">
        <f>IFERROR(__xludf.DUMMYFUNCTION("""COMPUTED_VALUE"""),489531.0)</f>
        <v>489531</v>
      </c>
      <c r="B680" s="2" t="str">
        <f>IFERROR(__xludf.DUMMYFUNCTION("""COMPUTED_VALUE"""),"21034")</f>
        <v>21034</v>
      </c>
      <c r="C680" s="2" t="str">
        <f>IFERROR(__xludf.DUMMYFUNCTION("""COMPUTED_VALUE"""),"REX CASH+CARRY JUMBO SHOPPER")</f>
        <v>REX CASH+CARRY JUMBO SHOPPER</v>
      </c>
      <c r="D680" s="2">
        <f>IFERROR(__xludf.DUMMYFUNCTION("""COMPUTED_VALUE"""),1.0)</f>
        <v>1</v>
      </c>
      <c r="E680" s="6">
        <f>IFERROR(__xludf.DUMMYFUNCTION("""COMPUTED_VALUE"""),40148.49791666667)</f>
        <v>40148.49792</v>
      </c>
      <c r="F680" s="2">
        <f>IFERROR(__xludf.DUMMYFUNCTION("""COMPUTED_VALUE"""),0.95)</f>
        <v>0.95</v>
      </c>
      <c r="G680" s="2">
        <f>IFERROR(__xludf.DUMMYFUNCTION("""COMPUTED_VALUE"""),14871.0)</f>
        <v>14871</v>
      </c>
      <c r="H680" s="2" t="str">
        <f>IFERROR(__xludf.DUMMYFUNCTION("""COMPUTED_VALUE"""),"United Kingdom")</f>
        <v>United Kingdom</v>
      </c>
      <c r="I680" s="7">
        <f>IFERROR(__xludf.DUMMYFUNCTION("""COMPUTED_VALUE"""),40148.0)</f>
        <v>40148</v>
      </c>
      <c r="J680" s="8">
        <f>IFERROR(__xludf.DUMMYFUNCTION("""COMPUTED_VALUE"""),0.49791666666715173)</f>
        <v>0.4979166667</v>
      </c>
      <c r="K680" s="2">
        <f>IFERROR(__xludf.DUMMYFUNCTION("""COMPUTED_VALUE"""),11.0)</f>
        <v>11</v>
      </c>
      <c r="L680" s="2">
        <f>IFERROR(__xludf.DUMMYFUNCTION("""COMPUTED_VALUE"""),0.95)</f>
        <v>0.95</v>
      </c>
    </row>
    <row r="681">
      <c r="A681" s="2">
        <f>IFERROR(__xludf.DUMMYFUNCTION("""COMPUTED_VALUE"""),489532.0)</f>
        <v>489532</v>
      </c>
      <c r="B681" s="2" t="str">
        <f>IFERROR(__xludf.DUMMYFUNCTION("""COMPUTED_VALUE"""),"85049D")</f>
        <v>85049D</v>
      </c>
      <c r="C681" s="2" t="str">
        <f>IFERROR(__xludf.DUMMYFUNCTION("""COMPUTED_VALUE"""),"BRIGHT BLUES RIBBONS")</f>
        <v>BRIGHT BLUES RIBBONS</v>
      </c>
      <c r="D681" s="2">
        <f>IFERROR(__xludf.DUMMYFUNCTION("""COMPUTED_VALUE"""),12.0)</f>
        <v>12</v>
      </c>
      <c r="E681" s="6">
        <f>IFERROR(__xludf.DUMMYFUNCTION("""COMPUTED_VALUE"""),40148.49861111111)</f>
        <v>40148.49861</v>
      </c>
      <c r="F681" s="2">
        <f>IFERROR(__xludf.DUMMYFUNCTION("""COMPUTED_VALUE"""),1.25)</f>
        <v>1.25</v>
      </c>
      <c r="G681" s="2">
        <f>IFERROR(__xludf.DUMMYFUNCTION("""COMPUTED_VALUE"""),13394.0)</f>
        <v>13394</v>
      </c>
      <c r="H681" s="2" t="str">
        <f>IFERROR(__xludf.DUMMYFUNCTION("""COMPUTED_VALUE"""),"United Kingdom")</f>
        <v>United Kingdom</v>
      </c>
      <c r="I681" s="7">
        <f>IFERROR(__xludf.DUMMYFUNCTION("""COMPUTED_VALUE"""),40148.0)</f>
        <v>40148</v>
      </c>
      <c r="J681" s="8">
        <f>IFERROR(__xludf.DUMMYFUNCTION("""COMPUTED_VALUE"""),0.4986111111102218)</f>
        <v>0.4986111111</v>
      </c>
      <c r="K681" s="2">
        <f>IFERROR(__xludf.DUMMYFUNCTION("""COMPUTED_VALUE"""),11.0)</f>
        <v>11</v>
      </c>
      <c r="L681" s="2">
        <f>IFERROR(__xludf.DUMMYFUNCTION("""COMPUTED_VALUE"""),15.0)</f>
        <v>15</v>
      </c>
    </row>
    <row r="682">
      <c r="A682" s="2">
        <f>IFERROR(__xludf.DUMMYFUNCTION("""COMPUTED_VALUE"""),489532.0)</f>
        <v>489532</v>
      </c>
      <c r="B682" s="2" t="str">
        <f>IFERROR(__xludf.DUMMYFUNCTION("""COMPUTED_VALUE"""),"21985")</f>
        <v>21985</v>
      </c>
      <c r="C682" s="2" t="str">
        <f>IFERROR(__xludf.DUMMYFUNCTION("""COMPUTED_VALUE"""),"PACK OF 12 HEARTS DESIGN TISSUES")</f>
        <v>PACK OF 12 HEARTS DESIGN TISSUES</v>
      </c>
      <c r="D682" s="2">
        <f>IFERROR(__xludf.DUMMYFUNCTION("""COMPUTED_VALUE"""),48.0)</f>
        <v>48</v>
      </c>
      <c r="E682" s="6">
        <f>IFERROR(__xludf.DUMMYFUNCTION("""COMPUTED_VALUE"""),40148.49861111111)</f>
        <v>40148.49861</v>
      </c>
      <c r="F682" s="2">
        <f>IFERROR(__xludf.DUMMYFUNCTION("""COMPUTED_VALUE"""),0.29)</f>
        <v>0.29</v>
      </c>
      <c r="G682" s="2">
        <f>IFERROR(__xludf.DUMMYFUNCTION("""COMPUTED_VALUE"""),13394.0)</f>
        <v>13394</v>
      </c>
      <c r="H682" s="2" t="str">
        <f>IFERROR(__xludf.DUMMYFUNCTION("""COMPUTED_VALUE"""),"United Kingdom")</f>
        <v>United Kingdom</v>
      </c>
      <c r="I682" s="7">
        <f>IFERROR(__xludf.DUMMYFUNCTION("""COMPUTED_VALUE"""),40148.0)</f>
        <v>40148</v>
      </c>
      <c r="J682" s="8">
        <f>IFERROR(__xludf.DUMMYFUNCTION("""COMPUTED_VALUE"""),0.4986111111102218)</f>
        <v>0.4986111111</v>
      </c>
      <c r="K682" s="2">
        <f>IFERROR(__xludf.DUMMYFUNCTION("""COMPUTED_VALUE"""),11.0)</f>
        <v>11</v>
      </c>
      <c r="L682" s="2">
        <f>IFERROR(__xludf.DUMMYFUNCTION("""COMPUTED_VALUE"""),13.9199999999999)</f>
        <v>13.92</v>
      </c>
    </row>
    <row r="683">
      <c r="A683" s="2">
        <f>IFERROR(__xludf.DUMMYFUNCTION("""COMPUTED_VALUE"""),489532.0)</f>
        <v>489532</v>
      </c>
      <c r="B683" s="2" t="str">
        <f>IFERROR(__xludf.DUMMYFUNCTION("""COMPUTED_VALUE"""),"21980")</f>
        <v>21980</v>
      </c>
      <c r="C683" s="2" t="str">
        <f>IFERROR(__xludf.DUMMYFUNCTION("""COMPUTED_VALUE"""),"PACK OF 12 RED SPOTTY TISSUES")</f>
        <v>PACK OF 12 RED SPOTTY TISSUES</v>
      </c>
      <c r="D683" s="2">
        <f>IFERROR(__xludf.DUMMYFUNCTION("""COMPUTED_VALUE"""),48.0)</f>
        <v>48</v>
      </c>
      <c r="E683" s="6">
        <f>IFERROR(__xludf.DUMMYFUNCTION("""COMPUTED_VALUE"""),40148.49861111111)</f>
        <v>40148.49861</v>
      </c>
      <c r="F683" s="2">
        <f>IFERROR(__xludf.DUMMYFUNCTION("""COMPUTED_VALUE"""),0.29)</f>
        <v>0.29</v>
      </c>
      <c r="G683" s="2">
        <f>IFERROR(__xludf.DUMMYFUNCTION("""COMPUTED_VALUE"""),13394.0)</f>
        <v>13394</v>
      </c>
      <c r="H683" s="2" t="str">
        <f>IFERROR(__xludf.DUMMYFUNCTION("""COMPUTED_VALUE"""),"United Kingdom")</f>
        <v>United Kingdom</v>
      </c>
      <c r="I683" s="7">
        <f>IFERROR(__xludf.DUMMYFUNCTION("""COMPUTED_VALUE"""),40148.0)</f>
        <v>40148</v>
      </c>
      <c r="J683" s="8">
        <f>IFERROR(__xludf.DUMMYFUNCTION("""COMPUTED_VALUE"""),0.4986111111102218)</f>
        <v>0.4986111111</v>
      </c>
      <c r="K683" s="2">
        <f>IFERROR(__xludf.DUMMYFUNCTION("""COMPUTED_VALUE"""),11.0)</f>
        <v>11</v>
      </c>
      <c r="L683" s="2">
        <f>IFERROR(__xludf.DUMMYFUNCTION("""COMPUTED_VALUE"""),13.9199999999999)</f>
        <v>13.92</v>
      </c>
    </row>
    <row r="684">
      <c r="A684" s="2">
        <f>IFERROR(__xludf.DUMMYFUNCTION("""COMPUTED_VALUE"""),489532.0)</f>
        <v>489532</v>
      </c>
      <c r="B684" s="2" t="str">
        <f>IFERROR(__xludf.DUMMYFUNCTION("""COMPUTED_VALUE"""),"16235")</f>
        <v>16235</v>
      </c>
      <c r="C684" s="2" t="str">
        <f>IFERROR(__xludf.DUMMYFUNCTION("""COMPUTED_VALUE"""),"RECYCLED PENCIL WITH RABBIT ERASER")</f>
        <v>RECYCLED PENCIL WITH RABBIT ERASER</v>
      </c>
      <c r="D684" s="2">
        <f>IFERROR(__xludf.DUMMYFUNCTION("""COMPUTED_VALUE"""),60.0)</f>
        <v>60</v>
      </c>
      <c r="E684" s="6">
        <f>IFERROR(__xludf.DUMMYFUNCTION("""COMPUTED_VALUE"""),40148.49861111111)</f>
        <v>40148.49861</v>
      </c>
      <c r="F684" s="2">
        <f>IFERROR(__xludf.DUMMYFUNCTION("""COMPUTED_VALUE"""),0.21)</f>
        <v>0.21</v>
      </c>
      <c r="G684" s="2">
        <f>IFERROR(__xludf.DUMMYFUNCTION("""COMPUTED_VALUE"""),13394.0)</f>
        <v>13394</v>
      </c>
      <c r="H684" s="2" t="str">
        <f>IFERROR(__xludf.DUMMYFUNCTION("""COMPUTED_VALUE"""),"United Kingdom")</f>
        <v>United Kingdom</v>
      </c>
      <c r="I684" s="7">
        <f>IFERROR(__xludf.DUMMYFUNCTION("""COMPUTED_VALUE"""),40148.0)</f>
        <v>40148</v>
      </c>
      <c r="J684" s="8">
        <f>IFERROR(__xludf.DUMMYFUNCTION("""COMPUTED_VALUE"""),0.4986111111102218)</f>
        <v>0.4986111111</v>
      </c>
      <c r="K684" s="2">
        <f>IFERROR(__xludf.DUMMYFUNCTION("""COMPUTED_VALUE"""),11.0)</f>
        <v>11</v>
      </c>
      <c r="L684" s="2">
        <f>IFERROR(__xludf.DUMMYFUNCTION("""COMPUTED_VALUE"""),12.6)</f>
        <v>12.6</v>
      </c>
    </row>
    <row r="685">
      <c r="A685" s="2">
        <f>IFERROR(__xludf.DUMMYFUNCTION("""COMPUTED_VALUE"""),489532.0)</f>
        <v>489532</v>
      </c>
      <c r="B685" s="2" t="str">
        <f>IFERROR(__xludf.DUMMYFUNCTION("""COMPUTED_VALUE"""),"22083")</f>
        <v>22083</v>
      </c>
      <c r="C685" s="2" t="str">
        <f>IFERROR(__xludf.DUMMYFUNCTION("""COMPUTED_VALUE"""),"PAPER CHAIN KIT RETRO SPOT")</f>
        <v>PAPER CHAIN KIT RETRO SPOT</v>
      </c>
      <c r="D685" s="2">
        <f>IFERROR(__xludf.DUMMYFUNCTION("""COMPUTED_VALUE"""),6.0)</f>
        <v>6</v>
      </c>
      <c r="E685" s="6">
        <f>IFERROR(__xludf.DUMMYFUNCTION("""COMPUTED_VALUE"""),40148.49861111111)</f>
        <v>40148.49861</v>
      </c>
      <c r="F685" s="2">
        <f>IFERROR(__xludf.DUMMYFUNCTION("""COMPUTED_VALUE"""),2.95)</f>
        <v>2.95</v>
      </c>
      <c r="G685" s="2">
        <f>IFERROR(__xludf.DUMMYFUNCTION("""COMPUTED_VALUE"""),13394.0)</f>
        <v>13394</v>
      </c>
      <c r="H685" s="2" t="str">
        <f>IFERROR(__xludf.DUMMYFUNCTION("""COMPUTED_VALUE"""),"United Kingdom")</f>
        <v>United Kingdom</v>
      </c>
      <c r="I685" s="7">
        <f>IFERROR(__xludf.DUMMYFUNCTION("""COMPUTED_VALUE"""),40148.0)</f>
        <v>40148</v>
      </c>
      <c r="J685" s="8">
        <f>IFERROR(__xludf.DUMMYFUNCTION("""COMPUTED_VALUE"""),0.4986111111102218)</f>
        <v>0.4986111111</v>
      </c>
      <c r="K685" s="2">
        <f>IFERROR(__xludf.DUMMYFUNCTION("""COMPUTED_VALUE"""),11.0)</f>
        <v>11</v>
      </c>
      <c r="L685" s="2">
        <f>IFERROR(__xludf.DUMMYFUNCTION("""COMPUTED_VALUE"""),17.7)</f>
        <v>17.7</v>
      </c>
    </row>
    <row r="686">
      <c r="A686" s="2">
        <f>IFERROR(__xludf.DUMMYFUNCTION("""COMPUTED_VALUE"""),489532.0)</f>
        <v>489532</v>
      </c>
      <c r="B686" s="2" t="str">
        <f>IFERROR(__xludf.DUMMYFUNCTION("""COMPUTED_VALUE"""),"22086")</f>
        <v>22086</v>
      </c>
      <c r="C686" s="2" t="str">
        <f>IFERROR(__xludf.DUMMYFUNCTION("""COMPUTED_VALUE"""),"PAPER CHAIN KIT 50'S CHRISTMAS")</f>
        <v>PAPER CHAIN KIT 50'S CHRISTMAS</v>
      </c>
      <c r="D686" s="2">
        <f>IFERROR(__xludf.DUMMYFUNCTION("""COMPUTED_VALUE"""),6.0)</f>
        <v>6</v>
      </c>
      <c r="E686" s="6">
        <f>IFERROR(__xludf.DUMMYFUNCTION("""COMPUTED_VALUE"""),40148.49861111111)</f>
        <v>40148.49861</v>
      </c>
      <c r="F686" s="2">
        <f>IFERROR(__xludf.DUMMYFUNCTION("""COMPUTED_VALUE"""),2.95)</f>
        <v>2.95</v>
      </c>
      <c r="G686" s="2">
        <f>IFERROR(__xludf.DUMMYFUNCTION("""COMPUTED_VALUE"""),13394.0)</f>
        <v>13394</v>
      </c>
      <c r="H686" s="2" t="str">
        <f>IFERROR(__xludf.DUMMYFUNCTION("""COMPUTED_VALUE"""),"United Kingdom")</f>
        <v>United Kingdom</v>
      </c>
      <c r="I686" s="7">
        <f>IFERROR(__xludf.DUMMYFUNCTION("""COMPUTED_VALUE"""),40148.0)</f>
        <v>40148</v>
      </c>
      <c r="J686" s="8">
        <f>IFERROR(__xludf.DUMMYFUNCTION("""COMPUTED_VALUE"""),0.4986111111102218)</f>
        <v>0.4986111111</v>
      </c>
      <c r="K686" s="2">
        <f>IFERROR(__xludf.DUMMYFUNCTION("""COMPUTED_VALUE"""),11.0)</f>
        <v>11</v>
      </c>
      <c r="L686" s="2">
        <f>IFERROR(__xludf.DUMMYFUNCTION("""COMPUTED_VALUE"""),17.7)</f>
        <v>17.7</v>
      </c>
    </row>
    <row r="687">
      <c r="A687" s="2">
        <f>IFERROR(__xludf.DUMMYFUNCTION("""COMPUTED_VALUE"""),489532.0)</f>
        <v>489532</v>
      </c>
      <c r="B687" s="2" t="str">
        <f>IFERROR(__xludf.DUMMYFUNCTION("""COMPUTED_VALUE"""),"22111")</f>
        <v>22111</v>
      </c>
      <c r="C687" s="2" t="str">
        <f>IFERROR(__xludf.DUMMYFUNCTION("""COMPUTED_VALUE"""),"SCOTTIE DOG HOT WATER BOTTLE")</f>
        <v>SCOTTIE DOG HOT WATER BOTTLE</v>
      </c>
      <c r="D687" s="2">
        <f>IFERROR(__xludf.DUMMYFUNCTION("""COMPUTED_VALUE"""),3.0)</f>
        <v>3</v>
      </c>
      <c r="E687" s="6">
        <f>IFERROR(__xludf.DUMMYFUNCTION("""COMPUTED_VALUE"""),40148.49861111111)</f>
        <v>40148.49861</v>
      </c>
      <c r="F687" s="2">
        <f>IFERROR(__xludf.DUMMYFUNCTION("""COMPUTED_VALUE"""),4.95)</f>
        <v>4.95</v>
      </c>
      <c r="G687" s="2">
        <f>IFERROR(__xludf.DUMMYFUNCTION("""COMPUTED_VALUE"""),13394.0)</f>
        <v>13394</v>
      </c>
      <c r="H687" s="2" t="str">
        <f>IFERROR(__xludf.DUMMYFUNCTION("""COMPUTED_VALUE"""),"United Kingdom")</f>
        <v>United Kingdom</v>
      </c>
      <c r="I687" s="7">
        <f>IFERROR(__xludf.DUMMYFUNCTION("""COMPUTED_VALUE"""),40148.0)</f>
        <v>40148</v>
      </c>
      <c r="J687" s="8">
        <f>IFERROR(__xludf.DUMMYFUNCTION("""COMPUTED_VALUE"""),0.4986111111102218)</f>
        <v>0.4986111111</v>
      </c>
      <c r="K687" s="2">
        <f>IFERROR(__xludf.DUMMYFUNCTION("""COMPUTED_VALUE"""),11.0)</f>
        <v>11</v>
      </c>
      <c r="L687" s="2">
        <f>IFERROR(__xludf.DUMMYFUNCTION("""COMPUTED_VALUE"""),14.85)</f>
        <v>14.85</v>
      </c>
    </row>
    <row r="688">
      <c r="A688" s="2">
        <f>IFERROR(__xludf.DUMMYFUNCTION("""COMPUTED_VALUE"""),489532.0)</f>
        <v>489532</v>
      </c>
      <c r="B688" s="2" t="str">
        <f>IFERROR(__xludf.DUMMYFUNCTION("""COMPUTED_VALUE"""),"84347")</f>
        <v>84347</v>
      </c>
      <c r="C688" s="2" t="str">
        <f>IFERROR(__xludf.DUMMYFUNCTION("""COMPUTED_VALUE"""),"ROTATING SILVER ANGELS T-LIGHT HLDR")</f>
        <v>ROTATING SILVER ANGELS T-LIGHT HLDR</v>
      </c>
      <c r="D688" s="2">
        <f>IFERROR(__xludf.DUMMYFUNCTION("""COMPUTED_VALUE"""),6.0)</f>
        <v>6</v>
      </c>
      <c r="E688" s="6">
        <f>IFERROR(__xludf.DUMMYFUNCTION("""COMPUTED_VALUE"""),40148.49861111111)</f>
        <v>40148.49861</v>
      </c>
      <c r="F688" s="2">
        <f>IFERROR(__xludf.DUMMYFUNCTION("""COMPUTED_VALUE"""),2.55)</f>
        <v>2.55</v>
      </c>
      <c r="G688" s="2">
        <f>IFERROR(__xludf.DUMMYFUNCTION("""COMPUTED_VALUE"""),13394.0)</f>
        <v>13394</v>
      </c>
      <c r="H688" s="2" t="str">
        <f>IFERROR(__xludf.DUMMYFUNCTION("""COMPUTED_VALUE"""),"United Kingdom")</f>
        <v>United Kingdom</v>
      </c>
      <c r="I688" s="7">
        <f>IFERROR(__xludf.DUMMYFUNCTION("""COMPUTED_VALUE"""),40148.0)</f>
        <v>40148</v>
      </c>
      <c r="J688" s="8">
        <f>IFERROR(__xludf.DUMMYFUNCTION("""COMPUTED_VALUE"""),0.4986111111102218)</f>
        <v>0.4986111111</v>
      </c>
      <c r="K688" s="2">
        <f>IFERROR(__xludf.DUMMYFUNCTION("""COMPUTED_VALUE"""),11.0)</f>
        <v>11</v>
      </c>
      <c r="L688" s="2">
        <f>IFERROR(__xludf.DUMMYFUNCTION("""COMPUTED_VALUE"""),15.2999999999999)</f>
        <v>15.3</v>
      </c>
    </row>
    <row r="689">
      <c r="A689" s="2">
        <f>IFERROR(__xludf.DUMMYFUNCTION("""COMPUTED_VALUE"""),489532.0)</f>
        <v>489532</v>
      </c>
      <c r="B689" s="2" t="str">
        <f>IFERROR(__xludf.DUMMYFUNCTION("""COMPUTED_VALUE"""),"21485")</f>
        <v>21485</v>
      </c>
      <c r="C689" s="2" t="str">
        <f>IFERROR(__xludf.DUMMYFUNCTION("""COMPUTED_VALUE"""),"RED SPOT HEART HOT WATER BOTTLE")</f>
        <v>RED SPOT HEART HOT WATER BOTTLE</v>
      </c>
      <c r="D689" s="2">
        <f>IFERROR(__xludf.DUMMYFUNCTION("""COMPUTED_VALUE"""),3.0)</f>
        <v>3</v>
      </c>
      <c r="E689" s="6">
        <f>IFERROR(__xludf.DUMMYFUNCTION("""COMPUTED_VALUE"""),40148.49861111111)</f>
        <v>40148.49861</v>
      </c>
      <c r="F689" s="2">
        <f>IFERROR(__xludf.DUMMYFUNCTION("""COMPUTED_VALUE"""),4.95)</f>
        <v>4.95</v>
      </c>
      <c r="G689" s="2">
        <f>IFERROR(__xludf.DUMMYFUNCTION("""COMPUTED_VALUE"""),13394.0)</f>
        <v>13394</v>
      </c>
      <c r="H689" s="2" t="str">
        <f>IFERROR(__xludf.DUMMYFUNCTION("""COMPUTED_VALUE"""),"United Kingdom")</f>
        <v>United Kingdom</v>
      </c>
      <c r="I689" s="7">
        <f>IFERROR(__xludf.DUMMYFUNCTION("""COMPUTED_VALUE"""),40148.0)</f>
        <v>40148</v>
      </c>
      <c r="J689" s="8">
        <f>IFERROR(__xludf.DUMMYFUNCTION("""COMPUTED_VALUE"""),0.4986111111102218)</f>
        <v>0.4986111111</v>
      </c>
      <c r="K689" s="2">
        <f>IFERROR(__xludf.DUMMYFUNCTION("""COMPUTED_VALUE"""),11.0)</f>
        <v>11</v>
      </c>
      <c r="L689" s="2">
        <f>IFERROR(__xludf.DUMMYFUNCTION("""COMPUTED_VALUE"""),14.85)</f>
        <v>14.85</v>
      </c>
    </row>
    <row r="690">
      <c r="A690" s="2">
        <f>IFERROR(__xludf.DUMMYFUNCTION("""COMPUTED_VALUE"""),489532.0)</f>
        <v>489532</v>
      </c>
      <c r="B690" s="2" t="str">
        <f>IFERROR(__xludf.DUMMYFUNCTION("""COMPUTED_VALUE"""),"21212")</f>
        <v>21212</v>
      </c>
      <c r="C690" s="2" t="str">
        <f>IFERROR(__xludf.DUMMYFUNCTION("""COMPUTED_VALUE"""),"PACK OF 72 RETRO SPOT CAKE CASES")</f>
        <v>PACK OF 72 RETRO SPOT CAKE CASES</v>
      </c>
      <c r="D690" s="2">
        <f>IFERROR(__xludf.DUMMYFUNCTION("""COMPUTED_VALUE"""),24.0)</f>
        <v>24</v>
      </c>
      <c r="E690" s="6">
        <f>IFERROR(__xludf.DUMMYFUNCTION("""COMPUTED_VALUE"""),40148.49861111111)</f>
        <v>40148.49861</v>
      </c>
      <c r="F690" s="2">
        <f>IFERROR(__xludf.DUMMYFUNCTION("""COMPUTED_VALUE"""),0.55)</f>
        <v>0.55</v>
      </c>
      <c r="G690" s="2">
        <f>IFERROR(__xludf.DUMMYFUNCTION("""COMPUTED_VALUE"""),13394.0)</f>
        <v>13394</v>
      </c>
      <c r="H690" s="2" t="str">
        <f>IFERROR(__xludf.DUMMYFUNCTION("""COMPUTED_VALUE"""),"United Kingdom")</f>
        <v>United Kingdom</v>
      </c>
      <c r="I690" s="7">
        <f>IFERROR(__xludf.DUMMYFUNCTION("""COMPUTED_VALUE"""),40148.0)</f>
        <v>40148</v>
      </c>
      <c r="J690" s="8">
        <f>IFERROR(__xludf.DUMMYFUNCTION("""COMPUTED_VALUE"""),0.4986111111102218)</f>
        <v>0.4986111111</v>
      </c>
      <c r="K690" s="2">
        <f>IFERROR(__xludf.DUMMYFUNCTION("""COMPUTED_VALUE"""),11.0)</f>
        <v>11</v>
      </c>
      <c r="L690" s="2">
        <f>IFERROR(__xludf.DUMMYFUNCTION("""COMPUTED_VALUE"""),13.2)</f>
        <v>13.2</v>
      </c>
    </row>
    <row r="691">
      <c r="A691" s="2">
        <f>IFERROR(__xludf.DUMMYFUNCTION("""COMPUTED_VALUE"""),489532.0)</f>
        <v>489532</v>
      </c>
      <c r="B691" s="2" t="str">
        <f>IFERROR(__xludf.DUMMYFUNCTION("""COMPUTED_VALUE"""),"84990")</f>
        <v>84990</v>
      </c>
      <c r="C691" s="2" t="str">
        <f>IFERROR(__xludf.DUMMYFUNCTION("""COMPUTED_VALUE"""),"60 GOLD AND SILVER FAIRY CAKE CASES")</f>
        <v>60 GOLD AND SILVER FAIRY CAKE CASES</v>
      </c>
      <c r="D691" s="2">
        <f>IFERROR(__xludf.DUMMYFUNCTION("""COMPUTED_VALUE"""),24.0)</f>
        <v>24</v>
      </c>
      <c r="E691" s="6">
        <f>IFERROR(__xludf.DUMMYFUNCTION("""COMPUTED_VALUE"""),40148.49861111111)</f>
        <v>40148.49861</v>
      </c>
      <c r="F691" s="2">
        <f>IFERROR(__xludf.DUMMYFUNCTION("""COMPUTED_VALUE"""),0.55)</f>
        <v>0.55</v>
      </c>
      <c r="G691" s="2">
        <f>IFERROR(__xludf.DUMMYFUNCTION("""COMPUTED_VALUE"""),13394.0)</f>
        <v>13394</v>
      </c>
      <c r="H691" s="2" t="str">
        <f>IFERROR(__xludf.DUMMYFUNCTION("""COMPUTED_VALUE"""),"United Kingdom")</f>
        <v>United Kingdom</v>
      </c>
      <c r="I691" s="7">
        <f>IFERROR(__xludf.DUMMYFUNCTION("""COMPUTED_VALUE"""),40148.0)</f>
        <v>40148</v>
      </c>
      <c r="J691" s="8">
        <f>IFERROR(__xludf.DUMMYFUNCTION("""COMPUTED_VALUE"""),0.4986111111102218)</f>
        <v>0.4986111111</v>
      </c>
      <c r="K691" s="2">
        <f>IFERROR(__xludf.DUMMYFUNCTION("""COMPUTED_VALUE"""),11.0)</f>
        <v>11</v>
      </c>
      <c r="L691" s="2">
        <f>IFERROR(__xludf.DUMMYFUNCTION("""COMPUTED_VALUE"""),13.2)</f>
        <v>13.2</v>
      </c>
    </row>
    <row r="692">
      <c r="A692" s="2">
        <f>IFERROR(__xludf.DUMMYFUNCTION("""COMPUTED_VALUE"""),489532.0)</f>
        <v>489532</v>
      </c>
      <c r="B692" s="2" t="str">
        <f>IFERROR(__xludf.DUMMYFUNCTION("""COMPUTED_VALUE"""),"85231E")</f>
        <v>85231E</v>
      </c>
      <c r="C692" s="2" t="str">
        <f>IFERROR(__xludf.DUMMYFUNCTION("""COMPUTED_VALUE"""),"STRAWBERRY SCENTED SET/9 T-LIGHTS")</f>
        <v>STRAWBERRY SCENTED SET/9 T-LIGHTS</v>
      </c>
      <c r="D692" s="2">
        <f>IFERROR(__xludf.DUMMYFUNCTION("""COMPUTED_VALUE"""),12.0)</f>
        <v>12</v>
      </c>
      <c r="E692" s="6">
        <f>IFERROR(__xludf.DUMMYFUNCTION("""COMPUTED_VALUE"""),40148.49861111111)</f>
        <v>40148.49861</v>
      </c>
      <c r="F692" s="2">
        <f>IFERROR(__xludf.DUMMYFUNCTION("""COMPUTED_VALUE"""),0.85)</f>
        <v>0.85</v>
      </c>
      <c r="G692" s="2">
        <f>IFERROR(__xludf.DUMMYFUNCTION("""COMPUTED_VALUE"""),13394.0)</f>
        <v>13394</v>
      </c>
      <c r="H692" s="2" t="str">
        <f>IFERROR(__xludf.DUMMYFUNCTION("""COMPUTED_VALUE"""),"United Kingdom")</f>
        <v>United Kingdom</v>
      </c>
      <c r="I692" s="7">
        <f>IFERROR(__xludf.DUMMYFUNCTION("""COMPUTED_VALUE"""),40148.0)</f>
        <v>40148</v>
      </c>
      <c r="J692" s="8">
        <f>IFERROR(__xludf.DUMMYFUNCTION("""COMPUTED_VALUE"""),0.4986111111102218)</f>
        <v>0.4986111111</v>
      </c>
      <c r="K692" s="2">
        <f>IFERROR(__xludf.DUMMYFUNCTION("""COMPUTED_VALUE"""),11.0)</f>
        <v>11</v>
      </c>
      <c r="L692" s="2">
        <f>IFERROR(__xludf.DUMMYFUNCTION("""COMPUTED_VALUE"""),10.2)</f>
        <v>10.2</v>
      </c>
    </row>
    <row r="693">
      <c r="A693" s="2">
        <f>IFERROR(__xludf.DUMMYFUNCTION("""COMPUTED_VALUE"""),489532.0)</f>
        <v>489532</v>
      </c>
      <c r="B693" s="2" t="str">
        <f>IFERROR(__xludf.DUMMYFUNCTION("""COMPUTED_VALUE"""),"85231B")</f>
        <v>85231B</v>
      </c>
      <c r="C693" s="2" t="str">
        <f>IFERROR(__xludf.DUMMYFUNCTION("""COMPUTED_VALUE"""),"CINAMMON SET OF 9 T-LIGHTS")</f>
        <v>CINAMMON SET OF 9 T-LIGHTS</v>
      </c>
      <c r="D693" s="2">
        <f>IFERROR(__xludf.DUMMYFUNCTION("""COMPUTED_VALUE"""),24.0)</f>
        <v>24</v>
      </c>
      <c r="E693" s="6">
        <f>IFERROR(__xludf.DUMMYFUNCTION("""COMPUTED_VALUE"""),40148.49861111111)</f>
        <v>40148.49861</v>
      </c>
      <c r="F693" s="2">
        <f>IFERROR(__xludf.DUMMYFUNCTION("""COMPUTED_VALUE"""),0.85)</f>
        <v>0.85</v>
      </c>
      <c r="G693" s="2">
        <f>IFERROR(__xludf.DUMMYFUNCTION("""COMPUTED_VALUE"""),13394.0)</f>
        <v>13394</v>
      </c>
      <c r="H693" s="2" t="str">
        <f>IFERROR(__xludf.DUMMYFUNCTION("""COMPUTED_VALUE"""),"United Kingdom")</f>
        <v>United Kingdom</v>
      </c>
      <c r="I693" s="7">
        <f>IFERROR(__xludf.DUMMYFUNCTION("""COMPUTED_VALUE"""),40148.0)</f>
        <v>40148</v>
      </c>
      <c r="J693" s="8">
        <f>IFERROR(__xludf.DUMMYFUNCTION("""COMPUTED_VALUE"""),0.4986111111102218)</f>
        <v>0.4986111111</v>
      </c>
      <c r="K693" s="2">
        <f>IFERROR(__xludf.DUMMYFUNCTION("""COMPUTED_VALUE"""),11.0)</f>
        <v>11</v>
      </c>
      <c r="L693" s="2">
        <f>IFERROR(__xludf.DUMMYFUNCTION("""COMPUTED_VALUE"""),20.4)</f>
        <v>20.4</v>
      </c>
    </row>
    <row r="694">
      <c r="A694" s="2">
        <f>IFERROR(__xludf.DUMMYFUNCTION("""COMPUTED_VALUE"""),489532.0)</f>
        <v>489532</v>
      </c>
      <c r="B694" s="2" t="str">
        <f>IFERROR(__xludf.DUMMYFUNCTION("""COMPUTED_VALUE"""),"72008")</f>
        <v>72008</v>
      </c>
      <c r="C694" s="2" t="str">
        <f>IFERROR(__xludf.DUMMYFUNCTION("""COMPUTED_VALUE"""),"FROSTED BOX 9 WHITE T-LIGHT CANDLES")</f>
        <v>FROSTED BOX 9 WHITE T-LIGHT CANDLES</v>
      </c>
      <c r="D694" s="2">
        <f>IFERROR(__xludf.DUMMYFUNCTION("""COMPUTED_VALUE"""),12.0)</f>
        <v>12</v>
      </c>
      <c r="E694" s="6">
        <f>IFERROR(__xludf.DUMMYFUNCTION("""COMPUTED_VALUE"""),40148.49861111111)</f>
        <v>40148.49861</v>
      </c>
      <c r="F694" s="2">
        <f>IFERROR(__xludf.DUMMYFUNCTION("""COMPUTED_VALUE"""),0.42)</f>
        <v>0.42</v>
      </c>
      <c r="G694" s="2">
        <f>IFERROR(__xludf.DUMMYFUNCTION("""COMPUTED_VALUE"""),13394.0)</f>
        <v>13394</v>
      </c>
      <c r="H694" s="2" t="str">
        <f>IFERROR(__xludf.DUMMYFUNCTION("""COMPUTED_VALUE"""),"United Kingdom")</f>
        <v>United Kingdom</v>
      </c>
      <c r="I694" s="7">
        <f>IFERROR(__xludf.DUMMYFUNCTION("""COMPUTED_VALUE"""),40148.0)</f>
        <v>40148</v>
      </c>
      <c r="J694" s="8">
        <f>IFERROR(__xludf.DUMMYFUNCTION("""COMPUTED_VALUE"""),0.4986111111102218)</f>
        <v>0.4986111111</v>
      </c>
      <c r="K694" s="2">
        <f>IFERROR(__xludf.DUMMYFUNCTION("""COMPUTED_VALUE"""),11.0)</f>
        <v>11</v>
      </c>
      <c r="L694" s="2">
        <f>IFERROR(__xludf.DUMMYFUNCTION("""COMPUTED_VALUE"""),5.04)</f>
        <v>5.04</v>
      </c>
    </row>
    <row r="695">
      <c r="A695" s="2">
        <f>IFERROR(__xludf.DUMMYFUNCTION("""COMPUTED_VALUE"""),489532.0)</f>
        <v>489532</v>
      </c>
      <c r="B695" s="2" t="str">
        <f>IFERROR(__xludf.DUMMYFUNCTION("""COMPUTED_VALUE"""),"22071")</f>
        <v>22071</v>
      </c>
      <c r="C695" s="2" t="str">
        <f>IFERROR(__xludf.DUMMYFUNCTION("""COMPUTED_VALUE"""),"SMALL RETRO SPOT MUG IN BOX WHITE")</f>
        <v>SMALL RETRO SPOT MUG IN BOX WHITE</v>
      </c>
      <c r="D695" s="2">
        <f>IFERROR(__xludf.DUMMYFUNCTION("""COMPUTED_VALUE"""),6.0)</f>
        <v>6</v>
      </c>
      <c r="E695" s="6">
        <f>IFERROR(__xludf.DUMMYFUNCTION("""COMPUTED_VALUE"""),40148.49861111111)</f>
        <v>40148.49861</v>
      </c>
      <c r="F695" s="2">
        <f>IFERROR(__xludf.DUMMYFUNCTION("""COMPUTED_VALUE"""),3.75)</f>
        <v>3.75</v>
      </c>
      <c r="G695" s="2">
        <f>IFERROR(__xludf.DUMMYFUNCTION("""COMPUTED_VALUE"""),13394.0)</f>
        <v>13394</v>
      </c>
      <c r="H695" s="2" t="str">
        <f>IFERROR(__xludf.DUMMYFUNCTION("""COMPUTED_VALUE"""),"United Kingdom")</f>
        <v>United Kingdom</v>
      </c>
      <c r="I695" s="7">
        <f>IFERROR(__xludf.DUMMYFUNCTION("""COMPUTED_VALUE"""),40148.0)</f>
        <v>40148</v>
      </c>
      <c r="J695" s="8">
        <f>IFERROR(__xludf.DUMMYFUNCTION("""COMPUTED_VALUE"""),0.4986111111102218)</f>
        <v>0.4986111111</v>
      </c>
      <c r="K695" s="2">
        <f>IFERROR(__xludf.DUMMYFUNCTION("""COMPUTED_VALUE"""),11.0)</f>
        <v>11</v>
      </c>
      <c r="L695" s="2">
        <f>IFERROR(__xludf.DUMMYFUNCTION("""COMPUTED_VALUE"""),22.5)</f>
        <v>22.5</v>
      </c>
    </row>
    <row r="696">
      <c r="A696" s="2">
        <f>IFERROR(__xludf.DUMMYFUNCTION("""COMPUTED_VALUE"""),489532.0)</f>
        <v>489532</v>
      </c>
      <c r="B696" s="2" t="str">
        <f>IFERROR(__xludf.DUMMYFUNCTION("""COMPUTED_VALUE"""),"22070")</f>
        <v>22070</v>
      </c>
      <c r="C696" s="2" t="str">
        <f>IFERROR(__xludf.DUMMYFUNCTION("""COMPUTED_VALUE"""),"SMALL RETRO SPOT MUG IN BOX RED")</f>
        <v>SMALL RETRO SPOT MUG IN BOX RED</v>
      </c>
      <c r="D696" s="2">
        <f>IFERROR(__xludf.DUMMYFUNCTION("""COMPUTED_VALUE"""),6.0)</f>
        <v>6</v>
      </c>
      <c r="E696" s="6">
        <f>IFERROR(__xludf.DUMMYFUNCTION("""COMPUTED_VALUE"""),40148.49861111111)</f>
        <v>40148.49861</v>
      </c>
      <c r="F696" s="2">
        <f>IFERROR(__xludf.DUMMYFUNCTION("""COMPUTED_VALUE"""),3.75)</f>
        <v>3.75</v>
      </c>
      <c r="G696" s="2">
        <f>IFERROR(__xludf.DUMMYFUNCTION("""COMPUTED_VALUE"""),13394.0)</f>
        <v>13394</v>
      </c>
      <c r="H696" s="2" t="str">
        <f>IFERROR(__xludf.DUMMYFUNCTION("""COMPUTED_VALUE"""),"United Kingdom")</f>
        <v>United Kingdom</v>
      </c>
      <c r="I696" s="7">
        <f>IFERROR(__xludf.DUMMYFUNCTION("""COMPUTED_VALUE"""),40148.0)</f>
        <v>40148</v>
      </c>
      <c r="J696" s="8">
        <f>IFERROR(__xludf.DUMMYFUNCTION("""COMPUTED_VALUE"""),0.4986111111102218)</f>
        <v>0.4986111111</v>
      </c>
      <c r="K696" s="2">
        <f>IFERROR(__xludf.DUMMYFUNCTION("""COMPUTED_VALUE"""),11.0)</f>
        <v>11</v>
      </c>
      <c r="L696" s="2">
        <f>IFERROR(__xludf.DUMMYFUNCTION("""COMPUTED_VALUE"""),22.5)</f>
        <v>22.5</v>
      </c>
    </row>
    <row r="697">
      <c r="A697" s="2">
        <f>IFERROR(__xludf.DUMMYFUNCTION("""COMPUTED_VALUE"""),489532.0)</f>
        <v>489532</v>
      </c>
      <c r="B697" s="2" t="str">
        <f>IFERROR(__xludf.DUMMYFUNCTION("""COMPUTED_VALUE"""),"22077")</f>
        <v>22077</v>
      </c>
      <c r="C697" s="2" t="str">
        <f>IFERROR(__xludf.DUMMYFUNCTION("""COMPUTED_VALUE"""),"6 RIBBONS RUSTIC CHARM")</f>
        <v>6 RIBBONS RUSTIC CHARM</v>
      </c>
      <c r="D697" s="2">
        <f>IFERROR(__xludf.DUMMYFUNCTION("""COMPUTED_VALUE"""),9.0)</f>
        <v>9</v>
      </c>
      <c r="E697" s="6">
        <f>IFERROR(__xludf.DUMMYFUNCTION("""COMPUTED_VALUE"""),40148.49861111111)</f>
        <v>40148.49861</v>
      </c>
      <c r="F697" s="2">
        <f>IFERROR(__xludf.DUMMYFUNCTION("""COMPUTED_VALUE"""),1.65)</f>
        <v>1.65</v>
      </c>
      <c r="G697" s="2">
        <f>IFERROR(__xludf.DUMMYFUNCTION("""COMPUTED_VALUE"""),13394.0)</f>
        <v>13394</v>
      </c>
      <c r="H697" s="2" t="str">
        <f>IFERROR(__xludf.DUMMYFUNCTION("""COMPUTED_VALUE"""),"United Kingdom")</f>
        <v>United Kingdom</v>
      </c>
      <c r="I697" s="7">
        <f>IFERROR(__xludf.DUMMYFUNCTION("""COMPUTED_VALUE"""),40148.0)</f>
        <v>40148</v>
      </c>
      <c r="J697" s="8">
        <f>IFERROR(__xludf.DUMMYFUNCTION("""COMPUTED_VALUE"""),0.4986111111102218)</f>
        <v>0.4986111111</v>
      </c>
      <c r="K697" s="2">
        <f>IFERROR(__xludf.DUMMYFUNCTION("""COMPUTED_VALUE"""),11.0)</f>
        <v>11</v>
      </c>
      <c r="L697" s="2">
        <f>IFERROR(__xludf.DUMMYFUNCTION("""COMPUTED_VALUE"""),14.85)</f>
        <v>14.85</v>
      </c>
    </row>
    <row r="698">
      <c r="A698" s="2">
        <f>IFERROR(__xludf.DUMMYFUNCTION("""COMPUTED_VALUE"""),489532.0)</f>
        <v>489532</v>
      </c>
      <c r="B698" s="2" t="str">
        <f>IFERROR(__xludf.DUMMYFUNCTION("""COMPUTED_VALUE"""),"20892")</f>
        <v>20892</v>
      </c>
      <c r="C698" s="2" t="str">
        <f>IFERROR(__xludf.DUMMYFUNCTION("""COMPUTED_VALUE"""),"SET/3 TALL GLASS CANDLE HOLDER PINK")</f>
        <v>SET/3 TALL GLASS CANDLE HOLDER PINK</v>
      </c>
      <c r="D698" s="2">
        <f>IFERROR(__xludf.DUMMYFUNCTION("""COMPUTED_VALUE"""),2.0)</f>
        <v>2</v>
      </c>
      <c r="E698" s="6">
        <f>IFERROR(__xludf.DUMMYFUNCTION("""COMPUTED_VALUE"""),40148.49861111111)</f>
        <v>40148.49861</v>
      </c>
      <c r="F698" s="2">
        <f>IFERROR(__xludf.DUMMYFUNCTION("""COMPUTED_VALUE"""),12.75)</f>
        <v>12.75</v>
      </c>
      <c r="G698" s="2">
        <f>IFERROR(__xludf.DUMMYFUNCTION("""COMPUTED_VALUE"""),13394.0)</f>
        <v>13394</v>
      </c>
      <c r="H698" s="2" t="str">
        <f>IFERROR(__xludf.DUMMYFUNCTION("""COMPUTED_VALUE"""),"United Kingdom")</f>
        <v>United Kingdom</v>
      </c>
      <c r="I698" s="7">
        <f>IFERROR(__xludf.DUMMYFUNCTION("""COMPUTED_VALUE"""),40148.0)</f>
        <v>40148</v>
      </c>
      <c r="J698" s="8">
        <f>IFERROR(__xludf.DUMMYFUNCTION("""COMPUTED_VALUE"""),0.4986111111102218)</f>
        <v>0.4986111111</v>
      </c>
      <c r="K698" s="2">
        <f>IFERROR(__xludf.DUMMYFUNCTION("""COMPUTED_VALUE"""),11.0)</f>
        <v>11</v>
      </c>
      <c r="L698" s="2">
        <f>IFERROR(__xludf.DUMMYFUNCTION("""COMPUTED_VALUE"""),25.5)</f>
        <v>25.5</v>
      </c>
    </row>
    <row r="699">
      <c r="A699" s="2">
        <f>IFERROR(__xludf.DUMMYFUNCTION("""COMPUTED_VALUE"""),489532.0)</f>
        <v>489532</v>
      </c>
      <c r="B699" s="2" t="str">
        <f>IFERROR(__xludf.DUMMYFUNCTION("""COMPUTED_VALUE"""),"84270")</f>
        <v>84270</v>
      </c>
      <c r="C699" s="2" t="str">
        <f>IFERROR(__xludf.DUMMYFUNCTION("""COMPUTED_VALUE"""),"ASSTD DESIGN BUBBLE GUM RING")</f>
        <v>ASSTD DESIGN BUBBLE GUM RING</v>
      </c>
      <c r="D699" s="2">
        <f>IFERROR(__xludf.DUMMYFUNCTION("""COMPUTED_VALUE"""),30.0)</f>
        <v>30</v>
      </c>
      <c r="E699" s="6">
        <f>IFERROR(__xludf.DUMMYFUNCTION("""COMPUTED_VALUE"""),40148.49861111111)</f>
        <v>40148.49861</v>
      </c>
      <c r="F699" s="2">
        <f>IFERROR(__xludf.DUMMYFUNCTION("""COMPUTED_VALUE"""),0.21)</f>
        <v>0.21</v>
      </c>
      <c r="G699" s="2">
        <f>IFERROR(__xludf.DUMMYFUNCTION("""COMPUTED_VALUE"""),13394.0)</f>
        <v>13394</v>
      </c>
      <c r="H699" s="2" t="str">
        <f>IFERROR(__xludf.DUMMYFUNCTION("""COMPUTED_VALUE"""),"United Kingdom")</f>
        <v>United Kingdom</v>
      </c>
      <c r="I699" s="7">
        <f>IFERROR(__xludf.DUMMYFUNCTION("""COMPUTED_VALUE"""),40148.0)</f>
        <v>40148</v>
      </c>
      <c r="J699" s="8">
        <f>IFERROR(__xludf.DUMMYFUNCTION("""COMPUTED_VALUE"""),0.4986111111102218)</f>
        <v>0.4986111111</v>
      </c>
      <c r="K699" s="2">
        <f>IFERROR(__xludf.DUMMYFUNCTION("""COMPUTED_VALUE"""),11.0)</f>
        <v>11</v>
      </c>
      <c r="L699" s="2">
        <f>IFERROR(__xludf.DUMMYFUNCTION("""COMPUTED_VALUE"""),6.3)</f>
        <v>6.3</v>
      </c>
    </row>
    <row r="700">
      <c r="A700" s="2">
        <f>IFERROR(__xludf.DUMMYFUNCTION("""COMPUTED_VALUE"""),489532.0)</f>
        <v>489532</v>
      </c>
      <c r="B700" s="2" t="str">
        <f>IFERROR(__xludf.DUMMYFUNCTION("""COMPUTED_VALUE"""),"85049C")</f>
        <v>85049C</v>
      </c>
      <c r="C700" s="2" t="str">
        <f>IFERROR(__xludf.DUMMYFUNCTION("""COMPUTED_VALUE"""),"ROMANTIC PINKS RIBBONS")</f>
        <v>ROMANTIC PINKS RIBBONS</v>
      </c>
      <c r="D700" s="2">
        <f>IFERROR(__xludf.DUMMYFUNCTION("""COMPUTED_VALUE"""),12.0)</f>
        <v>12</v>
      </c>
      <c r="E700" s="6">
        <f>IFERROR(__xludf.DUMMYFUNCTION("""COMPUTED_VALUE"""),40148.49861111111)</f>
        <v>40148.49861</v>
      </c>
      <c r="F700" s="2">
        <f>IFERROR(__xludf.DUMMYFUNCTION("""COMPUTED_VALUE"""),1.25)</f>
        <v>1.25</v>
      </c>
      <c r="G700" s="2">
        <f>IFERROR(__xludf.DUMMYFUNCTION("""COMPUTED_VALUE"""),13394.0)</f>
        <v>13394</v>
      </c>
      <c r="H700" s="2" t="str">
        <f>IFERROR(__xludf.DUMMYFUNCTION("""COMPUTED_VALUE"""),"United Kingdom")</f>
        <v>United Kingdom</v>
      </c>
      <c r="I700" s="7">
        <f>IFERROR(__xludf.DUMMYFUNCTION("""COMPUTED_VALUE"""),40148.0)</f>
        <v>40148</v>
      </c>
      <c r="J700" s="8">
        <f>IFERROR(__xludf.DUMMYFUNCTION("""COMPUTED_VALUE"""),0.4986111111102218)</f>
        <v>0.4986111111</v>
      </c>
      <c r="K700" s="2">
        <f>IFERROR(__xludf.DUMMYFUNCTION("""COMPUTED_VALUE"""),11.0)</f>
        <v>11</v>
      </c>
      <c r="L700" s="2">
        <f>IFERROR(__xludf.DUMMYFUNCTION("""COMPUTED_VALUE"""),15.0)</f>
        <v>15</v>
      </c>
    </row>
    <row r="701">
      <c r="A701" s="2">
        <f>IFERROR(__xludf.DUMMYFUNCTION("""COMPUTED_VALUE"""),489533.0)</f>
        <v>489533</v>
      </c>
      <c r="B701" s="2" t="str">
        <f>IFERROR(__xludf.DUMMYFUNCTION("""COMPUTED_VALUE"""),"84352")</f>
        <v>84352</v>
      </c>
      <c r="C701" s="2" t="str">
        <f>IFERROR(__xludf.DUMMYFUNCTION("""COMPUTED_VALUE"""),"SILVER CHRISTMAS TREE BAUBLE STAND")</f>
        <v>SILVER CHRISTMAS TREE BAUBLE STAND</v>
      </c>
      <c r="D701" s="2">
        <f>IFERROR(__xludf.DUMMYFUNCTION("""COMPUTED_VALUE"""),1.0)</f>
        <v>1</v>
      </c>
      <c r="E701" s="6">
        <f>IFERROR(__xludf.DUMMYFUNCTION("""COMPUTED_VALUE"""),40148.50138888889)</f>
        <v>40148.50139</v>
      </c>
      <c r="F701" s="2">
        <f>IFERROR(__xludf.DUMMYFUNCTION("""COMPUTED_VALUE"""),16.95)</f>
        <v>16.95</v>
      </c>
      <c r="G701" s="2">
        <f>IFERROR(__xludf.DUMMYFUNCTION("""COMPUTED_VALUE"""),16011.0)</f>
        <v>16011</v>
      </c>
      <c r="H701" s="2" t="str">
        <f>IFERROR(__xludf.DUMMYFUNCTION("""COMPUTED_VALUE"""),"United Kingdom")</f>
        <v>United Kingdom</v>
      </c>
      <c r="I701" s="7">
        <f>IFERROR(__xludf.DUMMYFUNCTION("""COMPUTED_VALUE"""),40148.0)</f>
        <v>40148</v>
      </c>
      <c r="J701" s="8">
        <f>IFERROR(__xludf.DUMMYFUNCTION("""COMPUTED_VALUE"""),0.5013888888897782)</f>
        <v>0.5013888889</v>
      </c>
      <c r="K701" s="2">
        <f>IFERROR(__xludf.DUMMYFUNCTION("""COMPUTED_VALUE"""),12.0)</f>
        <v>12</v>
      </c>
      <c r="L701" s="2">
        <f>IFERROR(__xludf.DUMMYFUNCTION("""COMPUTED_VALUE"""),16.95)</f>
        <v>16.95</v>
      </c>
    </row>
    <row r="702">
      <c r="A702" s="2">
        <f>IFERROR(__xludf.DUMMYFUNCTION("""COMPUTED_VALUE"""),489533.0)</f>
        <v>489533</v>
      </c>
      <c r="B702" s="2" t="str">
        <f>IFERROR(__xludf.DUMMYFUNCTION("""COMPUTED_VALUE"""),"79067")</f>
        <v>79067</v>
      </c>
      <c r="C702" s="2" t="str">
        <f>IFERROR(__xludf.DUMMYFUNCTION("""COMPUTED_VALUE"""),"CORONA MEXICAN TRAY")</f>
        <v>CORONA MEXICAN TRAY</v>
      </c>
      <c r="D702" s="2">
        <f>IFERROR(__xludf.DUMMYFUNCTION("""COMPUTED_VALUE"""),1.0)</f>
        <v>1</v>
      </c>
      <c r="E702" s="6">
        <f>IFERROR(__xludf.DUMMYFUNCTION("""COMPUTED_VALUE"""),40148.50138888889)</f>
        <v>40148.50139</v>
      </c>
      <c r="F702" s="2">
        <f>IFERROR(__xludf.DUMMYFUNCTION("""COMPUTED_VALUE"""),3.75)</f>
        <v>3.75</v>
      </c>
      <c r="G702" s="2">
        <f>IFERROR(__xludf.DUMMYFUNCTION("""COMPUTED_VALUE"""),16011.0)</f>
        <v>16011</v>
      </c>
      <c r="H702" s="2" t="str">
        <f>IFERROR(__xludf.DUMMYFUNCTION("""COMPUTED_VALUE"""),"United Kingdom")</f>
        <v>United Kingdom</v>
      </c>
      <c r="I702" s="7">
        <f>IFERROR(__xludf.DUMMYFUNCTION("""COMPUTED_VALUE"""),40148.0)</f>
        <v>40148</v>
      </c>
      <c r="J702" s="8">
        <f>IFERROR(__xludf.DUMMYFUNCTION("""COMPUTED_VALUE"""),0.5013888888897782)</f>
        <v>0.5013888889</v>
      </c>
      <c r="K702" s="2">
        <f>IFERROR(__xludf.DUMMYFUNCTION("""COMPUTED_VALUE"""),12.0)</f>
        <v>12</v>
      </c>
      <c r="L702" s="2">
        <f>IFERROR(__xludf.DUMMYFUNCTION("""COMPUTED_VALUE"""),3.75)</f>
        <v>3.75</v>
      </c>
    </row>
    <row r="703">
      <c r="A703" s="2">
        <f>IFERROR(__xludf.DUMMYFUNCTION("""COMPUTED_VALUE"""),489533.0)</f>
        <v>489533</v>
      </c>
      <c r="B703" s="2" t="str">
        <f>IFERROR(__xludf.DUMMYFUNCTION("""COMPUTED_VALUE"""),"22203")</f>
        <v>22203</v>
      </c>
      <c r="C703" s="2" t="str">
        <f>IFERROR(__xludf.DUMMYFUNCTION("""COMPUTED_VALUE"""),"MILK PAN RED RETROSPOT")</f>
        <v>MILK PAN RED RETROSPOT</v>
      </c>
      <c r="D703" s="2">
        <f>IFERROR(__xludf.DUMMYFUNCTION("""COMPUTED_VALUE"""),1.0)</f>
        <v>1</v>
      </c>
      <c r="E703" s="6">
        <f>IFERROR(__xludf.DUMMYFUNCTION("""COMPUTED_VALUE"""),40148.50138888889)</f>
        <v>40148.50139</v>
      </c>
      <c r="F703" s="2">
        <f>IFERROR(__xludf.DUMMYFUNCTION("""COMPUTED_VALUE"""),3.75)</f>
        <v>3.75</v>
      </c>
      <c r="G703" s="2">
        <f>IFERROR(__xludf.DUMMYFUNCTION("""COMPUTED_VALUE"""),16011.0)</f>
        <v>16011</v>
      </c>
      <c r="H703" s="2" t="str">
        <f>IFERROR(__xludf.DUMMYFUNCTION("""COMPUTED_VALUE"""),"United Kingdom")</f>
        <v>United Kingdom</v>
      </c>
      <c r="I703" s="7">
        <f>IFERROR(__xludf.DUMMYFUNCTION("""COMPUTED_VALUE"""),40148.0)</f>
        <v>40148</v>
      </c>
      <c r="J703" s="8">
        <f>IFERROR(__xludf.DUMMYFUNCTION("""COMPUTED_VALUE"""),0.5013888888897782)</f>
        <v>0.5013888889</v>
      </c>
      <c r="K703" s="2">
        <f>IFERROR(__xludf.DUMMYFUNCTION("""COMPUTED_VALUE"""),12.0)</f>
        <v>12</v>
      </c>
      <c r="L703" s="2">
        <f>IFERROR(__xludf.DUMMYFUNCTION("""COMPUTED_VALUE"""),3.75)</f>
        <v>3.75</v>
      </c>
    </row>
    <row r="704">
      <c r="A704" s="2">
        <f>IFERROR(__xludf.DUMMYFUNCTION("""COMPUTED_VALUE"""),489533.0)</f>
        <v>489533</v>
      </c>
      <c r="B704" s="2" t="str">
        <f>IFERROR(__xludf.DUMMYFUNCTION("""COMPUTED_VALUE"""),"21353")</f>
        <v>21353</v>
      </c>
      <c r="C704" s="2" t="str">
        <f>IFERROR(__xludf.DUMMYFUNCTION("""COMPUTED_VALUE"""),"SILVER SLEIGHBELL WREATH")</f>
        <v>SILVER SLEIGHBELL WREATH</v>
      </c>
      <c r="D704" s="2">
        <f>IFERROR(__xludf.DUMMYFUNCTION("""COMPUTED_VALUE"""),4.0)</f>
        <v>4</v>
      </c>
      <c r="E704" s="6">
        <f>IFERROR(__xludf.DUMMYFUNCTION("""COMPUTED_VALUE"""),40148.50138888889)</f>
        <v>40148.50139</v>
      </c>
      <c r="F704" s="2">
        <f>IFERROR(__xludf.DUMMYFUNCTION("""COMPUTED_VALUE"""),7.95)</f>
        <v>7.95</v>
      </c>
      <c r="G704" s="2">
        <f>IFERROR(__xludf.DUMMYFUNCTION("""COMPUTED_VALUE"""),16011.0)</f>
        <v>16011</v>
      </c>
      <c r="H704" s="2" t="str">
        <f>IFERROR(__xludf.DUMMYFUNCTION("""COMPUTED_VALUE"""),"United Kingdom")</f>
        <v>United Kingdom</v>
      </c>
      <c r="I704" s="7">
        <f>IFERROR(__xludf.DUMMYFUNCTION("""COMPUTED_VALUE"""),40148.0)</f>
        <v>40148</v>
      </c>
      <c r="J704" s="8">
        <f>IFERROR(__xludf.DUMMYFUNCTION("""COMPUTED_VALUE"""),0.5013888888897782)</f>
        <v>0.5013888889</v>
      </c>
      <c r="K704" s="2">
        <f>IFERROR(__xludf.DUMMYFUNCTION("""COMPUTED_VALUE"""),12.0)</f>
        <v>12</v>
      </c>
      <c r="L704" s="2">
        <f>IFERROR(__xludf.DUMMYFUNCTION("""COMPUTED_VALUE"""),31.8)</f>
        <v>31.8</v>
      </c>
    </row>
    <row r="705">
      <c r="A705" s="2">
        <f>IFERROR(__xludf.DUMMYFUNCTION("""COMPUTED_VALUE"""),489533.0)</f>
        <v>489533</v>
      </c>
      <c r="B705" s="2" t="str">
        <f>IFERROR(__xludf.DUMMYFUNCTION("""COMPUTED_VALUE"""),"84946")</f>
        <v>84946</v>
      </c>
      <c r="C705" s="2" t="str">
        <f>IFERROR(__xludf.DUMMYFUNCTION("""COMPUTED_VALUE"""),"ANTIQUE SILVER TEA GLASS ETCHED")</f>
        <v>ANTIQUE SILVER TEA GLASS ETCHED</v>
      </c>
      <c r="D705" s="2">
        <f>IFERROR(__xludf.DUMMYFUNCTION("""COMPUTED_VALUE"""),6.0)</f>
        <v>6</v>
      </c>
      <c r="E705" s="6">
        <f>IFERROR(__xludf.DUMMYFUNCTION("""COMPUTED_VALUE"""),40148.50138888889)</f>
        <v>40148.50139</v>
      </c>
      <c r="F705" s="2">
        <f>IFERROR(__xludf.DUMMYFUNCTION("""COMPUTED_VALUE"""),1.25)</f>
        <v>1.25</v>
      </c>
      <c r="G705" s="2">
        <f>IFERROR(__xludf.DUMMYFUNCTION("""COMPUTED_VALUE"""),16011.0)</f>
        <v>16011</v>
      </c>
      <c r="H705" s="2" t="str">
        <f>IFERROR(__xludf.DUMMYFUNCTION("""COMPUTED_VALUE"""),"United Kingdom")</f>
        <v>United Kingdom</v>
      </c>
      <c r="I705" s="7">
        <f>IFERROR(__xludf.DUMMYFUNCTION("""COMPUTED_VALUE"""),40148.0)</f>
        <v>40148</v>
      </c>
      <c r="J705" s="8">
        <f>IFERROR(__xludf.DUMMYFUNCTION("""COMPUTED_VALUE"""),0.5013888888897782)</f>
        <v>0.5013888889</v>
      </c>
      <c r="K705" s="2">
        <f>IFERROR(__xludf.DUMMYFUNCTION("""COMPUTED_VALUE"""),12.0)</f>
        <v>12</v>
      </c>
      <c r="L705" s="2">
        <f>IFERROR(__xludf.DUMMYFUNCTION("""COMPUTED_VALUE"""),7.5)</f>
        <v>7.5</v>
      </c>
    </row>
    <row r="706">
      <c r="A706" s="2">
        <f>IFERROR(__xludf.DUMMYFUNCTION("""COMPUTED_VALUE"""),489533.0)</f>
        <v>489533</v>
      </c>
      <c r="B706" s="2" t="str">
        <f>IFERROR(__xludf.DUMMYFUNCTION("""COMPUTED_VALUE"""),"22300")</f>
        <v>22300</v>
      </c>
      <c r="C706" s="2" t="str">
        <f>IFERROR(__xludf.DUMMYFUNCTION("""COMPUTED_VALUE"""),"COFFEE MUG DOG + BALL DESIGN")</f>
        <v>COFFEE MUG DOG + BALL DESIGN</v>
      </c>
      <c r="D706" s="2">
        <f>IFERROR(__xludf.DUMMYFUNCTION("""COMPUTED_VALUE"""),6.0)</f>
        <v>6</v>
      </c>
      <c r="E706" s="6">
        <f>IFERROR(__xludf.DUMMYFUNCTION("""COMPUTED_VALUE"""),40148.50138888889)</f>
        <v>40148.50139</v>
      </c>
      <c r="F706" s="2">
        <f>IFERROR(__xludf.DUMMYFUNCTION("""COMPUTED_VALUE"""),2.55)</f>
        <v>2.55</v>
      </c>
      <c r="G706" s="2">
        <f>IFERROR(__xludf.DUMMYFUNCTION("""COMPUTED_VALUE"""),16011.0)</f>
        <v>16011</v>
      </c>
      <c r="H706" s="2" t="str">
        <f>IFERROR(__xludf.DUMMYFUNCTION("""COMPUTED_VALUE"""),"United Kingdom")</f>
        <v>United Kingdom</v>
      </c>
      <c r="I706" s="7">
        <f>IFERROR(__xludf.DUMMYFUNCTION("""COMPUTED_VALUE"""),40148.0)</f>
        <v>40148</v>
      </c>
      <c r="J706" s="8">
        <f>IFERROR(__xludf.DUMMYFUNCTION("""COMPUTED_VALUE"""),0.5013888888897782)</f>
        <v>0.5013888889</v>
      </c>
      <c r="K706" s="2">
        <f>IFERROR(__xludf.DUMMYFUNCTION("""COMPUTED_VALUE"""),12.0)</f>
        <v>12</v>
      </c>
      <c r="L706" s="2">
        <f>IFERROR(__xludf.DUMMYFUNCTION("""COMPUTED_VALUE"""),15.2999999999999)</f>
        <v>15.3</v>
      </c>
    </row>
    <row r="707">
      <c r="A707" s="2">
        <f>IFERROR(__xludf.DUMMYFUNCTION("""COMPUTED_VALUE"""),489533.0)</f>
        <v>489533</v>
      </c>
      <c r="B707" s="2" t="str">
        <f>IFERROR(__xludf.DUMMYFUNCTION("""COMPUTED_VALUE"""),"21535")</f>
        <v>21535</v>
      </c>
      <c r="C707" s="2" t="str">
        <f>IFERROR(__xludf.DUMMYFUNCTION("""COMPUTED_VALUE"""),"RETRO SPOT SMALL MILK JUG")</f>
        <v>RETRO SPOT SMALL MILK JUG</v>
      </c>
      <c r="D707" s="2">
        <f>IFERROR(__xludf.DUMMYFUNCTION("""COMPUTED_VALUE"""),1.0)</f>
        <v>1</v>
      </c>
      <c r="E707" s="6">
        <f>IFERROR(__xludf.DUMMYFUNCTION("""COMPUTED_VALUE"""),40148.50138888889)</f>
        <v>40148.50139</v>
      </c>
      <c r="F707" s="2">
        <f>IFERROR(__xludf.DUMMYFUNCTION("""COMPUTED_VALUE"""),2.55)</f>
        <v>2.55</v>
      </c>
      <c r="G707" s="2">
        <f>IFERROR(__xludf.DUMMYFUNCTION("""COMPUTED_VALUE"""),16011.0)</f>
        <v>16011</v>
      </c>
      <c r="H707" s="2" t="str">
        <f>IFERROR(__xludf.DUMMYFUNCTION("""COMPUTED_VALUE"""),"United Kingdom")</f>
        <v>United Kingdom</v>
      </c>
      <c r="I707" s="7">
        <f>IFERROR(__xludf.DUMMYFUNCTION("""COMPUTED_VALUE"""),40148.0)</f>
        <v>40148</v>
      </c>
      <c r="J707" s="8">
        <f>IFERROR(__xludf.DUMMYFUNCTION("""COMPUTED_VALUE"""),0.5013888888897782)</f>
        <v>0.5013888889</v>
      </c>
      <c r="K707" s="2">
        <f>IFERROR(__xludf.DUMMYFUNCTION("""COMPUTED_VALUE"""),12.0)</f>
        <v>12</v>
      </c>
      <c r="L707" s="2">
        <f>IFERROR(__xludf.DUMMYFUNCTION("""COMPUTED_VALUE"""),2.55)</f>
        <v>2.55</v>
      </c>
    </row>
    <row r="708">
      <c r="A708" s="2">
        <f>IFERROR(__xludf.DUMMYFUNCTION("""COMPUTED_VALUE"""),489533.0)</f>
        <v>489533</v>
      </c>
      <c r="B708" s="2" t="str">
        <f>IFERROR(__xludf.DUMMYFUNCTION("""COMPUTED_VALUE"""),"21540")</f>
        <v>21540</v>
      </c>
      <c r="C708" s="2" t="str">
        <f>IFERROR(__xludf.DUMMYFUNCTION("""COMPUTED_VALUE"""),"DAIRY MAID CERAMIC BUTTER DISH")</f>
        <v>DAIRY MAID CERAMIC BUTTER DISH</v>
      </c>
      <c r="D708" s="2">
        <f>IFERROR(__xludf.DUMMYFUNCTION("""COMPUTED_VALUE"""),2.0)</f>
        <v>2</v>
      </c>
      <c r="E708" s="6">
        <f>IFERROR(__xludf.DUMMYFUNCTION("""COMPUTED_VALUE"""),40148.50138888889)</f>
        <v>40148.50139</v>
      </c>
      <c r="F708" s="2">
        <f>IFERROR(__xludf.DUMMYFUNCTION("""COMPUTED_VALUE"""),4.25)</f>
        <v>4.25</v>
      </c>
      <c r="G708" s="2">
        <f>IFERROR(__xludf.DUMMYFUNCTION("""COMPUTED_VALUE"""),16011.0)</f>
        <v>16011</v>
      </c>
      <c r="H708" s="2" t="str">
        <f>IFERROR(__xludf.DUMMYFUNCTION("""COMPUTED_VALUE"""),"United Kingdom")</f>
        <v>United Kingdom</v>
      </c>
      <c r="I708" s="7">
        <f>IFERROR(__xludf.DUMMYFUNCTION("""COMPUTED_VALUE"""),40148.0)</f>
        <v>40148</v>
      </c>
      <c r="J708" s="8">
        <f>IFERROR(__xludf.DUMMYFUNCTION("""COMPUTED_VALUE"""),0.5013888888897782)</f>
        <v>0.5013888889</v>
      </c>
      <c r="K708" s="2">
        <f>IFERROR(__xludf.DUMMYFUNCTION("""COMPUTED_VALUE"""),12.0)</f>
        <v>12</v>
      </c>
      <c r="L708" s="2">
        <f>IFERROR(__xludf.DUMMYFUNCTION("""COMPUTED_VALUE"""),8.5)</f>
        <v>8.5</v>
      </c>
    </row>
    <row r="709">
      <c r="A709" s="2">
        <f>IFERROR(__xludf.DUMMYFUNCTION("""COMPUTED_VALUE"""),489533.0)</f>
        <v>489533</v>
      </c>
      <c r="B709" s="2" t="str">
        <f>IFERROR(__xludf.DUMMYFUNCTION("""COMPUTED_VALUE"""),"21538")</f>
        <v>21538</v>
      </c>
      <c r="C709" s="2" t="str">
        <f>IFERROR(__xludf.DUMMYFUNCTION("""COMPUTED_VALUE"""),"DAIRY MAID PUDDING BOWL")</f>
        <v>DAIRY MAID PUDDING BOWL</v>
      </c>
      <c r="D709" s="2">
        <f>IFERROR(__xludf.DUMMYFUNCTION("""COMPUTED_VALUE"""),1.0)</f>
        <v>1</v>
      </c>
      <c r="E709" s="6">
        <f>IFERROR(__xludf.DUMMYFUNCTION("""COMPUTED_VALUE"""),40148.50138888889)</f>
        <v>40148.50139</v>
      </c>
      <c r="F709" s="2">
        <f>IFERROR(__xludf.DUMMYFUNCTION("""COMPUTED_VALUE"""),3.75)</f>
        <v>3.75</v>
      </c>
      <c r="G709" s="2">
        <f>IFERROR(__xludf.DUMMYFUNCTION("""COMPUTED_VALUE"""),16011.0)</f>
        <v>16011</v>
      </c>
      <c r="H709" s="2" t="str">
        <f>IFERROR(__xludf.DUMMYFUNCTION("""COMPUTED_VALUE"""),"United Kingdom")</f>
        <v>United Kingdom</v>
      </c>
      <c r="I709" s="7">
        <f>IFERROR(__xludf.DUMMYFUNCTION("""COMPUTED_VALUE"""),40148.0)</f>
        <v>40148</v>
      </c>
      <c r="J709" s="8">
        <f>IFERROR(__xludf.DUMMYFUNCTION("""COMPUTED_VALUE"""),0.5013888888897782)</f>
        <v>0.5013888889</v>
      </c>
      <c r="K709" s="2">
        <f>IFERROR(__xludf.DUMMYFUNCTION("""COMPUTED_VALUE"""),12.0)</f>
        <v>12</v>
      </c>
      <c r="L709" s="2">
        <f>IFERROR(__xludf.DUMMYFUNCTION("""COMPUTED_VALUE"""),3.75)</f>
        <v>3.75</v>
      </c>
    </row>
    <row r="710">
      <c r="A710" s="2">
        <f>IFERROR(__xludf.DUMMYFUNCTION("""COMPUTED_VALUE"""),489533.0)</f>
        <v>489533</v>
      </c>
      <c r="B710" s="2" t="str">
        <f>IFERROR(__xludf.DUMMYFUNCTION("""COMPUTED_VALUE"""),"22073")</f>
        <v>22073</v>
      </c>
      <c r="C710" s="2" t="str">
        <f>IFERROR(__xludf.DUMMYFUNCTION("""COMPUTED_VALUE"""),"RETRO SPOT STORAGE JAR")</f>
        <v>RETRO SPOT STORAGE JAR</v>
      </c>
      <c r="D710" s="2">
        <f>IFERROR(__xludf.DUMMYFUNCTION("""COMPUTED_VALUE"""),1.0)</f>
        <v>1</v>
      </c>
      <c r="E710" s="6">
        <f>IFERROR(__xludf.DUMMYFUNCTION("""COMPUTED_VALUE"""),40148.50138888889)</f>
        <v>40148.50139</v>
      </c>
      <c r="F710" s="2">
        <f>IFERROR(__xludf.DUMMYFUNCTION("""COMPUTED_VALUE"""),3.75)</f>
        <v>3.75</v>
      </c>
      <c r="G710" s="2">
        <f>IFERROR(__xludf.DUMMYFUNCTION("""COMPUTED_VALUE"""),16011.0)</f>
        <v>16011</v>
      </c>
      <c r="H710" s="2" t="str">
        <f>IFERROR(__xludf.DUMMYFUNCTION("""COMPUTED_VALUE"""),"United Kingdom")</f>
        <v>United Kingdom</v>
      </c>
      <c r="I710" s="7">
        <f>IFERROR(__xludf.DUMMYFUNCTION("""COMPUTED_VALUE"""),40148.0)</f>
        <v>40148</v>
      </c>
      <c r="J710" s="8">
        <f>IFERROR(__xludf.DUMMYFUNCTION("""COMPUTED_VALUE"""),0.5013888888897782)</f>
        <v>0.5013888889</v>
      </c>
      <c r="K710" s="2">
        <f>IFERROR(__xludf.DUMMYFUNCTION("""COMPUTED_VALUE"""),12.0)</f>
        <v>12</v>
      </c>
      <c r="L710" s="2">
        <f>IFERROR(__xludf.DUMMYFUNCTION("""COMPUTED_VALUE"""),3.75)</f>
        <v>3.75</v>
      </c>
    </row>
    <row r="711">
      <c r="A711" s="2">
        <f>IFERROR(__xludf.DUMMYFUNCTION("""COMPUTED_VALUE"""),489533.0)</f>
        <v>489533</v>
      </c>
      <c r="B711" s="2" t="str">
        <f>IFERROR(__xludf.DUMMYFUNCTION("""COMPUTED_VALUE"""),"21534")</f>
        <v>21534</v>
      </c>
      <c r="C711" s="2" t="str">
        <f>IFERROR(__xludf.DUMMYFUNCTION("""COMPUTED_VALUE"""),"DAIRY MAID LARGE MILK JUG")</f>
        <v>DAIRY MAID LARGE MILK JUG</v>
      </c>
      <c r="D711" s="2">
        <f>IFERROR(__xludf.DUMMYFUNCTION("""COMPUTED_VALUE"""),1.0)</f>
        <v>1</v>
      </c>
      <c r="E711" s="6">
        <f>IFERROR(__xludf.DUMMYFUNCTION("""COMPUTED_VALUE"""),40148.50138888889)</f>
        <v>40148.50139</v>
      </c>
      <c r="F711" s="2">
        <f>IFERROR(__xludf.DUMMYFUNCTION("""COMPUTED_VALUE"""),4.95)</f>
        <v>4.95</v>
      </c>
      <c r="G711" s="2">
        <f>IFERROR(__xludf.DUMMYFUNCTION("""COMPUTED_VALUE"""),16011.0)</f>
        <v>16011</v>
      </c>
      <c r="H711" s="2" t="str">
        <f>IFERROR(__xludf.DUMMYFUNCTION("""COMPUTED_VALUE"""),"United Kingdom")</f>
        <v>United Kingdom</v>
      </c>
      <c r="I711" s="7">
        <f>IFERROR(__xludf.DUMMYFUNCTION("""COMPUTED_VALUE"""),40148.0)</f>
        <v>40148</v>
      </c>
      <c r="J711" s="8">
        <f>IFERROR(__xludf.DUMMYFUNCTION("""COMPUTED_VALUE"""),0.5013888888897782)</f>
        <v>0.5013888889</v>
      </c>
      <c r="K711" s="2">
        <f>IFERROR(__xludf.DUMMYFUNCTION("""COMPUTED_VALUE"""),12.0)</f>
        <v>12</v>
      </c>
      <c r="L711" s="2">
        <f>IFERROR(__xludf.DUMMYFUNCTION("""COMPUTED_VALUE"""),4.95)</f>
        <v>4.95</v>
      </c>
    </row>
    <row r="712">
      <c r="A712" s="2">
        <f>IFERROR(__xludf.DUMMYFUNCTION("""COMPUTED_VALUE"""),489533.0)</f>
        <v>489533</v>
      </c>
      <c r="B712" s="2" t="str">
        <f>IFERROR(__xludf.DUMMYFUNCTION("""COMPUTED_VALUE"""),"21533")</f>
        <v>21533</v>
      </c>
      <c r="C712" s="2" t="str">
        <f>IFERROR(__xludf.DUMMYFUNCTION("""COMPUTED_VALUE"""),"RETRO SPOT LARGE MILK JUG")</f>
        <v>RETRO SPOT LARGE MILK JUG</v>
      </c>
      <c r="D712" s="2">
        <f>IFERROR(__xludf.DUMMYFUNCTION("""COMPUTED_VALUE"""),1.0)</f>
        <v>1</v>
      </c>
      <c r="E712" s="6">
        <f>IFERROR(__xludf.DUMMYFUNCTION("""COMPUTED_VALUE"""),40148.50138888889)</f>
        <v>40148.50139</v>
      </c>
      <c r="F712" s="2">
        <f>IFERROR(__xludf.DUMMYFUNCTION("""COMPUTED_VALUE"""),4.95)</f>
        <v>4.95</v>
      </c>
      <c r="G712" s="2">
        <f>IFERROR(__xludf.DUMMYFUNCTION("""COMPUTED_VALUE"""),16011.0)</f>
        <v>16011</v>
      </c>
      <c r="H712" s="2" t="str">
        <f>IFERROR(__xludf.DUMMYFUNCTION("""COMPUTED_VALUE"""),"United Kingdom")</f>
        <v>United Kingdom</v>
      </c>
      <c r="I712" s="7">
        <f>IFERROR(__xludf.DUMMYFUNCTION("""COMPUTED_VALUE"""),40148.0)</f>
        <v>40148</v>
      </c>
      <c r="J712" s="8">
        <f>IFERROR(__xludf.DUMMYFUNCTION("""COMPUTED_VALUE"""),0.5013888888897782)</f>
        <v>0.5013888889</v>
      </c>
      <c r="K712" s="2">
        <f>IFERROR(__xludf.DUMMYFUNCTION("""COMPUTED_VALUE"""),12.0)</f>
        <v>12</v>
      </c>
      <c r="L712" s="2">
        <f>IFERROR(__xludf.DUMMYFUNCTION("""COMPUTED_VALUE"""),4.95)</f>
        <v>4.95</v>
      </c>
    </row>
    <row r="713">
      <c r="A713" s="2">
        <f>IFERROR(__xludf.DUMMYFUNCTION("""COMPUTED_VALUE"""),489533.0)</f>
        <v>489533</v>
      </c>
      <c r="B713" s="2" t="str">
        <f>IFERROR(__xludf.DUMMYFUNCTION("""COMPUTED_VALUE"""),"84836")</f>
        <v>84836</v>
      </c>
      <c r="C713" s="2" t="str">
        <f>IFERROR(__xludf.DUMMYFUNCTION("""COMPUTED_VALUE"""),"ZINC METAL HEART DECORATION")</f>
        <v>ZINC METAL HEART DECORATION</v>
      </c>
      <c r="D713" s="2">
        <f>IFERROR(__xludf.DUMMYFUNCTION("""COMPUTED_VALUE"""),12.0)</f>
        <v>12</v>
      </c>
      <c r="E713" s="6">
        <f>IFERROR(__xludf.DUMMYFUNCTION("""COMPUTED_VALUE"""),40148.50138888889)</f>
        <v>40148.50139</v>
      </c>
      <c r="F713" s="2">
        <f>IFERROR(__xludf.DUMMYFUNCTION("""COMPUTED_VALUE"""),1.25)</f>
        <v>1.25</v>
      </c>
      <c r="G713" s="2">
        <f>IFERROR(__xludf.DUMMYFUNCTION("""COMPUTED_VALUE"""),16011.0)</f>
        <v>16011</v>
      </c>
      <c r="H713" s="2" t="str">
        <f>IFERROR(__xludf.DUMMYFUNCTION("""COMPUTED_VALUE"""),"United Kingdom")</f>
        <v>United Kingdom</v>
      </c>
      <c r="I713" s="7">
        <f>IFERROR(__xludf.DUMMYFUNCTION("""COMPUTED_VALUE"""),40148.0)</f>
        <v>40148</v>
      </c>
      <c r="J713" s="8">
        <f>IFERROR(__xludf.DUMMYFUNCTION("""COMPUTED_VALUE"""),0.5013888888897782)</f>
        <v>0.5013888889</v>
      </c>
      <c r="K713" s="2">
        <f>IFERROR(__xludf.DUMMYFUNCTION("""COMPUTED_VALUE"""),12.0)</f>
        <v>12</v>
      </c>
      <c r="L713" s="2">
        <f>IFERROR(__xludf.DUMMYFUNCTION("""COMPUTED_VALUE"""),15.0)</f>
        <v>15</v>
      </c>
    </row>
    <row r="714">
      <c r="A714" s="2">
        <f>IFERROR(__xludf.DUMMYFUNCTION("""COMPUTED_VALUE"""),489533.0)</f>
        <v>489533</v>
      </c>
      <c r="B714" s="2" t="str">
        <f>IFERROR(__xludf.DUMMYFUNCTION("""COMPUTED_VALUE"""),"85053")</f>
        <v>85053</v>
      </c>
      <c r="C714" s="2" t="str">
        <f>IFERROR(__xludf.DUMMYFUNCTION("""COMPUTED_VALUE"""),"FRENCH ENAMEL CANDLEHOLDER")</f>
        <v>FRENCH ENAMEL CANDLEHOLDER</v>
      </c>
      <c r="D714" s="2">
        <f>IFERROR(__xludf.DUMMYFUNCTION("""COMPUTED_VALUE"""),2.0)</f>
        <v>2</v>
      </c>
      <c r="E714" s="6">
        <f>IFERROR(__xludf.DUMMYFUNCTION("""COMPUTED_VALUE"""),40148.50138888889)</f>
        <v>40148.50139</v>
      </c>
      <c r="F714" s="2">
        <f>IFERROR(__xludf.DUMMYFUNCTION("""COMPUTED_VALUE"""),2.1)</f>
        <v>2.1</v>
      </c>
      <c r="G714" s="2">
        <f>IFERROR(__xludf.DUMMYFUNCTION("""COMPUTED_VALUE"""),16011.0)</f>
        <v>16011</v>
      </c>
      <c r="H714" s="2" t="str">
        <f>IFERROR(__xludf.DUMMYFUNCTION("""COMPUTED_VALUE"""),"United Kingdom")</f>
        <v>United Kingdom</v>
      </c>
      <c r="I714" s="7">
        <f>IFERROR(__xludf.DUMMYFUNCTION("""COMPUTED_VALUE"""),40148.0)</f>
        <v>40148</v>
      </c>
      <c r="J714" s="8">
        <f>IFERROR(__xludf.DUMMYFUNCTION("""COMPUTED_VALUE"""),0.5013888888897782)</f>
        <v>0.5013888889</v>
      </c>
      <c r="K714" s="2">
        <f>IFERROR(__xludf.DUMMYFUNCTION("""COMPUTED_VALUE"""),12.0)</f>
        <v>12</v>
      </c>
      <c r="L714" s="2">
        <f>IFERROR(__xludf.DUMMYFUNCTION("""COMPUTED_VALUE"""),4.2)</f>
        <v>4.2</v>
      </c>
    </row>
    <row r="715">
      <c r="A715" s="2">
        <f>IFERROR(__xludf.DUMMYFUNCTION("""COMPUTED_VALUE"""),489533.0)</f>
        <v>489533</v>
      </c>
      <c r="B715" s="2" t="str">
        <f>IFERROR(__xludf.DUMMYFUNCTION("""COMPUTED_VALUE"""),"21756")</f>
        <v>21756</v>
      </c>
      <c r="C715" s="2" t="str">
        <f>IFERROR(__xludf.DUMMYFUNCTION("""COMPUTED_VALUE"""),"BATH BUILDING BLOCK WORD")</f>
        <v>BATH BUILDING BLOCK WORD</v>
      </c>
      <c r="D715" s="2">
        <f>IFERROR(__xludf.DUMMYFUNCTION("""COMPUTED_VALUE"""),1.0)</f>
        <v>1</v>
      </c>
      <c r="E715" s="6">
        <f>IFERROR(__xludf.DUMMYFUNCTION("""COMPUTED_VALUE"""),40148.50138888889)</f>
        <v>40148.50139</v>
      </c>
      <c r="F715" s="2">
        <f>IFERROR(__xludf.DUMMYFUNCTION("""COMPUTED_VALUE"""),5.95)</f>
        <v>5.95</v>
      </c>
      <c r="G715" s="2">
        <f>IFERROR(__xludf.DUMMYFUNCTION("""COMPUTED_VALUE"""),16011.0)</f>
        <v>16011</v>
      </c>
      <c r="H715" s="2" t="str">
        <f>IFERROR(__xludf.DUMMYFUNCTION("""COMPUTED_VALUE"""),"United Kingdom")</f>
        <v>United Kingdom</v>
      </c>
      <c r="I715" s="7">
        <f>IFERROR(__xludf.DUMMYFUNCTION("""COMPUTED_VALUE"""),40148.0)</f>
        <v>40148</v>
      </c>
      <c r="J715" s="8">
        <f>IFERROR(__xludf.DUMMYFUNCTION("""COMPUTED_VALUE"""),0.5013888888897782)</f>
        <v>0.5013888889</v>
      </c>
      <c r="K715" s="2">
        <f>IFERROR(__xludf.DUMMYFUNCTION("""COMPUTED_VALUE"""),12.0)</f>
        <v>12</v>
      </c>
      <c r="L715" s="2">
        <f>IFERROR(__xludf.DUMMYFUNCTION("""COMPUTED_VALUE"""),5.95)</f>
        <v>5.95</v>
      </c>
    </row>
    <row r="716">
      <c r="A716" s="2">
        <f>IFERROR(__xludf.DUMMYFUNCTION("""COMPUTED_VALUE"""),489533.0)</f>
        <v>489533</v>
      </c>
      <c r="B716" s="2" t="str">
        <f>IFERROR(__xludf.DUMMYFUNCTION("""COMPUTED_VALUE"""),"22118")</f>
        <v>22118</v>
      </c>
      <c r="C716" s="2" t="str">
        <f>IFERROR(__xludf.DUMMYFUNCTION("""COMPUTED_VALUE"""),"JOY WOODEN BLOCK LETTERS")</f>
        <v>JOY WOODEN BLOCK LETTERS</v>
      </c>
      <c r="D716" s="2">
        <f>IFERROR(__xludf.DUMMYFUNCTION("""COMPUTED_VALUE"""),1.0)</f>
        <v>1</v>
      </c>
      <c r="E716" s="6">
        <f>IFERROR(__xludf.DUMMYFUNCTION("""COMPUTED_VALUE"""),40148.50138888889)</f>
        <v>40148.50139</v>
      </c>
      <c r="F716" s="2">
        <f>IFERROR(__xludf.DUMMYFUNCTION("""COMPUTED_VALUE"""),4.95)</f>
        <v>4.95</v>
      </c>
      <c r="G716" s="2">
        <f>IFERROR(__xludf.DUMMYFUNCTION("""COMPUTED_VALUE"""),16011.0)</f>
        <v>16011</v>
      </c>
      <c r="H716" s="2" t="str">
        <f>IFERROR(__xludf.DUMMYFUNCTION("""COMPUTED_VALUE"""),"United Kingdom")</f>
        <v>United Kingdom</v>
      </c>
      <c r="I716" s="7">
        <f>IFERROR(__xludf.DUMMYFUNCTION("""COMPUTED_VALUE"""),40148.0)</f>
        <v>40148</v>
      </c>
      <c r="J716" s="8">
        <f>IFERROR(__xludf.DUMMYFUNCTION("""COMPUTED_VALUE"""),0.5013888888897782)</f>
        <v>0.5013888889</v>
      </c>
      <c r="K716" s="2">
        <f>IFERROR(__xludf.DUMMYFUNCTION("""COMPUTED_VALUE"""),12.0)</f>
        <v>12</v>
      </c>
      <c r="L716" s="2">
        <f>IFERROR(__xludf.DUMMYFUNCTION("""COMPUTED_VALUE"""),4.95)</f>
        <v>4.95</v>
      </c>
    </row>
    <row r="717">
      <c r="A717" s="2">
        <f>IFERROR(__xludf.DUMMYFUNCTION("""COMPUTED_VALUE"""),489533.0)</f>
        <v>489533</v>
      </c>
      <c r="B717" s="2" t="str">
        <f>IFERROR(__xludf.DUMMYFUNCTION("""COMPUTED_VALUE"""),"21754")</f>
        <v>21754</v>
      </c>
      <c r="C717" s="2" t="str">
        <f>IFERROR(__xludf.DUMMYFUNCTION("""COMPUTED_VALUE"""),"HOME BUILDING BLOCK WORD")</f>
        <v>HOME BUILDING BLOCK WORD</v>
      </c>
      <c r="D717" s="2">
        <f>IFERROR(__xludf.DUMMYFUNCTION("""COMPUTED_VALUE"""),2.0)</f>
        <v>2</v>
      </c>
      <c r="E717" s="6">
        <f>IFERROR(__xludf.DUMMYFUNCTION("""COMPUTED_VALUE"""),40148.50138888889)</f>
        <v>40148.50139</v>
      </c>
      <c r="F717" s="2">
        <f>IFERROR(__xludf.DUMMYFUNCTION("""COMPUTED_VALUE"""),5.95)</f>
        <v>5.95</v>
      </c>
      <c r="G717" s="2">
        <f>IFERROR(__xludf.DUMMYFUNCTION("""COMPUTED_VALUE"""),16011.0)</f>
        <v>16011</v>
      </c>
      <c r="H717" s="2" t="str">
        <f>IFERROR(__xludf.DUMMYFUNCTION("""COMPUTED_VALUE"""),"United Kingdom")</f>
        <v>United Kingdom</v>
      </c>
      <c r="I717" s="7">
        <f>IFERROR(__xludf.DUMMYFUNCTION("""COMPUTED_VALUE"""),40148.0)</f>
        <v>40148</v>
      </c>
      <c r="J717" s="8">
        <f>IFERROR(__xludf.DUMMYFUNCTION("""COMPUTED_VALUE"""),0.5013888888897782)</f>
        <v>0.5013888889</v>
      </c>
      <c r="K717" s="2">
        <f>IFERROR(__xludf.DUMMYFUNCTION("""COMPUTED_VALUE"""),12.0)</f>
        <v>12</v>
      </c>
      <c r="L717" s="2">
        <f>IFERROR(__xludf.DUMMYFUNCTION("""COMPUTED_VALUE"""),11.9)</f>
        <v>11.9</v>
      </c>
    </row>
    <row r="718">
      <c r="A718" s="2">
        <f>IFERROR(__xludf.DUMMYFUNCTION("""COMPUTED_VALUE"""),489533.0)</f>
        <v>489533</v>
      </c>
      <c r="B718" s="2" t="str">
        <f>IFERROR(__xludf.DUMMYFUNCTION("""COMPUTED_VALUE"""),"84970S")</f>
        <v>84970S</v>
      </c>
      <c r="C718" s="2" t="str">
        <f>IFERROR(__xludf.DUMMYFUNCTION("""COMPUTED_VALUE"""),"HANGING HEART ZINC T-LIGHT HOLDER")</f>
        <v>HANGING HEART ZINC T-LIGHT HOLDER</v>
      </c>
      <c r="D718" s="2">
        <f>IFERROR(__xludf.DUMMYFUNCTION("""COMPUTED_VALUE"""),12.0)</f>
        <v>12</v>
      </c>
      <c r="E718" s="6">
        <f>IFERROR(__xludf.DUMMYFUNCTION("""COMPUTED_VALUE"""),40148.50138888889)</f>
        <v>40148.50139</v>
      </c>
      <c r="F718" s="2">
        <f>IFERROR(__xludf.DUMMYFUNCTION("""COMPUTED_VALUE"""),0.85)</f>
        <v>0.85</v>
      </c>
      <c r="G718" s="2">
        <f>IFERROR(__xludf.DUMMYFUNCTION("""COMPUTED_VALUE"""),16011.0)</f>
        <v>16011</v>
      </c>
      <c r="H718" s="2" t="str">
        <f>IFERROR(__xludf.DUMMYFUNCTION("""COMPUTED_VALUE"""),"United Kingdom")</f>
        <v>United Kingdom</v>
      </c>
      <c r="I718" s="7">
        <f>IFERROR(__xludf.DUMMYFUNCTION("""COMPUTED_VALUE"""),40148.0)</f>
        <v>40148</v>
      </c>
      <c r="J718" s="8">
        <f>IFERROR(__xludf.DUMMYFUNCTION("""COMPUTED_VALUE"""),0.5013888888897782)</f>
        <v>0.5013888889</v>
      </c>
      <c r="K718" s="2">
        <f>IFERROR(__xludf.DUMMYFUNCTION("""COMPUTED_VALUE"""),12.0)</f>
        <v>12</v>
      </c>
      <c r="L718" s="2">
        <f>IFERROR(__xludf.DUMMYFUNCTION("""COMPUTED_VALUE"""),10.2)</f>
        <v>10.2</v>
      </c>
    </row>
    <row r="719">
      <c r="A719" s="2">
        <f>IFERROR(__xludf.DUMMYFUNCTION("""COMPUTED_VALUE"""),489533.0)</f>
        <v>489533</v>
      </c>
      <c r="B719" s="2" t="str">
        <f>IFERROR(__xludf.DUMMYFUNCTION("""COMPUTED_VALUE"""),"22118")</f>
        <v>22118</v>
      </c>
      <c r="C719" s="2" t="str">
        <f>IFERROR(__xludf.DUMMYFUNCTION("""COMPUTED_VALUE"""),"JOY WOODEN BLOCK LETTERS")</f>
        <v>JOY WOODEN BLOCK LETTERS</v>
      </c>
      <c r="D719" s="2">
        <f>IFERROR(__xludf.DUMMYFUNCTION("""COMPUTED_VALUE"""),2.0)</f>
        <v>2</v>
      </c>
      <c r="E719" s="6">
        <f>IFERROR(__xludf.DUMMYFUNCTION("""COMPUTED_VALUE"""),40148.50138888889)</f>
        <v>40148.50139</v>
      </c>
      <c r="F719" s="2">
        <f>IFERROR(__xludf.DUMMYFUNCTION("""COMPUTED_VALUE"""),4.95)</f>
        <v>4.95</v>
      </c>
      <c r="G719" s="2">
        <f>IFERROR(__xludf.DUMMYFUNCTION("""COMPUTED_VALUE"""),16011.0)</f>
        <v>16011</v>
      </c>
      <c r="H719" s="2" t="str">
        <f>IFERROR(__xludf.DUMMYFUNCTION("""COMPUTED_VALUE"""),"United Kingdom")</f>
        <v>United Kingdom</v>
      </c>
      <c r="I719" s="7">
        <f>IFERROR(__xludf.DUMMYFUNCTION("""COMPUTED_VALUE"""),40148.0)</f>
        <v>40148</v>
      </c>
      <c r="J719" s="8">
        <f>IFERROR(__xludf.DUMMYFUNCTION("""COMPUTED_VALUE"""),0.5013888888897782)</f>
        <v>0.5013888889</v>
      </c>
      <c r="K719" s="2">
        <f>IFERROR(__xludf.DUMMYFUNCTION("""COMPUTED_VALUE"""),12.0)</f>
        <v>12</v>
      </c>
      <c r="L719" s="2">
        <f>IFERROR(__xludf.DUMMYFUNCTION("""COMPUTED_VALUE"""),9.9)</f>
        <v>9.9</v>
      </c>
    </row>
    <row r="720">
      <c r="A720" s="2">
        <f>IFERROR(__xludf.DUMMYFUNCTION("""COMPUTED_VALUE"""),489533.0)</f>
        <v>489533</v>
      </c>
      <c r="B720" s="2" t="str">
        <f>IFERROR(__xludf.DUMMYFUNCTION("""COMPUTED_VALUE"""),"21755")</f>
        <v>21755</v>
      </c>
      <c r="C720" s="2" t="str">
        <f>IFERROR(__xludf.DUMMYFUNCTION("""COMPUTED_VALUE"""),"LOVE BUILDING BLOCK WORD")</f>
        <v>LOVE BUILDING BLOCK WORD</v>
      </c>
      <c r="D720" s="2">
        <f>IFERROR(__xludf.DUMMYFUNCTION("""COMPUTED_VALUE"""),2.0)</f>
        <v>2</v>
      </c>
      <c r="E720" s="6">
        <f>IFERROR(__xludf.DUMMYFUNCTION("""COMPUTED_VALUE"""),40148.50138888889)</f>
        <v>40148.50139</v>
      </c>
      <c r="F720" s="2">
        <f>IFERROR(__xludf.DUMMYFUNCTION("""COMPUTED_VALUE"""),5.95)</f>
        <v>5.95</v>
      </c>
      <c r="G720" s="2">
        <f>IFERROR(__xludf.DUMMYFUNCTION("""COMPUTED_VALUE"""),16011.0)</f>
        <v>16011</v>
      </c>
      <c r="H720" s="2" t="str">
        <f>IFERROR(__xludf.DUMMYFUNCTION("""COMPUTED_VALUE"""),"United Kingdom")</f>
        <v>United Kingdom</v>
      </c>
      <c r="I720" s="7">
        <f>IFERROR(__xludf.DUMMYFUNCTION("""COMPUTED_VALUE"""),40148.0)</f>
        <v>40148</v>
      </c>
      <c r="J720" s="8">
        <f>IFERROR(__xludf.DUMMYFUNCTION("""COMPUTED_VALUE"""),0.5013888888897782)</f>
        <v>0.5013888889</v>
      </c>
      <c r="K720" s="2">
        <f>IFERROR(__xludf.DUMMYFUNCTION("""COMPUTED_VALUE"""),12.0)</f>
        <v>12</v>
      </c>
      <c r="L720" s="2">
        <f>IFERROR(__xludf.DUMMYFUNCTION("""COMPUTED_VALUE"""),11.9)</f>
        <v>11.9</v>
      </c>
    </row>
    <row r="721">
      <c r="A721" s="2"/>
      <c r="B721" s="2" t="str">
        <f>IFERROR(__xludf.DUMMYFUNCTION("""COMPUTED_VALUE"""),"35832")</f>
        <v>35832</v>
      </c>
      <c r="C721" s="2" t="str">
        <f>IFERROR(__xludf.DUMMYFUNCTION("""COMPUTED_VALUE"""),"WOOLLY HAT SOCK GLOVE ADVENT STRING")</f>
        <v>WOOLLY HAT SOCK GLOVE ADVENT STRING</v>
      </c>
      <c r="D721" s="2">
        <f>IFERROR(__xludf.DUMMYFUNCTION("""COMPUTED_VALUE"""),-1.0)</f>
        <v>-1</v>
      </c>
      <c r="E721" s="6">
        <f>IFERROR(__xludf.DUMMYFUNCTION("""COMPUTED_VALUE"""),40148.50625)</f>
        <v>40148.50625</v>
      </c>
      <c r="F721" s="2">
        <f>IFERROR(__xludf.DUMMYFUNCTION("""COMPUTED_VALUE"""),5.95)</f>
        <v>5.95</v>
      </c>
      <c r="G721" s="2">
        <f>IFERROR(__xludf.DUMMYFUNCTION("""COMPUTED_VALUE"""),12615.0)</f>
        <v>12615</v>
      </c>
      <c r="H721" s="2" t="str">
        <f>IFERROR(__xludf.DUMMYFUNCTION("""COMPUTED_VALUE"""),"France")</f>
        <v>France</v>
      </c>
      <c r="I721" s="7">
        <f>IFERROR(__xludf.DUMMYFUNCTION("""COMPUTED_VALUE"""),40148.0)</f>
        <v>40148</v>
      </c>
      <c r="J721" s="8">
        <f>IFERROR(__xludf.DUMMYFUNCTION("""COMPUTED_VALUE"""),0.5062499999985448)</f>
        <v>0.50625</v>
      </c>
      <c r="K721" s="2">
        <f>IFERROR(__xludf.DUMMYFUNCTION("""COMPUTED_VALUE"""),12.0)</f>
        <v>12</v>
      </c>
      <c r="L721" s="2">
        <f>IFERROR(__xludf.DUMMYFUNCTION("""COMPUTED_VALUE"""),-5.95)</f>
        <v>-5.95</v>
      </c>
    </row>
    <row r="722">
      <c r="A722" s="2"/>
      <c r="B722" s="2" t="str">
        <f>IFERROR(__xludf.DUMMYFUNCTION("""COMPUTED_VALUE"""),"D")</f>
        <v>D</v>
      </c>
      <c r="C722" s="2" t="str">
        <f>IFERROR(__xludf.DUMMYFUNCTION("""COMPUTED_VALUE"""),"Discount")</f>
        <v>Discount</v>
      </c>
      <c r="D722" s="2">
        <f>IFERROR(__xludf.DUMMYFUNCTION("""COMPUTED_VALUE"""),-1.0)</f>
        <v>-1</v>
      </c>
      <c r="E722" s="6">
        <f>IFERROR(__xludf.DUMMYFUNCTION("""COMPUTED_VALUE"""),40148.507638888885)</f>
        <v>40148.50764</v>
      </c>
      <c r="F722" s="2">
        <f>IFERROR(__xludf.DUMMYFUNCTION("""COMPUTED_VALUE"""),9.0)</f>
        <v>9</v>
      </c>
      <c r="G722" s="2">
        <f>IFERROR(__xludf.DUMMYFUNCTION("""COMPUTED_VALUE"""),15299.0)</f>
        <v>15299</v>
      </c>
      <c r="H722" s="2" t="str">
        <f>IFERROR(__xludf.DUMMYFUNCTION("""COMPUTED_VALUE"""),"United Kingdom")</f>
        <v>United Kingdom</v>
      </c>
      <c r="I722" s="7">
        <f>IFERROR(__xludf.DUMMYFUNCTION("""COMPUTED_VALUE"""),40148.0)</f>
        <v>40148</v>
      </c>
      <c r="J722" s="8">
        <f>IFERROR(__xludf.DUMMYFUNCTION("""COMPUTED_VALUE"""),0.507638888888323)</f>
        <v>0.5076388889</v>
      </c>
      <c r="K722" s="2">
        <f>IFERROR(__xludf.DUMMYFUNCTION("""COMPUTED_VALUE"""),12.0)</f>
        <v>12</v>
      </c>
      <c r="L722" s="2">
        <f>IFERROR(__xludf.DUMMYFUNCTION("""COMPUTED_VALUE"""),-9.0)</f>
        <v>-9</v>
      </c>
    </row>
    <row r="723">
      <c r="A723" s="2"/>
      <c r="B723" s="2" t="str">
        <f>IFERROR(__xludf.DUMMYFUNCTION("""COMPUTED_VALUE"""),"D")</f>
        <v>D</v>
      </c>
      <c r="C723" s="2" t="str">
        <f>IFERROR(__xludf.DUMMYFUNCTION("""COMPUTED_VALUE"""),"Discount")</f>
        <v>Discount</v>
      </c>
      <c r="D723" s="2">
        <f>IFERROR(__xludf.DUMMYFUNCTION("""COMPUTED_VALUE"""),-1.0)</f>
        <v>-1</v>
      </c>
      <c r="E723" s="6">
        <f>IFERROR(__xludf.DUMMYFUNCTION("""COMPUTED_VALUE"""),40148.507638888885)</f>
        <v>40148.50764</v>
      </c>
      <c r="F723" s="2">
        <f>IFERROR(__xludf.DUMMYFUNCTION("""COMPUTED_VALUE"""),19.0)</f>
        <v>19</v>
      </c>
      <c r="G723" s="2">
        <f>IFERROR(__xludf.DUMMYFUNCTION("""COMPUTED_VALUE"""),15299.0)</f>
        <v>15299</v>
      </c>
      <c r="H723" s="2" t="str">
        <f>IFERROR(__xludf.DUMMYFUNCTION("""COMPUTED_VALUE"""),"United Kingdom")</f>
        <v>United Kingdom</v>
      </c>
      <c r="I723" s="7">
        <f>IFERROR(__xludf.DUMMYFUNCTION("""COMPUTED_VALUE"""),40148.0)</f>
        <v>40148</v>
      </c>
      <c r="J723" s="8">
        <f>IFERROR(__xludf.DUMMYFUNCTION("""COMPUTED_VALUE"""),0.507638888888323)</f>
        <v>0.5076388889</v>
      </c>
      <c r="K723" s="2">
        <f>IFERROR(__xludf.DUMMYFUNCTION("""COMPUTED_VALUE"""),12.0)</f>
        <v>12</v>
      </c>
      <c r="L723" s="2">
        <f>IFERROR(__xludf.DUMMYFUNCTION("""COMPUTED_VALUE"""),-19.0)</f>
        <v>-19</v>
      </c>
    </row>
    <row r="724">
      <c r="A724" s="2">
        <f>IFERROR(__xludf.DUMMYFUNCTION("""COMPUTED_VALUE"""),489536.0)</f>
        <v>489536</v>
      </c>
      <c r="B724" s="2" t="str">
        <f>IFERROR(__xludf.DUMMYFUNCTION("""COMPUTED_VALUE"""),"21375")</f>
        <v>21375</v>
      </c>
      <c r="C724" s="2" t="str">
        <f>IFERROR(__xludf.DUMMYFUNCTION("""COMPUTED_VALUE"""),"LARGE CAMPHOR WOOD FIELD MUSHROOM")</f>
        <v>LARGE CAMPHOR WOOD FIELD MUSHROOM</v>
      </c>
      <c r="D724" s="2">
        <f>IFERROR(__xludf.DUMMYFUNCTION("""COMPUTED_VALUE"""),2.0)</f>
        <v>2</v>
      </c>
      <c r="E724" s="6">
        <f>IFERROR(__xludf.DUMMYFUNCTION("""COMPUTED_VALUE"""),40148.50902777778)</f>
        <v>40148.50903</v>
      </c>
      <c r="F724" s="2">
        <f>IFERROR(__xludf.DUMMYFUNCTION("""COMPUTED_VALUE"""),5.45)</f>
        <v>5.45</v>
      </c>
      <c r="G724" s="2">
        <f>IFERROR(__xludf.DUMMYFUNCTION("""COMPUTED_VALUE"""),16393.0)</f>
        <v>16393</v>
      </c>
      <c r="H724" s="2" t="str">
        <f>IFERROR(__xludf.DUMMYFUNCTION("""COMPUTED_VALUE"""),"United Kingdom")</f>
        <v>United Kingdom</v>
      </c>
      <c r="I724" s="7">
        <f>IFERROR(__xludf.DUMMYFUNCTION("""COMPUTED_VALUE"""),40148.0)</f>
        <v>40148</v>
      </c>
      <c r="J724" s="8">
        <f>IFERROR(__xludf.DUMMYFUNCTION("""COMPUTED_VALUE"""),0.5090277777781012)</f>
        <v>0.5090277778</v>
      </c>
      <c r="K724" s="2">
        <f>IFERROR(__xludf.DUMMYFUNCTION("""COMPUTED_VALUE"""),12.0)</f>
        <v>12</v>
      </c>
      <c r="L724" s="2">
        <f>IFERROR(__xludf.DUMMYFUNCTION("""COMPUTED_VALUE"""),10.9)</f>
        <v>10.9</v>
      </c>
    </row>
    <row r="725">
      <c r="A725" s="2">
        <f>IFERROR(__xludf.DUMMYFUNCTION("""COMPUTED_VALUE"""),489536.0)</f>
        <v>489536</v>
      </c>
      <c r="B725" s="2" t="str">
        <f>IFERROR(__xludf.DUMMYFUNCTION("""COMPUTED_VALUE"""),"22109")</f>
        <v>22109</v>
      </c>
      <c r="C725" s="2" t="str">
        <f>IFERROR(__xludf.DUMMYFUNCTION("""COMPUTED_VALUE"""),"FULL ENGLISH BREAKFAST PLATE")</f>
        <v>FULL ENGLISH BREAKFAST PLATE</v>
      </c>
      <c r="D725" s="2">
        <f>IFERROR(__xludf.DUMMYFUNCTION("""COMPUTED_VALUE"""),1.0)</f>
        <v>1</v>
      </c>
      <c r="E725" s="6">
        <f>IFERROR(__xludf.DUMMYFUNCTION("""COMPUTED_VALUE"""),40148.50902777778)</f>
        <v>40148.50903</v>
      </c>
      <c r="F725" s="2">
        <f>IFERROR(__xludf.DUMMYFUNCTION("""COMPUTED_VALUE"""),3.75)</f>
        <v>3.75</v>
      </c>
      <c r="G725" s="2">
        <f>IFERROR(__xludf.DUMMYFUNCTION("""COMPUTED_VALUE"""),16393.0)</f>
        <v>16393</v>
      </c>
      <c r="H725" s="2" t="str">
        <f>IFERROR(__xludf.DUMMYFUNCTION("""COMPUTED_VALUE"""),"United Kingdom")</f>
        <v>United Kingdom</v>
      </c>
      <c r="I725" s="7">
        <f>IFERROR(__xludf.DUMMYFUNCTION("""COMPUTED_VALUE"""),40148.0)</f>
        <v>40148</v>
      </c>
      <c r="J725" s="8">
        <f>IFERROR(__xludf.DUMMYFUNCTION("""COMPUTED_VALUE"""),0.5090277777781012)</f>
        <v>0.5090277778</v>
      </c>
      <c r="K725" s="2">
        <f>IFERROR(__xludf.DUMMYFUNCTION("""COMPUTED_VALUE"""),12.0)</f>
        <v>12</v>
      </c>
      <c r="L725" s="2">
        <f>IFERROR(__xludf.DUMMYFUNCTION("""COMPUTED_VALUE"""),3.75)</f>
        <v>3.75</v>
      </c>
    </row>
    <row r="726">
      <c r="A726" s="2">
        <f>IFERROR(__xludf.DUMMYFUNCTION("""COMPUTED_VALUE"""),489536.0)</f>
        <v>489536</v>
      </c>
      <c r="B726" s="2" t="str">
        <f>IFERROR(__xludf.DUMMYFUNCTION("""COMPUTED_VALUE"""),"21864")</f>
        <v>21864</v>
      </c>
      <c r="C726" s="2" t="str">
        <f>IFERROR(__xludf.DUMMYFUNCTION("""COMPUTED_VALUE"""),"UNION JACK FLAG PASSPORT COVER")</f>
        <v>UNION JACK FLAG PASSPORT COVER</v>
      </c>
      <c r="D726" s="2">
        <f>IFERROR(__xludf.DUMMYFUNCTION("""COMPUTED_VALUE"""),1.0)</f>
        <v>1</v>
      </c>
      <c r="E726" s="6">
        <f>IFERROR(__xludf.DUMMYFUNCTION("""COMPUTED_VALUE"""),40148.50902777778)</f>
        <v>40148.50903</v>
      </c>
      <c r="F726" s="2">
        <f>IFERROR(__xludf.DUMMYFUNCTION("""COMPUTED_VALUE"""),2.1)</f>
        <v>2.1</v>
      </c>
      <c r="G726" s="2">
        <f>IFERROR(__xludf.DUMMYFUNCTION("""COMPUTED_VALUE"""),16393.0)</f>
        <v>16393</v>
      </c>
      <c r="H726" s="2" t="str">
        <f>IFERROR(__xludf.DUMMYFUNCTION("""COMPUTED_VALUE"""),"United Kingdom")</f>
        <v>United Kingdom</v>
      </c>
      <c r="I726" s="7">
        <f>IFERROR(__xludf.DUMMYFUNCTION("""COMPUTED_VALUE"""),40148.0)</f>
        <v>40148</v>
      </c>
      <c r="J726" s="8">
        <f>IFERROR(__xludf.DUMMYFUNCTION("""COMPUTED_VALUE"""),0.5090277777781012)</f>
        <v>0.5090277778</v>
      </c>
      <c r="K726" s="2">
        <f>IFERROR(__xludf.DUMMYFUNCTION("""COMPUTED_VALUE"""),12.0)</f>
        <v>12</v>
      </c>
      <c r="L726" s="2">
        <f>IFERROR(__xludf.DUMMYFUNCTION("""COMPUTED_VALUE"""),2.1)</f>
        <v>2.1</v>
      </c>
    </row>
    <row r="727">
      <c r="A727" s="2">
        <f>IFERROR(__xludf.DUMMYFUNCTION("""COMPUTED_VALUE"""),489536.0)</f>
        <v>489536</v>
      </c>
      <c r="B727" s="2" t="str">
        <f>IFERROR(__xludf.DUMMYFUNCTION("""COMPUTED_VALUE"""),"48129")</f>
        <v>48129</v>
      </c>
      <c r="C727" s="2" t="str">
        <f>IFERROR(__xludf.DUMMYFUNCTION("""COMPUTED_VALUE"""),"DOOR MAT TOPIARY")</f>
        <v>DOOR MAT TOPIARY</v>
      </c>
      <c r="D727" s="2">
        <f>IFERROR(__xludf.DUMMYFUNCTION("""COMPUTED_VALUE"""),1.0)</f>
        <v>1</v>
      </c>
      <c r="E727" s="6">
        <f>IFERROR(__xludf.DUMMYFUNCTION("""COMPUTED_VALUE"""),40148.50902777778)</f>
        <v>40148.50903</v>
      </c>
      <c r="F727" s="2">
        <f>IFERROR(__xludf.DUMMYFUNCTION("""COMPUTED_VALUE"""),6.75)</f>
        <v>6.75</v>
      </c>
      <c r="G727" s="2">
        <f>IFERROR(__xludf.DUMMYFUNCTION("""COMPUTED_VALUE"""),16393.0)</f>
        <v>16393</v>
      </c>
      <c r="H727" s="2" t="str">
        <f>IFERROR(__xludf.DUMMYFUNCTION("""COMPUTED_VALUE"""),"United Kingdom")</f>
        <v>United Kingdom</v>
      </c>
      <c r="I727" s="7">
        <f>IFERROR(__xludf.DUMMYFUNCTION("""COMPUTED_VALUE"""),40148.0)</f>
        <v>40148</v>
      </c>
      <c r="J727" s="8">
        <f>IFERROR(__xludf.DUMMYFUNCTION("""COMPUTED_VALUE"""),0.5090277777781012)</f>
        <v>0.5090277778</v>
      </c>
      <c r="K727" s="2">
        <f>IFERROR(__xludf.DUMMYFUNCTION("""COMPUTED_VALUE"""),12.0)</f>
        <v>12</v>
      </c>
      <c r="L727" s="2">
        <f>IFERROR(__xludf.DUMMYFUNCTION("""COMPUTED_VALUE"""),6.75)</f>
        <v>6.75</v>
      </c>
    </row>
    <row r="728">
      <c r="A728" s="2">
        <f>IFERROR(__xludf.DUMMYFUNCTION("""COMPUTED_VALUE"""),489536.0)</f>
        <v>489536</v>
      </c>
      <c r="B728" s="2" t="str">
        <f>IFERROR(__xludf.DUMMYFUNCTION("""COMPUTED_VALUE"""),"22186")</f>
        <v>22186</v>
      </c>
      <c r="C728" s="2" t="str">
        <f>IFERROR(__xludf.DUMMYFUNCTION("""COMPUTED_VALUE"""),"RED STAR CARD HOLDER")</f>
        <v>RED STAR CARD HOLDER</v>
      </c>
      <c r="D728" s="2">
        <f>IFERROR(__xludf.DUMMYFUNCTION("""COMPUTED_VALUE"""),1.0)</f>
        <v>1</v>
      </c>
      <c r="E728" s="6">
        <f>IFERROR(__xludf.DUMMYFUNCTION("""COMPUTED_VALUE"""),40148.50902777778)</f>
        <v>40148.50903</v>
      </c>
      <c r="F728" s="2">
        <f>IFERROR(__xludf.DUMMYFUNCTION("""COMPUTED_VALUE"""),2.95)</f>
        <v>2.95</v>
      </c>
      <c r="G728" s="2">
        <f>IFERROR(__xludf.DUMMYFUNCTION("""COMPUTED_VALUE"""),16393.0)</f>
        <v>16393</v>
      </c>
      <c r="H728" s="2" t="str">
        <f>IFERROR(__xludf.DUMMYFUNCTION("""COMPUTED_VALUE"""),"United Kingdom")</f>
        <v>United Kingdom</v>
      </c>
      <c r="I728" s="7">
        <f>IFERROR(__xludf.DUMMYFUNCTION("""COMPUTED_VALUE"""),40148.0)</f>
        <v>40148</v>
      </c>
      <c r="J728" s="8">
        <f>IFERROR(__xludf.DUMMYFUNCTION("""COMPUTED_VALUE"""),0.5090277777781012)</f>
        <v>0.5090277778</v>
      </c>
      <c r="K728" s="2">
        <f>IFERROR(__xludf.DUMMYFUNCTION("""COMPUTED_VALUE"""),12.0)</f>
        <v>12</v>
      </c>
      <c r="L728" s="2">
        <f>IFERROR(__xludf.DUMMYFUNCTION("""COMPUTED_VALUE"""),2.95)</f>
        <v>2.95</v>
      </c>
    </row>
    <row r="729">
      <c r="A729" s="2">
        <f>IFERROR(__xludf.DUMMYFUNCTION("""COMPUTED_VALUE"""),489536.0)</f>
        <v>489536</v>
      </c>
      <c r="B729" s="2" t="str">
        <f>IFERROR(__xludf.DUMMYFUNCTION("""COMPUTED_VALUE"""),"47504K")</f>
        <v>47504K</v>
      </c>
      <c r="C729" s="2" t="str">
        <f>IFERROR(__xludf.DUMMYFUNCTION("""COMPUTED_VALUE"""),"ENGLISH ROSE GARDEN SECATEURS")</f>
        <v>ENGLISH ROSE GARDEN SECATEURS</v>
      </c>
      <c r="D729" s="2">
        <f>IFERROR(__xludf.DUMMYFUNCTION("""COMPUTED_VALUE"""),2.0)</f>
        <v>2</v>
      </c>
      <c r="E729" s="6">
        <f>IFERROR(__xludf.DUMMYFUNCTION("""COMPUTED_VALUE"""),40148.50902777778)</f>
        <v>40148.50903</v>
      </c>
      <c r="F729" s="2">
        <f>IFERROR(__xludf.DUMMYFUNCTION("""COMPUTED_VALUE"""),1.95)</f>
        <v>1.95</v>
      </c>
      <c r="G729" s="2">
        <f>IFERROR(__xludf.DUMMYFUNCTION("""COMPUTED_VALUE"""),16393.0)</f>
        <v>16393</v>
      </c>
      <c r="H729" s="2" t="str">
        <f>IFERROR(__xludf.DUMMYFUNCTION("""COMPUTED_VALUE"""),"United Kingdom")</f>
        <v>United Kingdom</v>
      </c>
      <c r="I729" s="7">
        <f>IFERROR(__xludf.DUMMYFUNCTION("""COMPUTED_VALUE"""),40148.0)</f>
        <v>40148</v>
      </c>
      <c r="J729" s="8">
        <f>IFERROR(__xludf.DUMMYFUNCTION("""COMPUTED_VALUE"""),0.5090277777781012)</f>
        <v>0.5090277778</v>
      </c>
      <c r="K729" s="2">
        <f>IFERROR(__xludf.DUMMYFUNCTION("""COMPUTED_VALUE"""),12.0)</f>
        <v>12</v>
      </c>
      <c r="L729" s="2">
        <f>IFERROR(__xludf.DUMMYFUNCTION("""COMPUTED_VALUE"""),3.9)</f>
        <v>3.9</v>
      </c>
    </row>
    <row r="730">
      <c r="A730" s="2">
        <f>IFERROR(__xludf.DUMMYFUNCTION("""COMPUTED_VALUE"""),489536.0)</f>
        <v>489536</v>
      </c>
      <c r="B730" s="2" t="str">
        <f>IFERROR(__xludf.DUMMYFUNCTION("""COMPUTED_VALUE"""),"47504F")</f>
        <v>47504F</v>
      </c>
      <c r="C730" s="2" t="str">
        <f>IFERROR(__xludf.DUMMYFUNCTION("""COMPUTED_VALUE"""),"ENGLISH ROSE TORCH")</f>
        <v>ENGLISH ROSE TORCH</v>
      </c>
      <c r="D730" s="2">
        <f>IFERROR(__xludf.DUMMYFUNCTION("""COMPUTED_VALUE"""),2.0)</f>
        <v>2</v>
      </c>
      <c r="E730" s="6">
        <f>IFERROR(__xludf.DUMMYFUNCTION("""COMPUTED_VALUE"""),40148.50902777778)</f>
        <v>40148.50903</v>
      </c>
      <c r="F730" s="2">
        <f>IFERROR(__xludf.DUMMYFUNCTION("""COMPUTED_VALUE"""),1.65)</f>
        <v>1.65</v>
      </c>
      <c r="G730" s="2">
        <f>IFERROR(__xludf.DUMMYFUNCTION("""COMPUTED_VALUE"""),16393.0)</f>
        <v>16393</v>
      </c>
      <c r="H730" s="2" t="str">
        <f>IFERROR(__xludf.DUMMYFUNCTION("""COMPUTED_VALUE"""),"United Kingdom")</f>
        <v>United Kingdom</v>
      </c>
      <c r="I730" s="7">
        <f>IFERROR(__xludf.DUMMYFUNCTION("""COMPUTED_VALUE"""),40148.0)</f>
        <v>40148</v>
      </c>
      <c r="J730" s="8">
        <f>IFERROR(__xludf.DUMMYFUNCTION("""COMPUTED_VALUE"""),0.5090277777781012)</f>
        <v>0.5090277778</v>
      </c>
      <c r="K730" s="2">
        <f>IFERROR(__xludf.DUMMYFUNCTION("""COMPUTED_VALUE"""),12.0)</f>
        <v>12</v>
      </c>
      <c r="L730" s="2">
        <f>IFERROR(__xludf.DUMMYFUNCTION("""COMPUTED_VALUE"""),3.3)</f>
        <v>3.3</v>
      </c>
    </row>
    <row r="731">
      <c r="A731" s="2">
        <f>IFERROR(__xludf.DUMMYFUNCTION("""COMPUTED_VALUE"""),489536.0)</f>
        <v>489536</v>
      </c>
      <c r="B731" s="2" t="str">
        <f>IFERROR(__xludf.DUMMYFUNCTION("""COMPUTED_VALUE"""),"21809")</f>
        <v>21809</v>
      </c>
      <c r="C731" s="2" t="str">
        <f>IFERROR(__xludf.DUMMYFUNCTION("""COMPUTED_VALUE"""),"CHRISTMAS HANGING TREE WITH BELL")</f>
        <v>CHRISTMAS HANGING TREE WITH BELL</v>
      </c>
      <c r="D731" s="2">
        <f>IFERROR(__xludf.DUMMYFUNCTION("""COMPUTED_VALUE"""),1.0)</f>
        <v>1</v>
      </c>
      <c r="E731" s="6">
        <f>IFERROR(__xludf.DUMMYFUNCTION("""COMPUTED_VALUE"""),40148.50902777778)</f>
        <v>40148.50903</v>
      </c>
      <c r="F731" s="2">
        <f>IFERROR(__xludf.DUMMYFUNCTION("""COMPUTED_VALUE"""),1.25)</f>
        <v>1.25</v>
      </c>
      <c r="G731" s="2">
        <f>IFERROR(__xludf.DUMMYFUNCTION("""COMPUTED_VALUE"""),16393.0)</f>
        <v>16393</v>
      </c>
      <c r="H731" s="2" t="str">
        <f>IFERROR(__xludf.DUMMYFUNCTION("""COMPUTED_VALUE"""),"United Kingdom")</f>
        <v>United Kingdom</v>
      </c>
      <c r="I731" s="7">
        <f>IFERROR(__xludf.DUMMYFUNCTION("""COMPUTED_VALUE"""),40148.0)</f>
        <v>40148</v>
      </c>
      <c r="J731" s="8">
        <f>IFERROR(__xludf.DUMMYFUNCTION("""COMPUTED_VALUE"""),0.5090277777781012)</f>
        <v>0.5090277778</v>
      </c>
      <c r="K731" s="2">
        <f>IFERROR(__xludf.DUMMYFUNCTION("""COMPUTED_VALUE"""),12.0)</f>
        <v>12</v>
      </c>
      <c r="L731" s="2">
        <f>IFERROR(__xludf.DUMMYFUNCTION("""COMPUTED_VALUE"""),1.25)</f>
        <v>1.25</v>
      </c>
    </row>
    <row r="732">
      <c r="A732" s="2">
        <f>IFERROR(__xludf.DUMMYFUNCTION("""COMPUTED_VALUE"""),489536.0)</f>
        <v>489536</v>
      </c>
      <c r="B732" s="2" t="str">
        <f>IFERROR(__xludf.DUMMYFUNCTION("""COMPUTED_VALUE"""),"22075")</f>
        <v>22075</v>
      </c>
      <c r="C732" s="2" t="str">
        <f>IFERROR(__xludf.DUMMYFUNCTION("""COMPUTED_VALUE"""),"6 RIBBONS ELEGANT CHRISTMAS")</f>
        <v>6 RIBBONS ELEGANT CHRISTMAS</v>
      </c>
      <c r="D732" s="2">
        <f>IFERROR(__xludf.DUMMYFUNCTION("""COMPUTED_VALUE"""),1.0)</f>
        <v>1</v>
      </c>
      <c r="E732" s="6">
        <f>IFERROR(__xludf.DUMMYFUNCTION("""COMPUTED_VALUE"""),40148.50902777778)</f>
        <v>40148.50903</v>
      </c>
      <c r="F732" s="2">
        <f>IFERROR(__xludf.DUMMYFUNCTION("""COMPUTED_VALUE"""),1.65)</f>
        <v>1.65</v>
      </c>
      <c r="G732" s="2">
        <f>IFERROR(__xludf.DUMMYFUNCTION("""COMPUTED_VALUE"""),16393.0)</f>
        <v>16393</v>
      </c>
      <c r="H732" s="2" t="str">
        <f>IFERROR(__xludf.DUMMYFUNCTION("""COMPUTED_VALUE"""),"United Kingdom")</f>
        <v>United Kingdom</v>
      </c>
      <c r="I732" s="7">
        <f>IFERROR(__xludf.DUMMYFUNCTION("""COMPUTED_VALUE"""),40148.0)</f>
        <v>40148</v>
      </c>
      <c r="J732" s="8">
        <f>IFERROR(__xludf.DUMMYFUNCTION("""COMPUTED_VALUE"""),0.5090277777781012)</f>
        <v>0.5090277778</v>
      </c>
      <c r="K732" s="2">
        <f>IFERROR(__xludf.DUMMYFUNCTION("""COMPUTED_VALUE"""),12.0)</f>
        <v>12</v>
      </c>
      <c r="L732" s="2">
        <f>IFERROR(__xludf.DUMMYFUNCTION("""COMPUTED_VALUE"""),1.65)</f>
        <v>1.65</v>
      </c>
    </row>
    <row r="733">
      <c r="A733" s="2">
        <f>IFERROR(__xludf.DUMMYFUNCTION("""COMPUTED_VALUE"""),489536.0)</f>
        <v>489536</v>
      </c>
      <c r="B733" s="2" t="str">
        <f>IFERROR(__xludf.DUMMYFUNCTION("""COMPUTED_VALUE"""),"21186")</f>
        <v>21186</v>
      </c>
      <c r="C733" s="2" t="str">
        <f>IFERROR(__xludf.DUMMYFUNCTION("""COMPUTED_VALUE"""),"WHITE DOVE HONEYCOMB PAPER GARLAND")</f>
        <v>WHITE DOVE HONEYCOMB PAPER GARLAND</v>
      </c>
      <c r="D733" s="2">
        <f>IFERROR(__xludf.DUMMYFUNCTION("""COMPUTED_VALUE"""),2.0)</f>
        <v>2</v>
      </c>
      <c r="E733" s="6">
        <f>IFERROR(__xludf.DUMMYFUNCTION("""COMPUTED_VALUE"""),40148.50902777778)</f>
        <v>40148.50903</v>
      </c>
      <c r="F733" s="2">
        <f>IFERROR(__xludf.DUMMYFUNCTION("""COMPUTED_VALUE"""),1.65)</f>
        <v>1.65</v>
      </c>
      <c r="G733" s="2">
        <f>IFERROR(__xludf.DUMMYFUNCTION("""COMPUTED_VALUE"""),16393.0)</f>
        <v>16393</v>
      </c>
      <c r="H733" s="2" t="str">
        <f>IFERROR(__xludf.DUMMYFUNCTION("""COMPUTED_VALUE"""),"United Kingdom")</f>
        <v>United Kingdom</v>
      </c>
      <c r="I733" s="7">
        <f>IFERROR(__xludf.DUMMYFUNCTION("""COMPUTED_VALUE"""),40148.0)</f>
        <v>40148</v>
      </c>
      <c r="J733" s="8">
        <f>IFERROR(__xludf.DUMMYFUNCTION("""COMPUTED_VALUE"""),0.5090277777781012)</f>
        <v>0.5090277778</v>
      </c>
      <c r="K733" s="2">
        <f>IFERROR(__xludf.DUMMYFUNCTION("""COMPUTED_VALUE"""),12.0)</f>
        <v>12</v>
      </c>
      <c r="L733" s="2">
        <f>IFERROR(__xludf.DUMMYFUNCTION("""COMPUTED_VALUE"""),3.3)</f>
        <v>3.3</v>
      </c>
    </row>
    <row r="734">
      <c r="A734" s="2">
        <f>IFERROR(__xludf.DUMMYFUNCTION("""COMPUTED_VALUE"""),489536.0)</f>
        <v>489536</v>
      </c>
      <c r="B734" s="2" t="str">
        <f>IFERROR(__xludf.DUMMYFUNCTION("""COMPUTED_VALUE"""),"22086")</f>
        <v>22086</v>
      </c>
      <c r="C734" s="2" t="str">
        <f>IFERROR(__xludf.DUMMYFUNCTION("""COMPUTED_VALUE"""),"PAPER CHAIN KIT 50'S CHRISTMAS")</f>
        <v>PAPER CHAIN KIT 50'S CHRISTMAS</v>
      </c>
      <c r="D734" s="2">
        <f>IFERROR(__xludf.DUMMYFUNCTION("""COMPUTED_VALUE"""),1.0)</f>
        <v>1</v>
      </c>
      <c r="E734" s="6">
        <f>IFERROR(__xludf.DUMMYFUNCTION("""COMPUTED_VALUE"""),40148.50902777778)</f>
        <v>40148.50903</v>
      </c>
      <c r="F734" s="2">
        <f>IFERROR(__xludf.DUMMYFUNCTION("""COMPUTED_VALUE"""),2.95)</f>
        <v>2.95</v>
      </c>
      <c r="G734" s="2">
        <f>IFERROR(__xludf.DUMMYFUNCTION("""COMPUTED_VALUE"""),16393.0)</f>
        <v>16393</v>
      </c>
      <c r="H734" s="2" t="str">
        <f>IFERROR(__xludf.DUMMYFUNCTION("""COMPUTED_VALUE"""),"United Kingdom")</f>
        <v>United Kingdom</v>
      </c>
      <c r="I734" s="7">
        <f>IFERROR(__xludf.DUMMYFUNCTION("""COMPUTED_VALUE"""),40148.0)</f>
        <v>40148</v>
      </c>
      <c r="J734" s="8">
        <f>IFERROR(__xludf.DUMMYFUNCTION("""COMPUTED_VALUE"""),0.5090277777781012)</f>
        <v>0.5090277778</v>
      </c>
      <c r="K734" s="2">
        <f>IFERROR(__xludf.DUMMYFUNCTION("""COMPUTED_VALUE"""),12.0)</f>
        <v>12</v>
      </c>
      <c r="L734" s="2">
        <f>IFERROR(__xludf.DUMMYFUNCTION("""COMPUTED_VALUE"""),2.95)</f>
        <v>2.95</v>
      </c>
    </row>
    <row r="735">
      <c r="A735" s="2">
        <f>IFERROR(__xludf.DUMMYFUNCTION("""COMPUTED_VALUE"""),489536.0)</f>
        <v>489536</v>
      </c>
      <c r="B735" s="2" t="str">
        <f>IFERROR(__xludf.DUMMYFUNCTION("""COMPUTED_VALUE"""),"21611")</f>
        <v>21611</v>
      </c>
      <c r="C735" s="2" t="str">
        <f>IFERROR(__xludf.DUMMYFUNCTION("""COMPUTED_VALUE"""),"SET OF 12 LILY BOTANICAL T-LIGHTS")</f>
        <v>SET OF 12 LILY BOTANICAL T-LIGHTS</v>
      </c>
      <c r="D735" s="2">
        <f>IFERROR(__xludf.DUMMYFUNCTION("""COMPUTED_VALUE"""),2.0)</f>
        <v>2</v>
      </c>
      <c r="E735" s="6">
        <f>IFERROR(__xludf.DUMMYFUNCTION("""COMPUTED_VALUE"""),40148.50902777778)</f>
        <v>40148.50903</v>
      </c>
      <c r="F735" s="2">
        <f>IFERROR(__xludf.DUMMYFUNCTION("""COMPUTED_VALUE"""),2.95)</f>
        <v>2.95</v>
      </c>
      <c r="G735" s="2">
        <f>IFERROR(__xludf.DUMMYFUNCTION("""COMPUTED_VALUE"""),16393.0)</f>
        <v>16393</v>
      </c>
      <c r="H735" s="2" t="str">
        <f>IFERROR(__xludf.DUMMYFUNCTION("""COMPUTED_VALUE"""),"United Kingdom")</f>
        <v>United Kingdom</v>
      </c>
      <c r="I735" s="7">
        <f>IFERROR(__xludf.DUMMYFUNCTION("""COMPUTED_VALUE"""),40148.0)</f>
        <v>40148</v>
      </c>
      <c r="J735" s="8">
        <f>IFERROR(__xludf.DUMMYFUNCTION("""COMPUTED_VALUE"""),0.5090277777781012)</f>
        <v>0.5090277778</v>
      </c>
      <c r="K735" s="2">
        <f>IFERROR(__xludf.DUMMYFUNCTION("""COMPUTED_VALUE"""),12.0)</f>
        <v>12</v>
      </c>
      <c r="L735" s="2">
        <f>IFERROR(__xludf.DUMMYFUNCTION("""COMPUTED_VALUE"""),5.9)</f>
        <v>5.9</v>
      </c>
    </row>
    <row r="736">
      <c r="A736" s="2">
        <f>IFERROR(__xludf.DUMMYFUNCTION("""COMPUTED_VALUE"""),489536.0)</f>
        <v>489536</v>
      </c>
      <c r="B736" s="2" t="str">
        <f>IFERROR(__xludf.DUMMYFUNCTION("""COMPUTED_VALUE"""),"22113")</f>
        <v>22113</v>
      </c>
      <c r="C736" s="2" t="str">
        <f>IFERROR(__xludf.DUMMYFUNCTION("""COMPUTED_VALUE"""),"GREY HEART HOT WATER BOTTLE")</f>
        <v>GREY HEART HOT WATER BOTTLE</v>
      </c>
      <c r="D736" s="2">
        <f>IFERROR(__xludf.DUMMYFUNCTION("""COMPUTED_VALUE"""),2.0)</f>
        <v>2</v>
      </c>
      <c r="E736" s="6">
        <f>IFERROR(__xludf.DUMMYFUNCTION("""COMPUTED_VALUE"""),40148.50902777778)</f>
        <v>40148.50903</v>
      </c>
      <c r="F736" s="2">
        <f>IFERROR(__xludf.DUMMYFUNCTION("""COMPUTED_VALUE"""),3.45)</f>
        <v>3.45</v>
      </c>
      <c r="G736" s="2">
        <f>IFERROR(__xludf.DUMMYFUNCTION("""COMPUTED_VALUE"""),16393.0)</f>
        <v>16393</v>
      </c>
      <c r="H736" s="2" t="str">
        <f>IFERROR(__xludf.DUMMYFUNCTION("""COMPUTED_VALUE"""),"United Kingdom")</f>
        <v>United Kingdom</v>
      </c>
      <c r="I736" s="7">
        <f>IFERROR(__xludf.DUMMYFUNCTION("""COMPUTED_VALUE"""),40148.0)</f>
        <v>40148</v>
      </c>
      <c r="J736" s="8">
        <f>IFERROR(__xludf.DUMMYFUNCTION("""COMPUTED_VALUE"""),0.5090277777781012)</f>
        <v>0.5090277778</v>
      </c>
      <c r="K736" s="2">
        <f>IFERROR(__xludf.DUMMYFUNCTION("""COMPUTED_VALUE"""),12.0)</f>
        <v>12</v>
      </c>
      <c r="L736" s="2">
        <f>IFERROR(__xludf.DUMMYFUNCTION("""COMPUTED_VALUE"""),6.9)</f>
        <v>6.9</v>
      </c>
    </row>
    <row r="737">
      <c r="A737" s="2">
        <f>IFERROR(__xludf.DUMMYFUNCTION("""COMPUTED_VALUE"""),489536.0)</f>
        <v>489536</v>
      </c>
      <c r="B737" s="2" t="str">
        <f>IFERROR(__xludf.DUMMYFUNCTION("""COMPUTED_VALUE"""),"21480")</f>
        <v>21480</v>
      </c>
      <c r="C737" s="2" t="str">
        <f>IFERROR(__xludf.DUMMYFUNCTION("""COMPUTED_VALUE"""),"PINK STRIPE HOT WATER BOTTLE")</f>
        <v>PINK STRIPE HOT WATER BOTTLE</v>
      </c>
      <c r="D737" s="2">
        <f>IFERROR(__xludf.DUMMYFUNCTION("""COMPUTED_VALUE"""),1.0)</f>
        <v>1</v>
      </c>
      <c r="E737" s="6">
        <f>IFERROR(__xludf.DUMMYFUNCTION("""COMPUTED_VALUE"""),40148.50902777778)</f>
        <v>40148.50903</v>
      </c>
      <c r="F737" s="2">
        <f>IFERROR(__xludf.DUMMYFUNCTION("""COMPUTED_VALUE"""),2.95)</f>
        <v>2.95</v>
      </c>
      <c r="G737" s="2">
        <f>IFERROR(__xludf.DUMMYFUNCTION("""COMPUTED_VALUE"""),16393.0)</f>
        <v>16393</v>
      </c>
      <c r="H737" s="2" t="str">
        <f>IFERROR(__xludf.DUMMYFUNCTION("""COMPUTED_VALUE"""),"United Kingdom")</f>
        <v>United Kingdom</v>
      </c>
      <c r="I737" s="7">
        <f>IFERROR(__xludf.DUMMYFUNCTION("""COMPUTED_VALUE"""),40148.0)</f>
        <v>40148</v>
      </c>
      <c r="J737" s="8">
        <f>IFERROR(__xludf.DUMMYFUNCTION("""COMPUTED_VALUE"""),0.5090277777781012)</f>
        <v>0.5090277778</v>
      </c>
      <c r="K737" s="2">
        <f>IFERROR(__xludf.DUMMYFUNCTION("""COMPUTED_VALUE"""),12.0)</f>
        <v>12</v>
      </c>
      <c r="L737" s="2">
        <f>IFERROR(__xludf.DUMMYFUNCTION("""COMPUTED_VALUE"""),2.95)</f>
        <v>2.95</v>
      </c>
    </row>
    <row r="738">
      <c r="A738" s="2">
        <f>IFERROR(__xludf.DUMMYFUNCTION("""COMPUTED_VALUE"""),489536.0)</f>
        <v>489536</v>
      </c>
      <c r="B738" s="2" t="str">
        <f>IFERROR(__xludf.DUMMYFUNCTION("""COMPUTED_VALUE"""),"22295")</f>
        <v>22295</v>
      </c>
      <c r="C738" s="2" t="str">
        <f>IFERROR(__xludf.DUMMYFUNCTION("""COMPUTED_VALUE"""),"HEART FILIGREE DOVE LARGE")</f>
        <v>HEART FILIGREE DOVE LARGE</v>
      </c>
      <c r="D738" s="2">
        <f>IFERROR(__xludf.DUMMYFUNCTION("""COMPUTED_VALUE"""),2.0)</f>
        <v>2</v>
      </c>
      <c r="E738" s="6">
        <f>IFERROR(__xludf.DUMMYFUNCTION("""COMPUTED_VALUE"""),40148.50902777778)</f>
        <v>40148.50903</v>
      </c>
      <c r="F738" s="2">
        <f>IFERROR(__xludf.DUMMYFUNCTION("""COMPUTED_VALUE"""),1.65)</f>
        <v>1.65</v>
      </c>
      <c r="G738" s="2">
        <f>IFERROR(__xludf.DUMMYFUNCTION("""COMPUTED_VALUE"""),16393.0)</f>
        <v>16393</v>
      </c>
      <c r="H738" s="2" t="str">
        <f>IFERROR(__xludf.DUMMYFUNCTION("""COMPUTED_VALUE"""),"United Kingdom")</f>
        <v>United Kingdom</v>
      </c>
      <c r="I738" s="7">
        <f>IFERROR(__xludf.DUMMYFUNCTION("""COMPUTED_VALUE"""),40148.0)</f>
        <v>40148</v>
      </c>
      <c r="J738" s="8">
        <f>IFERROR(__xludf.DUMMYFUNCTION("""COMPUTED_VALUE"""),0.5090277777781012)</f>
        <v>0.5090277778</v>
      </c>
      <c r="K738" s="2">
        <f>IFERROR(__xludf.DUMMYFUNCTION("""COMPUTED_VALUE"""),12.0)</f>
        <v>12</v>
      </c>
      <c r="L738" s="2">
        <f>IFERROR(__xludf.DUMMYFUNCTION("""COMPUTED_VALUE"""),3.3)</f>
        <v>3.3</v>
      </c>
    </row>
    <row r="739">
      <c r="A739" s="2">
        <f>IFERROR(__xludf.DUMMYFUNCTION("""COMPUTED_VALUE"""),489536.0)</f>
        <v>489536</v>
      </c>
      <c r="B739" s="2" t="str">
        <f>IFERROR(__xludf.DUMMYFUNCTION("""COMPUTED_VALUE"""),"85170A")</f>
        <v>85170A</v>
      </c>
      <c r="C739" s="2" t="str">
        <f>IFERROR(__xludf.DUMMYFUNCTION("""COMPUTED_VALUE"""),"SET/6 IVORY BIRD T-LIGHT CANDLES")</f>
        <v>SET/6 IVORY BIRD T-LIGHT CANDLES</v>
      </c>
      <c r="D739" s="2">
        <f>IFERROR(__xludf.DUMMYFUNCTION("""COMPUTED_VALUE"""),1.0)</f>
        <v>1</v>
      </c>
      <c r="E739" s="6">
        <f>IFERROR(__xludf.DUMMYFUNCTION("""COMPUTED_VALUE"""),40148.50902777778)</f>
        <v>40148.50903</v>
      </c>
      <c r="F739" s="2">
        <f>IFERROR(__xludf.DUMMYFUNCTION("""COMPUTED_VALUE"""),2.1)</f>
        <v>2.1</v>
      </c>
      <c r="G739" s="2">
        <f>IFERROR(__xludf.DUMMYFUNCTION("""COMPUTED_VALUE"""),16393.0)</f>
        <v>16393</v>
      </c>
      <c r="H739" s="2" t="str">
        <f>IFERROR(__xludf.DUMMYFUNCTION("""COMPUTED_VALUE"""),"United Kingdom")</f>
        <v>United Kingdom</v>
      </c>
      <c r="I739" s="7">
        <f>IFERROR(__xludf.DUMMYFUNCTION("""COMPUTED_VALUE"""),40148.0)</f>
        <v>40148</v>
      </c>
      <c r="J739" s="8">
        <f>IFERROR(__xludf.DUMMYFUNCTION("""COMPUTED_VALUE"""),0.5090277777781012)</f>
        <v>0.5090277778</v>
      </c>
      <c r="K739" s="2">
        <f>IFERROR(__xludf.DUMMYFUNCTION("""COMPUTED_VALUE"""),12.0)</f>
        <v>12</v>
      </c>
      <c r="L739" s="2">
        <f>IFERROR(__xludf.DUMMYFUNCTION("""COMPUTED_VALUE"""),2.1)</f>
        <v>2.1</v>
      </c>
    </row>
    <row r="740">
      <c r="A740" s="2">
        <f>IFERROR(__xludf.DUMMYFUNCTION("""COMPUTED_VALUE"""),489536.0)</f>
        <v>489536</v>
      </c>
      <c r="B740" s="2" t="str">
        <f>IFERROR(__xludf.DUMMYFUNCTION("""COMPUTED_VALUE"""),"85033S")</f>
        <v>85033S</v>
      </c>
      <c r="C740" s="2" t="str">
        <f>IFERROR(__xludf.DUMMYFUNCTION("""COMPUTED_VALUE"""),"SET/6 SILVER REINDEER T-LIGHTS")</f>
        <v>SET/6 SILVER REINDEER T-LIGHTS</v>
      </c>
      <c r="D740" s="2">
        <f>IFERROR(__xludf.DUMMYFUNCTION("""COMPUTED_VALUE"""),1.0)</f>
        <v>1</v>
      </c>
      <c r="E740" s="6">
        <f>IFERROR(__xludf.DUMMYFUNCTION("""COMPUTED_VALUE"""),40148.50902777778)</f>
        <v>40148.50903</v>
      </c>
      <c r="F740" s="2">
        <f>IFERROR(__xludf.DUMMYFUNCTION("""COMPUTED_VALUE"""),1.95)</f>
        <v>1.95</v>
      </c>
      <c r="G740" s="2">
        <f>IFERROR(__xludf.DUMMYFUNCTION("""COMPUTED_VALUE"""),16393.0)</f>
        <v>16393</v>
      </c>
      <c r="H740" s="2" t="str">
        <f>IFERROR(__xludf.DUMMYFUNCTION("""COMPUTED_VALUE"""),"United Kingdom")</f>
        <v>United Kingdom</v>
      </c>
      <c r="I740" s="7">
        <f>IFERROR(__xludf.DUMMYFUNCTION("""COMPUTED_VALUE"""),40148.0)</f>
        <v>40148</v>
      </c>
      <c r="J740" s="8">
        <f>IFERROR(__xludf.DUMMYFUNCTION("""COMPUTED_VALUE"""),0.5090277777781012)</f>
        <v>0.5090277778</v>
      </c>
      <c r="K740" s="2">
        <f>IFERROR(__xludf.DUMMYFUNCTION("""COMPUTED_VALUE"""),12.0)</f>
        <v>12</v>
      </c>
      <c r="L740" s="2">
        <f>IFERROR(__xludf.DUMMYFUNCTION("""COMPUTED_VALUE"""),1.95)</f>
        <v>1.95</v>
      </c>
    </row>
    <row r="741">
      <c r="A741" s="2">
        <f>IFERROR(__xludf.DUMMYFUNCTION("""COMPUTED_VALUE"""),489536.0)</f>
        <v>489536</v>
      </c>
      <c r="B741" s="2" t="str">
        <f>IFERROR(__xludf.DUMMYFUNCTION("""COMPUTED_VALUE"""),"35991")</f>
        <v>35991</v>
      </c>
      <c r="C741" s="2" t="str">
        <f>IFERROR(__xludf.DUMMYFUNCTION("""COMPUTED_VALUE"""),"SET/6 BLACK SNOWFLAKE T-LIGHTS")</f>
        <v>SET/6 BLACK SNOWFLAKE T-LIGHTS</v>
      </c>
      <c r="D741" s="2">
        <f>IFERROR(__xludf.DUMMYFUNCTION("""COMPUTED_VALUE"""),1.0)</f>
        <v>1</v>
      </c>
      <c r="E741" s="6">
        <f>IFERROR(__xludf.DUMMYFUNCTION("""COMPUTED_VALUE"""),40148.50902777778)</f>
        <v>40148.50903</v>
      </c>
      <c r="F741" s="2">
        <f>IFERROR(__xludf.DUMMYFUNCTION("""COMPUTED_VALUE"""),1.69)</f>
        <v>1.69</v>
      </c>
      <c r="G741" s="2">
        <f>IFERROR(__xludf.DUMMYFUNCTION("""COMPUTED_VALUE"""),16393.0)</f>
        <v>16393</v>
      </c>
      <c r="H741" s="2" t="str">
        <f>IFERROR(__xludf.DUMMYFUNCTION("""COMPUTED_VALUE"""),"United Kingdom")</f>
        <v>United Kingdom</v>
      </c>
      <c r="I741" s="7">
        <f>IFERROR(__xludf.DUMMYFUNCTION("""COMPUTED_VALUE"""),40148.0)</f>
        <v>40148</v>
      </c>
      <c r="J741" s="8">
        <f>IFERROR(__xludf.DUMMYFUNCTION("""COMPUTED_VALUE"""),0.5090277777781012)</f>
        <v>0.5090277778</v>
      </c>
      <c r="K741" s="2">
        <f>IFERROR(__xludf.DUMMYFUNCTION("""COMPUTED_VALUE"""),12.0)</f>
        <v>12</v>
      </c>
      <c r="L741" s="2">
        <f>IFERROR(__xludf.DUMMYFUNCTION("""COMPUTED_VALUE"""),1.69)</f>
        <v>1.69</v>
      </c>
    </row>
    <row r="742">
      <c r="A742" s="2">
        <f>IFERROR(__xludf.DUMMYFUNCTION("""COMPUTED_VALUE"""),489536.0)</f>
        <v>489536</v>
      </c>
      <c r="B742" s="2" t="str">
        <f>IFERROR(__xludf.DUMMYFUNCTION("""COMPUTED_VALUE"""),"22185")</f>
        <v>22185</v>
      </c>
      <c r="C742" s="2" t="str">
        <f>IFERROR(__xludf.DUMMYFUNCTION("""COMPUTED_VALUE"""),"SLATE TILE NATURAL HANGING")</f>
        <v>SLATE TILE NATURAL HANGING</v>
      </c>
      <c r="D742" s="2">
        <f>IFERROR(__xludf.DUMMYFUNCTION("""COMPUTED_VALUE"""),2.0)</f>
        <v>2</v>
      </c>
      <c r="E742" s="6">
        <f>IFERROR(__xludf.DUMMYFUNCTION("""COMPUTED_VALUE"""),40148.50902777778)</f>
        <v>40148.50903</v>
      </c>
      <c r="F742" s="2">
        <f>IFERROR(__xludf.DUMMYFUNCTION("""COMPUTED_VALUE"""),1.65)</f>
        <v>1.65</v>
      </c>
      <c r="G742" s="2">
        <f>IFERROR(__xludf.DUMMYFUNCTION("""COMPUTED_VALUE"""),16393.0)</f>
        <v>16393</v>
      </c>
      <c r="H742" s="2" t="str">
        <f>IFERROR(__xludf.DUMMYFUNCTION("""COMPUTED_VALUE"""),"United Kingdom")</f>
        <v>United Kingdom</v>
      </c>
      <c r="I742" s="7">
        <f>IFERROR(__xludf.DUMMYFUNCTION("""COMPUTED_VALUE"""),40148.0)</f>
        <v>40148</v>
      </c>
      <c r="J742" s="8">
        <f>IFERROR(__xludf.DUMMYFUNCTION("""COMPUTED_VALUE"""),0.5090277777781012)</f>
        <v>0.5090277778</v>
      </c>
      <c r="K742" s="2">
        <f>IFERROR(__xludf.DUMMYFUNCTION("""COMPUTED_VALUE"""),12.0)</f>
        <v>12</v>
      </c>
      <c r="L742" s="2">
        <f>IFERROR(__xludf.DUMMYFUNCTION("""COMPUTED_VALUE"""),3.3)</f>
        <v>3.3</v>
      </c>
    </row>
    <row r="743">
      <c r="A743" s="2">
        <f>IFERROR(__xludf.DUMMYFUNCTION("""COMPUTED_VALUE"""),489536.0)</f>
        <v>489536</v>
      </c>
      <c r="B743" s="2" t="str">
        <f>IFERROR(__xludf.DUMMYFUNCTION("""COMPUTED_VALUE"""),"21786")</f>
        <v>21786</v>
      </c>
      <c r="C743" s="2" t="str">
        <f>IFERROR(__xludf.DUMMYFUNCTION("""COMPUTED_VALUE"""),"RAIN HAT WITH RED SPOTS")</f>
        <v>RAIN HAT WITH RED SPOTS</v>
      </c>
      <c r="D743" s="2">
        <f>IFERROR(__xludf.DUMMYFUNCTION("""COMPUTED_VALUE"""),1.0)</f>
        <v>1</v>
      </c>
      <c r="E743" s="6">
        <f>IFERROR(__xludf.DUMMYFUNCTION("""COMPUTED_VALUE"""),40148.50902777778)</f>
        <v>40148.50903</v>
      </c>
      <c r="F743" s="2">
        <f>IFERROR(__xludf.DUMMYFUNCTION("""COMPUTED_VALUE"""),0.42)</f>
        <v>0.42</v>
      </c>
      <c r="G743" s="2">
        <f>IFERROR(__xludf.DUMMYFUNCTION("""COMPUTED_VALUE"""),16393.0)</f>
        <v>16393</v>
      </c>
      <c r="H743" s="2" t="str">
        <f>IFERROR(__xludf.DUMMYFUNCTION("""COMPUTED_VALUE"""),"United Kingdom")</f>
        <v>United Kingdom</v>
      </c>
      <c r="I743" s="7">
        <f>IFERROR(__xludf.DUMMYFUNCTION("""COMPUTED_VALUE"""),40148.0)</f>
        <v>40148</v>
      </c>
      <c r="J743" s="8">
        <f>IFERROR(__xludf.DUMMYFUNCTION("""COMPUTED_VALUE"""),0.5090277777781012)</f>
        <v>0.5090277778</v>
      </c>
      <c r="K743" s="2">
        <f>IFERROR(__xludf.DUMMYFUNCTION("""COMPUTED_VALUE"""),12.0)</f>
        <v>12</v>
      </c>
      <c r="L743" s="2">
        <f>IFERROR(__xludf.DUMMYFUNCTION("""COMPUTED_VALUE"""),0.42)</f>
        <v>0.42</v>
      </c>
    </row>
    <row r="744">
      <c r="A744" s="2">
        <f>IFERROR(__xludf.DUMMYFUNCTION("""COMPUTED_VALUE"""),489536.0)</f>
        <v>489536</v>
      </c>
      <c r="B744" s="2" t="str">
        <f>IFERROR(__xludf.DUMMYFUNCTION("""COMPUTED_VALUE"""),"20752")</f>
        <v>20752</v>
      </c>
      <c r="C744" s="2" t="str">
        <f>IFERROR(__xludf.DUMMYFUNCTION("""COMPUTED_VALUE"""),"RETRO BLUE SPOTTY WASHING UP GLOVES")</f>
        <v>RETRO BLUE SPOTTY WASHING UP GLOVES</v>
      </c>
      <c r="D744" s="2">
        <f>IFERROR(__xludf.DUMMYFUNCTION("""COMPUTED_VALUE"""),1.0)</f>
        <v>1</v>
      </c>
      <c r="E744" s="6">
        <f>IFERROR(__xludf.DUMMYFUNCTION("""COMPUTED_VALUE"""),40148.50902777778)</f>
        <v>40148.50903</v>
      </c>
      <c r="F744" s="2">
        <f>IFERROR(__xludf.DUMMYFUNCTION("""COMPUTED_VALUE"""),2.1)</f>
        <v>2.1</v>
      </c>
      <c r="G744" s="2">
        <f>IFERROR(__xludf.DUMMYFUNCTION("""COMPUTED_VALUE"""),16393.0)</f>
        <v>16393</v>
      </c>
      <c r="H744" s="2" t="str">
        <f>IFERROR(__xludf.DUMMYFUNCTION("""COMPUTED_VALUE"""),"United Kingdom")</f>
        <v>United Kingdom</v>
      </c>
      <c r="I744" s="7">
        <f>IFERROR(__xludf.DUMMYFUNCTION("""COMPUTED_VALUE"""),40148.0)</f>
        <v>40148</v>
      </c>
      <c r="J744" s="8">
        <f>IFERROR(__xludf.DUMMYFUNCTION("""COMPUTED_VALUE"""),0.5090277777781012)</f>
        <v>0.5090277778</v>
      </c>
      <c r="K744" s="2">
        <f>IFERROR(__xludf.DUMMYFUNCTION("""COMPUTED_VALUE"""),12.0)</f>
        <v>12</v>
      </c>
      <c r="L744" s="2">
        <f>IFERROR(__xludf.DUMMYFUNCTION("""COMPUTED_VALUE"""),2.1)</f>
        <v>2.1</v>
      </c>
    </row>
    <row r="745">
      <c r="A745" s="2">
        <f>IFERROR(__xludf.DUMMYFUNCTION("""COMPUTED_VALUE"""),489536.0)</f>
        <v>489536</v>
      </c>
      <c r="B745" s="2" t="str">
        <f>IFERROR(__xludf.DUMMYFUNCTION("""COMPUTED_VALUE"""),"20754")</f>
        <v>20754</v>
      </c>
      <c r="C745" s="2" t="str">
        <f>IFERROR(__xludf.DUMMYFUNCTION("""COMPUTED_VALUE"""),"RETRO RED SPOTTY WASHING UP GLOVES")</f>
        <v>RETRO RED SPOTTY WASHING UP GLOVES</v>
      </c>
      <c r="D745" s="2">
        <f>IFERROR(__xludf.DUMMYFUNCTION("""COMPUTED_VALUE"""),1.0)</f>
        <v>1</v>
      </c>
      <c r="E745" s="6">
        <f>IFERROR(__xludf.DUMMYFUNCTION("""COMPUTED_VALUE"""),40148.50902777778)</f>
        <v>40148.50903</v>
      </c>
      <c r="F745" s="2">
        <f>IFERROR(__xludf.DUMMYFUNCTION("""COMPUTED_VALUE"""),2.1)</f>
        <v>2.1</v>
      </c>
      <c r="G745" s="2">
        <f>IFERROR(__xludf.DUMMYFUNCTION("""COMPUTED_VALUE"""),16393.0)</f>
        <v>16393</v>
      </c>
      <c r="H745" s="2" t="str">
        <f>IFERROR(__xludf.DUMMYFUNCTION("""COMPUTED_VALUE"""),"United Kingdom")</f>
        <v>United Kingdom</v>
      </c>
      <c r="I745" s="7">
        <f>IFERROR(__xludf.DUMMYFUNCTION("""COMPUTED_VALUE"""),40148.0)</f>
        <v>40148</v>
      </c>
      <c r="J745" s="8">
        <f>IFERROR(__xludf.DUMMYFUNCTION("""COMPUTED_VALUE"""),0.5090277777781012)</f>
        <v>0.5090277778</v>
      </c>
      <c r="K745" s="2">
        <f>IFERROR(__xludf.DUMMYFUNCTION("""COMPUTED_VALUE"""),12.0)</f>
        <v>12</v>
      </c>
      <c r="L745" s="2">
        <f>IFERROR(__xludf.DUMMYFUNCTION("""COMPUTED_VALUE"""),2.1)</f>
        <v>2.1</v>
      </c>
    </row>
    <row r="746">
      <c r="A746" s="2">
        <f>IFERROR(__xludf.DUMMYFUNCTION("""COMPUTED_VALUE"""),489536.0)</f>
        <v>489536</v>
      </c>
      <c r="B746" s="2" t="str">
        <f>IFERROR(__xludf.DUMMYFUNCTION("""COMPUTED_VALUE"""),"84388")</f>
        <v>84388</v>
      </c>
      <c r="C746" s="2" t="str">
        <f>IFERROR(__xludf.DUMMYFUNCTION("""COMPUTED_VALUE"""),"WISE MAN STAR SHAPE EGG PAN")</f>
        <v>WISE MAN STAR SHAPE EGG PAN</v>
      </c>
      <c r="D746" s="2">
        <f>IFERROR(__xludf.DUMMYFUNCTION("""COMPUTED_VALUE"""),1.0)</f>
        <v>1</v>
      </c>
      <c r="E746" s="6">
        <f>IFERROR(__xludf.DUMMYFUNCTION("""COMPUTED_VALUE"""),40148.50902777778)</f>
        <v>40148.50903</v>
      </c>
      <c r="F746" s="2">
        <f>IFERROR(__xludf.DUMMYFUNCTION("""COMPUTED_VALUE"""),1.65)</f>
        <v>1.65</v>
      </c>
      <c r="G746" s="2">
        <f>IFERROR(__xludf.DUMMYFUNCTION("""COMPUTED_VALUE"""),16393.0)</f>
        <v>16393</v>
      </c>
      <c r="H746" s="2" t="str">
        <f>IFERROR(__xludf.DUMMYFUNCTION("""COMPUTED_VALUE"""),"United Kingdom")</f>
        <v>United Kingdom</v>
      </c>
      <c r="I746" s="7">
        <f>IFERROR(__xludf.DUMMYFUNCTION("""COMPUTED_VALUE"""),40148.0)</f>
        <v>40148</v>
      </c>
      <c r="J746" s="8">
        <f>IFERROR(__xludf.DUMMYFUNCTION("""COMPUTED_VALUE"""),0.5090277777781012)</f>
        <v>0.5090277778</v>
      </c>
      <c r="K746" s="2">
        <f>IFERROR(__xludf.DUMMYFUNCTION("""COMPUTED_VALUE"""),12.0)</f>
        <v>12</v>
      </c>
      <c r="L746" s="2">
        <f>IFERROR(__xludf.DUMMYFUNCTION("""COMPUTED_VALUE"""),1.65)</f>
        <v>1.65</v>
      </c>
    </row>
    <row r="747">
      <c r="A747" s="2">
        <f>IFERROR(__xludf.DUMMYFUNCTION("""COMPUTED_VALUE"""),489536.0)</f>
        <v>489536</v>
      </c>
      <c r="B747" s="2" t="str">
        <f>IFERROR(__xludf.DUMMYFUNCTION("""COMPUTED_VALUE"""),"21865")</f>
        <v>21865</v>
      </c>
      <c r="C747" s="2" t="str">
        <f>IFERROR(__xludf.DUMMYFUNCTION("""COMPUTED_VALUE"""),"PINK UNION JACK PASSPORT COVER")</f>
        <v>PINK UNION JACK PASSPORT COVER</v>
      </c>
      <c r="D747" s="2">
        <f>IFERROR(__xludf.DUMMYFUNCTION("""COMPUTED_VALUE"""),1.0)</f>
        <v>1</v>
      </c>
      <c r="E747" s="6">
        <f>IFERROR(__xludf.DUMMYFUNCTION("""COMPUTED_VALUE"""),40148.50902777778)</f>
        <v>40148.50903</v>
      </c>
      <c r="F747" s="2">
        <f>IFERROR(__xludf.DUMMYFUNCTION("""COMPUTED_VALUE"""),2.1)</f>
        <v>2.1</v>
      </c>
      <c r="G747" s="2">
        <f>IFERROR(__xludf.DUMMYFUNCTION("""COMPUTED_VALUE"""),16393.0)</f>
        <v>16393</v>
      </c>
      <c r="H747" s="2" t="str">
        <f>IFERROR(__xludf.DUMMYFUNCTION("""COMPUTED_VALUE"""),"United Kingdom")</f>
        <v>United Kingdom</v>
      </c>
      <c r="I747" s="7">
        <f>IFERROR(__xludf.DUMMYFUNCTION("""COMPUTED_VALUE"""),40148.0)</f>
        <v>40148</v>
      </c>
      <c r="J747" s="8">
        <f>IFERROR(__xludf.DUMMYFUNCTION("""COMPUTED_VALUE"""),0.5090277777781012)</f>
        <v>0.5090277778</v>
      </c>
      <c r="K747" s="2">
        <f>IFERROR(__xludf.DUMMYFUNCTION("""COMPUTED_VALUE"""),12.0)</f>
        <v>12</v>
      </c>
      <c r="L747" s="2">
        <f>IFERROR(__xludf.DUMMYFUNCTION("""COMPUTED_VALUE"""),2.1)</f>
        <v>2.1</v>
      </c>
    </row>
    <row r="748">
      <c r="A748" s="2">
        <f>IFERROR(__xludf.DUMMYFUNCTION("""COMPUTED_VALUE"""),489536.0)</f>
        <v>489536</v>
      </c>
      <c r="B748" s="2" t="str">
        <f>IFERROR(__xludf.DUMMYFUNCTION("""COMPUTED_VALUE"""),"21832")</f>
        <v>21832</v>
      </c>
      <c r="C748" s="2" t="str">
        <f>IFERROR(__xludf.DUMMYFUNCTION("""COMPUTED_VALUE"""),"CHOCOLATE CALCULATOR")</f>
        <v>CHOCOLATE CALCULATOR</v>
      </c>
      <c r="D748" s="2">
        <f>IFERROR(__xludf.DUMMYFUNCTION("""COMPUTED_VALUE"""),1.0)</f>
        <v>1</v>
      </c>
      <c r="E748" s="6">
        <f>IFERROR(__xludf.DUMMYFUNCTION("""COMPUTED_VALUE"""),40148.50902777778)</f>
        <v>40148.50903</v>
      </c>
      <c r="F748" s="2">
        <f>IFERROR(__xludf.DUMMYFUNCTION("""COMPUTED_VALUE"""),1.65)</f>
        <v>1.65</v>
      </c>
      <c r="G748" s="2">
        <f>IFERROR(__xludf.DUMMYFUNCTION("""COMPUTED_VALUE"""),16393.0)</f>
        <v>16393</v>
      </c>
      <c r="H748" s="2" t="str">
        <f>IFERROR(__xludf.DUMMYFUNCTION("""COMPUTED_VALUE"""),"United Kingdom")</f>
        <v>United Kingdom</v>
      </c>
      <c r="I748" s="7">
        <f>IFERROR(__xludf.DUMMYFUNCTION("""COMPUTED_VALUE"""),40148.0)</f>
        <v>40148</v>
      </c>
      <c r="J748" s="8">
        <f>IFERROR(__xludf.DUMMYFUNCTION("""COMPUTED_VALUE"""),0.5090277777781012)</f>
        <v>0.5090277778</v>
      </c>
      <c r="K748" s="2">
        <f>IFERROR(__xludf.DUMMYFUNCTION("""COMPUTED_VALUE"""),12.0)</f>
        <v>12</v>
      </c>
      <c r="L748" s="2">
        <f>IFERROR(__xludf.DUMMYFUNCTION("""COMPUTED_VALUE"""),1.65)</f>
        <v>1.65</v>
      </c>
    </row>
    <row r="749">
      <c r="A749" s="2">
        <f>IFERROR(__xludf.DUMMYFUNCTION("""COMPUTED_VALUE"""),489536.0)</f>
        <v>489536</v>
      </c>
      <c r="B749" s="2" t="str">
        <f>IFERROR(__xludf.DUMMYFUNCTION("""COMPUTED_VALUE"""),"85071A")</f>
        <v>85071A</v>
      </c>
      <c r="C749" s="2" t="str">
        <f>IFERROR(__xludf.DUMMYFUNCTION("""COMPUTED_VALUE"""),"BLUE CHARLIE+LOLA PERSONAL DOORSIGN")</f>
        <v>BLUE CHARLIE+LOLA PERSONAL DOORSIGN</v>
      </c>
      <c r="D749" s="2">
        <f>IFERROR(__xludf.DUMMYFUNCTION("""COMPUTED_VALUE"""),1.0)</f>
        <v>1</v>
      </c>
      <c r="E749" s="6">
        <f>IFERROR(__xludf.DUMMYFUNCTION("""COMPUTED_VALUE"""),40148.50902777778)</f>
        <v>40148.50903</v>
      </c>
      <c r="F749" s="2">
        <f>IFERROR(__xludf.DUMMYFUNCTION("""COMPUTED_VALUE"""),2.95)</f>
        <v>2.95</v>
      </c>
      <c r="G749" s="2">
        <f>IFERROR(__xludf.DUMMYFUNCTION("""COMPUTED_VALUE"""),16393.0)</f>
        <v>16393</v>
      </c>
      <c r="H749" s="2" t="str">
        <f>IFERROR(__xludf.DUMMYFUNCTION("""COMPUTED_VALUE"""),"United Kingdom")</f>
        <v>United Kingdom</v>
      </c>
      <c r="I749" s="7">
        <f>IFERROR(__xludf.DUMMYFUNCTION("""COMPUTED_VALUE"""),40148.0)</f>
        <v>40148</v>
      </c>
      <c r="J749" s="8">
        <f>IFERROR(__xludf.DUMMYFUNCTION("""COMPUTED_VALUE"""),0.5090277777781012)</f>
        <v>0.5090277778</v>
      </c>
      <c r="K749" s="2">
        <f>IFERROR(__xludf.DUMMYFUNCTION("""COMPUTED_VALUE"""),12.0)</f>
        <v>12</v>
      </c>
      <c r="L749" s="2">
        <f>IFERROR(__xludf.DUMMYFUNCTION("""COMPUTED_VALUE"""),2.95)</f>
        <v>2.95</v>
      </c>
    </row>
    <row r="750">
      <c r="A750" s="2">
        <f>IFERROR(__xludf.DUMMYFUNCTION("""COMPUTED_VALUE"""),489536.0)</f>
        <v>489536</v>
      </c>
      <c r="B750" s="2" t="str">
        <f>IFERROR(__xludf.DUMMYFUNCTION("""COMPUTED_VALUE"""),"85071B")</f>
        <v>85071B</v>
      </c>
      <c r="C750" s="2" t="str">
        <f>IFERROR(__xludf.DUMMYFUNCTION("""COMPUTED_VALUE"""),"RED CHARLIE+LOLA PERSONAL DOORSIGN")</f>
        <v>RED CHARLIE+LOLA PERSONAL DOORSIGN</v>
      </c>
      <c r="D750" s="2">
        <f>IFERROR(__xludf.DUMMYFUNCTION("""COMPUTED_VALUE"""),1.0)</f>
        <v>1</v>
      </c>
      <c r="E750" s="6">
        <f>IFERROR(__xludf.DUMMYFUNCTION("""COMPUTED_VALUE"""),40148.50902777778)</f>
        <v>40148.50903</v>
      </c>
      <c r="F750" s="2">
        <f>IFERROR(__xludf.DUMMYFUNCTION("""COMPUTED_VALUE"""),2.95)</f>
        <v>2.95</v>
      </c>
      <c r="G750" s="2">
        <f>IFERROR(__xludf.DUMMYFUNCTION("""COMPUTED_VALUE"""),16393.0)</f>
        <v>16393</v>
      </c>
      <c r="H750" s="2" t="str">
        <f>IFERROR(__xludf.DUMMYFUNCTION("""COMPUTED_VALUE"""),"United Kingdom")</f>
        <v>United Kingdom</v>
      </c>
      <c r="I750" s="7">
        <f>IFERROR(__xludf.DUMMYFUNCTION("""COMPUTED_VALUE"""),40148.0)</f>
        <v>40148</v>
      </c>
      <c r="J750" s="8">
        <f>IFERROR(__xludf.DUMMYFUNCTION("""COMPUTED_VALUE"""),0.5090277777781012)</f>
        <v>0.5090277778</v>
      </c>
      <c r="K750" s="2">
        <f>IFERROR(__xludf.DUMMYFUNCTION("""COMPUTED_VALUE"""),12.0)</f>
        <v>12</v>
      </c>
      <c r="L750" s="2">
        <f>IFERROR(__xludf.DUMMYFUNCTION("""COMPUTED_VALUE"""),2.95)</f>
        <v>2.95</v>
      </c>
    </row>
    <row r="751">
      <c r="A751" s="2">
        <f>IFERROR(__xludf.DUMMYFUNCTION("""COMPUTED_VALUE"""),489536.0)</f>
        <v>489536</v>
      </c>
      <c r="B751" s="2" t="str">
        <f>IFERROR(__xludf.DUMMYFUNCTION("""COMPUTED_VALUE"""),"21948")</f>
        <v>21948</v>
      </c>
      <c r="C751" s="2" t="str">
        <f>IFERROR(__xludf.DUMMYFUNCTION("""COMPUTED_VALUE"""),"SET OF 6 CAKE CHOPSTICKS")</f>
        <v>SET OF 6 CAKE CHOPSTICKS</v>
      </c>
      <c r="D751" s="2">
        <f>IFERROR(__xludf.DUMMYFUNCTION("""COMPUTED_VALUE"""),1.0)</f>
        <v>1</v>
      </c>
      <c r="E751" s="6">
        <f>IFERROR(__xludf.DUMMYFUNCTION("""COMPUTED_VALUE"""),40148.50902777778)</f>
        <v>40148.50903</v>
      </c>
      <c r="F751" s="2">
        <f>IFERROR(__xludf.DUMMYFUNCTION("""COMPUTED_VALUE"""),1.25)</f>
        <v>1.25</v>
      </c>
      <c r="G751" s="2">
        <f>IFERROR(__xludf.DUMMYFUNCTION("""COMPUTED_VALUE"""),16393.0)</f>
        <v>16393</v>
      </c>
      <c r="H751" s="2" t="str">
        <f>IFERROR(__xludf.DUMMYFUNCTION("""COMPUTED_VALUE"""),"United Kingdom")</f>
        <v>United Kingdom</v>
      </c>
      <c r="I751" s="7">
        <f>IFERROR(__xludf.DUMMYFUNCTION("""COMPUTED_VALUE"""),40148.0)</f>
        <v>40148</v>
      </c>
      <c r="J751" s="8">
        <f>IFERROR(__xludf.DUMMYFUNCTION("""COMPUTED_VALUE"""),0.5090277777781012)</f>
        <v>0.5090277778</v>
      </c>
      <c r="K751" s="2">
        <f>IFERROR(__xludf.DUMMYFUNCTION("""COMPUTED_VALUE"""),12.0)</f>
        <v>12</v>
      </c>
      <c r="L751" s="2">
        <f>IFERROR(__xludf.DUMMYFUNCTION("""COMPUTED_VALUE"""),1.25)</f>
        <v>1.25</v>
      </c>
    </row>
    <row r="752">
      <c r="A752" s="2">
        <f>IFERROR(__xludf.DUMMYFUNCTION("""COMPUTED_VALUE"""),489536.0)</f>
        <v>489536</v>
      </c>
      <c r="B752" s="2" t="str">
        <f>IFERROR(__xludf.DUMMYFUNCTION("""COMPUTED_VALUE"""),"21791")</f>
        <v>21791</v>
      </c>
      <c r="C752" s="2" t="str">
        <f>IFERROR(__xludf.DUMMYFUNCTION("""COMPUTED_VALUE"""),"VINTAGE HEADS AND TAILS CARD GAME")</f>
        <v>VINTAGE HEADS AND TAILS CARD GAME</v>
      </c>
      <c r="D752" s="2">
        <f>IFERROR(__xludf.DUMMYFUNCTION("""COMPUTED_VALUE"""),2.0)</f>
        <v>2</v>
      </c>
      <c r="E752" s="6">
        <f>IFERROR(__xludf.DUMMYFUNCTION("""COMPUTED_VALUE"""),40148.50902777778)</f>
        <v>40148.50903</v>
      </c>
      <c r="F752" s="2">
        <f>IFERROR(__xludf.DUMMYFUNCTION("""COMPUTED_VALUE"""),1.25)</f>
        <v>1.25</v>
      </c>
      <c r="G752" s="2">
        <f>IFERROR(__xludf.DUMMYFUNCTION("""COMPUTED_VALUE"""),16393.0)</f>
        <v>16393</v>
      </c>
      <c r="H752" s="2" t="str">
        <f>IFERROR(__xludf.DUMMYFUNCTION("""COMPUTED_VALUE"""),"United Kingdom")</f>
        <v>United Kingdom</v>
      </c>
      <c r="I752" s="7">
        <f>IFERROR(__xludf.DUMMYFUNCTION("""COMPUTED_VALUE"""),40148.0)</f>
        <v>40148</v>
      </c>
      <c r="J752" s="8">
        <f>IFERROR(__xludf.DUMMYFUNCTION("""COMPUTED_VALUE"""),0.5090277777781012)</f>
        <v>0.5090277778</v>
      </c>
      <c r="K752" s="2">
        <f>IFERROR(__xludf.DUMMYFUNCTION("""COMPUTED_VALUE"""),12.0)</f>
        <v>12</v>
      </c>
      <c r="L752" s="2">
        <f>IFERROR(__xludf.DUMMYFUNCTION("""COMPUTED_VALUE"""),2.5)</f>
        <v>2.5</v>
      </c>
    </row>
    <row r="753">
      <c r="A753" s="2">
        <f>IFERROR(__xludf.DUMMYFUNCTION("""COMPUTED_VALUE"""),489536.0)</f>
        <v>489536</v>
      </c>
      <c r="B753" s="2" t="str">
        <f>IFERROR(__xludf.DUMMYFUNCTION("""COMPUTED_VALUE"""),"21918")</f>
        <v>21918</v>
      </c>
      <c r="C753" s="2" t="str">
        <f>IFERROR(__xludf.DUMMYFUNCTION("""COMPUTED_VALUE"""),"SET 12 KIDS COLOUR CHALK STICKS")</f>
        <v>SET 12 KIDS COLOUR CHALK STICKS</v>
      </c>
      <c r="D753" s="2">
        <f>IFERROR(__xludf.DUMMYFUNCTION("""COMPUTED_VALUE"""),2.0)</f>
        <v>2</v>
      </c>
      <c r="E753" s="6">
        <f>IFERROR(__xludf.DUMMYFUNCTION("""COMPUTED_VALUE"""),40148.50902777778)</f>
        <v>40148.50903</v>
      </c>
      <c r="F753" s="2">
        <f>IFERROR(__xludf.DUMMYFUNCTION("""COMPUTED_VALUE"""),0.42)</f>
        <v>0.42</v>
      </c>
      <c r="G753" s="2">
        <f>IFERROR(__xludf.DUMMYFUNCTION("""COMPUTED_VALUE"""),16393.0)</f>
        <v>16393</v>
      </c>
      <c r="H753" s="2" t="str">
        <f>IFERROR(__xludf.DUMMYFUNCTION("""COMPUTED_VALUE"""),"United Kingdom")</f>
        <v>United Kingdom</v>
      </c>
      <c r="I753" s="7">
        <f>IFERROR(__xludf.DUMMYFUNCTION("""COMPUTED_VALUE"""),40148.0)</f>
        <v>40148</v>
      </c>
      <c r="J753" s="8">
        <f>IFERROR(__xludf.DUMMYFUNCTION("""COMPUTED_VALUE"""),0.5090277777781012)</f>
        <v>0.5090277778</v>
      </c>
      <c r="K753" s="2">
        <f>IFERROR(__xludf.DUMMYFUNCTION("""COMPUTED_VALUE"""),12.0)</f>
        <v>12</v>
      </c>
      <c r="L753" s="2">
        <f>IFERROR(__xludf.DUMMYFUNCTION("""COMPUTED_VALUE"""),0.84)</f>
        <v>0.84</v>
      </c>
    </row>
    <row r="754">
      <c r="A754" s="2">
        <f>IFERROR(__xludf.DUMMYFUNCTION("""COMPUTED_VALUE"""),489536.0)</f>
        <v>489536</v>
      </c>
      <c r="B754" s="2" t="str">
        <f>IFERROR(__xludf.DUMMYFUNCTION("""COMPUTED_VALUE"""),"22086")</f>
        <v>22086</v>
      </c>
      <c r="C754" s="2" t="str">
        <f>IFERROR(__xludf.DUMMYFUNCTION("""COMPUTED_VALUE"""),"PAPER CHAIN KIT 50'S CHRISTMAS")</f>
        <v>PAPER CHAIN KIT 50'S CHRISTMAS</v>
      </c>
      <c r="D754" s="2">
        <f>IFERROR(__xludf.DUMMYFUNCTION("""COMPUTED_VALUE"""),2.0)</f>
        <v>2</v>
      </c>
      <c r="E754" s="6">
        <f>IFERROR(__xludf.DUMMYFUNCTION("""COMPUTED_VALUE"""),40148.50902777778)</f>
        <v>40148.50903</v>
      </c>
      <c r="F754" s="2">
        <f>IFERROR(__xludf.DUMMYFUNCTION("""COMPUTED_VALUE"""),2.95)</f>
        <v>2.95</v>
      </c>
      <c r="G754" s="2">
        <f>IFERROR(__xludf.DUMMYFUNCTION("""COMPUTED_VALUE"""),16393.0)</f>
        <v>16393</v>
      </c>
      <c r="H754" s="2" t="str">
        <f>IFERROR(__xludf.DUMMYFUNCTION("""COMPUTED_VALUE"""),"United Kingdom")</f>
        <v>United Kingdom</v>
      </c>
      <c r="I754" s="7">
        <f>IFERROR(__xludf.DUMMYFUNCTION("""COMPUTED_VALUE"""),40148.0)</f>
        <v>40148</v>
      </c>
      <c r="J754" s="8">
        <f>IFERROR(__xludf.DUMMYFUNCTION("""COMPUTED_VALUE"""),0.5090277777781012)</f>
        <v>0.5090277778</v>
      </c>
      <c r="K754" s="2">
        <f>IFERROR(__xludf.DUMMYFUNCTION("""COMPUTED_VALUE"""),12.0)</f>
        <v>12</v>
      </c>
      <c r="L754" s="2">
        <f>IFERROR(__xludf.DUMMYFUNCTION("""COMPUTED_VALUE"""),5.9)</f>
        <v>5.9</v>
      </c>
    </row>
    <row r="755">
      <c r="A755" s="2">
        <f>IFERROR(__xludf.DUMMYFUNCTION("""COMPUTED_VALUE"""),489536.0)</f>
        <v>489536</v>
      </c>
      <c r="B755" s="2" t="str">
        <f>IFERROR(__xludf.DUMMYFUNCTION("""COMPUTED_VALUE"""),"21493")</f>
        <v>21493</v>
      </c>
      <c r="C755" s="2" t="str">
        <f>IFERROR(__xludf.DUMMYFUNCTION("""COMPUTED_VALUE"""),"VINTAGE DESIGN GIFT TAGS")</f>
        <v>VINTAGE DESIGN GIFT TAGS</v>
      </c>
      <c r="D755" s="2">
        <f>IFERROR(__xludf.DUMMYFUNCTION("""COMPUTED_VALUE"""),2.0)</f>
        <v>2</v>
      </c>
      <c r="E755" s="6">
        <f>IFERROR(__xludf.DUMMYFUNCTION("""COMPUTED_VALUE"""),40148.50902777778)</f>
        <v>40148.50903</v>
      </c>
      <c r="F755" s="2">
        <f>IFERROR(__xludf.DUMMYFUNCTION("""COMPUTED_VALUE"""),0.85)</f>
        <v>0.85</v>
      </c>
      <c r="G755" s="2">
        <f>IFERROR(__xludf.DUMMYFUNCTION("""COMPUTED_VALUE"""),16393.0)</f>
        <v>16393</v>
      </c>
      <c r="H755" s="2" t="str">
        <f>IFERROR(__xludf.DUMMYFUNCTION("""COMPUTED_VALUE"""),"United Kingdom")</f>
        <v>United Kingdom</v>
      </c>
      <c r="I755" s="7">
        <f>IFERROR(__xludf.DUMMYFUNCTION("""COMPUTED_VALUE"""),40148.0)</f>
        <v>40148</v>
      </c>
      <c r="J755" s="8">
        <f>IFERROR(__xludf.DUMMYFUNCTION("""COMPUTED_VALUE"""),0.5090277777781012)</f>
        <v>0.5090277778</v>
      </c>
      <c r="K755" s="2">
        <f>IFERROR(__xludf.DUMMYFUNCTION("""COMPUTED_VALUE"""),12.0)</f>
        <v>12</v>
      </c>
      <c r="L755" s="2">
        <f>IFERROR(__xludf.DUMMYFUNCTION("""COMPUTED_VALUE"""),1.7)</f>
        <v>1.7</v>
      </c>
    </row>
    <row r="756">
      <c r="A756" s="2">
        <f>IFERROR(__xludf.DUMMYFUNCTION("""COMPUTED_VALUE"""),489536.0)</f>
        <v>489536</v>
      </c>
      <c r="B756" s="2" t="str">
        <f>IFERROR(__xludf.DUMMYFUNCTION("""COMPUTED_VALUE"""),"21491")</f>
        <v>21491</v>
      </c>
      <c r="C756" s="2" t="str">
        <f>IFERROR(__xludf.DUMMYFUNCTION("""COMPUTED_VALUE"""),"SET OF THREE VINTAGE GIFT WRAPS")</f>
        <v>SET OF THREE VINTAGE GIFT WRAPS</v>
      </c>
      <c r="D756" s="2">
        <f>IFERROR(__xludf.DUMMYFUNCTION("""COMPUTED_VALUE"""),2.0)</f>
        <v>2</v>
      </c>
      <c r="E756" s="6">
        <f>IFERROR(__xludf.DUMMYFUNCTION("""COMPUTED_VALUE"""),40148.50902777778)</f>
        <v>40148.50903</v>
      </c>
      <c r="F756" s="2">
        <f>IFERROR(__xludf.DUMMYFUNCTION("""COMPUTED_VALUE"""),1.95)</f>
        <v>1.95</v>
      </c>
      <c r="G756" s="2">
        <f>IFERROR(__xludf.DUMMYFUNCTION("""COMPUTED_VALUE"""),16393.0)</f>
        <v>16393</v>
      </c>
      <c r="H756" s="2" t="str">
        <f>IFERROR(__xludf.DUMMYFUNCTION("""COMPUTED_VALUE"""),"United Kingdom")</f>
        <v>United Kingdom</v>
      </c>
      <c r="I756" s="7">
        <f>IFERROR(__xludf.DUMMYFUNCTION("""COMPUTED_VALUE"""),40148.0)</f>
        <v>40148</v>
      </c>
      <c r="J756" s="8">
        <f>IFERROR(__xludf.DUMMYFUNCTION("""COMPUTED_VALUE"""),0.5090277777781012)</f>
        <v>0.5090277778</v>
      </c>
      <c r="K756" s="2">
        <f>IFERROR(__xludf.DUMMYFUNCTION("""COMPUTED_VALUE"""),12.0)</f>
        <v>12</v>
      </c>
      <c r="L756" s="2">
        <f>IFERROR(__xludf.DUMMYFUNCTION("""COMPUTED_VALUE"""),3.9)</f>
        <v>3.9</v>
      </c>
    </row>
    <row r="757">
      <c r="A757" s="2">
        <f>IFERROR(__xludf.DUMMYFUNCTION("""COMPUTED_VALUE"""),489536.0)</f>
        <v>489536</v>
      </c>
      <c r="B757" s="2" t="str">
        <f>IFERROR(__xludf.DUMMYFUNCTION("""COMPUTED_VALUE"""),"51012C")</f>
        <v>51012C</v>
      </c>
      <c r="C757" s="2" t="str">
        <f>IFERROR(__xludf.DUMMYFUNCTION("""COMPUTED_VALUE"""),"FEATHER DUSTER, COAL BLACK")</f>
        <v>FEATHER DUSTER, COAL BLACK</v>
      </c>
      <c r="D757" s="2">
        <f>IFERROR(__xludf.DUMMYFUNCTION("""COMPUTED_VALUE"""),1.0)</f>
        <v>1</v>
      </c>
      <c r="E757" s="6">
        <f>IFERROR(__xludf.DUMMYFUNCTION("""COMPUTED_VALUE"""),40148.50902777778)</f>
        <v>40148.50903</v>
      </c>
      <c r="F757" s="2">
        <f>IFERROR(__xludf.DUMMYFUNCTION("""COMPUTED_VALUE"""),1.25)</f>
        <v>1.25</v>
      </c>
      <c r="G757" s="2">
        <f>IFERROR(__xludf.DUMMYFUNCTION("""COMPUTED_VALUE"""),16393.0)</f>
        <v>16393</v>
      </c>
      <c r="H757" s="2" t="str">
        <f>IFERROR(__xludf.DUMMYFUNCTION("""COMPUTED_VALUE"""),"United Kingdom")</f>
        <v>United Kingdom</v>
      </c>
      <c r="I757" s="7">
        <f>IFERROR(__xludf.DUMMYFUNCTION("""COMPUTED_VALUE"""),40148.0)</f>
        <v>40148</v>
      </c>
      <c r="J757" s="8">
        <f>IFERROR(__xludf.DUMMYFUNCTION("""COMPUTED_VALUE"""),0.5090277777781012)</f>
        <v>0.5090277778</v>
      </c>
      <c r="K757" s="2">
        <f>IFERROR(__xludf.DUMMYFUNCTION("""COMPUTED_VALUE"""),12.0)</f>
        <v>12</v>
      </c>
      <c r="L757" s="2">
        <f>IFERROR(__xludf.DUMMYFUNCTION("""COMPUTED_VALUE"""),1.25)</f>
        <v>1.25</v>
      </c>
    </row>
    <row r="758">
      <c r="A758" s="2">
        <f>IFERROR(__xludf.DUMMYFUNCTION("""COMPUTED_VALUE"""),489536.0)</f>
        <v>489536</v>
      </c>
      <c r="B758" s="2" t="str">
        <f>IFERROR(__xludf.DUMMYFUNCTION("""COMPUTED_VALUE"""),"21034")</f>
        <v>21034</v>
      </c>
      <c r="C758" s="2" t="str">
        <f>IFERROR(__xludf.DUMMYFUNCTION("""COMPUTED_VALUE"""),"REX CASH+CARRY JUMBO SHOPPER")</f>
        <v>REX CASH+CARRY JUMBO SHOPPER</v>
      </c>
      <c r="D758" s="2">
        <f>IFERROR(__xludf.DUMMYFUNCTION("""COMPUTED_VALUE"""),1.0)</f>
        <v>1</v>
      </c>
      <c r="E758" s="6">
        <f>IFERROR(__xludf.DUMMYFUNCTION("""COMPUTED_VALUE"""),40148.50902777778)</f>
        <v>40148.50903</v>
      </c>
      <c r="F758" s="2">
        <f>IFERROR(__xludf.DUMMYFUNCTION("""COMPUTED_VALUE"""),0.95)</f>
        <v>0.95</v>
      </c>
      <c r="G758" s="2">
        <f>IFERROR(__xludf.DUMMYFUNCTION("""COMPUTED_VALUE"""),16393.0)</f>
        <v>16393</v>
      </c>
      <c r="H758" s="2" t="str">
        <f>IFERROR(__xludf.DUMMYFUNCTION("""COMPUTED_VALUE"""),"United Kingdom")</f>
        <v>United Kingdom</v>
      </c>
      <c r="I758" s="7">
        <f>IFERROR(__xludf.DUMMYFUNCTION("""COMPUTED_VALUE"""),40148.0)</f>
        <v>40148</v>
      </c>
      <c r="J758" s="8">
        <f>IFERROR(__xludf.DUMMYFUNCTION("""COMPUTED_VALUE"""),0.5090277777781012)</f>
        <v>0.5090277778</v>
      </c>
      <c r="K758" s="2">
        <f>IFERROR(__xludf.DUMMYFUNCTION("""COMPUTED_VALUE"""),12.0)</f>
        <v>12</v>
      </c>
      <c r="L758" s="2">
        <f>IFERROR(__xludf.DUMMYFUNCTION("""COMPUTED_VALUE"""),0.95)</f>
        <v>0.95</v>
      </c>
    </row>
    <row r="759">
      <c r="A759" s="2">
        <f>IFERROR(__xludf.DUMMYFUNCTION("""COMPUTED_VALUE"""),489536.0)</f>
        <v>489536</v>
      </c>
      <c r="B759" s="2" t="str">
        <f>IFERROR(__xludf.DUMMYFUNCTION("""COMPUTED_VALUE"""),"84671B")</f>
        <v>84671B</v>
      </c>
      <c r="C759" s="2" t="str">
        <f>IFERROR(__xludf.DUMMYFUNCTION("""COMPUTED_VALUE"""),"CROCHET BEAR WITH BLUE STRIPES")</f>
        <v>CROCHET BEAR WITH BLUE STRIPES</v>
      </c>
      <c r="D759" s="2">
        <f>IFERROR(__xludf.DUMMYFUNCTION("""COMPUTED_VALUE"""),1.0)</f>
        <v>1</v>
      </c>
      <c r="E759" s="6">
        <f>IFERROR(__xludf.DUMMYFUNCTION("""COMPUTED_VALUE"""),40148.50902777778)</f>
        <v>40148.50903</v>
      </c>
      <c r="F759" s="2">
        <f>IFERROR(__xludf.DUMMYFUNCTION("""COMPUTED_VALUE"""),2.55)</f>
        <v>2.55</v>
      </c>
      <c r="G759" s="2">
        <f>IFERROR(__xludf.DUMMYFUNCTION("""COMPUTED_VALUE"""),16393.0)</f>
        <v>16393</v>
      </c>
      <c r="H759" s="2" t="str">
        <f>IFERROR(__xludf.DUMMYFUNCTION("""COMPUTED_VALUE"""),"United Kingdom")</f>
        <v>United Kingdom</v>
      </c>
      <c r="I759" s="7">
        <f>IFERROR(__xludf.DUMMYFUNCTION("""COMPUTED_VALUE"""),40148.0)</f>
        <v>40148</v>
      </c>
      <c r="J759" s="8">
        <f>IFERROR(__xludf.DUMMYFUNCTION("""COMPUTED_VALUE"""),0.5090277777781012)</f>
        <v>0.5090277778</v>
      </c>
      <c r="K759" s="2">
        <f>IFERROR(__xludf.DUMMYFUNCTION("""COMPUTED_VALUE"""),12.0)</f>
        <v>12</v>
      </c>
      <c r="L759" s="2">
        <f>IFERROR(__xludf.DUMMYFUNCTION("""COMPUTED_VALUE"""),2.55)</f>
        <v>2.55</v>
      </c>
    </row>
    <row r="760">
      <c r="A760" s="2">
        <f>IFERROR(__xludf.DUMMYFUNCTION("""COMPUTED_VALUE"""),489536.0)</f>
        <v>489536</v>
      </c>
      <c r="B760" s="2" t="str">
        <f>IFERROR(__xludf.DUMMYFUNCTION("""COMPUTED_VALUE"""),"21747")</f>
        <v>21747</v>
      </c>
      <c r="C760" s="2" t="str">
        <f>IFERROR(__xludf.DUMMYFUNCTION("""COMPUTED_VALUE"""),"SMALL SKULL WINDMILL")</f>
        <v>SMALL SKULL WINDMILL</v>
      </c>
      <c r="D760" s="2">
        <f>IFERROR(__xludf.DUMMYFUNCTION("""COMPUTED_VALUE"""),1.0)</f>
        <v>1</v>
      </c>
      <c r="E760" s="6">
        <f>IFERROR(__xludf.DUMMYFUNCTION("""COMPUTED_VALUE"""),40148.50902777778)</f>
        <v>40148.50903</v>
      </c>
      <c r="F760" s="2">
        <f>IFERROR(__xludf.DUMMYFUNCTION("""COMPUTED_VALUE"""),1.25)</f>
        <v>1.25</v>
      </c>
      <c r="G760" s="2">
        <f>IFERROR(__xludf.DUMMYFUNCTION("""COMPUTED_VALUE"""),16393.0)</f>
        <v>16393</v>
      </c>
      <c r="H760" s="2" t="str">
        <f>IFERROR(__xludf.DUMMYFUNCTION("""COMPUTED_VALUE"""),"United Kingdom")</f>
        <v>United Kingdom</v>
      </c>
      <c r="I760" s="7">
        <f>IFERROR(__xludf.DUMMYFUNCTION("""COMPUTED_VALUE"""),40148.0)</f>
        <v>40148</v>
      </c>
      <c r="J760" s="8">
        <f>IFERROR(__xludf.DUMMYFUNCTION("""COMPUTED_VALUE"""),0.5090277777781012)</f>
        <v>0.5090277778</v>
      </c>
      <c r="K760" s="2">
        <f>IFERROR(__xludf.DUMMYFUNCTION("""COMPUTED_VALUE"""),12.0)</f>
        <v>12</v>
      </c>
      <c r="L760" s="2">
        <f>IFERROR(__xludf.DUMMYFUNCTION("""COMPUTED_VALUE"""),1.25)</f>
        <v>1.25</v>
      </c>
    </row>
    <row r="761">
      <c r="A761" s="2">
        <f>IFERROR(__xludf.DUMMYFUNCTION("""COMPUTED_VALUE"""),489536.0)</f>
        <v>489536</v>
      </c>
      <c r="B761" s="2" t="str">
        <f>IFERROR(__xludf.DUMMYFUNCTION("""COMPUTED_VALUE"""),"22197")</f>
        <v>22197</v>
      </c>
      <c r="C761" s="2" t="str">
        <f>IFERROR(__xludf.DUMMYFUNCTION("""COMPUTED_VALUE"""),"POPCORN HOLDER , SMALL")</f>
        <v>POPCORN HOLDER , SMALL</v>
      </c>
      <c r="D761" s="2">
        <f>IFERROR(__xludf.DUMMYFUNCTION("""COMPUTED_VALUE"""),1.0)</f>
        <v>1</v>
      </c>
      <c r="E761" s="6">
        <f>IFERROR(__xludf.DUMMYFUNCTION("""COMPUTED_VALUE"""),40148.50902777778)</f>
        <v>40148.50903</v>
      </c>
      <c r="F761" s="2">
        <f>IFERROR(__xludf.DUMMYFUNCTION("""COMPUTED_VALUE"""),0.85)</f>
        <v>0.85</v>
      </c>
      <c r="G761" s="2">
        <f>IFERROR(__xludf.DUMMYFUNCTION("""COMPUTED_VALUE"""),16393.0)</f>
        <v>16393</v>
      </c>
      <c r="H761" s="2" t="str">
        <f>IFERROR(__xludf.DUMMYFUNCTION("""COMPUTED_VALUE"""),"United Kingdom")</f>
        <v>United Kingdom</v>
      </c>
      <c r="I761" s="7">
        <f>IFERROR(__xludf.DUMMYFUNCTION("""COMPUTED_VALUE"""),40148.0)</f>
        <v>40148</v>
      </c>
      <c r="J761" s="8">
        <f>IFERROR(__xludf.DUMMYFUNCTION("""COMPUTED_VALUE"""),0.5090277777781012)</f>
        <v>0.5090277778</v>
      </c>
      <c r="K761" s="2">
        <f>IFERROR(__xludf.DUMMYFUNCTION("""COMPUTED_VALUE"""),12.0)</f>
        <v>12</v>
      </c>
      <c r="L761" s="2">
        <f>IFERROR(__xludf.DUMMYFUNCTION("""COMPUTED_VALUE"""),0.85)</f>
        <v>0.85</v>
      </c>
    </row>
    <row r="762">
      <c r="A762" s="2">
        <f>IFERROR(__xludf.DUMMYFUNCTION("""COMPUTED_VALUE"""),489536.0)</f>
        <v>489536</v>
      </c>
      <c r="B762" s="2" t="str">
        <f>IFERROR(__xludf.DUMMYFUNCTION("""COMPUTED_VALUE"""),"22107")</f>
        <v>22107</v>
      </c>
      <c r="C762" s="2" t="str">
        <f>IFERROR(__xludf.DUMMYFUNCTION("""COMPUTED_VALUE"""),"PIZZA PLATE IN BOX")</f>
        <v>PIZZA PLATE IN BOX</v>
      </c>
      <c r="D762" s="2">
        <f>IFERROR(__xludf.DUMMYFUNCTION("""COMPUTED_VALUE"""),1.0)</f>
        <v>1</v>
      </c>
      <c r="E762" s="6">
        <f>IFERROR(__xludf.DUMMYFUNCTION("""COMPUTED_VALUE"""),40148.50902777778)</f>
        <v>40148.50903</v>
      </c>
      <c r="F762" s="2">
        <f>IFERROR(__xludf.DUMMYFUNCTION("""COMPUTED_VALUE"""),3.75)</f>
        <v>3.75</v>
      </c>
      <c r="G762" s="2">
        <f>IFERROR(__xludf.DUMMYFUNCTION("""COMPUTED_VALUE"""),16393.0)</f>
        <v>16393</v>
      </c>
      <c r="H762" s="2" t="str">
        <f>IFERROR(__xludf.DUMMYFUNCTION("""COMPUTED_VALUE"""),"United Kingdom")</f>
        <v>United Kingdom</v>
      </c>
      <c r="I762" s="7">
        <f>IFERROR(__xludf.DUMMYFUNCTION("""COMPUTED_VALUE"""),40148.0)</f>
        <v>40148</v>
      </c>
      <c r="J762" s="8">
        <f>IFERROR(__xludf.DUMMYFUNCTION("""COMPUTED_VALUE"""),0.5090277777781012)</f>
        <v>0.5090277778</v>
      </c>
      <c r="K762" s="2">
        <f>IFERROR(__xludf.DUMMYFUNCTION("""COMPUTED_VALUE"""),12.0)</f>
        <v>12</v>
      </c>
      <c r="L762" s="2">
        <f>IFERROR(__xludf.DUMMYFUNCTION("""COMPUTED_VALUE"""),3.75)</f>
        <v>3.75</v>
      </c>
    </row>
    <row r="763">
      <c r="A763" s="2">
        <f>IFERROR(__xludf.DUMMYFUNCTION("""COMPUTED_VALUE"""),489536.0)</f>
        <v>489536</v>
      </c>
      <c r="B763" s="2" t="str">
        <f>IFERROR(__xludf.DUMMYFUNCTION("""COMPUTED_VALUE"""),"22330")</f>
        <v>22330</v>
      </c>
      <c r="C763" s="2" t="str">
        <f>IFERROR(__xludf.DUMMYFUNCTION("""COMPUTED_VALUE"""),"72 ROUND PINK DOILIES")</f>
        <v>72 ROUND PINK DOILIES</v>
      </c>
      <c r="D763" s="2">
        <f>IFERROR(__xludf.DUMMYFUNCTION("""COMPUTED_VALUE"""),1.0)</f>
        <v>1</v>
      </c>
      <c r="E763" s="6">
        <f>IFERROR(__xludf.DUMMYFUNCTION("""COMPUTED_VALUE"""),40148.50902777778)</f>
        <v>40148.50903</v>
      </c>
      <c r="F763" s="2">
        <f>IFERROR(__xludf.DUMMYFUNCTION("""COMPUTED_VALUE"""),1.45)</f>
        <v>1.45</v>
      </c>
      <c r="G763" s="2">
        <f>IFERROR(__xludf.DUMMYFUNCTION("""COMPUTED_VALUE"""),16393.0)</f>
        <v>16393</v>
      </c>
      <c r="H763" s="2" t="str">
        <f>IFERROR(__xludf.DUMMYFUNCTION("""COMPUTED_VALUE"""),"United Kingdom")</f>
        <v>United Kingdom</v>
      </c>
      <c r="I763" s="7">
        <f>IFERROR(__xludf.DUMMYFUNCTION("""COMPUTED_VALUE"""),40148.0)</f>
        <v>40148</v>
      </c>
      <c r="J763" s="8">
        <f>IFERROR(__xludf.DUMMYFUNCTION("""COMPUTED_VALUE"""),0.5090277777781012)</f>
        <v>0.5090277778</v>
      </c>
      <c r="K763" s="2">
        <f>IFERROR(__xludf.DUMMYFUNCTION("""COMPUTED_VALUE"""),12.0)</f>
        <v>12</v>
      </c>
      <c r="L763" s="2">
        <f>IFERROR(__xludf.DUMMYFUNCTION("""COMPUTED_VALUE"""),1.45)</f>
        <v>1.45</v>
      </c>
    </row>
    <row r="764">
      <c r="A764" s="2">
        <f>IFERROR(__xludf.DUMMYFUNCTION("""COMPUTED_VALUE"""),489536.0)</f>
        <v>489536</v>
      </c>
      <c r="B764" s="2" t="str">
        <f>IFERROR(__xludf.DUMMYFUNCTION("""COMPUTED_VALUE"""),"22139")</f>
        <v>22139</v>
      </c>
      <c r="C764" s="2" t="str">
        <f>IFERROR(__xludf.DUMMYFUNCTION("""COMPUTED_VALUE"""),"RETRO SPOT TEA SET CERAMIC 11 PC")</f>
        <v>RETRO SPOT TEA SET CERAMIC 11 PC</v>
      </c>
      <c r="D764" s="2">
        <f>IFERROR(__xludf.DUMMYFUNCTION("""COMPUTED_VALUE"""),1.0)</f>
        <v>1</v>
      </c>
      <c r="E764" s="6">
        <f>IFERROR(__xludf.DUMMYFUNCTION("""COMPUTED_VALUE"""),40148.50902777778)</f>
        <v>40148.50903</v>
      </c>
      <c r="F764" s="2">
        <f>IFERROR(__xludf.DUMMYFUNCTION("""COMPUTED_VALUE"""),4.95)</f>
        <v>4.95</v>
      </c>
      <c r="G764" s="2">
        <f>IFERROR(__xludf.DUMMYFUNCTION("""COMPUTED_VALUE"""),16393.0)</f>
        <v>16393</v>
      </c>
      <c r="H764" s="2" t="str">
        <f>IFERROR(__xludf.DUMMYFUNCTION("""COMPUTED_VALUE"""),"United Kingdom")</f>
        <v>United Kingdom</v>
      </c>
      <c r="I764" s="7">
        <f>IFERROR(__xludf.DUMMYFUNCTION("""COMPUTED_VALUE"""),40148.0)</f>
        <v>40148</v>
      </c>
      <c r="J764" s="8">
        <f>IFERROR(__xludf.DUMMYFUNCTION("""COMPUTED_VALUE"""),0.5090277777781012)</f>
        <v>0.5090277778</v>
      </c>
      <c r="K764" s="2">
        <f>IFERROR(__xludf.DUMMYFUNCTION("""COMPUTED_VALUE"""),12.0)</f>
        <v>12</v>
      </c>
      <c r="L764" s="2">
        <f>IFERROR(__xludf.DUMMYFUNCTION("""COMPUTED_VALUE"""),4.95)</f>
        <v>4.95</v>
      </c>
    </row>
    <row r="765">
      <c r="A765" s="2">
        <f>IFERROR(__xludf.DUMMYFUNCTION("""COMPUTED_VALUE"""),489536.0)</f>
        <v>489536</v>
      </c>
      <c r="B765" s="2" t="str">
        <f>IFERROR(__xludf.DUMMYFUNCTION("""COMPUTED_VALUE"""),"84375")</f>
        <v>84375</v>
      </c>
      <c r="C765" s="2" t="str">
        <f>IFERROR(__xludf.DUMMYFUNCTION("""COMPUTED_VALUE"""),"SET OF 20 KIDS COOKIE CUTTERS")</f>
        <v>SET OF 20 KIDS COOKIE CUTTERS</v>
      </c>
      <c r="D765" s="2">
        <f>IFERROR(__xludf.DUMMYFUNCTION("""COMPUTED_VALUE"""),1.0)</f>
        <v>1</v>
      </c>
      <c r="E765" s="6">
        <f>IFERROR(__xludf.DUMMYFUNCTION("""COMPUTED_VALUE"""),40148.50902777778)</f>
        <v>40148.50903</v>
      </c>
      <c r="F765" s="2">
        <f>IFERROR(__xludf.DUMMYFUNCTION("""COMPUTED_VALUE"""),1.95)</f>
        <v>1.95</v>
      </c>
      <c r="G765" s="2">
        <f>IFERROR(__xludf.DUMMYFUNCTION("""COMPUTED_VALUE"""),16393.0)</f>
        <v>16393</v>
      </c>
      <c r="H765" s="2" t="str">
        <f>IFERROR(__xludf.DUMMYFUNCTION("""COMPUTED_VALUE"""),"United Kingdom")</f>
        <v>United Kingdom</v>
      </c>
      <c r="I765" s="7">
        <f>IFERROR(__xludf.DUMMYFUNCTION("""COMPUTED_VALUE"""),40148.0)</f>
        <v>40148</v>
      </c>
      <c r="J765" s="8">
        <f>IFERROR(__xludf.DUMMYFUNCTION("""COMPUTED_VALUE"""),0.5090277777781012)</f>
        <v>0.5090277778</v>
      </c>
      <c r="K765" s="2">
        <f>IFERROR(__xludf.DUMMYFUNCTION("""COMPUTED_VALUE"""),12.0)</f>
        <v>12</v>
      </c>
      <c r="L765" s="2">
        <f>IFERROR(__xludf.DUMMYFUNCTION("""COMPUTED_VALUE"""),1.95)</f>
        <v>1.95</v>
      </c>
    </row>
    <row r="766">
      <c r="A766" s="2">
        <f>IFERROR(__xludf.DUMMYFUNCTION("""COMPUTED_VALUE"""),489536.0)</f>
        <v>489536</v>
      </c>
      <c r="B766" s="2" t="str">
        <f>IFERROR(__xludf.DUMMYFUNCTION("""COMPUTED_VALUE"""),"84952B")</f>
        <v>84952B</v>
      </c>
      <c r="C766" s="2" t="str">
        <f>IFERROR(__xludf.DUMMYFUNCTION("""COMPUTED_VALUE"""),"BLACK LOVE BIRD T-LIGHT HOLDER")</f>
        <v>BLACK LOVE BIRD T-LIGHT HOLDER</v>
      </c>
      <c r="D766" s="2">
        <f>IFERROR(__xludf.DUMMYFUNCTION("""COMPUTED_VALUE"""),2.0)</f>
        <v>2</v>
      </c>
      <c r="E766" s="6">
        <f>IFERROR(__xludf.DUMMYFUNCTION("""COMPUTED_VALUE"""),40148.50902777778)</f>
        <v>40148.50903</v>
      </c>
      <c r="F766" s="2">
        <f>IFERROR(__xludf.DUMMYFUNCTION("""COMPUTED_VALUE"""),3.75)</f>
        <v>3.75</v>
      </c>
      <c r="G766" s="2">
        <f>IFERROR(__xludf.DUMMYFUNCTION("""COMPUTED_VALUE"""),16393.0)</f>
        <v>16393</v>
      </c>
      <c r="H766" s="2" t="str">
        <f>IFERROR(__xludf.DUMMYFUNCTION("""COMPUTED_VALUE"""),"United Kingdom")</f>
        <v>United Kingdom</v>
      </c>
      <c r="I766" s="7">
        <f>IFERROR(__xludf.DUMMYFUNCTION("""COMPUTED_VALUE"""),40148.0)</f>
        <v>40148</v>
      </c>
      <c r="J766" s="8">
        <f>IFERROR(__xludf.DUMMYFUNCTION("""COMPUTED_VALUE"""),0.5090277777781012)</f>
        <v>0.5090277778</v>
      </c>
      <c r="K766" s="2">
        <f>IFERROR(__xludf.DUMMYFUNCTION("""COMPUTED_VALUE"""),12.0)</f>
        <v>12</v>
      </c>
      <c r="L766" s="2">
        <f>IFERROR(__xludf.DUMMYFUNCTION("""COMPUTED_VALUE"""),7.5)</f>
        <v>7.5</v>
      </c>
    </row>
    <row r="767">
      <c r="A767" s="2">
        <f>IFERROR(__xludf.DUMMYFUNCTION("""COMPUTED_VALUE"""),489536.0)</f>
        <v>489536</v>
      </c>
      <c r="B767" s="2" t="str">
        <f>IFERROR(__xludf.DUMMYFUNCTION("""COMPUTED_VALUE"""),"20961")</f>
        <v>20961</v>
      </c>
      <c r="C767" s="2" t="str">
        <f>IFERROR(__xludf.DUMMYFUNCTION("""COMPUTED_VALUE"""),"STRAWBERRY BATH SPONGE")</f>
        <v>STRAWBERRY BATH SPONGE</v>
      </c>
      <c r="D767" s="2">
        <f>IFERROR(__xludf.DUMMYFUNCTION("""COMPUTED_VALUE"""),1.0)</f>
        <v>1</v>
      </c>
      <c r="E767" s="6">
        <f>IFERROR(__xludf.DUMMYFUNCTION("""COMPUTED_VALUE"""),40148.50902777778)</f>
        <v>40148.50903</v>
      </c>
      <c r="F767" s="2">
        <f>IFERROR(__xludf.DUMMYFUNCTION("""COMPUTED_VALUE"""),1.25)</f>
        <v>1.25</v>
      </c>
      <c r="G767" s="2">
        <f>IFERROR(__xludf.DUMMYFUNCTION("""COMPUTED_VALUE"""),16393.0)</f>
        <v>16393</v>
      </c>
      <c r="H767" s="2" t="str">
        <f>IFERROR(__xludf.DUMMYFUNCTION("""COMPUTED_VALUE"""),"United Kingdom")</f>
        <v>United Kingdom</v>
      </c>
      <c r="I767" s="7">
        <f>IFERROR(__xludf.DUMMYFUNCTION("""COMPUTED_VALUE"""),40148.0)</f>
        <v>40148</v>
      </c>
      <c r="J767" s="8">
        <f>IFERROR(__xludf.DUMMYFUNCTION("""COMPUTED_VALUE"""),0.5090277777781012)</f>
        <v>0.5090277778</v>
      </c>
      <c r="K767" s="2">
        <f>IFERROR(__xludf.DUMMYFUNCTION("""COMPUTED_VALUE"""),12.0)</f>
        <v>12</v>
      </c>
      <c r="L767" s="2">
        <f>IFERROR(__xludf.DUMMYFUNCTION("""COMPUTED_VALUE"""),1.25)</f>
        <v>1.25</v>
      </c>
    </row>
    <row r="768">
      <c r="A768" s="2">
        <f>IFERROR(__xludf.DUMMYFUNCTION("""COMPUTED_VALUE"""),489536.0)</f>
        <v>489536</v>
      </c>
      <c r="B768" s="2" t="str">
        <f>IFERROR(__xludf.DUMMYFUNCTION("""COMPUTED_VALUE"""),"20960")</f>
        <v>20960</v>
      </c>
      <c r="C768" s="2" t="str">
        <f>IFERROR(__xludf.DUMMYFUNCTION("""COMPUTED_VALUE"""),"WATERMELON BATH SPONGE")</f>
        <v>WATERMELON BATH SPONGE</v>
      </c>
      <c r="D768" s="2">
        <f>IFERROR(__xludf.DUMMYFUNCTION("""COMPUTED_VALUE"""),1.0)</f>
        <v>1</v>
      </c>
      <c r="E768" s="6">
        <f>IFERROR(__xludf.DUMMYFUNCTION("""COMPUTED_VALUE"""),40148.50902777778)</f>
        <v>40148.50903</v>
      </c>
      <c r="F768" s="2">
        <f>IFERROR(__xludf.DUMMYFUNCTION("""COMPUTED_VALUE"""),1.25)</f>
        <v>1.25</v>
      </c>
      <c r="G768" s="2">
        <f>IFERROR(__xludf.DUMMYFUNCTION("""COMPUTED_VALUE"""),16393.0)</f>
        <v>16393</v>
      </c>
      <c r="H768" s="2" t="str">
        <f>IFERROR(__xludf.DUMMYFUNCTION("""COMPUTED_VALUE"""),"United Kingdom")</f>
        <v>United Kingdom</v>
      </c>
      <c r="I768" s="7">
        <f>IFERROR(__xludf.DUMMYFUNCTION("""COMPUTED_VALUE"""),40148.0)</f>
        <v>40148</v>
      </c>
      <c r="J768" s="8">
        <f>IFERROR(__xludf.DUMMYFUNCTION("""COMPUTED_VALUE"""),0.5090277777781012)</f>
        <v>0.5090277778</v>
      </c>
      <c r="K768" s="2">
        <f>IFERROR(__xludf.DUMMYFUNCTION("""COMPUTED_VALUE"""),12.0)</f>
        <v>12</v>
      </c>
      <c r="L768" s="2">
        <f>IFERROR(__xludf.DUMMYFUNCTION("""COMPUTED_VALUE"""),1.25)</f>
        <v>1.25</v>
      </c>
    </row>
    <row r="769">
      <c r="A769" s="2">
        <f>IFERROR(__xludf.DUMMYFUNCTION("""COMPUTED_VALUE"""),489536.0)</f>
        <v>489536</v>
      </c>
      <c r="B769" s="2" t="str">
        <f>IFERROR(__xludf.DUMMYFUNCTION("""COMPUTED_VALUE"""),"20966")</f>
        <v>20966</v>
      </c>
      <c r="C769" s="2" t="str">
        <f>IFERROR(__xludf.DUMMYFUNCTION("""COMPUTED_VALUE"""),"SANDWICH BATH SPONGE")</f>
        <v>SANDWICH BATH SPONGE</v>
      </c>
      <c r="D769" s="2">
        <f>IFERROR(__xludf.DUMMYFUNCTION("""COMPUTED_VALUE"""),1.0)</f>
        <v>1</v>
      </c>
      <c r="E769" s="6">
        <f>IFERROR(__xludf.DUMMYFUNCTION("""COMPUTED_VALUE"""),40148.50902777778)</f>
        <v>40148.50903</v>
      </c>
      <c r="F769" s="2">
        <f>IFERROR(__xludf.DUMMYFUNCTION("""COMPUTED_VALUE"""),1.25)</f>
        <v>1.25</v>
      </c>
      <c r="G769" s="2">
        <f>IFERROR(__xludf.DUMMYFUNCTION("""COMPUTED_VALUE"""),16393.0)</f>
        <v>16393</v>
      </c>
      <c r="H769" s="2" t="str">
        <f>IFERROR(__xludf.DUMMYFUNCTION("""COMPUTED_VALUE"""),"United Kingdom")</f>
        <v>United Kingdom</v>
      </c>
      <c r="I769" s="7">
        <f>IFERROR(__xludf.DUMMYFUNCTION("""COMPUTED_VALUE"""),40148.0)</f>
        <v>40148</v>
      </c>
      <c r="J769" s="8">
        <f>IFERROR(__xludf.DUMMYFUNCTION("""COMPUTED_VALUE"""),0.5090277777781012)</f>
        <v>0.5090277778</v>
      </c>
      <c r="K769" s="2">
        <f>IFERROR(__xludf.DUMMYFUNCTION("""COMPUTED_VALUE"""),12.0)</f>
        <v>12</v>
      </c>
      <c r="L769" s="2">
        <f>IFERROR(__xludf.DUMMYFUNCTION("""COMPUTED_VALUE"""),1.25)</f>
        <v>1.25</v>
      </c>
    </row>
    <row r="770">
      <c r="A770" s="2">
        <f>IFERROR(__xludf.DUMMYFUNCTION("""COMPUTED_VALUE"""),489536.0)</f>
        <v>489536</v>
      </c>
      <c r="B770" s="2" t="str">
        <f>IFERROR(__xludf.DUMMYFUNCTION("""COMPUTED_VALUE"""),"17164D")</f>
        <v>17164D</v>
      </c>
      <c r="C770" s="2" t="str">
        <f>IFERROR(__xludf.DUMMYFUNCTION("""COMPUTED_VALUE"""),"ASS COL SMALL SAND FROG P'WEIGHT")</f>
        <v>ASS COL SMALL SAND FROG P'WEIGHT</v>
      </c>
      <c r="D770" s="2">
        <f>IFERROR(__xludf.DUMMYFUNCTION("""COMPUTED_VALUE"""),1.0)</f>
        <v>1</v>
      </c>
      <c r="E770" s="6">
        <f>IFERROR(__xludf.DUMMYFUNCTION("""COMPUTED_VALUE"""),40148.50902777778)</f>
        <v>40148.50903</v>
      </c>
      <c r="F770" s="2">
        <f>IFERROR(__xludf.DUMMYFUNCTION("""COMPUTED_VALUE"""),0.42)</f>
        <v>0.42</v>
      </c>
      <c r="G770" s="2">
        <f>IFERROR(__xludf.DUMMYFUNCTION("""COMPUTED_VALUE"""),16393.0)</f>
        <v>16393</v>
      </c>
      <c r="H770" s="2" t="str">
        <f>IFERROR(__xludf.DUMMYFUNCTION("""COMPUTED_VALUE"""),"United Kingdom")</f>
        <v>United Kingdom</v>
      </c>
      <c r="I770" s="7">
        <f>IFERROR(__xludf.DUMMYFUNCTION("""COMPUTED_VALUE"""),40148.0)</f>
        <v>40148</v>
      </c>
      <c r="J770" s="8">
        <f>IFERROR(__xludf.DUMMYFUNCTION("""COMPUTED_VALUE"""),0.5090277777781012)</f>
        <v>0.5090277778</v>
      </c>
      <c r="K770" s="2">
        <f>IFERROR(__xludf.DUMMYFUNCTION("""COMPUTED_VALUE"""),12.0)</f>
        <v>12</v>
      </c>
      <c r="L770" s="2">
        <f>IFERROR(__xludf.DUMMYFUNCTION("""COMPUTED_VALUE"""),0.42)</f>
        <v>0.42</v>
      </c>
    </row>
    <row r="771">
      <c r="A771" s="2">
        <f>IFERROR(__xludf.DUMMYFUNCTION("""COMPUTED_VALUE"""),489536.0)</f>
        <v>489536</v>
      </c>
      <c r="B771" s="2" t="str">
        <f>IFERROR(__xludf.DUMMYFUNCTION("""COMPUTED_VALUE"""),"21791")</f>
        <v>21791</v>
      </c>
      <c r="C771" s="2" t="str">
        <f>IFERROR(__xludf.DUMMYFUNCTION("""COMPUTED_VALUE"""),"VINTAGE HEADS AND TAILS CARD GAME")</f>
        <v>VINTAGE HEADS AND TAILS CARD GAME</v>
      </c>
      <c r="D771" s="2">
        <f>IFERROR(__xludf.DUMMYFUNCTION("""COMPUTED_VALUE"""),6.0)</f>
        <v>6</v>
      </c>
      <c r="E771" s="6">
        <f>IFERROR(__xludf.DUMMYFUNCTION("""COMPUTED_VALUE"""),40148.50902777778)</f>
        <v>40148.50903</v>
      </c>
      <c r="F771" s="2">
        <f>IFERROR(__xludf.DUMMYFUNCTION("""COMPUTED_VALUE"""),1.25)</f>
        <v>1.25</v>
      </c>
      <c r="G771" s="2">
        <f>IFERROR(__xludf.DUMMYFUNCTION("""COMPUTED_VALUE"""),16393.0)</f>
        <v>16393</v>
      </c>
      <c r="H771" s="2" t="str">
        <f>IFERROR(__xludf.DUMMYFUNCTION("""COMPUTED_VALUE"""),"United Kingdom")</f>
        <v>United Kingdom</v>
      </c>
      <c r="I771" s="7">
        <f>IFERROR(__xludf.DUMMYFUNCTION("""COMPUTED_VALUE"""),40148.0)</f>
        <v>40148</v>
      </c>
      <c r="J771" s="8">
        <f>IFERROR(__xludf.DUMMYFUNCTION("""COMPUTED_VALUE"""),0.5090277777781012)</f>
        <v>0.5090277778</v>
      </c>
      <c r="K771" s="2">
        <f>IFERROR(__xludf.DUMMYFUNCTION("""COMPUTED_VALUE"""),12.0)</f>
        <v>12</v>
      </c>
      <c r="L771" s="2">
        <f>IFERROR(__xludf.DUMMYFUNCTION("""COMPUTED_VALUE"""),7.5)</f>
        <v>7.5</v>
      </c>
    </row>
    <row r="772">
      <c r="A772" s="2">
        <f>IFERROR(__xludf.DUMMYFUNCTION("""COMPUTED_VALUE"""),489536.0)</f>
        <v>489536</v>
      </c>
      <c r="B772" s="2" t="str">
        <f>IFERROR(__xludf.DUMMYFUNCTION("""COMPUTED_VALUE"""),"21890")</f>
        <v>21890</v>
      </c>
      <c r="C772" s="2" t="str">
        <f>IFERROR(__xludf.DUMMYFUNCTION("""COMPUTED_VALUE"""),"S/6 WOODEN SKITTLES IN COTTON BAG")</f>
        <v>S/6 WOODEN SKITTLES IN COTTON BAG</v>
      </c>
      <c r="D772" s="2">
        <f>IFERROR(__xludf.DUMMYFUNCTION("""COMPUTED_VALUE"""),1.0)</f>
        <v>1</v>
      </c>
      <c r="E772" s="6">
        <f>IFERROR(__xludf.DUMMYFUNCTION("""COMPUTED_VALUE"""),40148.50902777778)</f>
        <v>40148.50903</v>
      </c>
      <c r="F772" s="2">
        <f>IFERROR(__xludf.DUMMYFUNCTION("""COMPUTED_VALUE"""),2.95)</f>
        <v>2.95</v>
      </c>
      <c r="G772" s="2">
        <f>IFERROR(__xludf.DUMMYFUNCTION("""COMPUTED_VALUE"""),16393.0)</f>
        <v>16393</v>
      </c>
      <c r="H772" s="2" t="str">
        <f>IFERROR(__xludf.DUMMYFUNCTION("""COMPUTED_VALUE"""),"United Kingdom")</f>
        <v>United Kingdom</v>
      </c>
      <c r="I772" s="7">
        <f>IFERROR(__xludf.DUMMYFUNCTION("""COMPUTED_VALUE"""),40148.0)</f>
        <v>40148</v>
      </c>
      <c r="J772" s="8">
        <f>IFERROR(__xludf.DUMMYFUNCTION("""COMPUTED_VALUE"""),0.5090277777781012)</f>
        <v>0.5090277778</v>
      </c>
      <c r="K772" s="2">
        <f>IFERROR(__xludf.DUMMYFUNCTION("""COMPUTED_VALUE"""),12.0)</f>
        <v>12</v>
      </c>
      <c r="L772" s="2">
        <f>IFERROR(__xludf.DUMMYFUNCTION("""COMPUTED_VALUE"""),2.95)</f>
        <v>2.95</v>
      </c>
    </row>
    <row r="773">
      <c r="A773" s="2">
        <f>IFERROR(__xludf.DUMMYFUNCTION("""COMPUTED_VALUE"""),489536.0)</f>
        <v>489536</v>
      </c>
      <c r="B773" s="2" t="str">
        <f>IFERROR(__xludf.DUMMYFUNCTION("""COMPUTED_VALUE"""),"22353")</f>
        <v>22353</v>
      </c>
      <c r="C773" s="2" t="str">
        <f>IFERROR(__xludf.DUMMYFUNCTION("""COMPUTED_VALUE"""),"LUNCHBOX WITH CUTLERY FAIRY CAKES")</f>
        <v>LUNCHBOX WITH CUTLERY FAIRY CAKES</v>
      </c>
      <c r="D773" s="2">
        <f>IFERROR(__xludf.DUMMYFUNCTION("""COMPUTED_VALUE"""),1.0)</f>
        <v>1</v>
      </c>
      <c r="E773" s="6">
        <f>IFERROR(__xludf.DUMMYFUNCTION("""COMPUTED_VALUE"""),40148.50902777778)</f>
        <v>40148.50903</v>
      </c>
      <c r="F773" s="2">
        <f>IFERROR(__xludf.DUMMYFUNCTION("""COMPUTED_VALUE"""),2.55)</f>
        <v>2.55</v>
      </c>
      <c r="G773" s="2">
        <f>IFERROR(__xludf.DUMMYFUNCTION("""COMPUTED_VALUE"""),16393.0)</f>
        <v>16393</v>
      </c>
      <c r="H773" s="2" t="str">
        <f>IFERROR(__xludf.DUMMYFUNCTION("""COMPUTED_VALUE"""),"United Kingdom")</f>
        <v>United Kingdom</v>
      </c>
      <c r="I773" s="7">
        <f>IFERROR(__xludf.DUMMYFUNCTION("""COMPUTED_VALUE"""),40148.0)</f>
        <v>40148</v>
      </c>
      <c r="J773" s="8">
        <f>IFERROR(__xludf.DUMMYFUNCTION("""COMPUTED_VALUE"""),0.5090277777781012)</f>
        <v>0.5090277778</v>
      </c>
      <c r="K773" s="2">
        <f>IFERROR(__xludf.DUMMYFUNCTION("""COMPUTED_VALUE"""),12.0)</f>
        <v>12</v>
      </c>
      <c r="L773" s="2">
        <f>IFERROR(__xludf.DUMMYFUNCTION("""COMPUTED_VALUE"""),2.55)</f>
        <v>2.55</v>
      </c>
    </row>
    <row r="774">
      <c r="A774" s="2">
        <f>IFERROR(__xludf.DUMMYFUNCTION("""COMPUTED_VALUE"""),489536.0)</f>
        <v>489536</v>
      </c>
      <c r="B774" s="2" t="str">
        <f>IFERROR(__xludf.DUMMYFUNCTION("""COMPUTED_VALUE"""),"85170D")</f>
        <v>85170D</v>
      </c>
      <c r="C774" s="2" t="str">
        <f>IFERROR(__xludf.DUMMYFUNCTION("""COMPUTED_VALUE"""),"SET/6 PINK BIRD T-LIGHT CANDLES")</f>
        <v>SET/6 PINK BIRD T-LIGHT CANDLES</v>
      </c>
      <c r="D774" s="2">
        <f>IFERROR(__xludf.DUMMYFUNCTION("""COMPUTED_VALUE"""),1.0)</f>
        <v>1</v>
      </c>
      <c r="E774" s="6">
        <f>IFERROR(__xludf.DUMMYFUNCTION("""COMPUTED_VALUE"""),40148.50902777778)</f>
        <v>40148.50903</v>
      </c>
      <c r="F774" s="2">
        <f>IFERROR(__xludf.DUMMYFUNCTION("""COMPUTED_VALUE"""),2.1)</f>
        <v>2.1</v>
      </c>
      <c r="G774" s="2">
        <f>IFERROR(__xludf.DUMMYFUNCTION("""COMPUTED_VALUE"""),16393.0)</f>
        <v>16393</v>
      </c>
      <c r="H774" s="2" t="str">
        <f>IFERROR(__xludf.DUMMYFUNCTION("""COMPUTED_VALUE"""),"United Kingdom")</f>
        <v>United Kingdom</v>
      </c>
      <c r="I774" s="7">
        <f>IFERROR(__xludf.DUMMYFUNCTION("""COMPUTED_VALUE"""),40148.0)</f>
        <v>40148</v>
      </c>
      <c r="J774" s="8">
        <f>IFERROR(__xludf.DUMMYFUNCTION("""COMPUTED_VALUE"""),0.5090277777781012)</f>
        <v>0.5090277778</v>
      </c>
      <c r="K774" s="2">
        <f>IFERROR(__xludf.DUMMYFUNCTION("""COMPUTED_VALUE"""),12.0)</f>
        <v>12</v>
      </c>
      <c r="L774" s="2">
        <f>IFERROR(__xludf.DUMMYFUNCTION("""COMPUTED_VALUE"""),2.1)</f>
        <v>2.1</v>
      </c>
    </row>
    <row r="775">
      <c r="A775" s="2">
        <f>IFERROR(__xludf.DUMMYFUNCTION("""COMPUTED_VALUE"""),489536.0)</f>
        <v>489536</v>
      </c>
      <c r="B775" s="2" t="str">
        <f>IFERROR(__xludf.DUMMYFUNCTION("""COMPUTED_VALUE"""),"17091J")</f>
        <v>17091J</v>
      </c>
      <c r="C775" s="2" t="str">
        <f>IFERROR(__xludf.DUMMYFUNCTION("""COMPUTED_VALUE"""),"VANILLA INCENSE IN TIN")</f>
        <v>VANILLA INCENSE IN TIN</v>
      </c>
      <c r="D775" s="2">
        <f>IFERROR(__xludf.DUMMYFUNCTION("""COMPUTED_VALUE"""),1.0)</f>
        <v>1</v>
      </c>
      <c r="E775" s="6">
        <f>IFERROR(__xludf.DUMMYFUNCTION("""COMPUTED_VALUE"""),40148.50902777778)</f>
        <v>40148.50903</v>
      </c>
      <c r="F775" s="2">
        <f>IFERROR(__xludf.DUMMYFUNCTION("""COMPUTED_VALUE"""),1.25)</f>
        <v>1.25</v>
      </c>
      <c r="G775" s="2">
        <f>IFERROR(__xludf.DUMMYFUNCTION("""COMPUTED_VALUE"""),16393.0)</f>
        <v>16393</v>
      </c>
      <c r="H775" s="2" t="str">
        <f>IFERROR(__xludf.DUMMYFUNCTION("""COMPUTED_VALUE"""),"United Kingdom")</f>
        <v>United Kingdom</v>
      </c>
      <c r="I775" s="7">
        <f>IFERROR(__xludf.DUMMYFUNCTION("""COMPUTED_VALUE"""),40148.0)</f>
        <v>40148</v>
      </c>
      <c r="J775" s="8">
        <f>IFERROR(__xludf.DUMMYFUNCTION("""COMPUTED_VALUE"""),0.5090277777781012)</f>
        <v>0.5090277778</v>
      </c>
      <c r="K775" s="2">
        <f>IFERROR(__xludf.DUMMYFUNCTION("""COMPUTED_VALUE"""),12.0)</f>
        <v>12</v>
      </c>
      <c r="L775" s="2">
        <f>IFERROR(__xludf.DUMMYFUNCTION("""COMPUTED_VALUE"""),1.25)</f>
        <v>1.25</v>
      </c>
    </row>
    <row r="776">
      <c r="A776" s="2">
        <f>IFERROR(__xludf.DUMMYFUNCTION("""COMPUTED_VALUE"""),489536.0)</f>
        <v>489536</v>
      </c>
      <c r="B776" s="2" t="str">
        <f>IFERROR(__xludf.DUMMYFUNCTION("""COMPUTED_VALUE"""),"79067")</f>
        <v>79067</v>
      </c>
      <c r="C776" s="2" t="str">
        <f>IFERROR(__xludf.DUMMYFUNCTION("""COMPUTED_VALUE"""),"CORONA MEXICAN TRAY")</f>
        <v>CORONA MEXICAN TRAY</v>
      </c>
      <c r="D776" s="2">
        <f>IFERROR(__xludf.DUMMYFUNCTION("""COMPUTED_VALUE"""),1.0)</f>
        <v>1</v>
      </c>
      <c r="E776" s="6">
        <f>IFERROR(__xludf.DUMMYFUNCTION("""COMPUTED_VALUE"""),40148.50902777778)</f>
        <v>40148.50903</v>
      </c>
      <c r="F776" s="2">
        <f>IFERROR(__xludf.DUMMYFUNCTION("""COMPUTED_VALUE"""),3.75)</f>
        <v>3.75</v>
      </c>
      <c r="G776" s="2">
        <f>IFERROR(__xludf.DUMMYFUNCTION("""COMPUTED_VALUE"""),16393.0)</f>
        <v>16393</v>
      </c>
      <c r="H776" s="2" t="str">
        <f>IFERROR(__xludf.DUMMYFUNCTION("""COMPUTED_VALUE"""),"United Kingdom")</f>
        <v>United Kingdom</v>
      </c>
      <c r="I776" s="7">
        <f>IFERROR(__xludf.DUMMYFUNCTION("""COMPUTED_VALUE"""),40148.0)</f>
        <v>40148</v>
      </c>
      <c r="J776" s="8">
        <f>IFERROR(__xludf.DUMMYFUNCTION("""COMPUTED_VALUE"""),0.5090277777781012)</f>
        <v>0.5090277778</v>
      </c>
      <c r="K776" s="2">
        <f>IFERROR(__xludf.DUMMYFUNCTION("""COMPUTED_VALUE"""),12.0)</f>
        <v>12</v>
      </c>
      <c r="L776" s="2">
        <f>IFERROR(__xludf.DUMMYFUNCTION("""COMPUTED_VALUE"""),3.75)</f>
        <v>3.75</v>
      </c>
    </row>
    <row r="777">
      <c r="A777" s="2">
        <f>IFERROR(__xludf.DUMMYFUNCTION("""COMPUTED_VALUE"""),489536.0)</f>
        <v>489536</v>
      </c>
      <c r="B777" s="2" t="str">
        <f>IFERROR(__xludf.DUMMYFUNCTION("""COMPUTED_VALUE"""),"20975")</f>
        <v>20975</v>
      </c>
      <c r="C777" s="2" t="str">
        <f>IFERROR(__xludf.DUMMYFUNCTION("""COMPUTED_VALUE"""),"12 PENCILS SMALL TUBE RED SPOTTY")</f>
        <v>12 PENCILS SMALL TUBE RED SPOTTY</v>
      </c>
      <c r="D777" s="2">
        <f>IFERROR(__xludf.DUMMYFUNCTION("""COMPUTED_VALUE"""),7.0)</f>
        <v>7</v>
      </c>
      <c r="E777" s="6">
        <f>IFERROR(__xludf.DUMMYFUNCTION("""COMPUTED_VALUE"""),40148.50902777778)</f>
        <v>40148.50903</v>
      </c>
      <c r="F777" s="2">
        <f>IFERROR(__xludf.DUMMYFUNCTION("""COMPUTED_VALUE"""),0.65)</f>
        <v>0.65</v>
      </c>
      <c r="G777" s="2">
        <f>IFERROR(__xludf.DUMMYFUNCTION("""COMPUTED_VALUE"""),16393.0)</f>
        <v>16393</v>
      </c>
      <c r="H777" s="2" t="str">
        <f>IFERROR(__xludf.DUMMYFUNCTION("""COMPUTED_VALUE"""),"United Kingdom")</f>
        <v>United Kingdom</v>
      </c>
      <c r="I777" s="7">
        <f>IFERROR(__xludf.DUMMYFUNCTION("""COMPUTED_VALUE"""),40148.0)</f>
        <v>40148</v>
      </c>
      <c r="J777" s="8">
        <f>IFERROR(__xludf.DUMMYFUNCTION("""COMPUTED_VALUE"""),0.5090277777781012)</f>
        <v>0.5090277778</v>
      </c>
      <c r="K777" s="2">
        <f>IFERROR(__xludf.DUMMYFUNCTION("""COMPUTED_VALUE"""),12.0)</f>
        <v>12</v>
      </c>
      <c r="L777" s="2">
        <f>IFERROR(__xludf.DUMMYFUNCTION("""COMPUTED_VALUE"""),4.55)</f>
        <v>4.55</v>
      </c>
    </row>
    <row r="778">
      <c r="A778" s="2">
        <f>IFERROR(__xludf.DUMMYFUNCTION("""COMPUTED_VALUE"""),489536.0)</f>
        <v>489536</v>
      </c>
      <c r="B778" s="2" t="str">
        <f>IFERROR(__xludf.DUMMYFUNCTION("""COMPUTED_VALUE"""),"20677")</f>
        <v>20677</v>
      </c>
      <c r="C778" s="2" t="str">
        <f>IFERROR(__xludf.DUMMYFUNCTION("""COMPUTED_VALUE"""),"PINK SPOTTY BOWL")</f>
        <v>PINK SPOTTY BOWL</v>
      </c>
      <c r="D778" s="2">
        <f>IFERROR(__xludf.DUMMYFUNCTION("""COMPUTED_VALUE"""),1.0)</f>
        <v>1</v>
      </c>
      <c r="E778" s="6">
        <f>IFERROR(__xludf.DUMMYFUNCTION("""COMPUTED_VALUE"""),40148.50902777778)</f>
        <v>40148.50903</v>
      </c>
      <c r="F778" s="2">
        <f>IFERROR(__xludf.DUMMYFUNCTION("""COMPUTED_VALUE"""),1.25)</f>
        <v>1.25</v>
      </c>
      <c r="G778" s="2">
        <f>IFERROR(__xludf.DUMMYFUNCTION("""COMPUTED_VALUE"""),16393.0)</f>
        <v>16393</v>
      </c>
      <c r="H778" s="2" t="str">
        <f>IFERROR(__xludf.DUMMYFUNCTION("""COMPUTED_VALUE"""),"United Kingdom")</f>
        <v>United Kingdom</v>
      </c>
      <c r="I778" s="7">
        <f>IFERROR(__xludf.DUMMYFUNCTION("""COMPUTED_VALUE"""),40148.0)</f>
        <v>40148</v>
      </c>
      <c r="J778" s="8">
        <f>IFERROR(__xludf.DUMMYFUNCTION("""COMPUTED_VALUE"""),0.5090277777781012)</f>
        <v>0.5090277778</v>
      </c>
      <c r="K778" s="2">
        <f>IFERROR(__xludf.DUMMYFUNCTION("""COMPUTED_VALUE"""),12.0)</f>
        <v>12</v>
      </c>
      <c r="L778" s="2">
        <f>IFERROR(__xludf.DUMMYFUNCTION("""COMPUTED_VALUE"""),1.25)</f>
        <v>1.25</v>
      </c>
    </row>
    <row r="779">
      <c r="A779" s="2">
        <f>IFERROR(__xludf.DUMMYFUNCTION("""COMPUTED_VALUE"""),489536.0)</f>
        <v>489536</v>
      </c>
      <c r="B779" s="2" t="str">
        <f>IFERROR(__xludf.DUMMYFUNCTION("""COMPUTED_VALUE"""),"20675")</f>
        <v>20675</v>
      </c>
      <c r="C779" s="2" t="str">
        <f>IFERROR(__xludf.DUMMYFUNCTION("""COMPUTED_VALUE"""),"BLUE SPOTTY BOWL")</f>
        <v>BLUE SPOTTY BOWL</v>
      </c>
      <c r="D779" s="2">
        <f>IFERROR(__xludf.DUMMYFUNCTION("""COMPUTED_VALUE"""),1.0)</f>
        <v>1</v>
      </c>
      <c r="E779" s="6">
        <f>IFERROR(__xludf.DUMMYFUNCTION("""COMPUTED_VALUE"""),40148.50902777778)</f>
        <v>40148.50903</v>
      </c>
      <c r="F779" s="2">
        <f>IFERROR(__xludf.DUMMYFUNCTION("""COMPUTED_VALUE"""),1.25)</f>
        <v>1.25</v>
      </c>
      <c r="G779" s="2">
        <f>IFERROR(__xludf.DUMMYFUNCTION("""COMPUTED_VALUE"""),16393.0)</f>
        <v>16393</v>
      </c>
      <c r="H779" s="2" t="str">
        <f>IFERROR(__xludf.DUMMYFUNCTION("""COMPUTED_VALUE"""),"United Kingdom")</f>
        <v>United Kingdom</v>
      </c>
      <c r="I779" s="7">
        <f>IFERROR(__xludf.DUMMYFUNCTION("""COMPUTED_VALUE"""),40148.0)</f>
        <v>40148</v>
      </c>
      <c r="J779" s="8">
        <f>IFERROR(__xludf.DUMMYFUNCTION("""COMPUTED_VALUE"""),0.5090277777781012)</f>
        <v>0.5090277778</v>
      </c>
      <c r="K779" s="2">
        <f>IFERROR(__xludf.DUMMYFUNCTION("""COMPUTED_VALUE"""),12.0)</f>
        <v>12</v>
      </c>
      <c r="L779" s="2">
        <f>IFERROR(__xludf.DUMMYFUNCTION("""COMPUTED_VALUE"""),1.25)</f>
        <v>1.25</v>
      </c>
    </row>
    <row r="780">
      <c r="A780" s="2">
        <f>IFERROR(__xludf.DUMMYFUNCTION("""COMPUTED_VALUE"""),489536.0)</f>
        <v>489536</v>
      </c>
      <c r="B780" s="2" t="str">
        <f>IFERROR(__xludf.DUMMYFUNCTION("""COMPUTED_VALUE"""),"20676")</f>
        <v>20676</v>
      </c>
      <c r="C780" s="2" t="str">
        <f>IFERROR(__xludf.DUMMYFUNCTION("""COMPUTED_VALUE"""),"RED SPOTTY BOWL")</f>
        <v>RED SPOTTY BOWL</v>
      </c>
      <c r="D780" s="2">
        <f>IFERROR(__xludf.DUMMYFUNCTION("""COMPUTED_VALUE"""),2.0)</f>
        <v>2</v>
      </c>
      <c r="E780" s="6">
        <f>IFERROR(__xludf.DUMMYFUNCTION("""COMPUTED_VALUE"""),40148.50902777778)</f>
        <v>40148.50903</v>
      </c>
      <c r="F780" s="2">
        <f>IFERROR(__xludf.DUMMYFUNCTION("""COMPUTED_VALUE"""),1.25)</f>
        <v>1.25</v>
      </c>
      <c r="G780" s="2">
        <f>IFERROR(__xludf.DUMMYFUNCTION("""COMPUTED_VALUE"""),16393.0)</f>
        <v>16393</v>
      </c>
      <c r="H780" s="2" t="str">
        <f>IFERROR(__xludf.DUMMYFUNCTION("""COMPUTED_VALUE"""),"United Kingdom")</f>
        <v>United Kingdom</v>
      </c>
      <c r="I780" s="7">
        <f>IFERROR(__xludf.DUMMYFUNCTION("""COMPUTED_VALUE"""),40148.0)</f>
        <v>40148</v>
      </c>
      <c r="J780" s="8">
        <f>IFERROR(__xludf.DUMMYFUNCTION("""COMPUTED_VALUE"""),0.5090277777781012)</f>
        <v>0.5090277778</v>
      </c>
      <c r="K780" s="2">
        <f>IFERROR(__xludf.DUMMYFUNCTION("""COMPUTED_VALUE"""),12.0)</f>
        <v>12</v>
      </c>
      <c r="L780" s="2">
        <f>IFERROR(__xludf.DUMMYFUNCTION("""COMPUTED_VALUE"""),2.5)</f>
        <v>2.5</v>
      </c>
    </row>
    <row r="781">
      <c r="A781" s="2">
        <f>IFERROR(__xludf.DUMMYFUNCTION("""COMPUTED_VALUE"""),489536.0)</f>
        <v>489536</v>
      </c>
      <c r="B781" s="2" t="str">
        <f>IFERROR(__xludf.DUMMYFUNCTION("""COMPUTED_VALUE"""),"21440")</f>
        <v>21440</v>
      </c>
      <c r="C781" s="2" t="str">
        <f>IFERROR(__xludf.DUMMYFUNCTION("""COMPUTED_VALUE"""),"12 MINI TOADSTOOL PEGS")</f>
        <v>12 MINI TOADSTOOL PEGS</v>
      </c>
      <c r="D781" s="2">
        <f>IFERROR(__xludf.DUMMYFUNCTION("""COMPUTED_VALUE"""),1.0)</f>
        <v>1</v>
      </c>
      <c r="E781" s="6">
        <f>IFERROR(__xludf.DUMMYFUNCTION("""COMPUTED_VALUE"""),40148.50902777778)</f>
        <v>40148.50903</v>
      </c>
      <c r="F781" s="2">
        <f>IFERROR(__xludf.DUMMYFUNCTION("""COMPUTED_VALUE"""),1.25)</f>
        <v>1.25</v>
      </c>
      <c r="G781" s="2">
        <f>IFERROR(__xludf.DUMMYFUNCTION("""COMPUTED_VALUE"""),16393.0)</f>
        <v>16393</v>
      </c>
      <c r="H781" s="2" t="str">
        <f>IFERROR(__xludf.DUMMYFUNCTION("""COMPUTED_VALUE"""),"United Kingdom")</f>
        <v>United Kingdom</v>
      </c>
      <c r="I781" s="7">
        <f>IFERROR(__xludf.DUMMYFUNCTION("""COMPUTED_VALUE"""),40148.0)</f>
        <v>40148</v>
      </c>
      <c r="J781" s="8">
        <f>IFERROR(__xludf.DUMMYFUNCTION("""COMPUTED_VALUE"""),0.5090277777781012)</f>
        <v>0.5090277778</v>
      </c>
      <c r="K781" s="2">
        <f>IFERROR(__xludf.DUMMYFUNCTION("""COMPUTED_VALUE"""),12.0)</f>
        <v>12</v>
      </c>
      <c r="L781" s="2">
        <f>IFERROR(__xludf.DUMMYFUNCTION("""COMPUTED_VALUE"""),1.25)</f>
        <v>1.25</v>
      </c>
    </row>
    <row r="782">
      <c r="A782" s="2">
        <f>IFERROR(__xludf.DUMMYFUNCTION("""COMPUTED_VALUE"""),489536.0)</f>
        <v>489536</v>
      </c>
      <c r="B782" s="2" t="str">
        <f>IFERROR(__xludf.DUMMYFUNCTION("""COMPUTED_VALUE"""),"22174")</f>
        <v>22174</v>
      </c>
      <c r="C782" s="2" t="str">
        <f>IFERROR(__xludf.DUMMYFUNCTION("""COMPUTED_VALUE"""),"PHOTO CUBE")</f>
        <v>PHOTO CUBE</v>
      </c>
      <c r="D782" s="2">
        <f>IFERROR(__xludf.DUMMYFUNCTION("""COMPUTED_VALUE"""),2.0)</f>
        <v>2</v>
      </c>
      <c r="E782" s="6">
        <f>IFERROR(__xludf.DUMMYFUNCTION("""COMPUTED_VALUE"""),40148.50902777778)</f>
        <v>40148.50903</v>
      </c>
      <c r="F782" s="2">
        <f>IFERROR(__xludf.DUMMYFUNCTION("""COMPUTED_VALUE"""),1.65)</f>
        <v>1.65</v>
      </c>
      <c r="G782" s="2">
        <f>IFERROR(__xludf.DUMMYFUNCTION("""COMPUTED_VALUE"""),16393.0)</f>
        <v>16393</v>
      </c>
      <c r="H782" s="2" t="str">
        <f>IFERROR(__xludf.DUMMYFUNCTION("""COMPUTED_VALUE"""),"United Kingdom")</f>
        <v>United Kingdom</v>
      </c>
      <c r="I782" s="7">
        <f>IFERROR(__xludf.DUMMYFUNCTION("""COMPUTED_VALUE"""),40148.0)</f>
        <v>40148</v>
      </c>
      <c r="J782" s="8">
        <f>IFERROR(__xludf.DUMMYFUNCTION("""COMPUTED_VALUE"""),0.5090277777781012)</f>
        <v>0.5090277778</v>
      </c>
      <c r="K782" s="2">
        <f>IFERROR(__xludf.DUMMYFUNCTION("""COMPUTED_VALUE"""),12.0)</f>
        <v>12</v>
      </c>
      <c r="L782" s="2">
        <f>IFERROR(__xludf.DUMMYFUNCTION("""COMPUTED_VALUE"""),3.3)</f>
        <v>3.3</v>
      </c>
    </row>
    <row r="783">
      <c r="A783" s="2">
        <f>IFERROR(__xludf.DUMMYFUNCTION("""COMPUTED_VALUE"""),489536.0)</f>
        <v>489536</v>
      </c>
      <c r="B783" s="2" t="str">
        <f>IFERROR(__xludf.DUMMYFUNCTION("""COMPUTED_VALUE"""),"22142")</f>
        <v>22142</v>
      </c>
      <c r="C783" s="2" t="str">
        <f>IFERROR(__xludf.DUMMYFUNCTION("""COMPUTED_VALUE"""),"CHRISTMAS CRAFT WHITE FAIRY")</f>
        <v>CHRISTMAS CRAFT WHITE FAIRY</v>
      </c>
      <c r="D783" s="2">
        <f>IFERROR(__xludf.DUMMYFUNCTION("""COMPUTED_VALUE"""),1.0)</f>
        <v>1</v>
      </c>
      <c r="E783" s="6">
        <f>IFERROR(__xludf.DUMMYFUNCTION("""COMPUTED_VALUE"""),40148.50902777778)</f>
        <v>40148.50903</v>
      </c>
      <c r="F783" s="2">
        <f>IFERROR(__xludf.DUMMYFUNCTION("""COMPUTED_VALUE"""),1.45)</f>
        <v>1.45</v>
      </c>
      <c r="G783" s="2">
        <f>IFERROR(__xludf.DUMMYFUNCTION("""COMPUTED_VALUE"""),16393.0)</f>
        <v>16393</v>
      </c>
      <c r="H783" s="2" t="str">
        <f>IFERROR(__xludf.DUMMYFUNCTION("""COMPUTED_VALUE"""),"United Kingdom")</f>
        <v>United Kingdom</v>
      </c>
      <c r="I783" s="7">
        <f>IFERROR(__xludf.DUMMYFUNCTION("""COMPUTED_VALUE"""),40148.0)</f>
        <v>40148</v>
      </c>
      <c r="J783" s="8">
        <f>IFERROR(__xludf.DUMMYFUNCTION("""COMPUTED_VALUE"""),0.5090277777781012)</f>
        <v>0.5090277778</v>
      </c>
      <c r="K783" s="2">
        <f>IFERROR(__xludf.DUMMYFUNCTION("""COMPUTED_VALUE"""),12.0)</f>
        <v>12</v>
      </c>
      <c r="L783" s="2">
        <f>IFERROR(__xludf.DUMMYFUNCTION("""COMPUTED_VALUE"""),1.45)</f>
        <v>1.45</v>
      </c>
    </row>
    <row r="784">
      <c r="A784" s="2">
        <f>IFERROR(__xludf.DUMMYFUNCTION("""COMPUTED_VALUE"""),489536.0)</f>
        <v>489536</v>
      </c>
      <c r="B784" s="2" t="str">
        <f>IFERROR(__xludf.DUMMYFUNCTION("""COMPUTED_VALUE"""),"22150")</f>
        <v>22150</v>
      </c>
      <c r="C784" s="2" t="str">
        <f>IFERROR(__xludf.DUMMYFUNCTION("""COMPUTED_VALUE"""),"3 STRIPEY MICE FELTCRAFT")</f>
        <v>3 STRIPEY MICE FELTCRAFT</v>
      </c>
      <c r="D784" s="2">
        <f>IFERROR(__xludf.DUMMYFUNCTION("""COMPUTED_VALUE"""),2.0)</f>
        <v>2</v>
      </c>
      <c r="E784" s="6">
        <f>IFERROR(__xludf.DUMMYFUNCTION("""COMPUTED_VALUE"""),40148.50902777778)</f>
        <v>40148.50903</v>
      </c>
      <c r="F784" s="2">
        <f>IFERROR(__xludf.DUMMYFUNCTION("""COMPUTED_VALUE"""),1.95)</f>
        <v>1.95</v>
      </c>
      <c r="G784" s="2">
        <f>IFERROR(__xludf.DUMMYFUNCTION("""COMPUTED_VALUE"""),16393.0)</f>
        <v>16393</v>
      </c>
      <c r="H784" s="2" t="str">
        <f>IFERROR(__xludf.DUMMYFUNCTION("""COMPUTED_VALUE"""),"United Kingdom")</f>
        <v>United Kingdom</v>
      </c>
      <c r="I784" s="7">
        <f>IFERROR(__xludf.DUMMYFUNCTION("""COMPUTED_VALUE"""),40148.0)</f>
        <v>40148</v>
      </c>
      <c r="J784" s="8">
        <f>IFERROR(__xludf.DUMMYFUNCTION("""COMPUTED_VALUE"""),0.5090277777781012)</f>
        <v>0.5090277778</v>
      </c>
      <c r="K784" s="2">
        <f>IFERROR(__xludf.DUMMYFUNCTION("""COMPUTED_VALUE"""),12.0)</f>
        <v>12</v>
      </c>
      <c r="L784" s="2">
        <f>IFERROR(__xludf.DUMMYFUNCTION("""COMPUTED_VALUE"""),3.9)</f>
        <v>3.9</v>
      </c>
    </row>
    <row r="785">
      <c r="A785" s="2">
        <f>IFERROR(__xludf.DUMMYFUNCTION("""COMPUTED_VALUE"""),489536.0)</f>
        <v>489536</v>
      </c>
      <c r="B785" s="2" t="str">
        <f>IFERROR(__xludf.DUMMYFUNCTION("""COMPUTED_VALUE"""),"22147")</f>
        <v>22147</v>
      </c>
      <c r="C785" s="2" t="str">
        <f>IFERROR(__xludf.DUMMYFUNCTION("""COMPUTED_VALUE"""),"FELTCRAFT BUTTERFLY HEARTS")</f>
        <v>FELTCRAFT BUTTERFLY HEARTS</v>
      </c>
      <c r="D785" s="2">
        <f>IFERROR(__xludf.DUMMYFUNCTION("""COMPUTED_VALUE"""),2.0)</f>
        <v>2</v>
      </c>
      <c r="E785" s="6">
        <f>IFERROR(__xludf.DUMMYFUNCTION("""COMPUTED_VALUE"""),40148.50902777778)</f>
        <v>40148.50903</v>
      </c>
      <c r="F785" s="2">
        <f>IFERROR(__xludf.DUMMYFUNCTION("""COMPUTED_VALUE"""),1.45)</f>
        <v>1.45</v>
      </c>
      <c r="G785" s="2">
        <f>IFERROR(__xludf.DUMMYFUNCTION("""COMPUTED_VALUE"""),16393.0)</f>
        <v>16393</v>
      </c>
      <c r="H785" s="2" t="str">
        <f>IFERROR(__xludf.DUMMYFUNCTION("""COMPUTED_VALUE"""),"United Kingdom")</f>
        <v>United Kingdom</v>
      </c>
      <c r="I785" s="7">
        <f>IFERROR(__xludf.DUMMYFUNCTION("""COMPUTED_VALUE"""),40148.0)</f>
        <v>40148</v>
      </c>
      <c r="J785" s="8">
        <f>IFERROR(__xludf.DUMMYFUNCTION("""COMPUTED_VALUE"""),0.5090277777781012)</f>
        <v>0.5090277778</v>
      </c>
      <c r="K785" s="2">
        <f>IFERROR(__xludf.DUMMYFUNCTION("""COMPUTED_VALUE"""),12.0)</f>
        <v>12</v>
      </c>
      <c r="L785" s="2">
        <f>IFERROR(__xludf.DUMMYFUNCTION("""COMPUTED_VALUE"""),2.9)</f>
        <v>2.9</v>
      </c>
    </row>
    <row r="786">
      <c r="A786" s="2">
        <f>IFERROR(__xludf.DUMMYFUNCTION("""COMPUTED_VALUE"""),489536.0)</f>
        <v>489536</v>
      </c>
      <c r="B786" s="2" t="str">
        <f>IFERROR(__xludf.DUMMYFUNCTION("""COMPUTED_VALUE"""),"21356")</f>
        <v>21356</v>
      </c>
      <c r="C786" s="2" t="str">
        <f>IFERROR(__xludf.DUMMYFUNCTION("""COMPUTED_VALUE"""),"TOAST ITS - FAIRY FLOWER")</f>
        <v>TOAST ITS - FAIRY FLOWER</v>
      </c>
      <c r="D786" s="2">
        <f>IFERROR(__xludf.DUMMYFUNCTION("""COMPUTED_VALUE"""),1.0)</f>
        <v>1</v>
      </c>
      <c r="E786" s="6">
        <f>IFERROR(__xludf.DUMMYFUNCTION("""COMPUTED_VALUE"""),40148.50902777778)</f>
        <v>40148.50903</v>
      </c>
      <c r="F786" s="2">
        <f>IFERROR(__xludf.DUMMYFUNCTION("""COMPUTED_VALUE"""),1.25)</f>
        <v>1.25</v>
      </c>
      <c r="G786" s="2">
        <f>IFERROR(__xludf.DUMMYFUNCTION("""COMPUTED_VALUE"""),16393.0)</f>
        <v>16393</v>
      </c>
      <c r="H786" s="2" t="str">
        <f>IFERROR(__xludf.DUMMYFUNCTION("""COMPUTED_VALUE"""),"United Kingdom")</f>
        <v>United Kingdom</v>
      </c>
      <c r="I786" s="7">
        <f>IFERROR(__xludf.DUMMYFUNCTION("""COMPUTED_VALUE"""),40148.0)</f>
        <v>40148</v>
      </c>
      <c r="J786" s="8">
        <f>IFERROR(__xludf.DUMMYFUNCTION("""COMPUTED_VALUE"""),0.5090277777781012)</f>
        <v>0.5090277778</v>
      </c>
      <c r="K786" s="2">
        <f>IFERROR(__xludf.DUMMYFUNCTION("""COMPUTED_VALUE"""),12.0)</f>
        <v>12</v>
      </c>
      <c r="L786" s="2">
        <f>IFERROR(__xludf.DUMMYFUNCTION("""COMPUTED_VALUE"""),1.25)</f>
        <v>1.25</v>
      </c>
    </row>
    <row r="787">
      <c r="A787" s="2">
        <f>IFERROR(__xludf.DUMMYFUNCTION("""COMPUTED_VALUE"""),489536.0)</f>
        <v>489536</v>
      </c>
      <c r="B787" s="2" t="str">
        <f>IFERROR(__xludf.DUMMYFUNCTION("""COMPUTED_VALUE"""),"21357")</f>
        <v>21357</v>
      </c>
      <c r="C787" s="2" t="str">
        <f>IFERROR(__xludf.DUMMYFUNCTION("""COMPUTED_VALUE"""),"TOAST ITS - DINOSAUR")</f>
        <v>TOAST ITS - DINOSAUR</v>
      </c>
      <c r="D787" s="2">
        <f>IFERROR(__xludf.DUMMYFUNCTION("""COMPUTED_VALUE"""),1.0)</f>
        <v>1</v>
      </c>
      <c r="E787" s="6">
        <f>IFERROR(__xludf.DUMMYFUNCTION("""COMPUTED_VALUE"""),40148.50902777778)</f>
        <v>40148.50903</v>
      </c>
      <c r="F787" s="2">
        <f>IFERROR(__xludf.DUMMYFUNCTION("""COMPUTED_VALUE"""),1.25)</f>
        <v>1.25</v>
      </c>
      <c r="G787" s="2">
        <f>IFERROR(__xludf.DUMMYFUNCTION("""COMPUTED_VALUE"""),16393.0)</f>
        <v>16393</v>
      </c>
      <c r="H787" s="2" t="str">
        <f>IFERROR(__xludf.DUMMYFUNCTION("""COMPUTED_VALUE"""),"United Kingdom")</f>
        <v>United Kingdom</v>
      </c>
      <c r="I787" s="7">
        <f>IFERROR(__xludf.DUMMYFUNCTION("""COMPUTED_VALUE"""),40148.0)</f>
        <v>40148</v>
      </c>
      <c r="J787" s="8">
        <f>IFERROR(__xludf.DUMMYFUNCTION("""COMPUTED_VALUE"""),0.5090277777781012)</f>
        <v>0.5090277778</v>
      </c>
      <c r="K787" s="2">
        <f>IFERROR(__xludf.DUMMYFUNCTION("""COMPUTED_VALUE"""),12.0)</f>
        <v>12</v>
      </c>
      <c r="L787" s="2">
        <f>IFERROR(__xludf.DUMMYFUNCTION("""COMPUTED_VALUE"""),1.25)</f>
        <v>1.25</v>
      </c>
    </row>
    <row r="788">
      <c r="A788" s="2">
        <f>IFERROR(__xludf.DUMMYFUNCTION("""COMPUTED_VALUE"""),489536.0)</f>
        <v>489536</v>
      </c>
      <c r="B788" s="2" t="str">
        <f>IFERROR(__xludf.DUMMYFUNCTION("""COMPUTED_VALUE"""),"21166")</f>
        <v>21166</v>
      </c>
      <c r="C788" s="2" t="str">
        <f>IFERROR(__xludf.DUMMYFUNCTION("""COMPUTED_VALUE"""),"COOK WITH WINE METAL SIGN")</f>
        <v>COOK WITH WINE METAL SIGN</v>
      </c>
      <c r="D788" s="2">
        <f>IFERROR(__xludf.DUMMYFUNCTION("""COMPUTED_VALUE"""),1.0)</f>
        <v>1</v>
      </c>
      <c r="E788" s="6">
        <f>IFERROR(__xludf.DUMMYFUNCTION("""COMPUTED_VALUE"""),40148.50902777778)</f>
        <v>40148.50903</v>
      </c>
      <c r="F788" s="2">
        <f>IFERROR(__xludf.DUMMYFUNCTION("""COMPUTED_VALUE"""),1.95)</f>
        <v>1.95</v>
      </c>
      <c r="G788" s="2">
        <f>IFERROR(__xludf.DUMMYFUNCTION("""COMPUTED_VALUE"""),16393.0)</f>
        <v>16393</v>
      </c>
      <c r="H788" s="2" t="str">
        <f>IFERROR(__xludf.DUMMYFUNCTION("""COMPUTED_VALUE"""),"United Kingdom")</f>
        <v>United Kingdom</v>
      </c>
      <c r="I788" s="7">
        <f>IFERROR(__xludf.DUMMYFUNCTION("""COMPUTED_VALUE"""),40148.0)</f>
        <v>40148</v>
      </c>
      <c r="J788" s="8">
        <f>IFERROR(__xludf.DUMMYFUNCTION("""COMPUTED_VALUE"""),0.5090277777781012)</f>
        <v>0.5090277778</v>
      </c>
      <c r="K788" s="2">
        <f>IFERROR(__xludf.DUMMYFUNCTION("""COMPUTED_VALUE"""),12.0)</f>
        <v>12</v>
      </c>
      <c r="L788" s="2">
        <f>IFERROR(__xludf.DUMMYFUNCTION("""COMPUTED_VALUE"""),1.95)</f>
        <v>1.95</v>
      </c>
    </row>
    <row r="789">
      <c r="A789" s="2">
        <f>IFERROR(__xludf.DUMMYFUNCTION("""COMPUTED_VALUE"""),489536.0)</f>
        <v>489536</v>
      </c>
      <c r="B789" s="2" t="str">
        <f>IFERROR(__xludf.DUMMYFUNCTION("""COMPUTED_VALUE"""),"20728")</f>
        <v>20728</v>
      </c>
      <c r="C789" s="2" t="str">
        <f>IFERROR(__xludf.DUMMYFUNCTION("""COMPUTED_VALUE"""),"LUNCH BAG CARS BLUE")</f>
        <v>LUNCH BAG CARS BLUE</v>
      </c>
      <c r="D789" s="2">
        <f>IFERROR(__xludf.DUMMYFUNCTION("""COMPUTED_VALUE"""),4.0)</f>
        <v>4</v>
      </c>
      <c r="E789" s="6">
        <f>IFERROR(__xludf.DUMMYFUNCTION("""COMPUTED_VALUE"""),40148.50902777778)</f>
        <v>40148.50903</v>
      </c>
      <c r="F789" s="2">
        <f>IFERROR(__xludf.DUMMYFUNCTION("""COMPUTED_VALUE"""),1.65)</f>
        <v>1.65</v>
      </c>
      <c r="G789" s="2">
        <f>IFERROR(__xludf.DUMMYFUNCTION("""COMPUTED_VALUE"""),16393.0)</f>
        <v>16393</v>
      </c>
      <c r="H789" s="2" t="str">
        <f>IFERROR(__xludf.DUMMYFUNCTION("""COMPUTED_VALUE"""),"United Kingdom")</f>
        <v>United Kingdom</v>
      </c>
      <c r="I789" s="7">
        <f>IFERROR(__xludf.DUMMYFUNCTION("""COMPUTED_VALUE"""),40148.0)</f>
        <v>40148</v>
      </c>
      <c r="J789" s="8">
        <f>IFERROR(__xludf.DUMMYFUNCTION("""COMPUTED_VALUE"""),0.5090277777781012)</f>
        <v>0.5090277778</v>
      </c>
      <c r="K789" s="2">
        <f>IFERROR(__xludf.DUMMYFUNCTION("""COMPUTED_VALUE"""),12.0)</f>
        <v>12</v>
      </c>
      <c r="L789" s="2">
        <f>IFERROR(__xludf.DUMMYFUNCTION("""COMPUTED_VALUE"""),6.6)</f>
        <v>6.6</v>
      </c>
    </row>
    <row r="790">
      <c r="A790" s="2">
        <f>IFERROR(__xludf.DUMMYFUNCTION("""COMPUTED_VALUE"""),489536.0)</f>
        <v>489536</v>
      </c>
      <c r="B790" s="2" t="str">
        <f>IFERROR(__xludf.DUMMYFUNCTION("""COMPUTED_VALUE"""),"21677")</f>
        <v>21677</v>
      </c>
      <c r="C790" s="2" t="str">
        <f>IFERROR(__xludf.DUMMYFUNCTION("""COMPUTED_VALUE"""),"HEARTS STICKERS")</f>
        <v>HEARTS STICKERS</v>
      </c>
      <c r="D790" s="2">
        <f>IFERROR(__xludf.DUMMYFUNCTION("""COMPUTED_VALUE"""),6.0)</f>
        <v>6</v>
      </c>
      <c r="E790" s="6">
        <f>IFERROR(__xludf.DUMMYFUNCTION("""COMPUTED_VALUE"""),40148.50902777778)</f>
        <v>40148.50903</v>
      </c>
      <c r="F790" s="2">
        <f>IFERROR(__xludf.DUMMYFUNCTION("""COMPUTED_VALUE"""),0.85)</f>
        <v>0.85</v>
      </c>
      <c r="G790" s="2">
        <f>IFERROR(__xludf.DUMMYFUNCTION("""COMPUTED_VALUE"""),16393.0)</f>
        <v>16393</v>
      </c>
      <c r="H790" s="2" t="str">
        <f>IFERROR(__xludf.DUMMYFUNCTION("""COMPUTED_VALUE"""),"United Kingdom")</f>
        <v>United Kingdom</v>
      </c>
      <c r="I790" s="7">
        <f>IFERROR(__xludf.DUMMYFUNCTION("""COMPUTED_VALUE"""),40148.0)</f>
        <v>40148</v>
      </c>
      <c r="J790" s="8">
        <f>IFERROR(__xludf.DUMMYFUNCTION("""COMPUTED_VALUE"""),0.5090277777781012)</f>
        <v>0.5090277778</v>
      </c>
      <c r="K790" s="2">
        <f>IFERROR(__xludf.DUMMYFUNCTION("""COMPUTED_VALUE"""),12.0)</f>
        <v>12</v>
      </c>
      <c r="L790" s="2">
        <f>IFERROR(__xludf.DUMMYFUNCTION("""COMPUTED_VALUE"""),5.1)</f>
        <v>5.1</v>
      </c>
    </row>
    <row r="791">
      <c r="A791" s="2">
        <f>IFERROR(__xludf.DUMMYFUNCTION("""COMPUTED_VALUE"""),489536.0)</f>
        <v>489536</v>
      </c>
      <c r="B791" s="2" t="str">
        <f>IFERROR(__xludf.DUMMYFUNCTION("""COMPUTED_VALUE"""),"21680")</f>
        <v>21680</v>
      </c>
      <c r="C791" s="2" t="str">
        <f>IFERROR(__xludf.DUMMYFUNCTION("""COMPUTED_VALUE"""),"WOODLAND STICKERS")</f>
        <v>WOODLAND STICKERS</v>
      </c>
      <c r="D791" s="2">
        <f>IFERROR(__xludf.DUMMYFUNCTION("""COMPUTED_VALUE"""),6.0)</f>
        <v>6</v>
      </c>
      <c r="E791" s="6">
        <f>IFERROR(__xludf.DUMMYFUNCTION("""COMPUTED_VALUE"""),40148.50902777778)</f>
        <v>40148.50903</v>
      </c>
      <c r="F791" s="2">
        <f>IFERROR(__xludf.DUMMYFUNCTION("""COMPUTED_VALUE"""),0.85)</f>
        <v>0.85</v>
      </c>
      <c r="G791" s="2">
        <f>IFERROR(__xludf.DUMMYFUNCTION("""COMPUTED_VALUE"""),16393.0)</f>
        <v>16393</v>
      </c>
      <c r="H791" s="2" t="str">
        <f>IFERROR(__xludf.DUMMYFUNCTION("""COMPUTED_VALUE"""),"United Kingdom")</f>
        <v>United Kingdom</v>
      </c>
      <c r="I791" s="7">
        <f>IFERROR(__xludf.DUMMYFUNCTION("""COMPUTED_VALUE"""),40148.0)</f>
        <v>40148</v>
      </c>
      <c r="J791" s="8">
        <f>IFERROR(__xludf.DUMMYFUNCTION("""COMPUTED_VALUE"""),0.5090277777781012)</f>
        <v>0.5090277778</v>
      </c>
      <c r="K791" s="2">
        <f>IFERROR(__xludf.DUMMYFUNCTION("""COMPUTED_VALUE"""),12.0)</f>
        <v>12</v>
      </c>
      <c r="L791" s="2">
        <f>IFERROR(__xludf.DUMMYFUNCTION("""COMPUTED_VALUE"""),5.1)</f>
        <v>5.1</v>
      </c>
    </row>
    <row r="792">
      <c r="A792" s="2">
        <f>IFERROR(__xludf.DUMMYFUNCTION("""COMPUTED_VALUE"""),489536.0)</f>
        <v>489536</v>
      </c>
      <c r="B792" s="2" t="str">
        <f>IFERROR(__xludf.DUMMYFUNCTION("""COMPUTED_VALUE"""),"21730")</f>
        <v>21730</v>
      </c>
      <c r="C792" s="2" t="str">
        <f>IFERROR(__xludf.DUMMYFUNCTION("""COMPUTED_VALUE"""),"GLASS STAR FROSTED T-LIGHT HOLDER")</f>
        <v>GLASS STAR FROSTED T-LIGHT HOLDER</v>
      </c>
      <c r="D792" s="2">
        <f>IFERROR(__xludf.DUMMYFUNCTION("""COMPUTED_VALUE"""),1.0)</f>
        <v>1</v>
      </c>
      <c r="E792" s="6">
        <f>IFERROR(__xludf.DUMMYFUNCTION("""COMPUTED_VALUE"""),40148.50902777778)</f>
        <v>40148.50903</v>
      </c>
      <c r="F792" s="2">
        <f>IFERROR(__xludf.DUMMYFUNCTION("""COMPUTED_VALUE"""),4.95)</f>
        <v>4.95</v>
      </c>
      <c r="G792" s="2">
        <f>IFERROR(__xludf.DUMMYFUNCTION("""COMPUTED_VALUE"""),16393.0)</f>
        <v>16393</v>
      </c>
      <c r="H792" s="2" t="str">
        <f>IFERROR(__xludf.DUMMYFUNCTION("""COMPUTED_VALUE"""),"United Kingdom")</f>
        <v>United Kingdom</v>
      </c>
      <c r="I792" s="7">
        <f>IFERROR(__xludf.DUMMYFUNCTION("""COMPUTED_VALUE"""),40148.0)</f>
        <v>40148</v>
      </c>
      <c r="J792" s="8">
        <f>IFERROR(__xludf.DUMMYFUNCTION("""COMPUTED_VALUE"""),0.5090277777781012)</f>
        <v>0.5090277778</v>
      </c>
      <c r="K792" s="2">
        <f>IFERROR(__xludf.DUMMYFUNCTION("""COMPUTED_VALUE"""),12.0)</f>
        <v>12</v>
      </c>
      <c r="L792" s="2">
        <f>IFERROR(__xludf.DUMMYFUNCTION("""COMPUTED_VALUE"""),4.95)</f>
        <v>4.95</v>
      </c>
    </row>
    <row r="793">
      <c r="A793" s="2">
        <f>IFERROR(__xludf.DUMMYFUNCTION("""COMPUTED_VALUE"""),489536.0)</f>
        <v>489536</v>
      </c>
      <c r="B793" s="2" t="str">
        <f>IFERROR(__xludf.DUMMYFUNCTION("""COMPUTED_VALUE"""),"21788")</f>
        <v>21788</v>
      </c>
      <c r="C793" s="2" t="str">
        <f>IFERROR(__xludf.DUMMYFUNCTION("""COMPUTED_VALUE"""),"KIDS RAIN MAC BLUE")</f>
        <v>KIDS RAIN MAC BLUE</v>
      </c>
      <c r="D793" s="2">
        <f>IFERROR(__xludf.DUMMYFUNCTION("""COMPUTED_VALUE"""),1.0)</f>
        <v>1</v>
      </c>
      <c r="E793" s="6">
        <f>IFERROR(__xludf.DUMMYFUNCTION("""COMPUTED_VALUE"""),40148.50902777778)</f>
        <v>40148.50903</v>
      </c>
      <c r="F793" s="2">
        <f>IFERROR(__xludf.DUMMYFUNCTION("""COMPUTED_VALUE"""),0.85)</f>
        <v>0.85</v>
      </c>
      <c r="G793" s="2">
        <f>IFERROR(__xludf.DUMMYFUNCTION("""COMPUTED_VALUE"""),16393.0)</f>
        <v>16393</v>
      </c>
      <c r="H793" s="2" t="str">
        <f>IFERROR(__xludf.DUMMYFUNCTION("""COMPUTED_VALUE"""),"United Kingdom")</f>
        <v>United Kingdom</v>
      </c>
      <c r="I793" s="7">
        <f>IFERROR(__xludf.DUMMYFUNCTION("""COMPUTED_VALUE"""),40148.0)</f>
        <v>40148</v>
      </c>
      <c r="J793" s="8">
        <f>IFERROR(__xludf.DUMMYFUNCTION("""COMPUTED_VALUE"""),0.5090277777781012)</f>
        <v>0.5090277778</v>
      </c>
      <c r="K793" s="2">
        <f>IFERROR(__xludf.DUMMYFUNCTION("""COMPUTED_VALUE"""),12.0)</f>
        <v>12</v>
      </c>
      <c r="L793" s="2">
        <f>IFERROR(__xludf.DUMMYFUNCTION("""COMPUTED_VALUE"""),0.85)</f>
        <v>0.85</v>
      </c>
    </row>
    <row r="794">
      <c r="A794" s="2">
        <f>IFERROR(__xludf.DUMMYFUNCTION("""COMPUTED_VALUE"""),489536.0)</f>
        <v>489536</v>
      </c>
      <c r="B794" s="2" t="str">
        <f>IFERROR(__xludf.DUMMYFUNCTION("""COMPUTED_VALUE"""),"21789")</f>
        <v>21789</v>
      </c>
      <c r="C794" s="2" t="str">
        <f>IFERROR(__xludf.DUMMYFUNCTION("""COMPUTED_VALUE"""),"KIDS RAIN MAC PINK")</f>
        <v>KIDS RAIN MAC PINK</v>
      </c>
      <c r="D794" s="2">
        <f>IFERROR(__xludf.DUMMYFUNCTION("""COMPUTED_VALUE"""),1.0)</f>
        <v>1</v>
      </c>
      <c r="E794" s="6">
        <f>IFERROR(__xludf.DUMMYFUNCTION("""COMPUTED_VALUE"""),40148.50902777778)</f>
        <v>40148.50903</v>
      </c>
      <c r="F794" s="2">
        <f>IFERROR(__xludf.DUMMYFUNCTION("""COMPUTED_VALUE"""),0.85)</f>
        <v>0.85</v>
      </c>
      <c r="G794" s="2">
        <f>IFERROR(__xludf.DUMMYFUNCTION("""COMPUTED_VALUE"""),16393.0)</f>
        <v>16393</v>
      </c>
      <c r="H794" s="2" t="str">
        <f>IFERROR(__xludf.DUMMYFUNCTION("""COMPUTED_VALUE"""),"United Kingdom")</f>
        <v>United Kingdom</v>
      </c>
      <c r="I794" s="7">
        <f>IFERROR(__xludf.DUMMYFUNCTION("""COMPUTED_VALUE"""),40148.0)</f>
        <v>40148</v>
      </c>
      <c r="J794" s="8">
        <f>IFERROR(__xludf.DUMMYFUNCTION("""COMPUTED_VALUE"""),0.5090277777781012)</f>
        <v>0.5090277778</v>
      </c>
      <c r="K794" s="2">
        <f>IFERROR(__xludf.DUMMYFUNCTION("""COMPUTED_VALUE"""),12.0)</f>
        <v>12</v>
      </c>
      <c r="L794" s="2">
        <f>IFERROR(__xludf.DUMMYFUNCTION("""COMPUTED_VALUE"""),0.85)</f>
        <v>0.85</v>
      </c>
    </row>
    <row r="795">
      <c r="A795" s="2">
        <f>IFERROR(__xludf.DUMMYFUNCTION("""COMPUTED_VALUE"""),489536.0)</f>
        <v>489536</v>
      </c>
      <c r="B795" s="2" t="str">
        <f>IFERROR(__xludf.DUMMYFUNCTION("""COMPUTED_VALUE"""),"20660")</f>
        <v>20660</v>
      </c>
      <c r="C795" s="2" t="str">
        <f>IFERROR(__xludf.DUMMYFUNCTION("""COMPUTED_VALUE"""),"VIP LUGGAGE TAG")</f>
        <v>VIP LUGGAGE TAG</v>
      </c>
      <c r="D795" s="2">
        <f>IFERROR(__xludf.DUMMYFUNCTION("""COMPUTED_VALUE"""),1.0)</f>
        <v>1</v>
      </c>
      <c r="E795" s="6">
        <f>IFERROR(__xludf.DUMMYFUNCTION("""COMPUTED_VALUE"""),40148.50902777778)</f>
        <v>40148.50903</v>
      </c>
      <c r="F795" s="2">
        <f>IFERROR(__xludf.DUMMYFUNCTION("""COMPUTED_VALUE"""),1.25)</f>
        <v>1.25</v>
      </c>
      <c r="G795" s="2">
        <f>IFERROR(__xludf.DUMMYFUNCTION("""COMPUTED_VALUE"""),16393.0)</f>
        <v>16393</v>
      </c>
      <c r="H795" s="2" t="str">
        <f>IFERROR(__xludf.DUMMYFUNCTION("""COMPUTED_VALUE"""),"United Kingdom")</f>
        <v>United Kingdom</v>
      </c>
      <c r="I795" s="7">
        <f>IFERROR(__xludf.DUMMYFUNCTION("""COMPUTED_VALUE"""),40148.0)</f>
        <v>40148</v>
      </c>
      <c r="J795" s="8">
        <f>IFERROR(__xludf.DUMMYFUNCTION("""COMPUTED_VALUE"""),0.5090277777781012)</f>
        <v>0.5090277778</v>
      </c>
      <c r="K795" s="2">
        <f>IFERROR(__xludf.DUMMYFUNCTION("""COMPUTED_VALUE"""),12.0)</f>
        <v>12</v>
      </c>
      <c r="L795" s="2">
        <f>IFERROR(__xludf.DUMMYFUNCTION("""COMPUTED_VALUE"""),1.25)</f>
        <v>1.25</v>
      </c>
    </row>
    <row r="796">
      <c r="A796" s="2">
        <f>IFERROR(__xludf.DUMMYFUNCTION("""COMPUTED_VALUE"""),489536.0)</f>
        <v>489536</v>
      </c>
      <c r="B796" s="2" t="str">
        <f>IFERROR(__xludf.DUMMYFUNCTION("""COMPUTED_VALUE"""),"70007")</f>
        <v>70007</v>
      </c>
      <c r="C796" s="2" t="str">
        <f>IFERROR(__xludf.DUMMYFUNCTION("""COMPUTED_VALUE"""),"HI TEC ALPINE HAND WARMER")</f>
        <v>HI TEC ALPINE HAND WARMER</v>
      </c>
      <c r="D796" s="2">
        <f>IFERROR(__xludf.DUMMYFUNCTION("""COMPUTED_VALUE"""),1.0)</f>
        <v>1</v>
      </c>
      <c r="E796" s="6">
        <f>IFERROR(__xludf.DUMMYFUNCTION("""COMPUTED_VALUE"""),40148.50902777778)</f>
        <v>40148.50903</v>
      </c>
      <c r="F796" s="2">
        <f>IFERROR(__xludf.DUMMYFUNCTION("""COMPUTED_VALUE"""),1.65)</f>
        <v>1.65</v>
      </c>
      <c r="G796" s="2">
        <f>IFERROR(__xludf.DUMMYFUNCTION("""COMPUTED_VALUE"""),16393.0)</f>
        <v>16393</v>
      </c>
      <c r="H796" s="2" t="str">
        <f>IFERROR(__xludf.DUMMYFUNCTION("""COMPUTED_VALUE"""),"United Kingdom")</f>
        <v>United Kingdom</v>
      </c>
      <c r="I796" s="7">
        <f>IFERROR(__xludf.DUMMYFUNCTION("""COMPUTED_VALUE"""),40148.0)</f>
        <v>40148</v>
      </c>
      <c r="J796" s="8">
        <f>IFERROR(__xludf.DUMMYFUNCTION("""COMPUTED_VALUE"""),0.5090277777781012)</f>
        <v>0.5090277778</v>
      </c>
      <c r="K796" s="2">
        <f>IFERROR(__xludf.DUMMYFUNCTION("""COMPUTED_VALUE"""),12.0)</f>
        <v>12</v>
      </c>
      <c r="L796" s="2">
        <f>IFERROR(__xludf.DUMMYFUNCTION("""COMPUTED_VALUE"""),1.65)</f>
        <v>1.65</v>
      </c>
    </row>
    <row r="797">
      <c r="A797" s="2">
        <f>IFERROR(__xludf.DUMMYFUNCTION("""COMPUTED_VALUE"""),489536.0)</f>
        <v>489536</v>
      </c>
      <c r="B797" s="2" t="str">
        <f>IFERROR(__xludf.DUMMYFUNCTION("""COMPUTED_VALUE"""),"70006")</f>
        <v>70006</v>
      </c>
      <c r="C797" s="2" t="str">
        <f>IFERROR(__xludf.DUMMYFUNCTION("""COMPUTED_VALUE"""),"LOVE HEART POCKET WARMER")</f>
        <v>LOVE HEART POCKET WARMER</v>
      </c>
      <c r="D797" s="2">
        <f>IFERROR(__xludf.DUMMYFUNCTION("""COMPUTED_VALUE"""),1.0)</f>
        <v>1</v>
      </c>
      <c r="E797" s="6">
        <f>IFERROR(__xludf.DUMMYFUNCTION("""COMPUTED_VALUE"""),40148.50902777778)</f>
        <v>40148.50903</v>
      </c>
      <c r="F797" s="2">
        <f>IFERROR(__xludf.DUMMYFUNCTION("""COMPUTED_VALUE"""),1.65)</f>
        <v>1.65</v>
      </c>
      <c r="G797" s="2">
        <f>IFERROR(__xludf.DUMMYFUNCTION("""COMPUTED_VALUE"""),16393.0)</f>
        <v>16393</v>
      </c>
      <c r="H797" s="2" t="str">
        <f>IFERROR(__xludf.DUMMYFUNCTION("""COMPUTED_VALUE"""),"United Kingdom")</f>
        <v>United Kingdom</v>
      </c>
      <c r="I797" s="7">
        <f>IFERROR(__xludf.DUMMYFUNCTION("""COMPUTED_VALUE"""),40148.0)</f>
        <v>40148</v>
      </c>
      <c r="J797" s="8">
        <f>IFERROR(__xludf.DUMMYFUNCTION("""COMPUTED_VALUE"""),0.5090277777781012)</f>
        <v>0.5090277778</v>
      </c>
      <c r="K797" s="2">
        <f>IFERROR(__xludf.DUMMYFUNCTION("""COMPUTED_VALUE"""),12.0)</f>
        <v>12</v>
      </c>
      <c r="L797" s="2">
        <f>IFERROR(__xludf.DUMMYFUNCTION("""COMPUTED_VALUE"""),1.65)</f>
        <v>1.65</v>
      </c>
    </row>
    <row r="798">
      <c r="A798" s="2">
        <f>IFERROR(__xludf.DUMMYFUNCTION("""COMPUTED_VALUE"""),489536.0)</f>
        <v>489536</v>
      </c>
      <c r="B798" s="2" t="str">
        <f>IFERROR(__xludf.DUMMYFUNCTION("""COMPUTED_VALUE"""),"21650")</f>
        <v>21650</v>
      </c>
      <c r="C798" s="2" t="str">
        <f>IFERROR(__xludf.DUMMYFUNCTION("""COMPUTED_VALUE"""),"ASSORTED TUTTI FRUTTI BRACELET")</f>
        <v>ASSORTED TUTTI FRUTTI BRACELET</v>
      </c>
      <c r="D798" s="2">
        <f>IFERROR(__xludf.DUMMYFUNCTION("""COMPUTED_VALUE"""),1.0)</f>
        <v>1</v>
      </c>
      <c r="E798" s="6">
        <f>IFERROR(__xludf.DUMMYFUNCTION("""COMPUTED_VALUE"""),40148.50902777778)</f>
        <v>40148.50903</v>
      </c>
      <c r="F798" s="2">
        <f>IFERROR(__xludf.DUMMYFUNCTION("""COMPUTED_VALUE"""),0.65)</f>
        <v>0.65</v>
      </c>
      <c r="G798" s="2">
        <f>IFERROR(__xludf.DUMMYFUNCTION("""COMPUTED_VALUE"""),16393.0)</f>
        <v>16393</v>
      </c>
      <c r="H798" s="2" t="str">
        <f>IFERROR(__xludf.DUMMYFUNCTION("""COMPUTED_VALUE"""),"United Kingdom")</f>
        <v>United Kingdom</v>
      </c>
      <c r="I798" s="7">
        <f>IFERROR(__xludf.DUMMYFUNCTION("""COMPUTED_VALUE"""),40148.0)</f>
        <v>40148</v>
      </c>
      <c r="J798" s="8">
        <f>IFERROR(__xludf.DUMMYFUNCTION("""COMPUTED_VALUE"""),0.5090277777781012)</f>
        <v>0.5090277778</v>
      </c>
      <c r="K798" s="2">
        <f>IFERROR(__xludf.DUMMYFUNCTION("""COMPUTED_VALUE"""),12.0)</f>
        <v>12</v>
      </c>
      <c r="L798" s="2">
        <f>IFERROR(__xludf.DUMMYFUNCTION("""COMPUTED_VALUE"""),0.65)</f>
        <v>0.65</v>
      </c>
    </row>
    <row r="799">
      <c r="A799" s="2">
        <f>IFERROR(__xludf.DUMMYFUNCTION("""COMPUTED_VALUE"""),489536.0)</f>
        <v>489536</v>
      </c>
      <c r="B799" s="2" t="str">
        <f>IFERROR(__xludf.DUMMYFUNCTION("""COMPUTED_VALUE"""),"22147")</f>
        <v>22147</v>
      </c>
      <c r="C799" s="2" t="str">
        <f>IFERROR(__xludf.DUMMYFUNCTION("""COMPUTED_VALUE"""),"FELTCRAFT BUTTERFLY HEARTS")</f>
        <v>FELTCRAFT BUTTERFLY HEARTS</v>
      </c>
      <c r="D799" s="2">
        <f>IFERROR(__xludf.DUMMYFUNCTION("""COMPUTED_VALUE"""),1.0)</f>
        <v>1</v>
      </c>
      <c r="E799" s="6">
        <f>IFERROR(__xludf.DUMMYFUNCTION("""COMPUTED_VALUE"""),40148.50902777778)</f>
        <v>40148.50903</v>
      </c>
      <c r="F799" s="2">
        <f>IFERROR(__xludf.DUMMYFUNCTION("""COMPUTED_VALUE"""),1.45)</f>
        <v>1.45</v>
      </c>
      <c r="G799" s="2">
        <f>IFERROR(__xludf.DUMMYFUNCTION("""COMPUTED_VALUE"""),16393.0)</f>
        <v>16393</v>
      </c>
      <c r="H799" s="2" t="str">
        <f>IFERROR(__xludf.DUMMYFUNCTION("""COMPUTED_VALUE"""),"United Kingdom")</f>
        <v>United Kingdom</v>
      </c>
      <c r="I799" s="7">
        <f>IFERROR(__xludf.DUMMYFUNCTION("""COMPUTED_VALUE"""),40148.0)</f>
        <v>40148</v>
      </c>
      <c r="J799" s="8">
        <f>IFERROR(__xludf.DUMMYFUNCTION("""COMPUTED_VALUE"""),0.5090277777781012)</f>
        <v>0.5090277778</v>
      </c>
      <c r="K799" s="2">
        <f>IFERROR(__xludf.DUMMYFUNCTION("""COMPUTED_VALUE"""),12.0)</f>
        <v>12</v>
      </c>
      <c r="L799" s="2">
        <f>IFERROR(__xludf.DUMMYFUNCTION("""COMPUTED_VALUE"""),1.45)</f>
        <v>1.45</v>
      </c>
    </row>
    <row r="800">
      <c r="A800" s="2">
        <f>IFERROR(__xludf.DUMMYFUNCTION("""COMPUTED_VALUE"""),489536.0)</f>
        <v>489536</v>
      </c>
      <c r="B800" s="2" t="str">
        <f>IFERROR(__xludf.DUMMYFUNCTION("""COMPUTED_VALUE"""),"21892")</f>
        <v>21892</v>
      </c>
      <c r="C800" s="2" t="str">
        <f>IFERROR(__xludf.DUMMYFUNCTION("""COMPUTED_VALUE"""),"TRADITIONAL WOODEN CATCH CUP GAME")</f>
        <v>TRADITIONAL WOODEN CATCH CUP GAME</v>
      </c>
      <c r="D800" s="2">
        <f>IFERROR(__xludf.DUMMYFUNCTION("""COMPUTED_VALUE"""),1.0)</f>
        <v>1</v>
      </c>
      <c r="E800" s="6">
        <f>IFERROR(__xludf.DUMMYFUNCTION("""COMPUTED_VALUE"""),40148.50902777778)</f>
        <v>40148.50903</v>
      </c>
      <c r="F800" s="2">
        <f>IFERROR(__xludf.DUMMYFUNCTION("""COMPUTED_VALUE"""),1.25)</f>
        <v>1.25</v>
      </c>
      <c r="G800" s="2">
        <f>IFERROR(__xludf.DUMMYFUNCTION("""COMPUTED_VALUE"""),16393.0)</f>
        <v>16393</v>
      </c>
      <c r="H800" s="2" t="str">
        <f>IFERROR(__xludf.DUMMYFUNCTION("""COMPUTED_VALUE"""),"United Kingdom")</f>
        <v>United Kingdom</v>
      </c>
      <c r="I800" s="7">
        <f>IFERROR(__xludf.DUMMYFUNCTION("""COMPUTED_VALUE"""),40148.0)</f>
        <v>40148</v>
      </c>
      <c r="J800" s="8">
        <f>IFERROR(__xludf.DUMMYFUNCTION("""COMPUTED_VALUE"""),0.5090277777781012)</f>
        <v>0.5090277778</v>
      </c>
      <c r="K800" s="2">
        <f>IFERROR(__xludf.DUMMYFUNCTION("""COMPUTED_VALUE"""),12.0)</f>
        <v>12</v>
      </c>
      <c r="L800" s="2">
        <f>IFERROR(__xludf.DUMMYFUNCTION("""COMPUTED_VALUE"""),1.25)</f>
        <v>1.25</v>
      </c>
    </row>
    <row r="801">
      <c r="A801" s="2">
        <f>IFERROR(__xludf.DUMMYFUNCTION("""COMPUTED_VALUE"""),489536.0)</f>
        <v>489536</v>
      </c>
      <c r="B801" s="2" t="str">
        <f>IFERROR(__xludf.DUMMYFUNCTION("""COMPUTED_VALUE"""),"85227")</f>
        <v>85227</v>
      </c>
      <c r="C801" s="2" t="str">
        <f>IFERROR(__xludf.DUMMYFUNCTION("""COMPUTED_VALUE"""),"SET/6 3D KIT CARDS FOR KIDS")</f>
        <v>SET/6 3D KIT CARDS FOR KIDS</v>
      </c>
      <c r="D801" s="2">
        <f>IFERROR(__xludf.DUMMYFUNCTION("""COMPUTED_VALUE"""),1.0)</f>
        <v>1</v>
      </c>
      <c r="E801" s="6">
        <f>IFERROR(__xludf.DUMMYFUNCTION("""COMPUTED_VALUE"""),40148.50902777778)</f>
        <v>40148.50903</v>
      </c>
      <c r="F801" s="2">
        <f>IFERROR(__xludf.DUMMYFUNCTION("""COMPUTED_VALUE"""),0.85)</f>
        <v>0.85</v>
      </c>
      <c r="G801" s="2">
        <f>IFERROR(__xludf.DUMMYFUNCTION("""COMPUTED_VALUE"""),16393.0)</f>
        <v>16393</v>
      </c>
      <c r="H801" s="2" t="str">
        <f>IFERROR(__xludf.DUMMYFUNCTION("""COMPUTED_VALUE"""),"United Kingdom")</f>
        <v>United Kingdom</v>
      </c>
      <c r="I801" s="7">
        <f>IFERROR(__xludf.DUMMYFUNCTION("""COMPUTED_VALUE"""),40148.0)</f>
        <v>40148</v>
      </c>
      <c r="J801" s="8">
        <f>IFERROR(__xludf.DUMMYFUNCTION("""COMPUTED_VALUE"""),0.5090277777781012)</f>
        <v>0.5090277778</v>
      </c>
      <c r="K801" s="2">
        <f>IFERROR(__xludf.DUMMYFUNCTION("""COMPUTED_VALUE"""),12.0)</f>
        <v>12</v>
      </c>
      <c r="L801" s="2">
        <f>IFERROR(__xludf.DUMMYFUNCTION("""COMPUTED_VALUE"""),0.85)</f>
        <v>0.85</v>
      </c>
    </row>
    <row r="802">
      <c r="A802" s="2">
        <f>IFERROR(__xludf.DUMMYFUNCTION("""COMPUTED_VALUE"""),489536.0)</f>
        <v>489536</v>
      </c>
      <c r="B802" s="2" t="str">
        <f>IFERROR(__xludf.DUMMYFUNCTION("""COMPUTED_VALUE"""),"85227")</f>
        <v>85227</v>
      </c>
      <c r="C802" s="2" t="str">
        <f>IFERROR(__xludf.DUMMYFUNCTION("""COMPUTED_VALUE"""),"SET/6 3D KIT CARDS FOR KIDS")</f>
        <v>SET/6 3D KIT CARDS FOR KIDS</v>
      </c>
      <c r="D802" s="2">
        <f>IFERROR(__xludf.DUMMYFUNCTION("""COMPUTED_VALUE"""),3.0)</f>
        <v>3</v>
      </c>
      <c r="E802" s="6">
        <f>IFERROR(__xludf.DUMMYFUNCTION("""COMPUTED_VALUE"""),40148.50902777778)</f>
        <v>40148.50903</v>
      </c>
      <c r="F802" s="2">
        <f>IFERROR(__xludf.DUMMYFUNCTION("""COMPUTED_VALUE"""),0.85)</f>
        <v>0.85</v>
      </c>
      <c r="G802" s="2">
        <f>IFERROR(__xludf.DUMMYFUNCTION("""COMPUTED_VALUE"""),16393.0)</f>
        <v>16393</v>
      </c>
      <c r="H802" s="2" t="str">
        <f>IFERROR(__xludf.DUMMYFUNCTION("""COMPUTED_VALUE"""),"United Kingdom")</f>
        <v>United Kingdom</v>
      </c>
      <c r="I802" s="7">
        <f>IFERROR(__xludf.DUMMYFUNCTION("""COMPUTED_VALUE"""),40148.0)</f>
        <v>40148</v>
      </c>
      <c r="J802" s="8">
        <f>IFERROR(__xludf.DUMMYFUNCTION("""COMPUTED_VALUE"""),0.5090277777781012)</f>
        <v>0.5090277778</v>
      </c>
      <c r="K802" s="2">
        <f>IFERROR(__xludf.DUMMYFUNCTION("""COMPUTED_VALUE"""),12.0)</f>
        <v>12</v>
      </c>
      <c r="L802" s="2">
        <f>IFERROR(__xludf.DUMMYFUNCTION("""COMPUTED_VALUE"""),2.55)</f>
        <v>2.55</v>
      </c>
    </row>
    <row r="803">
      <c r="A803" s="2">
        <f>IFERROR(__xludf.DUMMYFUNCTION("""COMPUTED_VALUE"""),489536.0)</f>
        <v>489536</v>
      </c>
      <c r="B803" s="2" t="str">
        <f>IFERROR(__xludf.DUMMYFUNCTION("""COMPUTED_VALUE"""),"20655")</f>
        <v>20655</v>
      </c>
      <c r="C803" s="2" t="str">
        <f>IFERROR(__xludf.DUMMYFUNCTION("""COMPUTED_VALUE"""),"QUEEN OF SKIES LUGGAGE TAG")</f>
        <v>QUEEN OF SKIES LUGGAGE TAG</v>
      </c>
      <c r="D803" s="2">
        <f>IFERROR(__xludf.DUMMYFUNCTION("""COMPUTED_VALUE"""),1.0)</f>
        <v>1</v>
      </c>
      <c r="E803" s="6">
        <f>IFERROR(__xludf.DUMMYFUNCTION("""COMPUTED_VALUE"""),40148.50902777778)</f>
        <v>40148.50903</v>
      </c>
      <c r="F803" s="2">
        <f>IFERROR(__xludf.DUMMYFUNCTION("""COMPUTED_VALUE"""),1.25)</f>
        <v>1.25</v>
      </c>
      <c r="G803" s="2">
        <f>IFERROR(__xludf.DUMMYFUNCTION("""COMPUTED_VALUE"""),16393.0)</f>
        <v>16393</v>
      </c>
      <c r="H803" s="2" t="str">
        <f>IFERROR(__xludf.DUMMYFUNCTION("""COMPUTED_VALUE"""),"United Kingdom")</f>
        <v>United Kingdom</v>
      </c>
      <c r="I803" s="7">
        <f>IFERROR(__xludf.DUMMYFUNCTION("""COMPUTED_VALUE"""),40148.0)</f>
        <v>40148</v>
      </c>
      <c r="J803" s="8">
        <f>IFERROR(__xludf.DUMMYFUNCTION("""COMPUTED_VALUE"""),0.5090277777781012)</f>
        <v>0.5090277778</v>
      </c>
      <c r="K803" s="2">
        <f>IFERROR(__xludf.DUMMYFUNCTION("""COMPUTED_VALUE"""),12.0)</f>
        <v>12</v>
      </c>
      <c r="L803" s="2">
        <f>IFERROR(__xludf.DUMMYFUNCTION("""COMPUTED_VALUE"""),1.25)</f>
        <v>1.25</v>
      </c>
    </row>
    <row r="804">
      <c r="A804" s="2">
        <f>IFERROR(__xludf.DUMMYFUNCTION("""COMPUTED_VALUE"""),489536.0)</f>
        <v>489536</v>
      </c>
      <c r="B804" s="2" t="str">
        <f>IFERROR(__xludf.DUMMYFUNCTION("""COMPUTED_VALUE"""),"21791")</f>
        <v>21791</v>
      </c>
      <c r="C804" s="2" t="str">
        <f>IFERROR(__xludf.DUMMYFUNCTION("""COMPUTED_VALUE"""),"VINTAGE HEADS AND TAILS CARD GAME")</f>
        <v>VINTAGE HEADS AND TAILS CARD GAME</v>
      </c>
      <c r="D804" s="2">
        <f>IFERROR(__xludf.DUMMYFUNCTION("""COMPUTED_VALUE"""),1.0)</f>
        <v>1</v>
      </c>
      <c r="E804" s="6">
        <f>IFERROR(__xludf.DUMMYFUNCTION("""COMPUTED_VALUE"""),40148.50902777778)</f>
        <v>40148.50903</v>
      </c>
      <c r="F804" s="2">
        <f>IFERROR(__xludf.DUMMYFUNCTION("""COMPUTED_VALUE"""),1.25)</f>
        <v>1.25</v>
      </c>
      <c r="G804" s="2">
        <f>IFERROR(__xludf.DUMMYFUNCTION("""COMPUTED_VALUE"""),16393.0)</f>
        <v>16393</v>
      </c>
      <c r="H804" s="2" t="str">
        <f>IFERROR(__xludf.DUMMYFUNCTION("""COMPUTED_VALUE"""),"United Kingdom")</f>
        <v>United Kingdom</v>
      </c>
      <c r="I804" s="7">
        <f>IFERROR(__xludf.DUMMYFUNCTION("""COMPUTED_VALUE"""),40148.0)</f>
        <v>40148</v>
      </c>
      <c r="J804" s="8">
        <f>IFERROR(__xludf.DUMMYFUNCTION("""COMPUTED_VALUE"""),0.5090277777781012)</f>
        <v>0.5090277778</v>
      </c>
      <c r="K804" s="2">
        <f>IFERROR(__xludf.DUMMYFUNCTION("""COMPUTED_VALUE"""),12.0)</f>
        <v>12</v>
      </c>
      <c r="L804" s="2">
        <f>IFERROR(__xludf.DUMMYFUNCTION("""COMPUTED_VALUE"""),1.25)</f>
        <v>1.25</v>
      </c>
    </row>
    <row r="805">
      <c r="A805" s="2">
        <f>IFERROR(__xludf.DUMMYFUNCTION("""COMPUTED_VALUE"""),489536.0)</f>
        <v>489536</v>
      </c>
      <c r="B805" s="2" t="str">
        <f>IFERROR(__xludf.DUMMYFUNCTION("""COMPUTED_VALUE"""),"21990")</f>
        <v>21990</v>
      </c>
      <c r="C805" s="2" t="str">
        <f>IFERROR(__xludf.DUMMYFUNCTION("""COMPUTED_VALUE"""),"MODERN FLORAL STATIONERY SET")</f>
        <v>MODERN FLORAL STATIONERY SET</v>
      </c>
      <c r="D805" s="2">
        <f>IFERROR(__xludf.DUMMYFUNCTION("""COMPUTED_VALUE"""),1.0)</f>
        <v>1</v>
      </c>
      <c r="E805" s="6">
        <f>IFERROR(__xludf.DUMMYFUNCTION("""COMPUTED_VALUE"""),40148.50902777778)</f>
        <v>40148.50903</v>
      </c>
      <c r="F805" s="2">
        <f>IFERROR(__xludf.DUMMYFUNCTION("""COMPUTED_VALUE"""),2.95)</f>
        <v>2.95</v>
      </c>
      <c r="G805" s="2">
        <f>IFERROR(__xludf.DUMMYFUNCTION("""COMPUTED_VALUE"""),16393.0)</f>
        <v>16393</v>
      </c>
      <c r="H805" s="2" t="str">
        <f>IFERROR(__xludf.DUMMYFUNCTION("""COMPUTED_VALUE"""),"United Kingdom")</f>
        <v>United Kingdom</v>
      </c>
      <c r="I805" s="7">
        <f>IFERROR(__xludf.DUMMYFUNCTION("""COMPUTED_VALUE"""),40148.0)</f>
        <v>40148</v>
      </c>
      <c r="J805" s="8">
        <f>IFERROR(__xludf.DUMMYFUNCTION("""COMPUTED_VALUE"""),0.5090277777781012)</f>
        <v>0.5090277778</v>
      </c>
      <c r="K805" s="2">
        <f>IFERROR(__xludf.DUMMYFUNCTION("""COMPUTED_VALUE"""),12.0)</f>
        <v>12</v>
      </c>
      <c r="L805" s="2">
        <f>IFERROR(__xludf.DUMMYFUNCTION("""COMPUTED_VALUE"""),2.95)</f>
        <v>2.95</v>
      </c>
    </row>
    <row r="806">
      <c r="A806" s="2">
        <f>IFERROR(__xludf.DUMMYFUNCTION("""COMPUTED_VALUE"""),489536.0)</f>
        <v>489536</v>
      </c>
      <c r="B806" s="2" t="str">
        <f>IFERROR(__xludf.DUMMYFUNCTION("""COMPUTED_VALUE"""),"21231")</f>
        <v>21231</v>
      </c>
      <c r="C806" s="2" t="str">
        <f>IFERROR(__xludf.DUMMYFUNCTION("""COMPUTED_VALUE"""),"SWEETHEART CERAMIC TRINKET BOX")</f>
        <v>SWEETHEART CERAMIC TRINKET BOX</v>
      </c>
      <c r="D806" s="2">
        <f>IFERROR(__xludf.DUMMYFUNCTION("""COMPUTED_VALUE"""),1.0)</f>
        <v>1</v>
      </c>
      <c r="E806" s="6">
        <f>IFERROR(__xludf.DUMMYFUNCTION("""COMPUTED_VALUE"""),40148.50902777778)</f>
        <v>40148.50903</v>
      </c>
      <c r="F806" s="2">
        <f>IFERROR(__xludf.DUMMYFUNCTION("""COMPUTED_VALUE"""),1.25)</f>
        <v>1.25</v>
      </c>
      <c r="G806" s="2">
        <f>IFERROR(__xludf.DUMMYFUNCTION("""COMPUTED_VALUE"""),16393.0)</f>
        <v>16393</v>
      </c>
      <c r="H806" s="2" t="str">
        <f>IFERROR(__xludf.DUMMYFUNCTION("""COMPUTED_VALUE"""),"United Kingdom")</f>
        <v>United Kingdom</v>
      </c>
      <c r="I806" s="7">
        <f>IFERROR(__xludf.DUMMYFUNCTION("""COMPUTED_VALUE"""),40148.0)</f>
        <v>40148</v>
      </c>
      <c r="J806" s="8">
        <f>IFERROR(__xludf.DUMMYFUNCTION("""COMPUTED_VALUE"""),0.5090277777781012)</f>
        <v>0.5090277778</v>
      </c>
      <c r="K806" s="2">
        <f>IFERROR(__xludf.DUMMYFUNCTION("""COMPUTED_VALUE"""),12.0)</f>
        <v>12</v>
      </c>
      <c r="L806" s="2">
        <f>IFERROR(__xludf.DUMMYFUNCTION("""COMPUTED_VALUE"""),1.25)</f>
        <v>1.25</v>
      </c>
    </row>
    <row r="807">
      <c r="A807" s="2">
        <f>IFERROR(__xludf.DUMMYFUNCTION("""COMPUTED_VALUE"""),489536.0)</f>
        <v>489536</v>
      </c>
      <c r="B807" s="2" t="str">
        <f>IFERROR(__xludf.DUMMYFUNCTION("""COMPUTED_VALUE"""),"22064")</f>
        <v>22064</v>
      </c>
      <c r="C807" s="2" t="str">
        <f>IFERROR(__xludf.DUMMYFUNCTION("""COMPUTED_VALUE"""),"PINK DOUGHNUT TRINKET POT")</f>
        <v>PINK DOUGHNUT TRINKET POT</v>
      </c>
      <c r="D807" s="2">
        <f>IFERROR(__xludf.DUMMYFUNCTION("""COMPUTED_VALUE"""),4.0)</f>
        <v>4</v>
      </c>
      <c r="E807" s="6">
        <f>IFERROR(__xludf.DUMMYFUNCTION("""COMPUTED_VALUE"""),40148.50902777778)</f>
        <v>40148.50903</v>
      </c>
      <c r="F807" s="2">
        <f>IFERROR(__xludf.DUMMYFUNCTION("""COMPUTED_VALUE"""),1.65)</f>
        <v>1.65</v>
      </c>
      <c r="G807" s="2">
        <f>IFERROR(__xludf.DUMMYFUNCTION("""COMPUTED_VALUE"""),16393.0)</f>
        <v>16393</v>
      </c>
      <c r="H807" s="2" t="str">
        <f>IFERROR(__xludf.DUMMYFUNCTION("""COMPUTED_VALUE"""),"United Kingdom")</f>
        <v>United Kingdom</v>
      </c>
      <c r="I807" s="7">
        <f>IFERROR(__xludf.DUMMYFUNCTION("""COMPUTED_VALUE"""),40148.0)</f>
        <v>40148</v>
      </c>
      <c r="J807" s="8">
        <f>IFERROR(__xludf.DUMMYFUNCTION("""COMPUTED_VALUE"""),0.5090277777781012)</f>
        <v>0.5090277778</v>
      </c>
      <c r="K807" s="2">
        <f>IFERROR(__xludf.DUMMYFUNCTION("""COMPUTED_VALUE"""),12.0)</f>
        <v>12</v>
      </c>
      <c r="L807" s="2">
        <f>IFERROR(__xludf.DUMMYFUNCTION("""COMPUTED_VALUE"""),6.6)</f>
        <v>6.6</v>
      </c>
    </row>
    <row r="808">
      <c r="A808" s="2">
        <f>IFERROR(__xludf.DUMMYFUNCTION("""COMPUTED_VALUE"""),489536.0)</f>
        <v>489536</v>
      </c>
      <c r="B808" s="2" t="str">
        <f>IFERROR(__xludf.DUMMYFUNCTION("""COMPUTED_VALUE"""),"21934")</f>
        <v>21934</v>
      </c>
      <c r="C808" s="2" t="str">
        <f>IFERROR(__xludf.DUMMYFUNCTION("""COMPUTED_VALUE"""),"SKULL SHOULDER BAG")</f>
        <v>SKULL SHOULDER BAG</v>
      </c>
      <c r="D808" s="2">
        <f>IFERROR(__xludf.DUMMYFUNCTION("""COMPUTED_VALUE"""),1.0)</f>
        <v>1</v>
      </c>
      <c r="E808" s="6">
        <f>IFERROR(__xludf.DUMMYFUNCTION("""COMPUTED_VALUE"""),40148.50902777778)</f>
        <v>40148.50903</v>
      </c>
      <c r="F808" s="2">
        <f>IFERROR(__xludf.DUMMYFUNCTION("""COMPUTED_VALUE"""),1.65)</f>
        <v>1.65</v>
      </c>
      <c r="G808" s="2">
        <f>IFERROR(__xludf.DUMMYFUNCTION("""COMPUTED_VALUE"""),16393.0)</f>
        <v>16393</v>
      </c>
      <c r="H808" s="2" t="str">
        <f>IFERROR(__xludf.DUMMYFUNCTION("""COMPUTED_VALUE"""),"United Kingdom")</f>
        <v>United Kingdom</v>
      </c>
      <c r="I808" s="7">
        <f>IFERROR(__xludf.DUMMYFUNCTION("""COMPUTED_VALUE"""),40148.0)</f>
        <v>40148</v>
      </c>
      <c r="J808" s="8">
        <f>IFERROR(__xludf.DUMMYFUNCTION("""COMPUTED_VALUE"""),0.5090277777781012)</f>
        <v>0.5090277778</v>
      </c>
      <c r="K808" s="2">
        <f>IFERROR(__xludf.DUMMYFUNCTION("""COMPUTED_VALUE"""),12.0)</f>
        <v>12</v>
      </c>
      <c r="L808" s="2">
        <f>IFERROR(__xludf.DUMMYFUNCTION("""COMPUTED_VALUE"""),1.65)</f>
        <v>1.65</v>
      </c>
    </row>
    <row r="809">
      <c r="A809" s="2">
        <f>IFERROR(__xludf.DUMMYFUNCTION("""COMPUTED_VALUE"""),489536.0)</f>
        <v>489536</v>
      </c>
      <c r="B809" s="2" t="str">
        <f>IFERROR(__xludf.DUMMYFUNCTION("""COMPUTED_VALUE"""),"21578")</f>
        <v>21578</v>
      </c>
      <c r="C809" s="2" t="str">
        <f>IFERROR(__xludf.DUMMYFUNCTION("""COMPUTED_VALUE"""),"WOODLAND DESIGN COTTON TOTE BAG")</f>
        <v>WOODLAND DESIGN COTTON TOTE BAG</v>
      </c>
      <c r="D809" s="2">
        <f>IFERROR(__xludf.DUMMYFUNCTION("""COMPUTED_VALUE"""),1.0)</f>
        <v>1</v>
      </c>
      <c r="E809" s="6">
        <f>IFERROR(__xludf.DUMMYFUNCTION("""COMPUTED_VALUE"""),40148.50902777778)</f>
        <v>40148.50903</v>
      </c>
      <c r="F809" s="2">
        <f>IFERROR(__xludf.DUMMYFUNCTION("""COMPUTED_VALUE"""),2.25)</f>
        <v>2.25</v>
      </c>
      <c r="G809" s="2">
        <f>IFERROR(__xludf.DUMMYFUNCTION("""COMPUTED_VALUE"""),16393.0)</f>
        <v>16393</v>
      </c>
      <c r="H809" s="2" t="str">
        <f>IFERROR(__xludf.DUMMYFUNCTION("""COMPUTED_VALUE"""),"United Kingdom")</f>
        <v>United Kingdom</v>
      </c>
      <c r="I809" s="7">
        <f>IFERROR(__xludf.DUMMYFUNCTION("""COMPUTED_VALUE"""),40148.0)</f>
        <v>40148</v>
      </c>
      <c r="J809" s="8">
        <f>IFERROR(__xludf.DUMMYFUNCTION("""COMPUTED_VALUE"""),0.5090277777781012)</f>
        <v>0.5090277778</v>
      </c>
      <c r="K809" s="2">
        <f>IFERROR(__xludf.DUMMYFUNCTION("""COMPUTED_VALUE"""),12.0)</f>
        <v>12</v>
      </c>
      <c r="L809" s="2">
        <f>IFERROR(__xludf.DUMMYFUNCTION("""COMPUTED_VALUE"""),2.25)</f>
        <v>2.25</v>
      </c>
    </row>
    <row r="810">
      <c r="A810" s="2">
        <f>IFERROR(__xludf.DUMMYFUNCTION("""COMPUTED_VALUE"""),489536.0)</f>
        <v>489536</v>
      </c>
      <c r="B810" s="2" t="str">
        <f>IFERROR(__xludf.DUMMYFUNCTION("""COMPUTED_VALUE"""),"21579")</f>
        <v>21579</v>
      </c>
      <c r="C810" s="2" t="str">
        <f>IFERROR(__xludf.DUMMYFUNCTION("""COMPUTED_VALUE"""),"LOLITA DESIGN COTTON TOTE BAG")</f>
        <v>LOLITA DESIGN COTTON TOTE BAG</v>
      </c>
      <c r="D810" s="2">
        <f>IFERROR(__xludf.DUMMYFUNCTION("""COMPUTED_VALUE"""),1.0)</f>
        <v>1</v>
      </c>
      <c r="E810" s="6">
        <f>IFERROR(__xludf.DUMMYFUNCTION("""COMPUTED_VALUE"""),40148.50902777778)</f>
        <v>40148.50903</v>
      </c>
      <c r="F810" s="2">
        <f>IFERROR(__xludf.DUMMYFUNCTION("""COMPUTED_VALUE"""),2.25)</f>
        <v>2.25</v>
      </c>
      <c r="G810" s="2">
        <f>IFERROR(__xludf.DUMMYFUNCTION("""COMPUTED_VALUE"""),16393.0)</f>
        <v>16393</v>
      </c>
      <c r="H810" s="2" t="str">
        <f>IFERROR(__xludf.DUMMYFUNCTION("""COMPUTED_VALUE"""),"United Kingdom")</f>
        <v>United Kingdom</v>
      </c>
      <c r="I810" s="7">
        <f>IFERROR(__xludf.DUMMYFUNCTION("""COMPUTED_VALUE"""),40148.0)</f>
        <v>40148</v>
      </c>
      <c r="J810" s="8">
        <f>IFERROR(__xludf.DUMMYFUNCTION("""COMPUTED_VALUE"""),0.5090277777781012)</f>
        <v>0.5090277778</v>
      </c>
      <c r="K810" s="2">
        <f>IFERROR(__xludf.DUMMYFUNCTION("""COMPUTED_VALUE"""),12.0)</f>
        <v>12</v>
      </c>
      <c r="L810" s="2">
        <f>IFERROR(__xludf.DUMMYFUNCTION("""COMPUTED_VALUE"""),2.25)</f>
        <v>2.25</v>
      </c>
    </row>
    <row r="811">
      <c r="A811" s="2">
        <f>IFERROR(__xludf.DUMMYFUNCTION("""COMPUTED_VALUE"""),489536.0)</f>
        <v>489536</v>
      </c>
      <c r="B811" s="2" t="str">
        <f>IFERROR(__xludf.DUMMYFUNCTION("""COMPUTED_VALUE"""),"21577")</f>
        <v>21577</v>
      </c>
      <c r="C811" s="2" t="str">
        <f>IFERROR(__xludf.DUMMYFUNCTION("""COMPUTED_VALUE"""),"SAVE THE PLANET COTTON TOTE BAG")</f>
        <v>SAVE THE PLANET COTTON TOTE BAG</v>
      </c>
      <c r="D811" s="2">
        <f>IFERROR(__xludf.DUMMYFUNCTION("""COMPUTED_VALUE"""),2.0)</f>
        <v>2</v>
      </c>
      <c r="E811" s="6">
        <f>IFERROR(__xludf.DUMMYFUNCTION("""COMPUTED_VALUE"""),40148.50902777778)</f>
        <v>40148.50903</v>
      </c>
      <c r="F811" s="2">
        <f>IFERROR(__xludf.DUMMYFUNCTION("""COMPUTED_VALUE"""),2.25)</f>
        <v>2.25</v>
      </c>
      <c r="G811" s="2">
        <f>IFERROR(__xludf.DUMMYFUNCTION("""COMPUTED_VALUE"""),16393.0)</f>
        <v>16393</v>
      </c>
      <c r="H811" s="2" t="str">
        <f>IFERROR(__xludf.DUMMYFUNCTION("""COMPUTED_VALUE"""),"United Kingdom")</f>
        <v>United Kingdom</v>
      </c>
      <c r="I811" s="7">
        <f>IFERROR(__xludf.DUMMYFUNCTION("""COMPUTED_VALUE"""),40148.0)</f>
        <v>40148</v>
      </c>
      <c r="J811" s="8">
        <f>IFERROR(__xludf.DUMMYFUNCTION("""COMPUTED_VALUE"""),0.5090277777781012)</f>
        <v>0.5090277778</v>
      </c>
      <c r="K811" s="2">
        <f>IFERROR(__xludf.DUMMYFUNCTION("""COMPUTED_VALUE"""),12.0)</f>
        <v>12</v>
      </c>
      <c r="L811" s="2">
        <f>IFERROR(__xludf.DUMMYFUNCTION("""COMPUTED_VALUE"""),4.5)</f>
        <v>4.5</v>
      </c>
    </row>
    <row r="812">
      <c r="A812" s="2">
        <f>IFERROR(__xludf.DUMMYFUNCTION("""COMPUTED_VALUE"""),489536.0)</f>
        <v>489536</v>
      </c>
      <c r="B812" s="2" t="str">
        <f>IFERROR(__xludf.DUMMYFUNCTION("""COMPUTED_VALUE"""),"21931")</f>
        <v>21931</v>
      </c>
      <c r="C812" s="2" t="str">
        <f>IFERROR(__xludf.DUMMYFUNCTION("""COMPUTED_VALUE"""),"JUMBO STORAGE BAG SUKI")</f>
        <v>JUMBO STORAGE BAG SUKI</v>
      </c>
      <c r="D812" s="2">
        <f>IFERROR(__xludf.DUMMYFUNCTION("""COMPUTED_VALUE"""),5.0)</f>
        <v>5</v>
      </c>
      <c r="E812" s="6">
        <f>IFERROR(__xludf.DUMMYFUNCTION("""COMPUTED_VALUE"""),40148.50902777778)</f>
        <v>40148.50903</v>
      </c>
      <c r="F812" s="2">
        <f>IFERROR(__xludf.DUMMYFUNCTION("""COMPUTED_VALUE"""),1.95)</f>
        <v>1.95</v>
      </c>
      <c r="G812" s="2">
        <f>IFERROR(__xludf.DUMMYFUNCTION("""COMPUTED_VALUE"""),16393.0)</f>
        <v>16393</v>
      </c>
      <c r="H812" s="2" t="str">
        <f>IFERROR(__xludf.DUMMYFUNCTION("""COMPUTED_VALUE"""),"United Kingdom")</f>
        <v>United Kingdom</v>
      </c>
      <c r="I812" s="7">
        <f>IFERROR(__xludf.DUMMYFUNCTION("""COMPUTED_VALUE"""),40148.0)</f>
        <v>40148</v>
      </c>
      <c r="J812" s="8">
        <f>IFERROR(__xludf.DUMMYFUNCTION("""COMPUTED_VALUE"""),0.5090277777781012)</f>
        <v>0.5090277778</v>
      </c>
      <c r="K812" s="2">
        <f>IFERROR(__xludf.DUMMYFUNCTION("""COMPUTED_VALUE"""),12.0)</f>
        <v>12</v>
      </c>
      <c r="L812" s="2">
        <f>IFERROR(__xludf.DUMMYFUNCTION("""COMPUTED_VALUE"""),9.75)</f>
        <v>9.75</v>
      </c>
    </row>
    <row r="813">
      <c r="A813" s="2">
        <f>IFERROR(__xludf.DUMMYFUNCTION("""COMPUTED_VALUE"""),489536.0)</f>
        <v>489536</v>
      </c>
      <c r="B813" s="2" t="str">
        <f>IFERROR(__xludf.DUMMYFUNCTION("""COMPUTED_VALUE"""),"85099B")</f>
        <v>85099B</v>
      </c>
      <c r="C813" s="2" t="str">
        <f>IFERROR(__xludf.DUMMYFUNCTION("""COMPUTED_VALUE"""),"JUMBO BAG RED WHITE SPOTTY")</f>
        <v>JUMBO BAG RED WHITE SPOTTY</v>
      </c>
      <c r="D813" s="2">
        <f>IFERROR(__xludf.DUMMYFUNCTION("""COMPUTED_VALUE"""),5.0)</f>
        <v>5</v>
      </c>
      <c r="E813" s="6">
        <f>IFERROR(__xludf.DUMMYFUNCTION("""COMPUTED_VALUE"""),40148.50902777778)</f>
        <v>40148.50903</v>
      </c>
      <c r="F813" s="2">
        <f>IFERROR(__xludf.DUMMYFUNCTION("""COMPUTED_VALUE"""),1.95)</f>
        <v>1.95</v>
      </c>
      <c r="G813" s="2">
        <f>IFERROR(__xludf.DUMMYFUNCTION("""COMPUTED_VALUE"""),16393.0)</f>
        <v>16393</v>
      </c>
      <c r="H813" s="2" t="str">
        <f>IFERROR(__xludf.DUMMYFUNCTION("""COMPUTED_VALUE"""),"United Kingdom")</f>
        <v>United Kingdom</v>
      </c>
      <c r="I813" s="7">
        <f>IFERROR(__xludf.DUMMYFUNCTION("""COMPUTED_VALUE"""),40148.0)</f>
        <v>40148</v>
      </c>
      <c r="J813" s="8">
        <f>IFERROR(__xludf.DUMMYFUNCTION("""COMPUTED_VALUE"""),0.5090277777781012)</f>
        <v>0.5090277778</v>
      </c>
      <c r="K813" s="2">
        <f>IFERROR(__xludf.DUMMYFUNCTION("""COMPUTED_VALUE"""),12.0)</f>
        <v>12</v>
      </c>
      <c r="L813" s="2">
        <f>IFERROR(__xludf.DUMMYFUNCTION("""COMPUTED_VALUE"""),9.75)</f>
        <v>9.75</v>
      </c>
    </row>
    <row r="814">
      <c r="A814" s="2">
        <f>IFERROR(__xludf.DUMMYFUNCTION("""COMPUTED_VALUE"""),489536.0)</f>
        <v>489536</v>
      </c>
      <c r="B814" s="2" t="str">
        <f>IFERROR(__xludf.DUMMYFUNCTION("""COMPUTED_VALUE"""),"20713")</f>
        <v>20713</v>
      </c>
      <c r="C814" s="2" t="str">
        <f>IFERROR(__xludf.DUMMYFUNCTION("""COMPUTED_VALUE"""),"JUMBO BAG OWLS")</f>
        <v>JUMBO BAG OWLS</v>
      </c>
      <c r="D814" s="2">
        <f>IFERROR(__xludf.DUMMYFUNCTION("""COMPUTED_VALUE"""),1.0)</f>
        <v>1</v>
      </c>
      <c r="E814" s="6">
        <f>IFERROR(__xludf.DUMMYFUNCTION("""COMPUTED_VALUE"""),40148.50902777778)</f>
        <v>40148.50903</v>
      </c>
      <c r="F814" s="2">
        <f>IFERROR(__xludf.DUMMYFUNCTION("""COMPUTED_VALUE"""),1.95)</f>
        <v>1.95</v>
      </c>
      <c r="G814" s="2">
        <f>IFERROR(__xludf.DUMMYFUNCTION("""COMPUTED_VALUE"""),16393.0)</f>
        <v>16393</v>
      </c>
      <c r="H814" s="2" t="str">
        <f>IFERROR(__xludf.DUMMYFUNCTION("""COMPUTED_VALUE"""),"United Kingdom")</f>
        <v>United Kingdom</v>
      </c>
      <c r="I814" s="7">
        <f>IFERROR(__xludf.DUMMYFUNCTION("""COMPUTED_VALUE"""),40148.0)</f>
        <v>40148</v>
      </c>
      <c r="J814" s="8">
        <f>IFERROR(__xludf.DUMMYFUNCTION("""COMPUTED_VALUE"""),0.5090277777781012)</f>
        <v>0.5090277778</v>
      </c>
      <c r="K814" s="2">
        <f>IFERROR(__xludf.DUMMYFUNCTION("""COMPUTED_VALUE"""),12.0)</f>
        <v>12</v>
      </c>
      <c r="L814" s="2">
        <f>IFERROR(__xludf.DUMMYFUNCTION("""COMPUTED_VALUE"""),1.95)</f>
        <v>1.95</v>
      </c>
    </row>
    <row r="815">
      <c r="A815" s="2">
        <f>IFERROR(__xludf.DUMMYFUNCTION("""COMPUTED_VALUE"""),489536.0)</f>
        <v>489536</v>
      </c>
      <c r="B815" s="2" t="str">
        <f>IFERROR(__xludf.DUMMYFUNCTION("""COMPUTED_VALUE"""),"20712")</f>
        <v>20712</v>
      </c>
      <c r="C815" s="2" t="str">
        <f>IFERROR(__xludf.DUMMYFUNCTION("""COMPUTED_VALUE"""),"JUMBO BAG WOODLAND ANIMALS")</f>
        <v>JUMBO BAG WOODLAND ANIMALS</v>
      </c>
      <c r="D815" s="2">
        <f>IFERROR(__xludf.DUMMYFUNCTION("""COMPUTED_VALUE"""),1.0)</f>
        <v>1</v>
      </c>
      <c r="E815" s="6">
        <f>IFERROR(__xludf.DUMMYFUNCTION("""COMPUTED_VALUE"""),40148.50902777778)</f>
        <v>40148.50903</v>
      </c>
      <c r="F815" s="2">
        <f>IFERROR(__xludf.DUMMYFUNCTION("""COMPUTED_VALUE"""),1.95)</f>
        <v>1.95</v>
      </c>
      <c r="G815" s="2">
        <f>IFERROR(__xludf.DUMMYFUNCTION("""COMPUTED_VALUE"""),16393.0)</f>
        <v>16393</v>
      </c>
      <c r="H815" s="2" t="str">
        <f>IFERROR(__xludf.DUMMYFUNCTION("""COMPUTED_VALUE"""),"United Kingdom")</f>
        <v>United Kingdom</v>
      </c>
      <c r="I815" s="7">
        <f>IFERROR(__xludf.DUMMYFUNCTION("""COMPUTED_VALUE"""),40148.0)</f>
        <v>40148</v>
      </c>
      <c r="J815" s="8">
        <f>IFERROR(__xludf.DUMMYFUNCTION("""COMPUTED_VALUE"""),0.5090277777781012)</f>
        <v>0.5090277778</v>
      </c>
      <c r="K815" s="2">
        <f>IFERROR(__xludf.DUMMYFUNCTION("""COMPUTED_VALUE"""),12.0)</f>
        <v>12</v>
      </c>
      <c r="L815" s="2">
        <f>IFERROR(__xludf.DUMMYFUNCTION("""COMPUTED_VALUE"""),1.95)</f>
        <v>1.95</v>
      </c>
    </row>
    <row r="816">
      <c r="A816" s="2">
        <f>IFERROR(__xludf.DUMMYFUNCTION("""COMPUTED_VALUE"""),489536.0)</f>
        <v>489536</v>
      </c>
      <c r="B816" s="2" t="str">
        <f>IFERROR(__xludf.DUMMYFUNCTION("""COMPUTED_VALUE"""),"16047")</f>
        <v>16047</v>
      </c>
      <c r="C816" s="2" t="str">
        <f>IFERROR(__xludf.DUMMYFUNCTION("""COMPUTED_VALUE"""),"POP ART PEN CASE &amp; PENS")</f>
        <v>POP ART PEN CASE &amp; PENS</v>
      </c>
      <c r="D816" s="2">
        <f>IFERROR(__xludf.DUMMYFUNCTION("""COMPUTED_VALUE"""),1.0)</f>
        <v>1</v>
      </c>
      <c r="E816" s="6">
        <f>IFERROR(__xludf.DUMMYFUNCTION("""COMPUTED_VALUE"""),40148.50902777778)</f>
        <v>40148.50903</v>
      </c>
      <c r="F816" s="2">
        <f>IFERROR(__xludf.DUMMYFUNCTION("""COMPUTED_VALUE"""),0.85)</f>
        <v>0.85</v>
      </c>
      <c r="G816" s="2">
        <f>IFERROR(__xludf.DUMMYFUNCTION("""COMPUTED_VALUE"""),16393.0)</f>
        <v>16393</v>
      </c>
      <c r="H816" s="2" t="str">
        <f>IFERROR(__xludf.DUMMYFUNCTION("""COMPUTED_VALUE"""),"United Kingdom")</f>
        <v>United Kingdom</v>
      </c>
      <c r="I816" s="7">
        <f>IFERROR(__xludf.DUMMYFUNCTION("""COMPUTED_VALUE"""),40148.0)</f>
        <v>40148</v>
      </c>
      <c r="J816" s="8">
        <f>IFERROR(__xludf.DUMMYFUNCTION("""COMPUTED_VALUE"""),0.5090277777781012)</f>
        <v>0.5090277778</v>
      </c>
      <c r="K816" s="2">
        <f>IFERROR(__xludf.DUMMYFUNCTION("""COMPUTED_VALUE"""),12.0)</f>
        <v>12</v>
      </c>
      <c r="L816" s="2">
        <f>IFERROR(__xludf.DUMMYFUNCTION("""COMPUTED_VALUE"""),0.85)</f>
        <v>0.85</v>
      </c>
    </row>
    <row r="817">
      <c r="A817" s="2">
        <f>IFERROR(__xludf.DUMMYFUNCTION("""COMPUTED_VALUE"""),489536.0)</f>
        <v>489536</v>
      </c>
      <c r="B817" s="2" t="str">
        <f>IFERROR(__xludf.DUMMYFUNCTION("""COMPUTED_VALUE"""),"21561")</f>
        <v>21561</v>
      </c>
      <c r="C817" s="2" t="str">
        <f>IFERROR(__xludf.DUMMYFUNCTION("""COMPUTED_VALUE"""),"DINOSAUR LUNCHBOX WITH CUTLERY")</f>
        <v>DINOSAUR LUNCHBOX WITH CUTLERY</v>
      </c>
      <c r="D817" s="2">
        <f>IFERROR(__xludf.DUMMYFUNCTION("""COMPUTED_VALUE"""),1.0)</f>
        <v>1</v>
      </c>
      <c r="E817" s="6">
        <f>IFERROR(__xludf.DUMMYFUNCTION("""COMPUTED_VALUE"""),40148.50902777778)</f>
        <v>40148.50903</v>
      </c>
      <c r="F817" s="2">
        <f>IFERROR(__xludf.DUMMYFUNCTION("""COMPUTED_VALUE"""),2.55)</f>
        <v>2.55</v>
      </c>
      <c r="G817" s="2">
        <f>IFERROR(__xludf.DUMMYFUNCTION("""COMPUTED_VALUE"""),16393.0)</f>
        <v>16393</v>
      </c>
      <c r="H817" s="2" t="str">
        <f>IFERROR(__xludf.DUMMYFUNCTION("""COMPUTED_VALUE"""),"United Kingdom")</f>
        <v>United Kingdom</v>
      </c>
      <c r="I817" s="7">
        <f>IFERROR(__xludf.DUMMYFUNCTION("""COMPUTED_VALUE"""),40148.0)</f>
        <v>40148</v>
      </c>
      <c r="J817" s="8">
        <f>IFERROR(__xludf.DUMMYFUNCTION("""COMPUTED_VALUE"""),0.5090277777781012)</f>
        <v>0.5090277778</v>
      </c>
      <c r="K817" s="2">
        <f>IFERROR(__xludf.DUMMYFUNCTION("""COMPUTED_VALUE"""),12.0)</f>
        <v>12</v>
      </c>
      <c r="L817" s="2">
        <f>IFERROR(__xludf.DUMMYFUNCTION("""COMPUTED_VALUE"""),2.55)</f>
        <v>2.55</v>
      </c>
    </row>
    <row r="818">
      <c r="A818" s="2">
        <f>IFERROR(__xludf.DUMMYFUNCTION("""COMPUTED_VALUE"""),489536.0)</f>
        <v>489536</v>
      </c>
      <c r="B818" s="2" t="str">
        <f>IFERROR(__xludf.DUMMYFUNCTION("""COMPUTED_VALUE"""),"20814")</f>
        <v>20814</v>
      </c>
      <c r="C818" s="2" t="str">
        <f>IFERROR(__xludf.DUMMYFUNCTION("""COMPUTED_VALUE"""),"SILVER FINCH DECORATION")</f>
        <v>SILVER FINCH DECORATION</v>
      </c>
      <c r="D818" s="2">
        <f>IFERROR(__xludf.DUMMYFUNCTION("""COMPUTED_VALUE"""),1.0)</f>
        <v>1</v>
      </c>
      <c r="E818" s="6">
        <f>IFERROR(__xludf.DUMMYFUNCTION("""COMPUTED_VALUE"""),40148.50902777778)</f>
        <v>40148.50903</v>
      </c>
      <c r="F818" s="2">
        <f>IFERROR(__xludf.DUMMYFUNCTION("""COMPUTED_VALUE"""),1.25)</f>
        <v>1.25</v>
      </c>
      <c r="G818" s="2">
        <f>IFERROR(__xludf.DUMMYFUNCTION("""COMPUTED_VALUE"""),16393.0)</f>
        <v>16393</v>
      </c>
      <c r="H818" s="2" t="str">
        <f>IFERROR(__xludf.DUMMYFUNCTION("""COMPUTED_VALUE"""),"United Kingdom")</f>
        <v>United Kingdom</v>
      </c>
      <c r="I818" s="7">
        <f>IFERROR(__xludf.DUMMYFUNCTION("""COMPUTED_VALUE"""),40148.0)</f>
        <v>40148</v>
      </c>
      <c r="J818" s="8">
        <f>IFERROR(__xludf.DUMMYFUNCTION("""COMPUTED_VALUE"""),0.5090277777781012)</f>
        <v>0.5090277778</v>
      </c>
      <c r="K818" s="2">
        <f>IFERROR(__xludf.DUMMYFUNCTION("""COMPUTED_VALUE"""),12.0)</f>
        <v>12</v>
      </c>
      <c r="L818" s="2">
        <f>IFERROR(__xludf.DUMMYFUNCTION("""COMPUTED_VALUE"""),1.25)</f>
        <v>1.25</v>
      </c>
    </row>
    <row r="819">
      <c r="A819" s="2">
        <f>IFERROR(__xludf.DUMMYFUNCTION("""COMPUTED_VALUE"""),489536.0)</f>
        <v>489536</v>
      </c>
      <c r="B819" s="2" t="str">
        <f>IFERROR(__xludf.DUMMYFUNCTION("""COMPUTED_VALUE"""),"21122")</f>
        <v>21122</v>
      </c>
      <c r="C819" s="2" t="str">
        <f>IFERROR(__xludf.DUMMYFUNCTION("""COMPUTED_VALUE"""),"SET/10 PINK SPOTTY PARTY CANDLES")</f>
        <v>SET/10 PINK SPOTTY PARTY CANDLES</v>
      </c>
      <c r="D819" s="2">
        <f>IFERROR(__xludf.DUMMYFUNCTION("""COMPUTED_VALUE"""),1.0)</f>
        <v>1</v>
      </c>
      <c r="E819" s="6">
        <f>IFERROR(__xludf.DUMMYFUNCTION("""COMPUTED_VALUE"""),40148.50902777778)</f>
        <v>40148.50903</v>
      </c>
      <c r="F819" s="2">
        <f>IFERROR(__xludf.DUMMYFUNCTION("""COMPUTED_VALUE"""),1.25)</f>
        <v>1.25</v>
      </c>
      <c r="G819" s="2">
        <f>IFERROR(__xludf.DUMMYFUNCTION("""COMPUTED_VALUE"""),16393.0)</f>
        <v>16393</v>
      </c>
      <c r="H819" s="2" t="str">
        <f>IFERROR(__xludf.DUMMYFUNCTION("""COMPUTED_VALUE"""),"United Kingdom")</f>
        <v>United Kingdom</v>
      </c>
      <c r="I819" s="7">
        <f>IFERROR(__xludf.DUMMYFUNCTION("""COMPUTED_VALUE"""),40148.0)</f>
        <v>40148</v>
      </c>
      <c r="J819" s="8">
        <f>IFERROR(__xludf.DUMMYFUNCTION("""COMPUTED_VALUE"""),0.5090277777781012)</f>
        <v>0.5090277778</v>
      </c>
      <c r="K819" s="2">
        <f>IFERROR(__xludf.DUMMYFUNCTION("""COMPUTED_VALUE"""),12.0)</f>
        <v>12</v>
      </c>
      <c r="L819" s="2">
        <f>IFERROR(__xludf.DUMMYFUNCTION("""COMPUTED_VALUE"""),1.25)</f>
        <v>1.25</v>
      </c>
    </row>
    <row r="820">
      <c r="A820" s="2">
        <f>IFERROR(__xludf.DUMMYFUNCTION("""COMPUTED_VALUE"""),489536.0)</f>
        <v>489536</v>
      </c>
      <c r="B820" s="2" t="str">
        <f>IFERROR(__xludf.DUMMYFUNCTION("""COMPUTED_VALUE"""),"21232")</f>
        <v>21232</v>
      </c>
      <c r="C820" s="2" t="str">
        <f>IFERROR(__xludf.DUMMYFUNCTION("""COMPUTED_VALUE"""),"STRAWBERRY CERAMIC TRINKET BOX")</f>
        <v>STRAWBERRY CERAMIC TRINKET BOX</v>
      </c>
      <c r="D820" s="2">
        <f>IFERROR(__xludf.DUMMYFUNCTION("""COMPUTED_VALUE"""),3.0)</f>
        <v>3</v>
      </c>
      <c r="E820" s="6">
        <f>IFERROR(__xludf.DUMMYFUNCTION("""COMPUTED_VALUE"""),40148.50902777778)</f>
        <v>40148.50903</v>
      </c>
      <c r="F820" s="2">
        <f>IFERROR(__xludf.DUMMYFUNCTION("""COMPUTED_VALUE"""),1.25)</f>
        <v>1.25</v>
      </c>
      <c r="G820" s="2">
        <f>IFERROR(__xludf.DUMMYFUNCTION("""COMPUTED_VALUE"""),16393.0)</f>
        <v>16393</v>
      </c>
      <c r="H820" s="2" t="str">
        <f>IFERROR(__xludf.DUMMYFUNCTION("""COMPUTED_VALUE"""),"United Kingdom")</f>
        <v>United Kingdom</v>
      </c>
      <c r="I820" s="7">
        <f>IFERROR(__xludf.DUMMYFUNCTION("""COMPUTED_VALUE"""),40148.0)</f>
        <v>40148</v>
      </c>
      <c r="J820" s="8">
        <f>IFERROR(__xludf.DUMMYFUNCTION("""COMPUTED_VALUE"""),0.5090277777781012)</f>
        <v>0.5090277778</v>
      </c>
      <c r="K820" s="2">
        <f>IFERROR(__xludf.DUMMYFUNCTION("""COMPUTED_VALUE"""),12.0)</f>
        <v>12</v>
      </c>
      <c r="L820" s="2">
        <f>IFERROR(__xludf.DUMMYFUNCTION("""COMPUTED_VALUE"""),3.75)</f>
        <v>3.75</v>
      </c>
    </row>
    <row r="821">
      <c r="A821" s="2">
        <f>IFERROR(__xludf.DUMMYFUNCTION("""COMPUTED_VALUE"""),489536.0)</f>
        <v>489536</v>
      </c>
      <c r="B821" s="2" t="str">
        <f>IFERROR(__xludf.DUMMYFUNCTION("""COMPUTED_VALUE"""),"84946")</f>
        <v>84946</v>
      </c>
      <c r="C821" s="2" t="str">
        <f>IFERROR(__xludf.DUMMYFUNCTION("""COMPUTED_VALUE"""),"ANTIQUE SILVER TEA GLASS ETCHED")</f>
        <v>ANTIQUE SILVER TEA GLASS ETCHED</v>
      </c>
      <c r="D821" s="2">
        <f>IFERROR(__xludf.DUMMYFUNCTION("""COMPUTED_VALUE"""),6.0)</f>
        <v>6</v>
      </c>
      <c r="E821" s="6">
        <f>IFERROR(__xludf.DUMMYFUNCTION("""COMPUTED_VALUE"""),40148.50902777778)</f>
        <v>40148.50903</v>
      </c>
      <c r="F821" s="2">
        <f>IFERROR(__xludf.DUMMYFUNCTION("""COMPUTED_VALUE"""),1.25)</f>
        <v>1.25</v>
      </c>
      <c r="G821" s="2">
        <f>IFERROR(__xludf.DUMMYFUNCTION("""COMPUTED_VALUE"""),16393.0)</f>
        <v>16393</v>
      </c>
      <c r="H821" s="2" t="str">
        <f>IFERROR(__xludf.DUMMYFUNCTION("""COMPUTED_VALUE"""),"United Kingdom")</f>
        <v>United Kingdom</v>
      </c>
      <c r="I821" s="7">
        <f>IFERROR(__xludf.DUMMYFUNCTION("""COMPUTED_VALUE"""),40148.0)</f>
        <v>40148</v>
      </c>
      <c r="J821" s="8">
        <f>IFERROR(__xludf.DUMMYFUNCTION("""COMPUTED_VALUE"""),0.5090277777781012)</f>
        <v>0.5090277778</v>
      </c>
      <c r="K821" s="2">
        <f>IFERROR(__xludf.DUMMYFUNCTION("""COMPUTED_VALUE"""),12.0)</f>
        <v>12</v>
      </c>
      <c r="L821" s="2">
        <f>IFERROR(__xludf.DUMMYFUNCTION("""COMPUTED_VALUE"""),7.5)</f>
        <v>7.5</v>
      </c>
    </row>
    <row r="822">
      <c r="A822" s="2">
        <f>IFERROR(__xludf.DUMMYFUNCTION("""COMPUTED_VALUE"""),489536.0)</f>
        <v>489536</v>
      </c>
      <c r="B822" s="2" t="str">
        <f>IFERROR(__xludf.DUMMYFUNCTION("""COMPUTED_VALUE"""),"22068")</f>
        <v>22068</v>
      </c>
      <c r="C822" s="2" t="str">
        <f>IFERROR(__xludf.DUMMYFUNCTION("""COMPUTED_VALUE"""),"BLACK PIRATE TREASURE CHEST")</f>
        <v>BLACK PIRATE TREASURE CHEST</v>
      </c>
      <c r="D822" s="2">
        <f>IFERROR(__xludf.DUMMYFUNCTION("""COMPUTED_VALUE"""),4.0)</f>
        <v>4</v>
      </c>
      <c r="E822" s="6">
        <f>IFERROR(__xludf.DUMMYFUNCTION("""COMPUTED_VALUE"""),40148.50902777778)</f>
        <v>40148.50903</v>
      </c>
      <c r="F822" s="2">
        <f>IFERROR(__xludf.DUMMYFUNCTION("""COMPUTED_VALUE"""),1.65)</f>
        <v>1.65</v>
      </c>
      <c r="G822" s="2">
        <f>IFERROR(__xludf.DUMMYFUNCTION("""COMPUTED_VALUE"""),16393.0)</f>
        <v>16393</v>
      </c>
      <c r="H822" s="2" t="str">
        <f>IFERROR(__xludf.DUMMYFUNCTION("""COMPUTED_VALUE"""),"United Kingdom")</f>
        <v>United Kingdom</v>
      </c>
      <c r="I822" s="7">
        <f>IFERROR(__xludf.DUMMYFUNCTION("""COMPUTED_VALUE"""),40148.0)</f>
        <v>40148</v>
      </c>
      <c r="J822" s="8">
        <f>IFERROR(__xludf.DUMMYFUNCTION("""COMPUTED_VALUE"""),0.5090277777781012)</f>
        <v>0.5090277778</v>
      </c>
      <c r="K822" s="2">
        <f>IFERROR(__xludf.DUMMYFUNCTION("""COMPUTED_VALUE"""),12.0)</f>
        <v>12</v>
      </c>
      <c r="L822" s="2">
        <f>IFERROR(__xludf.DUMMYFUNCTION("""COMPUTED_VALUE"""),6.6)</f>
        <v>6.6</v>
      </c>
    </row>
    <row r="823">
      <c r="A823" s="2">
        <f>IFERROR(__xludf.DUMMYFUNCTION("""COMPUTED_VALUE"""),489536.0)</f>
        <v>489536</v>
      </c>
      <c r="B823" s="2" t="str">
        <f>IFERROR(__xludf.DUMMYFUNCTION("""COMPUTED_VALUE"""),"21377")</f>
        <v>21377</v>
      </c>
      <c r="C823" s="2" t="str">
        <f>IFERROR(__xludf.DUMMYFUNCTION("""COMPUTED_VALUE"""),"SMALL CAMPHOR WOOD FIELD MUSHROOM")</f>
        <v>SMALL CAMPHOR WOOD FIELD MUSHROOM</v>
      </c>
      <c r="D823" s="2">
        <f>IFERROR(__xludf.DUMMYFUNCTION("""COMPUTED_VALUE"""),1.0)</f>
        <v>1</v>
      </c>
      <c r="E823" s="6">
        <f>IFERROR(__xludf.DUMMYFUNCTION("""COMPUTED_VALUE"""),40148.50902777778)</f>
        <v>40148.50903</v>
      </c>
      <c r="F823" s="2">
        <f>IFERROR(__xludf.DUMMYFUNCTION("""COMPUTED_VALUE"""),1.65)</f>
        <v>1.65</v>
      </c>
      <c r="G823" s="2">
        <f>IFERROR(__xludf.DUMMYFUNCTION("""COMPUTED_VALUE"""),16393.0)</f>
        <v>16393</v>
      </c>
      <c r="H823" s="2" t="str">
        <f>IFERROR(__xludf.DUMMYFUNCTION("""COMPUTED_VALUE"""),"United Kingdom")</f>
        <v>United Kingdom</v>
      </c>
      <c r="I823" s="7">
        <f>IFERROR(__xludf.DUMMYFUNCTION("""COMPUTED_VALUE"""),40148.0)</f>
        <v>40148</v>
      </c>
      <c r="J823" s="8">
        <f>IFERROR(__xludf.DUMMYFUNCTION("""COMPUTED_VALUE"""),0.5090277777781012)</f>
        <v>0.5090277778</v>
      </c>
      <c r="K823" s="2">
        <f>IFERROR(__xludf.DUMMYFUNCTION("""COMPUTED_VALUE"""),12.0)</f>
        <v>12</v>
      </c>
      <c r="L823" s="2">
        <f>IFERROR(__xludf.DUMMYFUNCTION("""COMPUTED_VALUE"""),1.65)</f>
        <v>1.65</v>
      </c>
    </row>
    <row r="824">
      <c r="A824" s="2">
        <f>IFERROR(__xludf.DUMMYFUNCTION("""COMPUTED_VALUE"""),489536.0)</f>
        <v>489536</v>
      </c>
      <c r="B824" s="2" t="str">
        <f>IFERROR(__xludf.DUMMYFUNCTION("""COMPUTED_VALUE"""),"21379")</f>
        <v>21379</v>
      </c>
      <c r="C824" s="2" t="str">
        <f>IFERROR(__xludf.DUMMYFUNCTION("""COMPUTED_VALUE"""),"CAMPHOR WOOD PORTOBELLO MUSHROOM")</f>
        <v>CAMPHOR WOOD PORTOBELLO MUSHROOM</v>
      </c>
      <c r="D824" s="2">
        <f>IFERROR(__xludf.DUMMYFUNCTION("""COMPUTED_VALUE"""),1.0)</f>
        <v>1</v>
      </c>
      <c r="E824" s="6">
        <f>IFERROR(__xludf.DUMMYFUNCTION("""COMPUTED_VALUE"""),40148.50902777778)</f>
        <v>40148.50903</v>
      </c>
      <c r="F824" s="2">
        <f>IFERROR(__xludf.DUMMYFUNCTION("""COMPUTED_VALUE"""),1.25)</f>
        <v>1.25</v>
      </c>
      <c r="G824" s="2">
        <f>IFERROR(__xludf.DUMMYFUNCTION("""COMPUTED_VALUE"""),16393.0)</f>
        <v>16393</v>
      </c>
      <c r="H824" s="2" t="str">
        <f>IFERROR(__xludf.DUMMYFUNCTION("""COMPUTED_VALUE"""),"United Kingdom")</f>
        <v>United Kingdom</v>
      </c>
      <c r="I824" s="7">
        <f>IFERROR(__xludf.DUMMYFUNCTION("""COMPUTED_VALUE"""),40148.0)</f>
        <v>40148</v>
      </c>
      <c r="J824" s="8">
        <f>IFERROR(__xludf.DUMMYFUNCTION("""COMPUTED_VALUE"""),0.5090277777781012)</f>
        <v>0.5090277778</v>
      </c>
      <c r="K824" s="2">
        <f>IFERROR(__xludf.DUMMYFUNCTION("""COMPUTED_VALUE"""),12.0)</f>
        <v>12</v>
      </c>
      <c r="L824" s="2">
        <f>IFERROR(__xludf.DUMMYFUNCTION("""COMPUTED_VALUE"""),1.25)</f>
        <v>1.25</v>
      </c>
    </row>
    <row r="825">
      <c r="A825" s="2">
        <f>IFERROR(__xludf.DUMMYFUNCTION("""COMPUTED_VALUE"""),489536.0)</f>
        <v>489536</v>
      </c>
      <c r="B825" s="2" t="str">
        <f>IFERROR(__xludf.DUMMYFUNCTION("""COMPUTED_VALUE"""),"20956")</f>
        <v>20956</v>
      </c>
      <c r="C825" s="2" t="str">
        <f>IFERROR(__xludf.DUMMYFUNCTION("""COMPUTED_VALUE"""),"PORCELAIN T-LIGHT HOLDERS ASSORTED")</f>
        <v>PORCELAIN T-LIGHT HOLDERS ASSORTED</v>
      </c>
      <c r="D825" s="2">
        <f>IFERROR(__xludf.DUMMYFUNCTION("""COMPUTED_VALUE"""),1.0)</f>
        <v>1</v>
      </c>
      <c r="E825" s="6">
        <f>IFERROR(__xludf.DUMMYFUNCTION("""COMPUTED_VALUE"""),40148.50902777778)</f>
        <v>40148.50903</v>
      </c>
      <c r="F825" s="2">
        <f>IFERROR(__xludf.DUMMYFUNCTION("""COMPUTED_VALUE"""),1.25)</f>
        <v>1.25</v>
      </c>
      <c r="G825" s="2">
        <f>IFERROR(__xludf.DUMMYFUNCTION("""COMPUTED_VALUE"""),16393.0)</f>
        <v>16393</v>
      </c>
      <c r="H825" s="2" t="str">
        <f>IFERROR(__xludf.DUMMYFUNCTION("""COMPUTED_VALUE"""),"United Kingdom")</f>
        <v>United Kingdom</v>
      </c>
      <c r="I825" s="7">
        <f>IFERROR(__xludf.DUMMYFUNCTION("""COMPUTED_VALUE"""),40148.0)</f>
        <v>40148</v>
      </c>
      <c r="J825" s="8">
        <f>IFERROR(__xludf.DUMMYFUNCTION("""COMPUTED_VALUE"""),0.5090277777781012)</f>
        <v>0.5090277778</v>
      </c>
      <c r="K825" s="2">
        <f>IFERROR(__xludf.DUMMYFUNCTION("""COMPUTED_VALUE"""),12.0)</f>
        <v>12</v>
      </c>
      <c r="L825" s="2">
        <f>IFERROR(__xludf.DUMMYFUNCTION("""COMPUTED_VALUE"""),1.25)</f>
        <v>1.25</v>
      </c>
    </row>
    <row r="826">
      <c r="A826" s="2">
        <f>IFERROR(__xludf.DUMMYFUNCTION("""COMPUTED_VALUE"""),489536.0)</f>
        <v>489536</v>
      </c>
      <c r="B826" s="2" t="str">
        <f>IFERROR(__xludf.DUMMYFUNCTION("""COMPUTED_VALUE"""),"21018")</f>
        <v>21018</v>
      </c>
      <c r="C826" s="2" t="str">
        <f>IFERROR(__xludf.DUMMYFUNCTION("""COMPUTED_VALUE"""),"BIRD BOX CHRISTMAS TREE DECORATION")</f>
        <v>BIRD BOX CHRISTMAS TREE DECORATION</v>
      </c>
      <c r="D826" s="2">
        <f>IFERROR(__xludf.DUMMYFUNCTION("""COMPUTED_VALUE"""),1.0)</f>
        <v>1</v>
      </c>
      <c r="E826" s="6">
        <f>IFERROR(__xludf.DUMMYFUNCTION("""COMPUTED_VALUE"""),40148.50902777778)</f>
        <v>40148.50903</v>
      </c>
      <c r="F826" s="2">
        <f>IFERROR(__xludf.DUMMYFUNCTION("""COMPUTED_VALUE"""),0.85)</f>
        <v>0.85</v>
      </c>
      <c r="G826" s="2">
        <f>IFERROR(__xludf.DUMMYFUNCTION("""COMPUTED_VALUE"""),16393.0)</f>
        <v>16393</v>
      </c>
      <c r="H826" s="2" t="str">
        <f>IFERROR(__xludf.DUMMYFUNCTION("""COMPUTED_VALUE"""),"United Kingdom")</f>
        <v>United Kingdom</v>
      </c>
      <c r="I826" s="7">
        <f>IFERROR(__xludf.DUMMYFUNCTION("""COMPUTED_VALUE"""),40148.0)</f>
        <v>40148</v>
      </c>
      <c r="J826" s="8">
        <f>IFERROR(__xludf.DUMMYFUNCTION("""COMPUTED_VALUE"""),0.5090277777781012)</f>
        <v>0.5090277778</v>
      </c>
      <c r="K826" s="2">
        <f>IFERROR(__xludf.DUMMYFUNCTION("""COMPUTED_VALUE"""),12.0)</f>
        <v>12</v>
      </c>
      <c r="L826" s="2">
        <f>IFERROR(__xludf.DUMMYFUNCTION("""COMPUTED_VALUE"""),0.85)</f>
        <v>0.85</v>
      </c>
    </row>
    <row r="827">
      <c r="A827" s="2">
        <f>IFERROR(__xludf.DUMMYFUNCTION("""COMPUTED_VALUE"""),489536.0)</f>
        <v>489536</v>
      </c>
      <c r="B827" s="2" t="str">
        <f>IFERROR(__xludf.DUMMYFUNCTION("""COMPUTED_VALUE"""),"35995")</f>
        <v>35995</v>
      </c>
      <c r="C827" s="2" t="str">
        <f>IFERROR(__xludf.DUMMYFUNCTION("""COMPUTED_VALUE"""),"SET/6 BLACK GLITTER REINDEER CANDLE")</f>
        <v>SET/6 BLACK GLITTER REINDEER CANDLE</v>
      </c>
      <c r="D827" s="2">
        <f>IFERROR(__xludf.DUMMYFUNCTION("""COMPUTED_VALUE"""),1.0)</f>
        <v>1</v>
      </c>
      <c r="E827" s="6">
        <f>IFERROR(__xludf.DUMMYFUNCTION("""COMPUTED_VALUE"""),40148.50902777778)</f>
        <v>40148.50903</v>
      </c>
      <c r="F827" s="2">
        <f>IFERROR(__xludf.DUMMYFUNCTION("""COMPUTED_VALUE"""),2.1)</f>
        <v>2.1</v>
      </c>
      <c r="G827" s="2">
        <f>IFERROR(__xludf.DUMMYFUNCTION("""COMPUTED_VALUE"""),16393.0)</f>
        <v>16393</v>
      </c>
      <c r="H827" s="2" t="str">
        <f>IFERROR(__xludf.DUMMYFUNCTION("""COMPUTED_VALUE"""),"United Kingdom")</f>
        <v>United Kingdom</v>
      </c>
      <c r="I827" s="7">
        <f>IFERROR(__xludf.DUMMYFUNCTION("""COMPUTED_VALUE"""),40148.0)</f>
        <v>40148</v>
      </c>
      <c r="J827" s="8">
        <f>IFERROR(__xludf.DUMMYFUNCTION("""COMPUTED_VALUE"""),0.5090277777781012)</f>
        <v>0.5090277778</v>
      </c>
      <c r="K827" s="2">
        <f>IFERROR(__xludf.DUMMYFUNCTION("""COMPUTED_VALUE"""),12.0)</f>
        <v>12</v>
      </c>
      <c r="L827" s="2">
        <f>IFERROR(__xludf.DUMMYFUNCTION("""COMPUTED_VALUE"""),2.1)</f>
        <v>2.1</v>
      </c>
    </row>
    <row r="828">
      <c r="A828" s="2">
        <f>IFERROR(__xludf.DUMMYFUNCTION("""COMPUTED_VALUE"""),489536.0)</f>
        <v>489536</v>
      </c>
      <c r="B828" s="2" t="str">
        <f>IFERROR(__xludf.DUMMYFUNCTION("""COMPUTED_VALUE"""),"21578")</f>
        <v>21578</v>
      </c>
      <c r="C828" s="2" t="str">
        <f>IFERROR(__xludf.DUMMYFUNCTION("""COMPUTED_VALUE"""),"WOODLAND DESIGN COTTON TOTE BAG")</f>
        <v>WOODLAND DESIGN COTTON TOTE BAG</v>
      </c>
      <c r="D828" s="2">
        <f>IFERROR(__xludf.DUMMYFUNCTION("""COMPUTED_VALUE"""),2.0)</f>
        <v>2</v>
      </c>
      <c r="E828" s="6">
        <f>IFERROR(__xludf.DUMMYFUNCTION("""COMPUTED_VALUE"""),40148.50902777778)</f>
        <v>40148.50903</v>
      </c>
      <c r="F828" s="2">
        <f>IFERROR(__xludf.DUMMYFUNCTION("""COMPUTED_VALUE"""),2.25)</f>
        <v>2.25</v>
      </c>
      <c r="G828" s="2">
        <f>IFERROR(__xludf.DUMMYFUNCTION("""COMPUTED_VALUE"""),16393.0)</f>
        <v>16393</v>
      </c>
      <c r="H828" s="2" t="str">
        <f>IFERROR(__xludf.DUMMYFUNCTION("""COMPUTED_VALUE"""),"United Kingdom")</f>
        <v>United Kingdom</v>
      </c>
      <c r="I828" s="7">
        <f>IFERROR(__xludf.DUMMYFUNCTION("""COMPUTED_VALUE"""),40148.0)</f>
        <v>40148</v>
      </c>
      <c r="J828" s="8">
        <f>IFERROR(__xludf.DUMMYFUNCTION("""COMPUTED_VALUE"""),0.5090277777781012)</f>
        <v>0.5090277778</v>
      </c>
      <c r="K828" s="2">
        <f>IFERROR(__xludf.DUMMYFUNCTION("""COMPUTED_VALUE"""),12.0)</f>
        <v>12</v>
      </c>
      <c r="L828" s="2">
        <f>IFERROR(__xludf.DUMMYFUNCTION("""COMPUTED_VALUE"""),4.5)</f>
        <v>4.5</v>
      </c>
    </row>
    <row r="829">
      <c r="A829" s="2">
        <f>IFERROR(__xludf.DUMMYFUNCTION("""COMPUTED_VALUE"""),489536.0)</f>
        <v>489536</v>
      </c>
      <c r="B829" s="2" t="str">
        <f>IFERROR(__xludf.DUMMYFUNCTION("""COMPUTED_VALUE"""),"22355")</f>
        <v>22355</v>
      </c>
      <c r="C829" s="2" t="str">
        <f>IFERROR(__xludf.DUMMYFUNCTION("""COMPUTED_VALUE"""),"CHARLOTTE BAG , SUKI DESIGN")</f>
        <v>CHARLOTTE BAG , SUKI DESIGN</v>
      </c>
      <c r="D829" s="2">
        <f>IFERROR(__xludf.DUMMYFUNCTION("""COMPUTED_VALUE"""),9.0)</f>
        <v>9</v>
      </c>
      <c r="E829" s="6">
        <f>IFERROR(__xludf.DUMMYFUNCTION("""COMPUTED_VALUE"""),40148.50902777778)</f>
        <v>40148.50903</v>
      </c>
      <c r="F829" s="2">
        <f>IFERROR(__xludf.DUMMYFUNCTION("""COMPUTED_VALUE"""),0.85)</f>
        <v>0.85</v>
      </c>
      <c r="G829" s="2">
        <f>IFERROR(__xludf.DUMMYFUNCTION("""COMPUTED_VALUE"""),16393.0)</f>
        <v>16393</v>
      </c>
      <c r="H829" s="2" t="str">
        <f>IFERROR(__xludf.DUMMYFUNCTION("""COMPUTED_VALUE"""),"United Kingdom")</f>
        <v>United Kingdom</v>
      </c>
      <c r="I829" s="7">
        <f>IFERROR(__xludf.DUMMYFUNCTION("""COMPUTED_VALUE"""),40148.0)</f>
        <v>40148</v>
      </c>
      <c r="J829" s="8">
        <f>IFERROR(__xludf.DUMMYFUNCTION("""COMPUTED_VALUE"""),0.5090277777781012)</f>
        <v>0.5090277778</v>
      </c>
      <c r="K829" s="2">
        <f>IFERROR(__xludf.DUMMYFUNCTION("""COMPUTED_VALUE"""),12.0)</f>
        <v>12</v>
      </c>
      <c r="L829" s="2">
        <f>IFERROR(__xludf.DUMMYFUNCTION("""COMPUTED_VALUE"""),7.64999999999999)</f>
        <v>7.65</v>
      </c>
    </row>
    <row r="830">
      <c r="A830" s="2">
        <f>IFERROR(__xludf.DUMMYFUNCTION("""COMPUTED_VALUE"""),489536.0)</f>
        <v>489536</v>
      </c>
      <c r="B830" s="2" t="str">
        <f>IFERROR(__xludf.DUMMYFUNCTION("""COMPUTED_VALUE"""),"21934")</f>
        <v>21934</v>
      </c>
      <c r="C830" s="2" t="str">
        <f>IFERROR(__xludf.DUMMYFUNCTION("""COMPUTED_VALUE"""),"SKULL SHOULDER BAG")</f>
        <v>SKULL SHOULDER BAG</v>
      </c>
      <c r="D830" s="2">
        <f>IFERROR(__xludf.DUMMYFUNCTION("""COMPUTED_VALUE"""),2.0)</f>
        <v>2</v>
      </c>
      <c r="E830" s="6">
        <f>IFERROR(__xludf.DUMMYFUNCTION("""COMPUTED_VALUE"""),40148.50902777778)</f>
        <v>40148.50903</v>
      </c>
      <c r="F830" s="2">
        <f>IFERROR(__xludf.DUMMYFUNCTION("""COMPUTED_VALUE"""),1.65)</f>
        <v>1.65</v>
      </c>
      <c r="G830" s="2">
        <f>IFERROR(__xludf.DUMMYFUNCTION("""COMPUTED_VALUE"""),16393.0)</f>
        <v>16393</v>
      </c>
      <c r="H830" s="2" t="str">
        <f>IFERROR(__xludf.DUMMYFUNCTION("""COMPUTED_VALUE"""),"United Kingdom")</f>
        <v>United Kingdom</v>
      </c>
      <c r="I830" s="7">
        <f>IFERROR(__xludf.DUMMYFUNCTION("""COMPUTED_VALUE"""),40148.0)</f>
        <v>40148</v>
      </c>
      <c r="J830" s="8">
        <f>IFERROR(__xludf.DUMMYFUNCTION("""COMPUTED_VALUE"""),0.5090277777781012)</f>
        <v>0.5090277778</v>
      </c>
      <c r="K830" s="2">
        <f>IFERROR(__xludf.DUMMYFUNCTION("""COMPUTED_VALUE"""),12.0)</f>
        <v>12</v>
      </c>
      <c r="L830" s="2">
        <f>IFERROR(__xludf.DUMMYFUNCTION("""COMPUTED_VALUE"""),3.3)</f>
        <v>3.3</v>
      </c>
    </row>
    <row r="831">
      <c r="A831" s="2">
        <f>IFERROR(__xludf.DUMMYFUNCTION("""COMPUTED_VALUE"""),489536.0)</f>
        <v>489536</v>
      </c>
      <c r="B831" s="2" t="str">
        <f>IFERROR(__xludf.DUMMYFUNCTION("""COMPUTED_VALUE"""),"22356")</f>
        <v>22356</v>
      </c>
      <c r="C831" s="2" t="str">
        <f>IFERROR(__xludf.DUMMYFUNCTION("""COMPUTED_VALUE"""),"CHARLOTTE BAG , PINK/WHITE SPOTS")</f>
        <v>CHARLOTTE BAG , PINK/WHITE SPOTS</v>
      </c>
      <c r="D831" s="2">
        <f>IFERROR(__xludf.DUMMYFUNCTION("""COMPUTED_VALUE"""),3.0)</f>
        <v>3</v>
      </c>
      <c r="E831" s="6">
        <f>IFERROR(__xludf.DUMMYFUNCTION("""COMPUTED_VALUE"""),40148.50902777778)</f>
        <v>40148.50903</v>
      </c>
      <c r="F831" s="2">
        <f>IFERROR(__xludf.DUMMYFUNCTION("""COMPUTED_VALUE"""),0.85)</f>
        <v>0.85</v>
      </c>
      <c r="G831" s="2">
        <f>IFERROR(__xludf.DUMMYFUNCTION("""COMPUTED_VALUE"""),16393.0)</f>
        <v>16393</v>
      </c>
      <c r="H831" s="2" t="str">
        <f>IFERROR(__xludf.DUMMYFUNCTION("""COMPUTED_VALUE"""),"United Kingdom")</f>
        <v>United Kingdom</v>
      </c>
      <c r="I831" s="7">
        <f>IFERROR(__xludf.DUMMYFUNCTION("""COMPUTED_VALUE"""),40148.0)</f>
        <v>40148</v>
      </c>
      <c r="J831" s="8">
        <f>IFERROR(__xludf.DUMMYFUNCTION("""COMPUTED_VALUE"""),0.5090277777781012)</f>
        <v>0.5090277778</v>
      </c>
      <c r="K831" s="2">
        <f>IFERROR(__xludf.DUMMYFUNCTION("""COMPUTED_VALUE"""),12.0)</f>
        <v>12</v>
      </c>
      <c r="L831" s="2">
        <f>IFERROR(__xludf.DUMMYFUNCTION("""COMPUTED_VALUE"""),2.55)</f>
        <v>2.55</v>
      </c>
    </row>
    <row r="832">
      <c r="A832" s="2">
        <f>IFERROR(__xludf.DUMMYFUNCTION("""COMPUTED_VALUE"""),489536.0)</f>
        <v>489536</v>
      </c>
      <c r="B832" s="2" t="str">
        <f>IFERROR(__xludf.DUMMYFUNCTION("""COMPUTED_VALUE"""),"21581")</f>
        <v>21581</v>
      </c>
      <c r="C832" s="2" t="str">
        <f>IFERROR(__xludf.DUMMYFUNCTION("""COMPUTED_VALUE"""),"SKULLS DESIGN COTTON TOTE BAG")</f>
        <v>SKULLS DESIGN COTTON TOTE BAG</v>
      </c>
      <c r="D832" s="2">
        <f>IFERROR(__xludf.DUMMYFUNCTION("""COMPUTED_VALUE"""),4.0)</f>
        <v>4</v>
      </c>
      <c r="E832" s="6">
        <f>IFERROR(__xludf.DUMMYFUNCTION("""COMPUTED_VALUE"""),40148.50902777778)</f>
        <v>40148.50903</v>
      </c>
      <c r="F832" s="2">
        <f>IFERROR(__xludf.DUMMYFUNCTION("""COMPUTED_VALUE"""),2.25)</f>
        <v>2.25</v>
      </c>
      <c r="G832" s="2">
        <f>IFERROR(__xludf.DUMMYFUNCTION("""COMPUTED_VALUE"""),16393.0)</f>
        <v>16393</v>
      </c>
      <c r="H832" s="2" t="str">
        <f>IFERROR(__xludf.DUMMYFUNCTION("""COMPUTED_VALUE"""),"United Kingdom")</f>
        <v>United Kingdom</v>
      </c>
      <c r="I832" s="7">
        <f>IFERROR(__xludf.DUMMYFUNCTION("""COMPUTED_VALUE"""),40148.0)</f>
        <v>40148</v>
      </c>
      <c r="J832" s="8">
        <f>IFERROR(__xludf.DUMMYFUNCTION("""COMPUTED_VALUE"""),0.5090277777781012)</f>
        <v>0.5090277778</v>
      </c>
      <c r="K832" s="2">
        <f>IFERROR(__xludf.DUMMYFUNCTION("""COMPUTED_VALUE"""),12.0)</f>
        <v>12</v>
      </c>
      <c r="L832" s="2">
        <f>IFERROR(__xludf.DUMMYFUNCTION("""COMPUTED_VALUE"""),9.0)</f>
        <v>9</v>
      </c>
    </row>
    <row r="833">
      <c r="A833" s="2">
        <f>IFERROR(__xludf.DUMMYFUNCTION("""COMPUTED_VALUE"""),489536.0)</f>
        <v>489536</v>
      </c>
      <c r="B833" s="2" t="str">
        <f>IFERROR(__xludf.DUMMYFUNCTION("""COMPUTED_VALUE"""),"20956")</f>
        <v>20956</v>
      </c>
      <c r="C833" s="2" t="str">
        <f>IFERROR(__xludf.DUMMYFUNCTION("""COMPUTED_VALUE"""),"PORCELAIN T-LIGHT HOLDERS ASSORTED")</f>
        <v>PORCELAIN T-LIGHT HOLDERS ASSORTED</v>
      </c>
      <c r="D833" s="2">
        <f>IFERROR(__xludf.DUMMYFUNCTION("""COMPUTED_VALUE"""),2.0)</f>
        <v>2</v>
      </c>
      <c r="E833" s="6">
        <f>IFERROR(__xludf.DUMMYFUNCTION("""COMPUTED_VALUE"""),40148.50902777778)</f>
        <v>40148.50903</v>
      </c>
      <c r="F833" s="2">
        <f>IFERROR(__xludf.DUMMYFUNCTION("""COMPUTED_VALUE"""),1.25)</f>
        <v>1.25</v>
      </c>
      <c r="G833" s="2">
        <f>IFERROR(__xludf.DUMMYFUNCTION("""COMPUTED_VALUE"""),16393.0)</f>
        <v>16393</v>
      </c>
      <c r="H833" s="2" t="str">
        <f>IFERROR(__xludf.DUMMYFUNCTION("""COMPUTED_VALUE"""),"United Kingdom")</f>
        <v>United Kingdom</v>
      </c>
      <c r="I833" s="7">
        <f>IFERROR(__xludf.DUMMYFUNCTION("""COMPUTED_VALUE"""),40148.0)</f>
        <v>40148</v>
      </c>
      <c r="J833" s="8">
        <f>IFERROR(__xludf.DUMMYFUNCTION("""COMPUTED_VALUE"""),0.5090277777781012)</f>
        <v>0.5090277778</v>
      </c>
      <c r="K833" s="2">
        <f>IFERROR(__xludf.DUMMYFUNCTION("""COMPUTED_VALUE"""),12.0)</f>
        <v>12</v>
      </c>
      <c r="L833" s="2">
        <f>IFERROR(__xludf.DUMMYFUNCTION("""COMPUTED_VALUE"""),2.5)</f>
        <v>2.5</v>
      </c>
    </row>
    <row r="834">
      <c r="A834" s="2">
        <f>IFERROR(__xludf.DUMMYFUNCTION("""COMPUTED_VALUE"""),489536.0)</f>
        <v>489536</v>
      </c>
      <c r="B834" s="2" t="str">
        <f>IFERROR(__xludf.DUMMYFUNCTION("""COMPUTED_VALUE"""),"20727")</f>
        <v>20727</v>
      </c>
      <c r="C834" s="2" t="str">
        <f>IFERROR(__xludf.DUMMYFUNCTION("""COMPUTED_VALUE"""),"LUNCH BAG BLACK SKULL.")</f>
        <v>LUNCH BAG BLACK SKULL.</v>
      </c>
      <c r="D834" s="2">
        <f>IFERROR(__xludf.DUMMYFUNCTION("""COMPUTED_VALUE"""),3.0)</f>
        <v>3</v>
      </c>
      <c r="E834" s="6">
        <f>IFERROR(__xludf.DUMMYFUNCTION("""COMPUTED_VALUE"""),40148.50902777778)</f>
        <v>40148.50903</v>
      </c>
      <c r="F834" s="2">
        <f>IFERROR(__xludf.DUMMYFUNCTION("""COMPUTED_VALUE"""),1.65)</f>
        <v>1.65</v>
      </c>
      <c r="G834" s="2">
        <f>IFERROR(__xludf.DUMMYFUNCTION("""COMPUTED_VALUE"""),16393.0)</f>
        <v>16393</v>
      </c>
      <c r="H834" s="2" t="str">
        <f>IFERROR(__xludf.DUMMYFUNCTION("""COMPUTED_VALUE"""),"United Kingdom")</f>
        <v>United Kingdom</v>
      </c>
      <c r="I834" s="7">
        <f>IFERROR(__xludf.DUMMYFUNCTION("""COMPUTED_VALUE"""),40148.0)</f>
        <v>40148</v>
      </c>
      <c r="J834" s="8">
        <f>IFERROR(__xludf.DUMMYFUNCTION("""COMPUTED_VALUE"""),0.5090277777781012)</f>
        <v>0.5090277778</v>
      </c>
      <c r="K834" s="2">
        <f>IFERROR(__xludf.DUMMYFUNCTION("""COMPUTED_VALUE"""),12.0)</f>
        <v>12</v>
      </c>
      <c r="L834" s="2">
        <f>IFERROR(__xludf.DUMMYFUNCTION("""COMPUTED_VALUE"""),4.94999999999999)</f>
        <v>4.95</v>
      </c>
    </row>
    <row r="835">
      <c r="A835" s="2">
        <f>IFERROR(__xludf.DUMMYFUNCTION("""COMPUTED_VALUE"""),489536.0)</f>
        <v>489536</v>
      </c>
      <c r="B835" s="2" t="str">
        <f>IFERROR(__xludf.DUMMYFUNCTION("""COMPUTED_VALUE"""),"21071")</f>
        <v>21071</v>
      </c>
      <c r="C835" s="2" t="str">
        <f>IFERROR(__xludf.DUMMYFUNCTION("""COMPUTED_VALUE"""),"VINTAGE BILLBOARD DRINK ME MUG")</f>
        <v>VINTAGE BILLBOARD DRINK ME MUG</v>
      </c>
      <c r="D835" s="2">
        <f>IFERROR(__xludf.DUMMYFUNCTION("""COMPUTED_VALUE"""),1.0)</f>
        <v>1</v>
      </c>
      <c r="E835" s="6">
        <f>IFERROR(__xludf.DUMMYFUNCTION("""COMPUTED_VALUE"""),40148.50902777778)</f>
        <v>40148.50903</v>
      </c>
      <c r="F835" s="2">
        <f>IFERROR(__xludf.DUMMYFUNCTION("""COMPUTED_VALUE"""),1.25)</f>
        <v>1.25</v>
      </c>
      <c r="G835" s="2">
        <f>IFERROR(__xludf.DUMMYFUNCTION("""COMPUTED_VALUE"""),16393.0)</f>
        <v>16393</v>
      </c>
      <c r="H835" s="2" t="str">
        <f>IFERROR(__xludf.DUMMYFUNCTION("""COMPUTED_VALUE"""),"United Kingdom")</f>
        <v>United Kingdom</v>
      </c>
      <c r="I835" s="7">
        <f>IFERROR(__xludf.DUMMYFUNCTION("""COMPUTED_VALUE"""),40148.0)</f>
        <v>40148</v>
      </c>
      <c r="J835" s="8">
        <f>IFERROR(__xludf.DUMMYFUNCTION("""COMPUTED_VALUE"""),0.5090277777781012)</f>
        <v>0.5090277778</v>
      </c>
      <c r="K835" s="2">
        <f>IFERROR(__xludf.DUMMYFUNCTION("""COMPUTED_VALUE"""),12.0)</f>
        <v>12</v>
      </c>
      <c r="L835" s="2">
        <f>IFERROR(__xludf.DUMMYFUNCTION("""COMPUTED_VALUE"""),1.25)</f>
        <v>1.25</v>
      </c>
    </row>
    <row r="836">
      <c r="A836" s="2">
        <f>IFERROR(__xludf.DUMMYFUNCTION("""COMPUTED_VALUE"""),489536.0)</f>
        <v>489536</v>
      </c>
      <c r="B836" s="2" t="str">
        <f>IFERROR(__xludf.DUMMYFUNCTION("""COMPUTED_VALUE"""),"21068")</f>
        <v>21068</v>
      </c>
      <c r="C836" s="2" t="str">
        <f>IFERROR(__xludf.DUMMYFUNCTION("""COMPUTED_VALUE"""),"VINTAGE BILLBOARD LOVE/HATE MUG")</f>
        <v>VINTAGE BILLBOARD LOVE/HATE MUG</v>
      </c>
      <c r="D836" s="2">
        <f>IFERROR(__xludf.DUMMYFUNCTION("""COMPUTED_VALUE"""),1.0)</f>
        <v>1</v>
      </c>
      <c r="E836" s="6">
        <f>IFERROR(__xludf.DUMMYFUNCTION("""COMPUTED_VALUE"""),40148.50902777778)</f>
        <v>40148.50903</v>
      </c>
      <c r="F836" s="2">
        <f>IFERROR(__xludf.DUMMYFUNCTION("""COMPUTED_VALUE"""),1.25)</f>
        <v>1.25</v>
      </c>
      <c r="G836" s="2">
        <f>IFERROR(__xludf.DUMMYFUNCTION("""COMPUTED_VALUE"""),16393.0)</f>
        <v>16393</v>
      </c>
      <c r="H836" s="2" t="str">
        <f>IFERROR(__xludf.DUMMYFUNCTION("""COMPUTED_VALUE"""),"United Kingdom")</f>
        <v>United Kingdom</v>
      </c>
      <c r="I836" s="7">
        <f>IFERROR(__xludf.DUMMYFUNCTION("""COMPUTED_VALUE"""),40148.0)</f>
        <v>40148</v>
      </c>
      <c r="J836" s="8">
        <f>IFERROR(__xludf.DUMMYFUNCTION("""COMPUTED_VALUE"""),0.5090277777781012)</f>
        <v>0.5090277778</v>
      </c>
      <c r="K836" s="2">
        <f>IFERROR(__xludf.DUMMYFUNCTION("""COMPUTED_VALUE"""),12.0)</f>
        <v>12</v>
      </c>
      <c r="L836" s="2">
        <f>IFERROR(__xludf.DUMMYFUNCTION("""COMPUTED_VALUE"""),1.25)</f>
        <v>1.25</v>
      </c>
    </row>
    <row r="837">
      <c r="A837" s="2">
        <f>IFERROR(__xludf.DUMMYFUNCTION("""COMPUTED_VALUE"""),489536.0)</f>
        <v>489536</v>
      </c>
      <c r="B837" s="2" t="str">
        <f>IFERROR(__xludf.DUMMYFUNCTION("""COMPUTED_VALUE"""),"22189")</f>
        <v>22189</v>
      </c>
      <c r="C837" s="2" t="str">
        <f>IFERROR(__xludf.DUMMYFUNCTION("""COMPUTED_VALUE"""),"CREAM HEART CARD HOLDER")</f>
        <v>CREAM HEART CARD HOLDER</v>
      </c>
      <c r="D837" s="2">
        <f>IFERROR(__xludf.DUMMYFUNCTION("""COMPUTED_VALUE"""),1.0)</f>
        <v>1</v>
      </c>
      <c r="E837" s="6">
        <f>IFERROR(__xludf.DUMMYFUNCTION("""COMPUTED_VALUE"""),40148.50902777778)</f>
        <v>40148.50903</v>
      </c>
      <c r="F837" s="2">
        <f>IFERROR(__xludf.DUMMYFUNCTION("""COMPUTED_VALUE"""),3.95)</f>
        <v>3.95</v>
      </c>
      <c r="G837" s="2">
        <f>IFERROR(__xludf.DUMMYFUNCTION("""COMPUTED_VALUE"""),16393.0)</f>
        <v>16393</v>
      </c>
      <c r="H837" s="2" t="str">
        <f>IFERROR(__xludf.DUMMYFUNCTION("""COMPUTED_VALUE"""),"United Kingdom")</f>
        <v>United Kingdom</v>
      </c>
      <c r="I837" s="7">
        <f>IFERROR(__xludf.DUMMYFUNCTION("""COMPUTED_VALUE"""),40148.0)</f>
        <v>40148</v>
      </c>
      <c r="J837" s="8">
        <f>IFERROR(__xludf.DUMMYFUNCTION("""COMPUTED_VALUE"""),0.5090277777781012)</f>
        <v>0.5090277778</v>
      </c>
      <c r="K837" s="2">
        <f>IFERROR(__xludf.DUMMYFUNCTION("""COMPUTED_VALUE"""),12.0)</f>
        <v>12</v>
      </c>
      <c r="L837" s="2">
        <f>IFERROR(__xludf.DUMMYFUNCTION("""COMPUTED_VALUE"""),3.95)</f>
        <v>3.95</v>
      </c>
    </row>
    <row r="838">
      <c r="A838" s="2">
        <f>IFERROR(__xludf.DUMMYFUNCTION("""COMPUTED_VALUE"""),489536.0)</f>
        <v>489536</v>
      </c>
      <c r="B838" s="2" t="str">
        <f>IFERROR(__xludf.DUMMYFUNCTION("""COMPUTED_VALUE"""),"48179")</f>
        <v>48179</v>
      </c>
      <c r="C838" s="2" t="str">
        <f>IFERROR(__xludf.DUMMYFUNCTION("""COMPUTED_VALUE"""),"DOOR MAT SWEET HOME")</f>
        <v>DOOR MAT SWEET HOME</v>
      </c>
      <c r="D838" s="2">
        <f>IFERROR(__xludf.DUMMYFUNCTION("""COMPUTED_VALUE"""),1.0)</f>
        <v>1</v>
      </c>
      <c r="E838" s="6">
        <f>IFERROR(__xludf.DUMMYFUNCTION("""COMPUTED_VALUE"""),40148.50902777778)</f>
        <v>40148.50903</v>
      </c>
      <c r="F838" s="2">
        <f>IFERROR(__xludf.DUMMYFUNCTION("""COMPUTED_VALUE"""),6.75)</f>
        <v>6.75</v>
      </c>
      <c r="G838" s="2">
        <f>IFERROR(__xludf.DUMMYFUNCTION("""COMPUTED_VALUE"""),16393.0)</f>
        <v>16393</v>
      </c>
      <c r="H838" s="2" t="str">
        <f>IFERROR(__xludf.DUMMYFUNCTION("""COMPUTED_VALUE"""),"United Kingdom")</f>
        <v>United Kingdom</v>
      </c>
      <c r="I838" s="7">
        <f>IFERROR(__xludf.DUMMYFUNCTION("""COMPUTED_VALUE"""),40148.0)</f>
        <v>40148</v>
      </c>
      <c r="J838" s="8">
        <f>IFERROR(__xludf.DUMMYFUNCTION("""COMPUTED_VALUE"""),0.5090277777781012)</f>
        <v>0.5090277778</v>
      </c>
      <c r="K838" s="2">
        <f>IFERROR(__xludf.DUMMYFUNCTION("""COMPUTED_VALUE"""),12.0)</f>
        <v>12</v>
      </c>
      <c r="L838" s="2">
        <f>IFERROR(__xludf.DUMMYFUNCTION("""COMPUTED_VALUE"""),6.75)</f>
        <v>6.75</v>
      </c>
    </row>
    <row r="839">
      <c r="A839" s="2">
        <f>IFERROR(__xludf.DUMMYFUNCTION("""COMPUTED_VALUE"""),489537.0)</f>
        <v>489537</v>
      </c>
      <c r="B839" s="2" t="str">
        <f>IFERROR(__xludf.DUMMYFUNCTION("""COMPUTED_VALUE"""),"48129")</f>
        <v>48129</v>
      </c>
      <c r="C839" s="2" t="str">
        <f>IFERROR(__xludf.DUMMYFUNCTION("""COMPUTED_VALUE"""),"DOOR MAT TOPIARY")</f>
        <v>DOOR MAT TOPIARY</v>
      </c>
      <c r="D839" s="2">
        <f>IFERROR(__xludf.DUMMYFUNCTION("""COMPUTED_VALUE"""),1.0)</f>
        <v>1</v>
      </c>
      <c r="E839" s="6">
        <f>IFERROR(__xludf.DUMMYFUNCTION("""COMPUTED_VALUE"""),40148.509722222225)</f>
        <v>40148.50972</v>
      </c>
      <c r="F839" s="2">
        <f>IFERROR(__xludf.DUMMYFUNCTION("""COMPUTED_VALUE"""),6.75)</f>
        <v>6.75</v>
      </c>
      <c r="G839" s="2">
        <f>IFERROR(__xludf.DUMMYFUNCTION("""COMPUTED_VALUE"""),14040.0)</f>
        <v>14040</v>
      </c>
      <c r="H839" s="2" t="str">
        <f>IFERROR(__xludf.DUMMYFUNCTION("""COMPUTED_VALUE"""),"United Kingdom")</f>
        <v>United Kingdom</v>
      </c>
      <c r="I839" s="7">
        <f>IFERROR(__xludf.DUMMYFUNCTION("""COMPUTED_VALUE"""),40148.0)</f>
        <v>40148</v>
      </c>
      <c r="J839" s="8">
        <f>IFERROR(__xludf.DUMMYFUNCTION("""COMPUTED_VALUE"""),0.5097222222211713)</f>
        <v>0.5097222222</v>
      </c>
      <c r="K839" s="2">
        <f>IFERROR(__xludf.DUMMYFUNCTION("""COMPUTED_VALUE"""),12.0)</f>
        <v>12</v>
      </c>
      <c r="L839" s="2">
        <f>IFERROR(__xludf.DUMMYFUNCTION("""COMPUTED_VALUE"""),6.75)</f>
        <v>6.75</v>
      </c>
    </row>
    <row r="840">
      <c r="A840" s="2">
        <f>IFERROR(__xludf.DUMMYFUNCTION("""COMPUTED_VALUE"""),489537.0)</f>
        <v>489537</v>
      </c>
      <c r="B840" s="2" t="str">
        <f>IFERROR(__xludf.DUMMYFUNCTION("""COMPUTED_VALUE"""),"21523")</f>
        <v>21523</v>
      </c>
      <c r="C840" s="2" t="str">
        <f>IFERROR(__xludf.DUMMYFUNCTION("""COMPUTED_VALUE"""),"FANCY FONT HOME SWEET HOME DOORMAT")</f>
        <v>FANCY FONT HOME SWEET HOME DOORMAT</v>
      </c>
      <c r="D840" s="2">
        <f>IFERROR(__xludf.DUMMYFUNCTION("""COMPUTED_VALUE"""),1.0)</f>
        <v>1</v>
      </c>
      <c r="E840" s="6">
        <f>IFERROR(__xludf.DUMMYFUNCTION("""COMPUTED_VALUE"""),40148.509722222225)</f>
        <v>40148.50972</v>
      </c>
      <c r="F840" s="2">
        <f>IFERROR(__xludf.DUMMYFUNCTION("""COMPUTED_VALUE"""),6.75)</f>
        <v>6.75</v>
      </c>
      <c r="G840" s="2">
        <f>IFERROR(__xludf.DUMMYFUNCTION("""COMPUTED_VALUE"""),14040.0)</f>
        <v>14040</v>
      </c>
      <c r="H840" s="2" t="str">
        <f>IFERROR(__xludf.DUMMYFUNCTION("""COMPUTED_VALUE"""),"United Kingdom")</f>
        <v>United Kingdom</v>
      </c>
      <c r="I840" s="7">
        <f>IFERROR(__xludf.DUMMYFUNCTION("""COMPUTED_VALUE"""),40148.0)</f>
        <v>40148</v>
      </c>
      <c r="J840" s="8">
        <f>IFERROR(__xludf.DUMMYFUNCTION("""COMPUTED_VALUE"""),0.5097222222211713)</f>
        <v>0.5097222222</v>
      </c>
      <c r="K840" s="2">
        <f>IFERROR(__xludf.DUMMYFUNCTION("""COMPUTED_VALUE"""),12.0)</f>
        <v>12</v>
      </c>
      <c r="L840" s="2">
        <f>IFERROR(__xludf.DUMMYFUNCTION("""COMPUTED_VALUE"""),6.75)</f>
        <v>6.75</v>
      </c>
    </row>
    <row r="841">
      <c r="A841" s="2">
        <f>IFERROR(__xludf.DUMMYFUNCTION("""COMPUTED_VALUE"""),489537.0)</f>
        <v>489537</v>
      </c>
      <c r="B841" s="2" t="str">
        <f>IFERROR(__xludf.DUMMYFUNCTION("""COMPUTED_VALUE"""),"48188")</f>
        <v>48188</v>
      </c>
      <c r="C841" s="2" t="str">
        <f>IFERROR(__xludf.DUMMYFUNCTION("""COMPUTED_VALUE"""),"DOOR MAT WELCOME PUPPIES")</f>
        <v>DOOR MAT WELCOME PUPPIES</v>
      </c>
      <c r="D841" s="2">
        <f>IFERROR(__xludf.DUMMYFUNCTION("""COMPUTED_VALUE"""),2.0)</f>
        <v>2</v>
      </c>
      <c r="E841" s="6">
        <f>IFERROR(__xludf.DUMMYFUNCTION("""COMPUTED_VALUE"""),40148.509722222225)</f>
        <v>40148.50972</v>
      </c>
      <c r="F841" s="2">
        <f>IFERROR(__xludf.DUMMYFUNCTION("""COMPUTED_VALUE"""),6.75)</f>
        <v>6.75</v>
      </c>
      <c r="G841" s="2">
        <f>IFERROR(__xludf.DUMMYFUNCTION("""COMPUTED_VALUE"""),14040.0)</f>
        <v>14040</v>
      </c>
      <c r="H841" s="2" t="str">
        <f>IFERROR(__xludf.DUMMYFUNCTION("""COMPUTED_VALUE"""),"United Kingdom")</f>
        <v>United Kingdom</v>
      </c>
      <c r="I841" s="7">
        <f>IFERROR(__xludf.DUMMYFUNCTION("""COMPUTED_VALUE"""),40148.0)</f>
        <v>40148</v>
      </c>
      <c r="J841" s="8">
        <f>IFERROR(__xludf.DUMMYFUNCTION("""COMPUTED_VALUE"""),0.5097222222211713)</f>
        <v>0.5097222222</v>
      </c>
      <c r="K841" s="2">
        <f>IFERROR(__xludf.DUMMYFUNCTION("""COMPUTED_VALUE"""),12.0)</f>
        <v>12</v>
      </c>
      <c r="L841" s="2">
        <f>IFERROR(__xludf.DUMMYFUNCTION("""COMPUTED_VALUE"""),13.5)</f>
        <v>13.5</v>
      </c>
    </row>
    <row r="842">
      <c r="A842" s="2">
        <f>IFERROR(__xludf.DUMMYFUNCTION("""COMPUTED_VALUE"""),489537.0)</f>
        <v>489537</v>
      </c>
      <c r="B842" s="2" t="str">
        <f>IFERROR(__xludf.DUMMYFUNCTION("""COMPUTED_VALUE"""),"48111")</f>
        <v>48111</v>
      </c>
      <c r="C842" s="2" t="str">
        <f>IFERROR(__xludf.DUMMYFUNCTION("""COMPUTED_VALUE"""),"DOOR MAT 3 SMILEY CATS")</f>
        <v>DOOR MAT 3 SMILEY CATS</v>
      </c>
      <c r="D842" s="2">
        <f>IFERROR(__xludf.DUMMYFUNCTION("""COMPUTED_VALUE"""),2.0)</f>
        <v>2</v>
      </c>
      <c r="E842" s="6">
        <f>IFERROR(__xludf.DUMMYFUNCTION("""COMPUTED_VALUE"""),40148.509722222225)</f>
        <v>40148.50972</v>
      </c>
      <c r="F842" s="2">
        <f>IFERROR(__xludf.DUMMYFUNCTION("""COMPUTED_VALUE"""),6.75)</f>
        <v>6.75</v>
      </c>
      <c r="G842" s="2">
        <f>IFERROR(__xludf.DUMMYFUNCTION("""COMPUTED_VALUE"""),14040.0)</f>
        <v>14040</v>
      </c>
      <c r="H842" s="2" t="str">
        <f>IFERROR(__xludf.DUMMYFUNCTION("""COMPUTED_VALUE"""),"United Kingdom")</f>
        <v>United Kingdom</v>
      </c>
      <c r="I842" s="7">
        <f>IFERROR(__xludf.DUMMYFUNCTION("""COMPUTED_VALUE"""),40148.0)</f>
        <v>40148</v>
      </c>
      <c r="J842" s="8">
        <f>IFERROR(__xludf.DUMMYFUNCTION("""COMPUTED_VALUE"""),0.5097222222211713)</f>
        <v>0.5097222222</v>
      </c>
      <c r="K842" s="2">
        <f>IFERROR(__xludf.DUMMYFUNCTION("""COMPUTED_VALUE"""),12.0)</f>
        <v>12</v>
      </c>
      <c r="L842" s="2">
        <f>IFERROR(__xludf.DUMMYFUNCTION("""COMPUTED_VALUE"""),13.5)</f>
        <v>13.5</v>
      </c>
    </row>
    <row r="843">
      <c r="A843" s="2">
        <f>IFERROR(__xludf.DUMMYFUNCTION("""COMPUTED_VALUE"""),489537.0)</f>
        <v>489537</v>
      </c>
      <c r="B843" s="2" t="str">
        <f>IFERROR(__xludf.DUMMYFUNCTION("""COMPUTED_VALUE"""),"48194")</f>
        <v>48194</v>
      </c>
      <c r="C843" s="2" t="str">
        <f>IFERROR(__xludf.DUMMYFUNCTION("""COMPUTED_VALUE"""),"DOORMAT HEARTS")</f>
        <v>DOORMAT HEARTS</v>
      </c>
      <c r="D843" s="2">
        <f>IFERROR(__xludf.DUMMYFUNCTION("""COMPUTED_VALUE"""),2.0)</f>
        <v>2</v>
      </c>
      <c r="E843" s="6">
        <f>IFERROR(__xludf.DUMMYFUNCTION("""COMPUTED_VALUE"""),40148.509722222225)</f>
        <v>40148.50972</v>
      </c>
      <c r="F843" s="2">
        <f>IFERROR(__xludf.DUMMYFUNCTION("""COMPUTED_VALUE"""),6.75)</f>
        <v>6.75</v>
      </c>
      <c r="G843" s="2">
        <f>IFERROR(__xludf.DUMMYFUNCTION("""COMPUTED_VALUE"""),14040.0)</f>
        <v>14040</v>
      </c>
      <c r="H843" s="2" t="str">
        <f>IFERROR(__xludf.DUMMYFUNCTION("""COMPUTED_VALUE"""),"United Kingdom")</f>
        <v>United Kingdom</v>
      </c>
      <c r="I843" s="7">
        <f>IFERROR(__xludf.DUMMYFUNCTION("""COMPUTED_VALUE"""),40148.0)</f>
        <v>40148</v>
      </c>
      <c r="J843" s="8">
        <f>IFERROR(__xludf.DUMMYFUNCTION("""COMPUTED_VALUE"""),0.5097222222211713)</f>
        <v>0.5097222222</v>
      </c>
      <c r="K843" s="2">
        <f>IFERROR(__xludf.DUMMYFUNCTION("""COMPUTED_VALUE"""),12.0)</f>
        <v>12</v>
      </c>
      <c r="L843" s="2">
        <f>IFERROR(__xludf.DUMMYFUNCTION("""COMPUTED_VALUE"""),13.5)</f>
        <v>13.5</v>
      </c>
    </row>
    <row r="844">
      <c r="A844" s="2">
        <f>IFERROR(__xludf.DUMMYFUNCTION("""COMPUTED_VALUE"""),489537.0)</f>
        <v>489537</v>
      </c>
      <c r="B844" s="2" t="str">
        <f>IFERROR(__xludf.DUMMYFUNCTION("""COMPUTED_VALUE"""),"20685")</f>
        <v>20685</v>
      </c>
      <c r="C844" s="2" t="str">
        <f>IFERROR(__xludf.DUMMYFUNCTION("""COMPUTED_VALUE"""),"RED SPOTTY COIR DOORMAT")</f>
        <v>RED SPOTTY COIR DOORMAT</v>
      </c>
      <c r="D844" s="2">
        <f>IFERROR(__xludf.DUMMYFUNCTION("""COMPUTED_VALUE"""),2.0)</f>
        <v>2</v>
      </c>
      <c r="E844" s="6">
        <f>IFERROR(__xludf.DUMMYFUNCTION("""COMPUTED_VALUE"""),40148.509722222225)</f>
        <v>40148.50972</v>
      </c>
      <c r="F844" s="2">
        <f>IFERROR(__xludf.DUMMYFUNCTION("""COMPUTED_VALUE"""),6.75)</f>
        <v>6.75</v>
      </c>
      <c r="G844" s="2">
        <f>IFERROR(__xludf.DUMMYFUNCTION("""COMPUTED_VALUE"""),14040.0)</f>
        <v>14040</v>
      </c>
      <c r="H844" s="2" t="str">
        <f>IFERROR(__xludf.DUMMYFUNCTION("""COMPUTED_VALUE"""),"United Kingdom")</f>
        <v>United Kingdom</v>
      </c>
      <c r="I844" s="7">
        <f>IFERROR(__xludf.DUMMYFUNCTION("""COMPUTED_VALUE"""),40148.0)</f>
        <v>40148</v>
      </c>
      <c r="J844" s="8">
        <f>IFERROR(__xludf.DUMMYFUNCTION("""COMPUTED_VALUE"""),0.5097222222211713)</f>
        <v>0.5097222222</v>
      </c>
      <c r="K844" s="2">
        <f>IFERROR(__xludf.DUMMYFUNCTION("""COMPUTED_VALUE"""),12.0)</f>
        <v>12</v>
      </c>
      <c r="L844" s="2">
        <f>IFERROR(__xludf.DUMMYFUNCTION("""COMPUTED_VALUE"""),13.5)</f>
        <v>13.5</v>
      </c>
    </row>
    <row r="845">
      <c r="A845" s="2">
        <f>IFERROR(__xludf.DUMMYFUNCTION("""COMPUTED_VALUE"""),489537.0)</f>
        <v>489537</v>
      </c>
      <c r="B845" s="2" t="str">
        <f>IFERROR(__xludf.DUMMYFUNCTION("""COMPUTED_VALUE"""),"48195")</f>
        <v>48195</v>
      </c>
      <c r="C845" s="2" t="str">
        <f>IFERROR(__xludf.DUMMYFUNCTION("""COMPUTED_VALUE"""),"DOOR MAT GREEN PAISLEY")</f>
        <v>DOOR MAT GREEN PAISLEY</v>
      </c>
      <c r="D845" s="2">
        <f>IFERROR(__xludf.DUMMYFUNCTION("""COMPUTED_VALUE"""),2.0)</f>
        <v>2</v>
      </c>
      <c r="E845" s="6">
        <f>IFERROR(__xludf.DUMMYFUNCTION("""COMPUTED_VALUE"""),40148.509722222225)</f>
        <v>40148.50972</v>
      </c>
      <c r="F845" s="2">
        <f>IFERROR(__xludf.DUMMYFUNCTION("""COMPUTED_VALUE"""),6.75)</f>
        <v>6.75</v>
      </c>
      <c r="G845" s="2">
        <f>IFERROR(__xludf.DUMMYFUNCTION("""COMPUTED_VALUE"""),14040.0)</f>
        <v>14040</v>
      </c>
      <c r="H845" s="2" t="str">
        <f>IFERROR(__xludf.DUMMYFUNCTION("""COMPUTED_VALUE"""),"United Kingdom")</f>
        <v>United Kingdom</v>
      </c>
      <c r="I845" s="7">
        <f>IFERROR(__xludf.DUMMYFUNCTION("""COMPUTED_VALUE"""),40148.0)</f>
        <v>40148</v>
      </c>
      <c r="J845" s="8">
        <f>IFERROR(__xludf.DUMMYFUNCTION("""COMPUTED_VALUE"""),0.5097222222211713)</f>
        <v>0.5097222222</v>
      </c>
      <c r="K845" s="2">
        <f>IFERROR(__xludf.DUMMYFUNCTION("""COMPUTED_VALUE"""),12.0)</f>
        <v>12</v>
      </c>
      <c r="L845" s="2">
        <f>IFERROR(__xludf.DUMMYFUNCTION("""COMPUTED_VALUE"""),13.5)</f>
        <v>13.5</v>
      </c>
    </row>
    <row r="846">
      <c r="A846" s="2">
        <f>IFERROR(__xludf.DUMMYFUNCTION("""COMPUTED_VALUE"""),489537.0)</f>
        <v>489537</v>
      </c>
      <c r="B846" s="2" t="str">
        <f>IFERROR(__xludf.DUMMYFUNCTION("""COMPUTED_VALUE"""),"48184")</f>
        <v>48184</v>
      </c>
      <c r="C846" s="2" t="str">
        <f>IFERROR(__xludf.DUMMYFUNCTION("""COMPUTED_VALUE"""),"DOOR MAT ENGLISH ROSE")</f>
        <v>DOOR MAT ENGLISH ROSE</v>
      </c>
      <c r="D846" s="2">
        <f>IFERROR(__xludf.DUMMYFUNCTION("""COMPUTED_VALUE"""),2.0)</f>
        <v>2</v>
      </c>
      <c r="E846" s="6">
        <f>IFERROR(__xludf.DUMMYFUNCTION("""COMPUTED_VALUE"""),40148.509722222225)</f>
        <v>40148.50972</v>
      </c>
      <c r="F846" s="2">
        <f>IFERROR(__xludf.DUMMYFUNCTION("""COMPUTED_VALUE"""),6.75)</f>
        <v>6.75</v>
      </c>
      <c r="G846" s="2">
        <f>IFERROR(__xludf.DUMMYFUNCTION("""COMPUTED_VALUE"""),14040.0)</f>
        <v>14040</v>
      </c>
      <c r="H846" s="2" t="str">
        <f>IFERROR(__xludf.DUMMYFUNCTION("""COMPUTED_VALUE"""),"United Kingdom")</f>
        <v>United Kingdom</v>
      </c>
      <c r="I846" s="7">
        <f>IFERROR(__xludf.DUMMYFUNCTION("""COMPUTED_VALUE"""),40148.0)</f>
        <v>40148</v>
      </c>
      <c r="J846" s="8">
        <f>IFERROR(__xludf.DUMMYFUNCTION("""COMPUTED_VALUE"""),0.5097222222211713)</f>
        <v>0.5097222222</v>
      </c>
      <c r="K846" s="2">
        <f>IFERROR(__xludf.DUMMYFUNCTION("""COMPUTED_VALUE"""),12.0)</f>
        <v>12</v>
      </c>
      <c r="L846" s="2">
        <f>IFERROR(__xludf.DUMMYFUNCTION("""COMPUTED_VALUE"""),13.5)</f>
        <v>13.5</v>
      </c>
    </row>
    <row r="847">
      <c r="A847" s="2">
        <f>IFERROR(__xludf.DUMMYFUNCTION("""COMPUTED_VALUE"""),489537.0)</f>
        <v>489537</v>
      </c>
      <c r="B847" s="2" t="str">
        <f>IFERROR(__xludf.DUMMYFUNCTION("""COMPUTED_VALUE"""),"21733")</f>
        <v>21733</v>
      </c>
      <c r="C847" s="2" t="str">
        <f>IFERROR(__xludf.DUMMYFUNCTION("""COMPUTED_VALUE"""),"RED HANGING HEART T-LIGHT HOLDER")</f>
        <v>RED HANGING HEART T-LIGHT HOLDER</v>
      </c>
      <c r="D847" s="2">
        <f>IFERROR(__xludf.DUMMYFUNCTION("""COMPUTED_VALUE"""),10.0)</f>
        <v>10</v>
      </c>
      <c r="E847" s="6">
        <f>IFERROR(__xludf.DUMMYFUNCTION("""COMPUTED_VALUE"""),40148.509722222225)</f>
        <v>40148.50972</v>
      </c>
      <c r="F847" s="2">
        <f>IFERROR(__xludf.DUMMYFUNCTION("""COMPUTED_VALUE"""),2.95)</f>
        <v>2.95</v>
      </c>
      <c r="G847" s="2">
        <f>IFERROR(__xludf.DUMMYFUNCTION("""COMPUTED_VALUE"""),14040.0)</f>
        <v>14040</v>
      </c>
      <c r="H847" s="2" t="str">
        <f>IFERROR(__xludf.DUMMYFUNCTION("""COMPUTED_VALUE"""),"United Kingdom")</f>
        <v>United Kingdom</v>
      </c>
      <c r="I847" s="7">
        <f>IFERROR(__xludf.DUMMYFUNCTION("""COMPUTED_VALUE"""),40148.0)</f>
        <v>40148</v>
      </c>
      <c r="J847" s="8">
        <f>IFERROR(__xludf.DUMMYFUNCTION("""COMPUTED_VALUE"""),0.5097222222211713)</f>
        <v>0.5097222222</v>
      </c>
      <c r="K847" s="2">
        <f>IFERROR(__xludf.DUMMYFUNCTION("""COMPUTED_VALUE"""),12.0)</f>
        <v>12</v>
      </c>
      <c r="L847" s="2">
        <f>IFERROR(__xludf.DUMMYFUNCTION("""COMPUTED_VALUE"""),29.5)</f>
        <v>29.5</v>
      </c>
    </row>
    <row r="848">
      <c r="A848" s="2">
        <f>IFERROR(__xludf.DUMMYFUNCTION("""COMPUTED_VALUE"""),489537.0)</f>
        <v>489537</v>
      </c>
      <c r="B848" s="2" t="str">
        <f>IFERROR(__xludf.DUMMYFUNCTION("""COMPUTED_VALUE"""),"21777")</f>
        <v>21777</v>
      </c>
      <c r="C848" s="2" t="str">
        <f>IFERROR(__xludf.DUMMYFUNCTION("""COMPUTED_VALUE"""),"RECIPE BOX WITH METAL HEART")</f>
        <v>RECIPE BOX WITH METAL HEART</v>
      </c>
      <c r="D848" s="2">
        <f>IFERROR(__xludf.DUMMYFUNCTION("""COMPUTED_VALUE"""),4.0)</f>
        <v>4</v>
      </c>
      <c r="E848" s="6">
        <f>IFERROR(__xludf.DUMMYFUNCTION("""COMPUTED_VALUE"""),40148.509722222225)</f>
        <v>40148.50972</v>
      </c>
      <c r="F848" s="2">
        <f>IFERROR(__xludf.DUMMYFUNCTION("""COMPUTED_VALUE"""),7.95)</f>
        <v>7.95</v>
      </c>
      <c r="G848" s="2">
        <f>IFERROR(__xludf.DUMMYFUNCTION("""COMPUTED_VALUE"""),14040.0)</f>
        <v>14040</v>
      </c>
      <c r="H848" s="2" t="str">
        <f>IFERROR(__xludf.DUMMYFUNCTION("""COMPUTED_VALUE"""),"United Kingdom")</f>
        <v>United Kingdom</v>
      </c>
      <c r="I848" s="7">
        <f>IFERROR(__xludf.DUMMYFUNCTION("""COMPUTED_VALUE"""),40148.0)</f>
        <v>40148</v>
      </c>
      <c r="J848" s="8">
        <f>IFERROR(__xludf.DUMMYFUNCTION("""COMPUTED_VALUE"""),0.5097222222211713)</f>
        <v>0.5097222222</v>
      </c>
      <c r="K848" s="2">
        <f>IFERROR(__xludf.DUMMYFUNCTION("""COMPUTED_VALUE"""),12.0)</f>
        <v>12</v>
      </c>
      <c r="L848" s="2">
        <f>IFERROR(__xludf.DUMMYFUNCTION("""COMPUTED_VALUE"""),31.8)</f>
        <v>31.8</v>
      </c>
    </row>
    <row r="849">
      <c r="A849" s="2">
        <f>IFERROR(__xludf.DUMMYFUNCTION("""COMPUTED_VALUE"""),489537.0)</f>
        <v>489537</v>
      </c>
      <c r="B849" s="2" t="str">
        <f>IFERROR(__xludf.DUMMYFUNCTION("""COMPUTED_VALUE"""),"20969")</f>
        <v>20969</v>
      </c>
      <c r="C849" s="2" t="str">
        <f>IFERROR(__xludf.DUMMYFUNCTION("""COMPUTED_VALUE"""),"RED FLORAL FELTCRAFT SHOULDER BAG")</f>
        <v>RED FLORAL FELTCRAFT SHOULDER BAG</v>
      </c>
      <c r="D849" s="2">
        <f>IFERROR(__xludf.DUMMYFUNCTION("""COMPUTED_VALUE"""),4.0)</f>
        <v>4</v>
      </c>
      <c r="E849" s="6">
        <f>IFERROR(__xludf.DUMMYFUNCTION("""COMPUTED_VALUE"""),40148.509722222225)</f>
        <v>40148.50972</v>
      </c>
      <c r="F849" s="2">
        <f>IFERROR(__xludf.DUMMYFUNCTION("""COMPUTED_VALUE"""),3.75)</f>
        <v>3.75</v>
      </c>
      <c r="G849" s="2">
        <f>IFERROR(__xludf.DUMMYFUNCTION("""COMPUTED_VALUE"""),14040.0)</f>
        <v>14040</v>
      </c>
      <c r="H849" s="2" t="str">
        <f>IFERROR(__xludf.DUMMYFUNCTION("""COMPUTED_VALUE"""),"United Kingdom")</f>
        <v>United Kingdom</v>
      </c>
      <c r="I849" s="7">
        <f>IFERROR(__xludf.DUMMYFUNCTION("""COMPUTED_VALUE"""),40148.0)</f>
        <v>40148</v>
      </c>
      <c r="J849" s="8">
        <f>IFERROR(__xludf.DUMMYFUNCTION("""COMPUTED_VALUE"""),0.5097222222211713)</f>
        <v>0.5097222222</v>
      </c>
      <c r="K849" s="2">
        <f>IFERROR(__xludf.DUMMYFUNCTION("""COMPUTED_VALUE"""),12.0)</f>
        <v>12</v>
      </c>
      <c r="L849" s="2">
        <f>IFERROR(__xludf.DUMMYFUNCTION("""COMPUTED_VALUE"""),15.0)</f>
        <v>15</v>
      </c>
    </row>
    <row r="850">
      <c r="A850" s="2">
        <f>IFERROR(__xludf.DUMMYFUNCTION("""COMPUTED_VALUE"""),489537.0)</f>
        <v>489537</v>
      </c>
      <c r="B850" s="2" t="str">
        <f>IFERROR(__xludf.DUMMYFUNCTION("""COMPUTED_VALUE"""),"20970")</f>
        <v>20970</v>
      </c>
      <c r="C850" s="2" t="str">
        <f>IFERROR(__xludf.DUMMYFUNCTION("""COMPUTED_VALUE"""),"PINK FLORAL FELTCRAFT SHOULDER BAG")</f>
        <v>PINK FLORAL FELTCRAFT SHOULDER BAG</v>
      </c>
      <c r="D850" s="2">
        <f>IFERROR(__xludf.DUMMYFUNCTION("""COMPUTED_VALUE"""),4.0)</f>
        <v>4</v>
      </c>
      <c r="E850" s="6">
        <f>IFERROR(__xludf.DUMMYFUNCTION("""COMPUTED_VALUE"""),40148.509722222225)</f>
        <v>40148.50972</v>
      </c>
      <c r="F850" s="2">
        <f>IFERROR(__xludf.DUMMYFUNCTION("""COMPUTED_VALUE"""),3.75)</f>
        <v>3.75</v>
      </c>
      <c r="G850" s="2">
        <f>IFERROR(__xludf.DUMMYFUNCTION("""COMPUTED_VALUE"""),14040.0)</f>
        <v>14040</v>
      </c>
      <c r="H850" s="2" t="str">
        <f>IFERROR(__xludf.DUMMYFUNCTION("""COMPUTED_VALUE"""),"United Kingdom")</f>
        <v>United Kingdom</v>
      </c>
      <c r="I850" s="7">
        <f>IFERROR(__xludf.DUMMYFUNCTION("""COMPUTED_VALUE"""),40148.0)</f>
        <v>40148</v>
      </c>
      <c r="J850" s="8">
        <f>IFERROR(__xludf.DUMMYFUNCTION("""COMPUTED_VALUE"""),0.5097222222211713)</f>
        <v>0.5097222222</v>
      </c>
      <c r="K850" s="2">
        <f>IFERROR(__xludf.DUMMYFUNCTION("""COMPUTED_VALUE"""),12.0)</f>
        <v>12</v>
      </c>
      <c r="L850" s="2">
        <f>IFERROR(__xludf.DUMMYFUNCTION("""COMPUTED_VALUE"""),15.0)</f>
        <v>15</v>
      </c>
    </row>
    <row r="851">
      <c r="A851" s="2">
        <f>IFERROR(__xludf.DUMMYFUNCTION("""COMPUTED_VALUE"""),489537.0)</f>
        <v>489537</v>
      </c>
      <c r="B851" s="2" t="str">
        <f>IFERROR(__xludf.DUMMYFUNCTION("""COMPUTED_VALUE"""),"20968")</f>
        <v>20968</v>
      </c>
      <c r="C851" s="2" t="str">
        <f>IFERROR(__xludf.DUMMYFUNCTION("""COMPUTED_VALUE"""),"GREEN FLORAL FELTCRAFT SHOULDER BAG")</f>
        <v>GREEN FLORAL FELTCRAFT SHOULDER BAG</v>
      </c>
      <c r="D851" s="2">
        <f>IFERROR(__xludf.DUMMYFUNCTION("""COMPUTED_VALUE"""),4.0)</f>
        <v>4</v>
      </c>
      <c r="E851" s="6">
        <f>IFERROR(__xludf.DUMMYFUNCTION("""COMPUTED_VALUE"""),40148.509722222225)</f>
        <v>40148.50972</v>
      </c>
      <c r="F851" s="2">
        <f>IFERROR(__xludf.DUMMYFUNCTION("""COMPUTED_VALUE"""),3.75)</f>
        <v>3.75</v>
      </c>
      <c r="G851" s="2">
        <f>IFERROR(__xludf.DUMMYFUNCTION("""COMPUTED_VALUE"""),14040.0)</f>
        <v>14040</v>
      </c>
      <c r="H851" s="2" t="str">
        <f>IFERROR(__xludf.DUMMYFUNCTION("""COMPUTED_VALUE"""),"United Kingdom")</f>
        <v>United Kingdom</v>
      </c>
      <c r="I851" s="7">
        <f>IFERROR(__xludf.DUMMYFUNCTION("""COMPUTED_VALUE"""),40148.0)</f>
        <v>40148</v>
      </c>
      <c r="J851" s="8">
        <f>IFERROR(__xludf.DUMMYFUNCTION("""COMPUTED_VALUE"""),0.5097222222211713)</f>
        <v>0.5097222222</v>
      </c>
      <c r="K851" s="2">
        <f>IFERROR(__xludf.DUMMYFUNCTION("""COMPUTED_VALUE"""),12.0)</f>
        <v>12</v>
      </c>
      <c r="L851" s="2">
        <f>IFERROR(__xludf.DUMMYFUNCTION("""COMPUTED_VALUE"""),15.0)</f>
        <v>15</v>
      </c>
    </row>
    <row r="852">
      <c r="A852" s="2">
        <f>IFERROR(__xludf.DUMMYFUNCTION("""COMPUTED_VALUE"""),489537.0)</f>
        <v>489537</v>
      </c>
      <c r="B852" s="2" t="str">
        <f>IFERROR(__xludf.DUMMYFUNCTION("""COMPUTED_VALUE"""),"20967")</f>
        <v>20967</v>
      </c>
      <c r="C852" s="2" t="str">
        <f>IFERROR(__xludf.DUMMYFUNCTION("""COMPUTED_VALUE"""),"GREY FLORAL FELTCRAFT SHOULDER BAG")</f>
        <v>GREY FLORAL FELTCRAFT SHOULDER BAG</v>
      </c>
      <c r="D852" s="2">
        <f>IFERROR(__xludf.DUMMYFUNCTION("""COMPUTED_VALUE"""),2.0)</f>
        <v>2</v>
      </c>
      <c r="E852" s="6">
        <f>IFERROR(__xludf.DUMMYFUNCTION("""COMPUTED_VALUE"""),40148.509722222225)</f>
        <v>40148.50972</v>
      </c>
      <c r="F852" s="2">
        <f>IFERROR(__xludf.DUMMYFUNCTION("""COMPUTED_VALUE"""),3.75)</f>
        <v>3.75</v>
      </c>
      <c r="G852" s="2">
        <f>IFERROR(__xludf.DUMMYFUNCTION("""COMPUTED_VALUE"""),14040.0)</f>
        <v>14040</v>
      </c>
      <c r="H852" s="2" t="str">
        <f>IFERROR(__xludf.DUMMYFUNCTION("""COMPUTED_VALUE"""),"United Kingdom")</f>
        <v>United Kingdom</v>
      </c>
      <c r="I852" s="7">
        <f>IFERROR(__xludf.DUMMYFUNCTION("""COMPUTED_VALUE"""),40148.0)</f>
        <v>40148</v>
      </c>
      <c r="J852" s="8">
        <f>IFERROR(__xludf.DUMMYFUNCTION("""COMPUTED_VALUE"""),0.5097222222211713)</f>
        <v>0.5097222222</v>
      </c>
      <c r="K852" s="2">
        <f>IFERROR(__xludf.DUMMYFUNCTION("""COMPUTED_VALUE"""),12.0)</f>
        <v>12</v>
      </c>
      <c r="L852" s="2">
        <f>IFERROR(__xludf.DUMMYFUNCTION("""COMPUTED_VALUE"""),7.5)</f>
        <v>7.5</v>
      </c>
    </row>
    <row r="853">
      <c r="A853" s="2">
        <f>IFERROR(__xludf.DUMMYFUNCTION("""COMPUTED_VALUE"""),489537.0)</f>
        <v>489537</v>
      </c>
      <c r="B853" s="2" t="str">
        <f>IFERROR(__xludf.DUMMYFUNCTION("""COMPUTED_VALUE"""),"21737")</f>
        <v>21737</v>
      </c>
      <c r="C853" s="2" t="str">
        <f>IFERROR(__xludf.DUMMYFUNCTION("""COMPUTED_VALUE"""),"SET 3 WICKER LOG BASKETS")</f>
        <v>SET 3 WICKER LOG BASKETS</v>
      </c>
      <c r="D853" s="2">
        <f>IFERROR(__xludf.DUMMYFUNCTION("""COMPUTED_VALUE"""),1.0)</f>
        <v>1</v>
      </c>
      <c r="E853" s="6">
        <f>IFERROR(__xludf.DUMMYFUNCTION("""COMPUTED_VALUE"""),40148.509722222225)</f>
        <v>40148.50972</v>
      </c>
      <c r="F853" s="2">
        <f>IFERROR(__xludf.DUMMYFUNCTION("""COMPUTED_VALUE"""),19.95)</f>
        <v>19.95</v>
      </c>
      <c r="G853" s="2">
        <f>IFERROR(__xludf.DUMMYFUNCTION("""COMPUTED_VALUE"""),14040.0)</f>
        <v>14040</v>
      </c>
      <c r="H853" s="2" t="str">
        <f>IFERROR(__xludf.DUMMYFUNCTION("""COMPUTED_VALUE"""),"United Kingdom")</f>
        <v>United Kingdom</v>
      </c>
      <c r="I853" s="7">
        <f>IFERROR(__xludf.DUMMYFUNCTION("""COMPUTED_VALUE"""),40148.0)</f>
        <v>40148</v>
      </c>
      <c r="J853" s="8">
        <f>IFERROR(__xludf.DUMMYFUNCTION("""COMPUTED_VALUE"""),0.5097222222211713)</f>
        <v>0.5097222222</v>
      </c>
      <c r="K853" s="2">
        <f>IFERROR(__xludf.DUMMYFUNCTION("""COMPUTED_VALUE"""),12.0)</f>
        <v>12</v>
      </c>
      <c r="L853" s="2">
        <f>IFERROR(__xludf.DUMMYFUNCTION("""COMPUTED_VALUE"""),19.95)</f>
        <v>19.95</v>
      </c>
    </row>
    <row r="854">
      <c r="A854" s="2">
        <f>IFERROR(__xludf.DUMMYFUNCTION("""COMPUTED_VALUE"""),489537.0)</f>
        <v>489537</v>
      </c>
      <c r="B854" s="2" t="str">
        <f>IFERROR(__xludf.DUMMYFUNCTION("""COMPUTED_VALUE"""),"84899E")</f>
        <v>84899E</v>
      </c>
      <c r="C854" s="2" t="str">
        <f>IFERROR(__xludf.DUMMYFUNCTION("""COMPUTED_VALUE"""),"YELLOW + BROWN BEAR FELT PURSE KIT")</f>
        <v>YELLOW + BROWN BEAR FELT PURSE KIT</v>
      </c>
      <c r="D854" s="2">
        <f>IFERROR(__xludf.DUMMYFUNCTION("""COMPUTED_VALUE"""),2.0)</f>
        <v>2</v>
      </c>
      <c r="E854" s="6">
        <f>IFERROR(__xludf.DUMMYFUNCTION("""COMPUTED_VALUE"""),40148.509722222225)</f>
        <v>40148.50972</v>
      </c>
      <c r="F854" s="2">
        <f>IFERROR(__xludf.DUMMYFUNCTION("""COMPUTED_VALUE"""),1.25)</f>
        <v>1.25</v>
      </c>
      <c r="G854" s="2">
        <f>IFERROR(__xludf.DUMMYFUNCTION("""COMPUTED_VALUE"""),14040.0)</f>
        <v>14040</v>
      </c>
      <c r="H854" s="2" t="str">
        <f>IFERROR(__xludf.DUMMYFUNCTION("""COMPUTED_VALUE"""),"United Kingdom")</f>
        <v>United Kingdom</v>
      </c>
      <c r="I854" s="7">
        <f>IFERROR(__xludf.DUMMYFUNCTION("""COMPUTED_VALUE"""),40148.0)</f>
        <v>40148</v>
      </c>
      <c r="J854" s="8">
        <f>IFERROR(__xludf.DUMMYFUNCTION("""COMPUTED_VALUE"""),0.5097222222211713)</f>
        <v>0.5097222222</v>
      </c>
      <c r="K854" s="2">
        <f>IFERROR(__xludf.DUMMYFUNCTION("""COMPUTED_VALUE"""),12.0)</f>
        <v>12</v>
      </c>
      <c r="L854" s="2">
        <f>IFERROR(__xludf.DUMMYFUNCTION("""COMPUTED_VALUE"""),2.5)</f>
        <v>2.5</v>
      </c>
    </row>
    <row r="855">
      <c r="A855" s="2">
        <f>IFERROR(__xludf.DUMMYFUNCTION("""COMPUTED_VALUE"""),489537.0)</f>
        <v>489537</v>
      </c>
      <c r="B855" s="2" t="str">
        <f>IFERROR(__xludf.DUMMYFUNCTION("""COMPUTED_VALUE"""),"84899F")</f>
        <v>84899F</v>
      </c>
      <c r="C855" s="2" t="str">
        <f>IFERROR(__xludf.DUMMYFUNCTION("""COMPUTED_VALUE"""),"YELLOW PURPLE DAISY FELT PURSE KIT")</f>
        <v>YELLOW PURPLE DAISY FELT PURSE KIT</v>
      </c>
      <c r="D855" s="2">
        <f>IFERROR(__xludf.DUMMYFUNCTION("""COMPUTED_VALUE"""),3.0)</f>
        <v>3</v>
      </c>
      <c r="E855" s="6">
        <f>IFERROR(__xludf.DUMMYFUNCTION("""COMPUTED_VALUE"""),40148.509722222225)</f>
        <v>40148.50972</v>
      </c>
      <c r="F855" s="2">
        <f>IFERROR(__xludf.DUMMYFUNCTION("""COMPUTED_VALUE"""),1.25)</f>
        <v>1.25</v>
      </c>
      <c r="G855" s="2">
        <f>IFERROR(__xludf.DUMMYFUNCTION("""COMPUTED_VALUE"""),14040.0)</f>
        <v>14040</v>
      </c>
      <c r="H855" s="2" t="str">
        <f>IFERROR(__xludf.DUMMYFUNCTION("""COMPUTED_VALUE"""),"United Kingdom")</f>
        <v>United Kingdom</v>
      </c>
      <c r="I855" s="7">
        <f>IFERROR(__xludf.DUMMYFUNCTION("""COMPUTED_VALUE"""),40148.0)</f>
        <v>40148</v>
      </c>
      <c r="J855" s="8">
        <f>IFERROR(__xludf.DUMMYFUNCTION("""COMPUTED_VALUE"""),0.5097222222211713)</f>
        <v>0.5097222222</v>
      </c>
      <c r="K855" s="2">
        <f>IFERROR(__xludf.DUMMYFUNCTION("""COMPUTED_VALUE"""),12.0)</f>
        <v>12</v>
      </c>
      <c r="L855" s="2">
        <f>IFERROR(__xludf.DUMMYFUNCTION("""COMPUTED_VALUE"""),3.75)</f>
        <v>3.75</v>
      </c>
    </row>
    <row r="856">
      <c r="A856" s="2">
        <f>IFERROR(__xludf.DUMMYFUNCTION("""COMPUTED_VALUE"""),489537.0)</f>
        <v>489537</v>
      </c>
      <c r="B856" s="2" t="str">
        <f>IFERROR(__xludf.DUMMYFUNCTION("""COMPUTED_VALUE"""),"84898F")</f>
        <v>84898F</v>
      </c>
      <c r="C856" s="2" t="str">
        <f>IFERROR(__xludf.DUMMYFUNCTION("""COMPUTED_VALUE"""),"YELLOW FLOWERS FELT HANDBAG KIT")</f>
        <v>YELLOW FLOWERS FELT HANDBAG KIT</v>
      </c>
      <c r="D856" s="2">
        <f>IFERROR(__xludf.DUMMYFUNCTION("""COMPUTED_VALUE"""),5.0)</f>
        <v>5</v>
      </c>
      <c r="E856" s="6">
        <f>IFERROR(__xludf.DUMMYFUNCTION("""COMPUTED_VALUE"""),40148.509722222225)</f>
        <v>40148.50972</v>
      </c>
      <c r="F856" s="2">
        <f>IFERROR(__xludf.DUMMYFUNCTION("""COMPUTED_VALUE"""),2.1)</f>
        <v>2.1</v>
      </c>
      <c r="G856" s="2">
        <f>IFERROR(__xludf.DUMMYFUNCTION("""COMPUTED_VALUE"""),14040.0)</f>
        <v>14040</v>
      </c>
      <c r="H856" s="2" t="str">
        <f>IFERROR(__xludf.DUMMYFUNCTION("""COMPUTED_VALUE"""),"United Kingdom")</f>
        <v>United Kingdom</v>
      </c>
      <c r="I856" s="7">
        <f>IFERROR(__xludf.DUMMYFUNCTION("""COMPUTED_VALUE"""),40148.0)</f>
        <v>40148</v>
      </c>
      <c r="J856" s="8">
        <f>IFERROR(__xludf.DUMMYFUNCTION("""COMPUTED_VALUE"""),0.5097222222211713)</f>
        <v>0.5097222222</v>
      </c>
      <c r="K856" s="2">
        <f>IFERROR(__xludf.DUMMYFUNCTION("""COMPUTED_VALUE"""),12.0)</f>
        <v>12</v>
      </c>
      <c r="L856" s="2">
        <f>IFERROR(__xludf.DUMMYFUNCTION("""COMPUTED_VALUE"""),10.5)</f>
        <v>10.5</v>
      </c>
    </row>
    <row r="857">
      <c r="A857" s="2">
        <f>IFERROR(__xludf.DUMMYFUNCTION("""COMPUTED_VALUE"""),489537.0)</f>
        <v>489537</v>
      </c>
      <c r="B857" s="2" t="str">
        <f>IFERROR(__xludf.DUMMYFUNCTION("""COMPUTED_VALUE"""),"20971")</f>
        <v>20971</v>
      </c>
      <c r="C857" s="2" t="str">
        <f>IFERROR(__xludf.DUMMYFUNCTION("""COMPUTED_VALUE"""),"PINK BLUE FELT CRAFT TRINKET BOX")</f>
        <v>PINK BLUE FELT CRAFT TRINKET BOX</v>
      </c>
      <c r="D857" s="2">
        <f>IFERROR(__xludf.DUMMYFUNCTION("""COMPUTED_VALUE"""),5.0)</f>
        <v>5</v>
      </c>
      <c r="E857" s="6">
        <f>IFERROR(__xludf.DUMMYFUNCTION("""COMPUTED_VALUE"""),40148.509722222225)</f>
        <v>40148.50972</v>
      </c>
      <c r="F857" s="2">
        <f>IFERROR(__xludf.DUMMYFUNCTION("""COMPUTED_VALUE"""),1.25)</f>
        <v>1.25</v>
      </c>
      <c r="G857" s="2">
        <f>IFERROR(__xludf.DUMMYFUNCTION("""COMPUTED_VALUE"""),14040.0)</f>
        <v>14040</v>
      </c>
      <c r="H857" s="2" t="str">
        <f>IFERROR(__xludf.DUMMYFUNCTION("""COMPUTED_VALUE"""),"United Kingdom")</f>
        <v>United Kingdom</v>
      </c>
      <c r="I857" s="7">
        <f>IFERROR(__xludf.DUMMYFUNCTION("""COMPUTED_VALUE"""),40148.0)</f>
        <v>40148</v>
      </c>
      <c r="J857" s="8">
        <f>IFERROR(__xludf.DUMMYFUNCTION("""COMPUTED_VALUE"""),0.5097222222211713)</f>
        <v>0.5097222222</v>
      </c>
      <c r="K857" s="2">
        <f>IFERROR(__xludf.DUMMYFUNCTION("""COMPUTED_VALUE"""),12.0)</f>
        <v>12</v>
      </c>
      <c r="L857" s="2">
        <f>IFERROR(__xludf.DUMMYFUNCTION("""COMPUTED_VALUE"""),6.25)</f>
        <v>6.25</v>
      </c>
    </row>
    <row r="858">
      <c r="A858" s="2">
        <f>IFERROR(__xludf.DUMMYFUNCTION("""COMPUTED_VALUE"""),489537.0)</f>
        <v>489537</v>
      </c>
      <c r="B858" s="2" t="str">
        <f>IFERROR(__xludf.DUMMYFUNCTION("""COMPUTED_VALUE"""),"20972")</f>
        <v>20972</v>
      </c>
      <c r="C858" s="2" t="str">
        <f>IFERROR(__xludf.DUMMYFUNCTION("""COMPUTED_VALUE"""),"PINK CREAM FELT CRAFT TRINKET BOX")</f>
        <v>PINK CREAM FELT CRAFT TRINKET BOX</v>
      </c>
      <c r="D858" s="2">
        <f>IFERROR(__xludf.DUMMYFUNCTION("""COMPUTED_VALUE"""),5.0)</f>
        <v>5</v>
      </c>
      <c r="E858" s="6">
        <f>IFERROR(__xludf.DUMMYFUNCTION("""COMPUTED_VALUE"""),40148.509722222225)</f>
        <v>40148.50972</v>
      </c>
      <c r="F858" s="2">
        <f>IFERROR(__xludf.DUMMYFUNCTION("""COMPUTED_VALUE"""),1.25)</f>
        <v>1.25</v>
      </c>
      <c r="G858" s="2">
        <f>IFERROR(__xludf.DUMMYFUNCTION("""COMPUTED_VALUE"""),14040.0)</f>
        <v>14040</v>
      </c>
      <c r="H858" s="2" t="str">
        <f>IFERROR(__xludf.DUMMYFUNCTION("""COMPUTED_VALUE"""),"United Kingdom")</f>
        <v>United Kingdom</v>
      </c>
      <c r="I858" s="7">
        <f>IFERROR(__xludf.DUMMYFUNCTION("""COMPUTED_VALUE"""),40148.0)</f>
        <v>40148</v>
      </c>
      <c r="J858" s="8">
        <f>IFERROR(__xludf.DUMMYFUNCTION("""COMPUTED_VALUE"""),0.5097222222211713)</f>
        <v>0.5097222222</v>
      </c>
      <c r="K858" s="2">
        <f>IFERROR(__xludf.DUMMYFUNCTION("""COMPUTED_VALUE"""),12.0)</f>
        <v>12</v>
      </c>
      <c r="L858" s="2">
        <f>IFERROR(__xludf.DUMMYFUNCTION("""COMPUTED_VALUE"""),6.25)</f>
        <v>6.25</v>
      </c>
    </row>
    <row r="859">
      <c r="A859" s="2">
        <f>IFERROR(__xludf.DUMMYFUNCTION("""COMPUTED_VALUE"""),489537.0)</f>
        <v>489537</v>
      </c>
      <c r="B859" s="2" t="str">
        <f>IFERROR(__xludf.DUMMYFUNCTION("""COMPUTED_VALUE"""),"22207")</f>
        <v>22207</v>
      </c>
      <c r="C859" s="2" t="str">
        <f>IFERROR(__xludf.DUMMYFUNCTION("""COMPUTED_VALUE"""),"FRYING PAN UNION FLAG")</f>
        <v>FRYING PAN UNION FLAG</v>
      </c>
      <c r="D859" s="2">
        <f>IFERROR(__xludf.DUMMYFUNCTION("""COMPUTED_VALUE"""),1.0)</f>
        <v>1</v>
      </c>
      <c r="E859" s="6">
        <f>IFERROR(__xludf.DUMMYFUNCTION("""COMPUTED_VALUE"""),40148.509722222225)</f>
        <v>40148.50972</v>
      </c>
      <c r="F859" s="2">
        <f>IFERROR(__xludf.DUMMYFUNCTION("""COMPUTED_VALUE"""),4.25)</f>
        <v>4.25</v>
      </c>
      <c r="G859" s="2">
        <f>IFERROR(__xludf.DUMMYFUNCTION("""COMPUTED_VALUE"""),14040.0)</f>
        <v>14040</v>
      </c>
      <c r="H859" s="2" t="str">
        <f>IFERROR(__xludf.DUMMYFUNCTION("""COMPUTED_VALUE"""),"United Kingdom")</f>
        <v>United Kingdom</v>
      </c>
      <c r="I859" s="7">
        <f>IFERROR(__xludf.DUMMYFUNCTION("""COMPUTED_VALUE"""),40148.0)</f>
        <v>40148</v>
      </c>
      <c r="J859" s="8">
        <f>IFERROR(__xludf.DUMMYFUNCTION("""COMPUTED_VALUE"""),0.5097222222211713)</f>
        <v>0.5097222222</v>
      </c>
      <c r="K859" s="2">
        <f>IFERROR(__xludf.DUMMYFUNCTION("""COMPUTED_VALUE"""),12.0)</f>
        <v>12</v>
      </c>
      <c r="L859" s="2">
        <f>IFERROR(__xludf.DUMMYFUNCTION("""COMPUTED_VALUE"""),4.25)</f>
        <v>4.25</v>
      </c>
    </row>
    <row r="860">
      <c r="A860" s="2">
        <f>IFERROR(__xludf.DUMMYFUNCTION("""COMPUTED_VALUE"""),489537.0)</f>
        <v>489537</v>
      </c>
      <c r="B860" s="2" t="str">
        <f>IFERROR(__xludf.DUMMYFUNCTION("""COMPUTED_VALUE"""),"21016")</f>
        <v>21016</v>
      </c>
      <c r="C860" s="2" t="str">
        <f>IFERROR(__xludf.DUMMYFUNCTION("""COMPUTED_VALUE"""),"LIGHT BIRD HOUSE TREE DECORATION")</f>
        <v>LIGHT BIRD HOUSE TREE DECORATION</v>
      </c>
      <c r="D860" s="2">
        <f>IFERROR(__xludf.DUMMYFUNCTION("""COMPUTED_VALUE"""),1.0)</f>
        <v>1</v>
      </c>
      <c r="E860" s="6">
        <f>IFERROR(__xludf.DUMMYFUNCTION("""COMPUTED_VALUE"""),40148.509722222225)</f>
        <v>40148.50972</v>
      </c>
      <c r="F860" s="2">
        <f>IFERROR(__xludf.DUMMYFUNCTION("""COMPUTED_VALUE"""),0.85)</f>
        <v>0.85</v>
      </c>
      <c r="G860" s="2">
        <f>IFERROR(__xludf.DUMMYFUNCTION("""COMPUTED_VALUE"""),14040.0)</f>
        <v>14040</v>
      </c>
      <c r="H860" s="2" t="str">
        <f>IFERROR(__xludf.DUMMYFUNCTION("""COMPUTED_VALUE"""),"United Kingdom")</f>
        <v>United Kingdom</v>
      </c>
      <c r="I860" s="7">
        <f>IFERROR(__xludf.DUMMYFUNCTION("""COMPUTED_VALUE"""),40148.0)</f>
        <v>40148</v>
      </c>
      <c r="J860" s="8">
        <f>IFERROR(__xludf.DUMMYFUNCTION("""COMPUTED_VALUE"""),0.5097222222211713)</f>
        <v>0.5097222222</v>
      </c>
      <c r="K860" s="2">
        <f>IFERROR(__xludf.DUMMYFUNCTION("""COMPUTED_VALUE"""),12.0)</f>
        <v>12</v>
      </c>
      <c r="L860" s="2">
        <f>IFERROR(__xludf.DUMMYFUNCTION("""COMPUTED_VALUE"""),0.85)</f>
        <v>0.85</v>
      </c>
    </row>
    <row r="861">
      <c r="A861" s="2">
        <f>IFERROR(__xludf.DUMMYFUNCTION("""COMPUTED_VALUE"""),489537.0)</f>
        <v>489537</v>
      </c>
      <c r="B861" s="2" t="str">
        <f>IFERROR(__xludf.DUMMYFUNCTION("""COMPUTED_VALUE"""),"22115")</f>
        <v>22115</v>
      </c>
      <c r="C861" s="2" t="str">
        <f>IFERROR(__xludf.DUMMYFUNCTION("""COMPUTED_VALUE"""),"METAL SIGN EMPIRE TEA")</f>
        <v>METAL SIGN EMPIRE TEA</v>
      </c>
      <c r="D861" s="2">
        <f>IFERROR(__xludf.DUMMYFUNCTION("""COMPUTED_VALUE"""),1.0)</f>
        <v>1</v>
      </c>
      <c r="E861" s="6">
        <f>IFERROR(__xludf.DUMMYFUNCTION("""COMPUTED_VALUE"""),40148.509722222225)</f>
        <v>40148.50972</v>
      </c>
      <c r="F861" s="2">
        <f>IFERROR(__xludf.DUMMYFUNCTION("""COMPUTED_VALUE"""),2.95)</f>
        <v>2.95</v>
      </c>
      <c r="G861" s="2">
        <f>IFERROR(__xludf.DUMMYFUNCTION("""COMPUTED_VALUE"""),14040.0)</f>
        <v>14040</v>
      </c>
      <c r="H861" s="2" t="str">
        <f>IFERROR(__xludf.DUMMYFUNCTION("""COMPUTED_VALUE"""),"United Kingdom")</f>
        <v>United Kingdom</v>
      </c>
      <c r="I861" s="7">
        <f>IFERROR(__xludf.DUMMYFUNCTION("""COMPUTED_VALUE"""),40148.0)</f>
        <v>40148</v>
      </c>
      <c r="J861" s="8">
        <f>IFERROR(__xludf.DUMMYFUNCTION("""COMPUTED_VALUE"""),0.5097222222211713)</f>
        <v>0.5097222222</v>
      </c>
      <c r="K861" s="2">
        <f>IFERROR(__xludf.DUMMYFUNCTION("""COMPUTED_VALUE"""),12.0)</f>
        <v>12</v>
      </c>
      <c r="L861" s="2">
        <f>IFERROR(__xludf.DUMMYFUNCTION("""COMPUTED_VALUE"""),2.95)</f>
        <v>2.95</v>
      </c>
    </row>
    <row r="862">
      <c r="A862" s="2">
        <f>IFERROR(__xludf.DUMMYFUNCTION("""COMPUTED_VALUE"""),489537.0)</f>
        <v>489537</v>
      </c>
      <c r="B862" s="2" t="str">
        <f>IFERROR(__xludf.DUMMYFUNCTION("""COMPUTED_VALUE"""),"22273")</f>
        <v>22273</v>
      </c>
      <c r="C862" s="2" t="str">
        <f>IFERROR(__xludf.DUMMYFUNCTION("""COMPUTED_VALUE"""),"FELTCRAFT DOLL MOLLY")</f>
        <v>FELTCRAFT DOLL MOLLY</v>
      </c>
      <c r="D862" s="2">
        <f>IFERROR(__xludf.DUMMYFUNCTION("""COMPUTED_VALUE"""),2.0)</f>
        <v>2</v>
      </c>
      <c r="E862" s="6">
        <f>IFERROR(__xludf.DUMMYFUNCTION("""COMPUTED_VALUE"""),40148.509722222225)</f>
        <v>40148.50972</v>
      </c>
      <c r="F862" s="2">
        <f>IFERROR(__xludf.DUMMYFUNCTION("""COMPUTED_VALUE"""),2.95)</f>
        <v>2.95</v>
      </c>
      <c r="G862" s="2">
        <f>IFERROR(__xludf.DUMMYFUNCTION("""COMPUTED_VALUE"""),14040.0)</f>
        <v>14040</v>
      </c>
      <c r="H862" s="2" t="str">
        <f>IFERROR(__xludf.DUMMYFUNCTION("""COMPUTED_VALUE"""),"United Kingdom")</f>
        <v>United Kingdom</v>
      </c>
      <c r="I862" s="7">
        <f>IFERROR(__xludf.DUMMYFUNCTION("""COMPUTED_VALUE"""),40148.0)</f>
        <v>40148</v>
      </c>
      <c r="J862" s="8">
        <f>IFERROR(__xludf.DUMMYFUNCTION("""COMPUTED_VALUE"""),0.5097222222211713)</f>
        <v>0.5097222222</v>
      </c>
      <c r="K862" s="2">
        <f>IFERROR(__xludf.DUMMYFUNCTION("""COMPUTED_VALUE"""),12.0)</f>
        <v>12</v>
      </c>
      <c r="L862" s="2">
        <f>IFERROR(__xludf.DUMMYFUNCTION("""COMPUTED_VALUE"""),5.9)</f>
        <v>5.9</v>
      </c>
    </row>
    <row r="863">
      <c r="A863" s="2">
        <f>IFERROR(__xludf.DUMMYFUNCTION("""COMPUTED_VALUE"""),489537.0)</f>
        <v>489537</v>
      </c>
      <c r="B863" s="2" t="str">
        <f>IFERROR(__xludf.DUMMYFUNCTION("""COMPUTED_VALUE"""),"20828")</f>
        <v>20828</v>
      </c>
      <c r="C863" s="2" t="str">
        <f>IFERROR(__xludf.DUMMYFUNCTION("""COMPUTED_VALUE"""),"GLITTER BUTTERFLY CLIPS")</f>
        <v>GLITTER BUTTERFLY CLIPS</v>
      </c>
      <c r="D863" s="2">
        <f>IFERROR(__xludf.DUMMYFUNCTION("""COMPUTED_VALUE"""),6.0)</f>
        <v>6</v>
      </c>
      <c r="E863" s="6">
        <f>IFERROR(__xludf.DUMMYFUNCTION("""COMPUTED_VALUE"""),40148.509722222225)</f>
        <v>40148.50972</v>
      </c>
      <c r="F863" s="2">
        <f>IFERROR(__xludf.DUMMYFUNCTION("""COMPUTED_VALUE"""),2.55)</f>
        <v>2.55</v>
      </c>
      <c r="G863" s="2">
        <f>IFERROR(__xludf.DUMMYFUNCTION("""COMPUTED_VALUE"""),14040.0)</f>
        <v>14040</v>
      </c>
      <c r="H863" s="2" t="str">
        <f>IFERROR(__xludf.DUMMYFUNCTION("""COMPUTED_VALUE"""),"United Kingdom")</f>
        <v>United Kingdom</v>
      </c>
      <c r="I863" s="7">
        <f>IFERROR(__xludf.DUMMYFUNCTION("""COMPUTED_VALUE"""),40148.0)</f>
        <v>40148</v>
      </c>
      <c r="J863" s="8">
        <f>IFERROR(__xludf.DUMMYFUNCTION("""COMPUTED_VALUE"""),0.5097222222211713)</f>
        <v>0.5097222222</v>
      </c>
      <c r="K863" s="2">
        <f>IFERROR(__xludf.DUMMYFUNCTION("""COMPUTED_VALUE"""),12.0)</f>
        <v>12</v>
      </c>
      <c r="L863" s="2">
        <f>IFERROR(__xludf.DUMMYFUNCTION("""COMPUTED_VALUE"""),15.2999999999999)</f>
        <v>15.3</v>
      </c>
    </row>
    <row r="864">
      <c r="A864" s="2">
        <f>IFERROR(__xludf.DUMMYFUNCTION("""COMPUTED_VALUE"""),489537.0)</f>
        <v>489537</v>
      </c>
      <c r="B864" s="2" t="str">
        <f>IFERROR(__xludf.DUMMYFUNCTION("""COMPUTED_VALUE"""),"20829")</f>
        <v>20829</v>
      </c>
      <c r="C864" s="2" t="str">
        <f>IFERROR(__xludf.DUMMYFUNCTION("""COMPUTED_VALUE"""),"GLITTER HANGING BUTTERFLY STRING")</f>
        <v>GLITTER HANGING BUTTERFLY STRING</v>
      </c>
      <c r="D864" s="2">
        <f>IFERROR(__xludf.DUMMYFUNCTION("""COMPUTED_VALUE"""),6.0)</f>
        <v>6</v>
      </c>
      <c r="E864" s="6">
        <f>IFERROR(__xludf.DUMMYFUNCTION("""COMPUTED_VALUE"""),40148.509722222225)</f>
        <v>40148.50972</v>
      </c>
      <c r="F864" s="2">
        <f>IFERROR(__xludf.DUMMYFUNCTION("""COMPUTED_VALUE"""),2.1)</f>
        <v>2.1</v>
      </c>
      <c r="G864" s="2">
        <f>IFERROR(__xludf.DUMMYFUNCTION("""COMPUTED_VALUE"""),14040.0)</f>
        <v>14040</v>
      </c>
      <c r="H864" s="2" t="str">
        <f>IFERROR(__xludf.DUMMYFUNCTION("""COMPUTED_VALUE"""),"United Kingdom")</f>
        <v>United Kingdom</v>
      </c>
      <c r="I864" s="7">
        <f>IFERROR(__xludf.DUMMYFUNCTION("""COMPUTED_VALUE"""),40148.0)</f>
        <v>40148</v>
      </c>
      <c r="J864" s="8">
        <f>IFERROR(__xludf.DUMMYFUNCTION("""COMPUTED_VALUE"""),0.5097222222211713)</f>
        <v>0.5097222222</v>
      </c>
      <c r="K864" s="2">
        <f>IFERROR(__xludf.DUMMYFUNCTION("""COMPUTED_VALUE"""),12.0)</f>
        <v>12</v>
      </c>
      <c r="L864" s="2">
        <f>IFERROR(__xludf.DUMMYFUNCTION("""COMPUTED_VALUE"""),12.6)</f>
        <v>12.6</v>
      </c>
    </row>
    <row r="865">
      <c r="A865" s="2">
        <f>IFERROR(__xludf.DUMMYFUNCTION("""COMPUTED_VALUE"""),489537.0)</f>
        <v>489537</v>
      </c>
      <c r="B865" s="2" t="str">
        <f>IFERROR(__xludf.DUMMYFUNCTION("""COMPUTED_VALUE"""),"85231B")</f>
        <v>85231B</v>
      </c>
      <c r="C865" s="2" t="str">
        <f>IFERROR(__xludf.DUMMYFUNCTION("""COMPUTED_VALUE"""),"CINAMMON SET OF 9 T-LIGHTS")</f>
        <v>CINAMMON SET OF 9 T-LIGHTS</v>
      </c>
      <c r="D865" s="2">
        <f>IFERROR(__xludf.DUMMYFUNCTION("""COMPUTED_VALUE"""),5.0)</f>
        <v>5</v>
      </c>
      <c r="E865" s="6">
        <f>IFERROR(__xludf.DUMMYFUNCTION("""COMPUTED_VALUE"""),40148.509722222225)</f>
        <v>40148.50972</v>
      </c>
      <c r="F865" s="2">
        <f>IFERROR(__xludf.DUMMYFUNCTION("""COMPUTED_VALUE"""),0.85)</f>
        <v>0.85</v>
      </c>
      <c r="G865" s="2">
        <f>IFERROR(__xludf.DUMMYFUNCTION("""COMPUTED_VALUE"""),14040.0)</f>
        <v>14040</v>
      </c>
      <c r="H865" s="2" t="str">
        <f>IFERROR(__xludf.DUMMYFUNCTION("""COMPUTED_VALUE"""),"United Kingdom")</f>
        <v>United Kingdom</v>
      </c>
      <c r="I865" s="7">
        <f>IFERROR(__xludf.DUMMYFUNCTION("""COMPUTED_VALUE"""),40148.0)</f>
        <v>40148</v>
      </c>
      <c r="J865" s="8">
        <f>IFERROR(__xludf.DUMMYFUNCTION("""COMPUTED_VALUE"""),0.5097222222211713)</f>
        <v>0.5097222222</v>
      </c>
      <c r="K865" s="2">
        <f>IFERROR(__xludf.DUMMYFUNCTION("""COMPUTED_VALUE"""),12.0)</f>
        <v>12</v>
      </c>
      <c r="L865" s="2">
        <f>IFERROR(__xludf.DUMMYFUNCTION("""COMPUTED_VALUE"""),4.25)</f>
        <v>4.25</v>
      </c>
    </row>
    <row r="866">
      <c r="A866" s="2">
        <f>IFERROR(__xludf.DUMMYFUNCTION("""COMPUTED_VALUE"""),489537.0)</f>
        <v>489537</v>
      </c>
      <c r="B866" s="2" t="str">
        <f>IFERROR(__xludf.DUMMYFUNCTION("""COMPUTED_VALUE"""),"85231G")</f>
        <v>85231G</v>
      </c>
      <c r="C866" s="2" t="str">
        <f>IFERROR(__xludf.DUMMYFUNCTION("""COMPUTED_VALUE"""),"ORANGE SCENTED SET/9 T-LIGHTS")</f>
        <v>ORANGE SCENTED SET/9 T-LIGHTS</v>
      </c>
      <c r="D866" s="2">
        <f>IFERROR(__xludf.DUMMYFUNCTION("""COMPUTED_VALUE"""),5.0)</f>
        <v>5</v>
      </c>
      <c r="E866" s="6">
        <f>IFERROR(__xludf.DUMMYFUNCTION("""COMPUTED_VALUE"""),40148.509722222225)</f>
        <v>40148.50972</v>
      </c>
      <c r="F866" s="2">
        <f>IFERROR(__xludf.DUMMYFUNCTION("""COMPUTED_VALUE"""),0.85)</f>
        <v>0.85</v>
      </c>
      <c r="G866" s="2">
        <f>IFERROR(__xludf.DUMMYFUNCTION("""COMPUTED_VALUE"""),14040.0)</f>
        <v>14040</v>
      </c>
      <c r="H866" s="2" t="str">
        <f>IFERROR(__xludf.DUMMYFUNCTION("""COMPUTED_VALUE"""),"United Kingdom")</f>
        <v>United Kingdom</v>
      </c>
      <c r="I866" s="7">
        <f>IFERROR(__xludf.DUMMYFUNCTION("""COMPUTED_VALUE"""),40148.0)</f>
        <v>40148</v>
      </c>
      <c r="J866" s="8">
        <f>IFERROR(__xludf.DUMMYFUNCTION("""COMPUTED_VALUE"""),0.5097222222211713)</f>
        <v>0.5097222222</v>
      </c>
      <c r="K866" s="2">
        <f>IFERROR(__xludf.DUMMYFUNCTION("""COMPUTED_VALUE"""),12.0)</f>
        <v>12</v>
      </c>
      <c r="L866" s="2">
        <f>IFERROR(__xludf.DUMMYFUNCTION("""COMPUTED_VALUE"""),4.25)</f>
        <v>4.25</v>
      </c>
    </row>
    <row r="867">
      <c r="A867" s="2">
        <f>IFERROR(__xludf.DUMMYFUNCTION("""COMPUTED_VALUE"""),489537.0)</f>
        <v>489537</v>
      </c>
      <c r="B867" s="2" t="str">
        <f>IFERROR(__xludf.DUMMYFUNCTION("""COMPUTED_VALUE"""),"21407")</f>
        <v>21407</v>
      </c>
      <c r="C867" s="2" t="str">
        <f>IFERROR(__xludf.DUMMYFUNCTION("""COMPUTED_VALUE"""),"BROWN CHECK CAT DOORSTOP")</f>
        <v>BROWN CHECK CAT DOORSTOP</v>
      </c>
      <c r="D867" s="2">
        <f>IFERROR(__xludf.DUMMYFUNCTION("""COMPUTED_VALUE"""),1.0)</f>
        <v>1</v>
      </c>
      <c r="E867" s="6">
        <f>IFERROR(__xludf.DUMMYFUNCTION("""COMPUTED_VALUE"""),40148.509722222225)</f>
        <v>40148.50972</v>
      </c>
      <c r="F867" s="2">
        <f>IFERROR(__xludf.DUMMYFUNCTION("""COMPUTED_VALUE"""),4.25)</f>
        <v>4.25</v>
      </c>
      <c r="G867" s="2">
        <f>IFERROR(__xludf.DUMMYFUNCTION("""COMPUTED_VALUE"""),14040.0)</f>
        <v>14040</v>
      </c>
      <c r="H867" s="2" t="str">
        <f>IFERROR(__xludf.DUMMYFUNCTION("""COMPUTED_VALUE"""),"United Kingdom")</f>
        <v>United Kingdom</v>
      </c>
      <c r="I867" s="7">
        <f>IFERROR(__xludf.DUMMYFUNCTION("""COMPUTED_VALUE"""),40148.0)</f>
        <v>40148</v>
      </c>
      <c r="J867" s="8">
        <f>IFERROR(__xludf.DUMMYFUNCTION("""COMPUTED_VALUE"""),0.5097222222211713)</f>
        <v>0.5097222222</v>
      </c>
      <c r="K867" s="2">
        <f>IFERROR(__xludf.DUMMYFUNCTION("""COMPUTED_VALUE"""),12.0)</f>
        <v>12</v>
      </c>
      <c r="L867" s="2">
        <f>IFERROR(__xludf.DUMMYFUNCTION("""COMPUTED_VALUE"""),4.25)</f>
        <v>4.25</v>
      </c>
    </row>
    <row r="868">
      <c r="A868" s="2">
        <f>IFERROR(__xludf.DUMMYFUNCTION("""COMPUTED_VALUE"""),489537.0)</f>
        <v>489537</v>
      </c>
      <c r="B868" s="2" t="str">
        <f>IFERROR(__xludf.DUMMYFUNCTION("""COMPUTED_VALUE"""),"21410")</f>
        <v>21410</v>
      </c>
      <c r="C868" s="2" t="str">
        <f>IFERROR(__xludf.DUMMYFUNCTION("""COMPUTED_VALUE"""),"COUNTRY COTTAGE DOORSTOP GREEN")</f>
        <v>COUNTRY COTTAGE DOORSTOP GREEN</v>
      </c>
      <c r="D868" s="2">
        <f>IFERROR(__xludf.DUMMYFUNCTION("""COMPUTED_VALUE"""),2.0)</f>
        <v>2</v>
      </c>
      <c r="E868" s="6">
        <f>IFERROR(__xludf.DUMMYFUNCTION("""COMPUTED_VALUE"""),40148.509722222225)</f>
        <v>40148.50972</v>
      </c>
      <c r="F868" s="2">
        <f>IFERROR(__xludf.DUMMYFUNCTION("""COMPUTED_VALUE"""),4.25)</f>
        <v>4.25</v>
      </c>
      <c r="G868" s="2">
        <f>IFERROR(__xludf.DUMMYFUNCTION("""COMPUTED_VALUE"""),14040.0)</f>
        <v>14040</v>
      </c>
      <c r="H868" s="2" t="str">
        <f>IFERROR(__xludf.DUMMYFUNCTION("""COMPUTED_VALUE"""),"United Kingdom")</f>
        <v>United Kingdom</v>
      </c>
      <c r="I868" s="7">
        <f>IFERROR(__xludf.DUMMYFUNCTION("""COMPUTED_VALUE"""),40148.0)</f>
        <v>40148</v>
      </c>
      <c r="J868" s="8">
        <f>IFERROR(__xludf.DUMMYFUNCTION("""COMPUTED_VALUE"""),0.5097222222211713)</f>
        <v>0.5097222222</v>
      </c>
      <c r="K868" s="2">
        <f>IFERROR(__xludf.DUMMYFUNCTION("""COMPUTED_VALUE"""),12.0)</f>
        <v>12</v>
      </c>
      <c r="L868" s="2">
        <f>IFERROR(__xludf.DUMMYFUNCTION("""COMPUTED_VALUE"""),8.5)</f>
        <v>8.5</v>
      </c>
    </row>
    <row r="869">
      <c r="A869" s="2">
        <f>IFERROR(__xludf.DUMMYFUNCTION("""COMPUTED_VALUE"""),489537.0)</f>
        <v>489537</v>
      </c>
      <c r="B869" s="2" t="str">
        <f>IFERROR(__xludf.DUMMYFUNCTION("""COMPUTED_VALUE"""),"72800F")</f>
        <v>72800F</v>
      </c>
      <c r="C869" s="2" t="str">
        <f>IFERROR(__xludf.DUMMYFUNCTION("""COMPUTED_VALUE"""),"4 IVORY DINNER CANDLES GOLD FLOCK")</f>
        <v>4 IVORY DINNER CANDLES GOLD FLOCK</v>
      </c>
      <c r="D869" s="2">
        <f>IFERROR(__xludf.DUMMYFUNCTION("""COMPUTED_VALUE"""),1.0)</f>
        <v>1</v>
      </c>
      <c r="E869" s="6">
        <f>IFERROR(__xludf.DUMMYFUNCTION("""COMPUTED_VALUE"""),40148.509722222225)</f>
        <v>40148.50972</v>
      </c>
      <c r="F869" s="2">
        <f>IFERROR(__xludf.DUMMYFUNCTION("""COMPUTED_VALUE"""),2.55)</f>
        <v>2.55</v>
      </c>
      <c r="G869" s="2">
        <f>IFERROR(__xludf.DUMMYFUNCTION("""COMPUTED_VALUE"""),14040.0)</f>
        <v>14040</v>
      </c>
      <c r="H869" s="2" t="str">
        <f>IFERROR(__xludf.DUMMYFUNCTION("""COMPUTED_VALUE"""),"United Kingdom")</f>
        <v>United Kingdom</v>
      </c>
      <c r="I869" s="7">
        <f>IFERROR(__xludf.DUMMYFUNCTION("""COMPUTED_VALUE"""),40148.0)</f>
        <v>40148</v>
      </c>
      <c r="J869" s="8">
        <f>IFERROR(__xludf.DUMMYFUNCTION("""COMPUTED_VALUE"""),0.5097222222211713)</f>
        <v>0.5097222222</v>
      </c>
      <c r="K869" s="2">
        <f>IFERROR(__xludf.DUMMYFUNCTION("""COMPUTED_VALUE"""),12.0)</f>
        <v>12</v>
      </c>
      <c r="L869" s="2">
        <f>IFERROR(__xludf.DUMMYFUNCTION("""COMPUTED_VALUE"""),2.55)</f>
        <v>2.55</v>
      </c>
    </row>
    <row r="870">
      <c r="A870" s="2">
        <f>IFERROR(__xludf.DUMMYFUNCTION("""COMPUTED_VALUE"""),489537.0)</f>
        <v>489537</v>
      </c>
      <c r="B870" s="2" t="str">
        <f>IFERROR(__xludf.DUMMYFUNCTION("""COMPUTED_VALUE"""),"21411")</f>
        <v>21411</v>
      </c>
      <c r="C870" s="2" t="str">
        <f>IFERROR(__xludf.DUMMYFUNCTION("""COMPUTED_VALUE"""),"GINGHAM HEART DOORSTOP RED")</f>
        <v>GINGHAM HEART DOORSTOP RED</v>
      </c>
      <c r="D870" s="2">
        <f>IFERROR(__xludf.DUMMYFUNCTION("""COMPUTED_VALUE"""),4.0)</f>
        <v>4</v>
      </c>
      <c r="E870" s="6">
        <f>IFERROR(__xludf.DUMMYFUNCTION("""COMPUTED_VALUE"""),40148.509722222225)</f>
        <v>40148.50972</v>
      </c>
      <c r="F870" s="2">
        <f>IFERROR(__xludf.DUMMYFUNCTION("""COMPUTED_VALUE"""),4.25)</f>
        <v>4.25</v>
      </c>
      <c r="G870" s="2">
        <f>IFERROR(__xludf.DUMMYFUNCTION("""COMPUTED_VALUE"""),14040.0)</f>
        <v>14040</v>
      </c>
      <c r="H870" s="2" t="str">
        <f>IFERROR(__xludf.DUMMYFUNCTION("""COMPUTED_VALUE"""),"United Kingdom")</f>
        <v>United Kingdom</v>
      </c>
      <c r="I870" s="7">
        <f>IFERROR(__xludf.DUMMYFUNCTION("""COMPUTED_VALUE"""),40148.0)</f>
        <v>40148</v>
      </c>
      <c r="J870" s="8">
        <f>IFERROR(__xludf.DUMMYFUNCTION("""COMPUTED_VALUE"""),0.5097222222211713)</f>
        <v>0.5097222222</v>
      </c>
      <c r="K870" s="2">
        <f>IFERROR(__xludf.DUMMYFUNCTION("""COMPUTED_VALUE"""),12.0)</f>
        <v>12</v>
      </c>
      <c r="L870" s="2">
        <f>IFERROR(__xludf.DUMMYFUNCTION("""COMPUTED_VALUE"""),17.0)</f>
        <v>17</v>
      </c>
    </row>
    <row r="871">
      <c r="A871" s="2">
        <f>IFERROR(__xludf.DUMMYFUNCTION("""COMPUTED_VALUE"""),489537.0)</f>
        <v>489537</v>
      </c>
      <c r="B871" s="2" t="str">
        <f>IFERROR(__xludf.DUMMYFUNCTION("""COMPUTED_VALUE"""),"21993")</f>
        <v>21993</v>
      </c>
      <c r="C871" s="2" t="str">
        <f>IFERROR(__xludf.DUMMYFUNCTION("""COMPUTED_VALUE"""),"FLORAL FOLK STATIONERY SET")</f>
        <v>FLORAL FOLK STATIONERY SET</v>
      </c>
      <c r="D871" s="2">
        <f>IFERROR(__xludf.DUMMYFUNCTION("""COMPUTED_VALUE"""),3.0)</f>
        <v>3</v>
      </c>
      <c r="E871" s="6">
        <f>IFERROR(__xludf.DUMMYFUNCTION("""COMPUTED_VALUE"""),40148.509722222225)</f>
        <v>40148.50972</v>
      </c>
      <c r="F871" s="2">
        <f>IFERROR(__xludf.DUMMYFUNCTION("""COMPUTED_VALUE"""),2.95)</f>
        <v>2.95</v>
      </c>
      <c r="G871" s="2">
        <f>IFERROR(__xludf.DUMMYFUNCTION("""COMPUTED_VALUE"""),14040.0)</f>
        <v>14040</v>
      </c>
      <c r="H871" s="2" t="str">
        <f>IFERROR(__xludf.DUMMYFUNCTION("""COMPUTED_VALUE"""),"United Kingdom")</f>
        <v>United Kingdom</v>
      </c>
      <c r="I871" s="7">
        <f>IFERROR(__xludf.DUMMYFUNCTION("""COMPUTED_VALUE"""),40148.0)</f>
        <v>40148</v>
      </c>
      <c r="J871" s="8">
        <f>IFERROR(__xludf.DUMMYFUNCTION("""COMPUTED_VALUE"""),0.5097222222211713)</f>
        <v>0.5097222222</v>
      </c>
      <c r="K871" s="2">
        <f>IFERROR(__xludf.DUMMYFUNCTION("""COMPUTED_VALUE"""),12.0)</f>
        <v>12</v>
      </c>
      <c r="L871" s="2">
        <f>IFERROR(__xludf.DUMMYFUNCTION("""COMPUTED_VALUE"""),8.85)</f>
        <v>8.85</v>
      </c>
    </row>
    <row r="872">
      <c r="A872" s="2">
        <f>IFERROR(__xludf.DUMMYFUNCTION("""COMPUTED_VALUE"""),489537.0)</f>
        <v>489537</v>
      </c>
      <c r="B872" s="2" t="str">
        <f>IFERROR(__xludf.DUMMYFUNCTION("""COMPUTED_VALUE"""),"84032B")</f>
        <v>84032B</v>
      </c>
      <c r="C872" s="2" t="str">
        <f>IFERROR(__xludf.DUMMYFUNCTION("""COMPUTED_VALUE"""),"CHARLIE + LOLA RED HOT WATER BOTTLE")</f>
        <v>CHARLIE + LOLA RED HOT WATER BOTTLE</v>
      </c>
      <c r="D872" s="2">
        <f>IFERROR(__xludf.DUMMYFUNCTION("""COMPUTED_VALUE"""),4.0)</f>
        <v>4</v>
      </c>
      <c r="E872" s="6">
        <f>IFERROR(__xludf.DUMMYFUNCTION("""COMPUTED_VALUE"""),40148.509722222225)</f>
        <v>40148.50972</v>
      </c>
      <c r="F872" s="2">
        <f>IFERROR(__xludf.DUMMYFUNCTION("""COMPUTED_VALUE"""),2.95)</f>
        <v>2.95</v>
      </c>
      <c r="G872" s="2">
        <f>IFERROR(__xludf.DUMMYFUNCTION("""COMPUTED_VALUE"""),14040.0)</f>
        <v>14040</v>
      </c>
      <c r="H872" s="2" t="str">
        <f>IFERROR(__xludf.DUMMYFUNCTION("""COMPUTED_VALUE"""),"United Kingdom")</f>
        <v>United Kingdom</v>
      </c>
      <c r="I872" s="7">
        <f>IFERROR(__xludf.DUMMYFUNCTION("""COMPUTED_VALUE"""),40148.0)</f>
        <v>40148</v>
      </c>
      <c r="J872" s="8">
        <f>IFERROR(__xludf.DUMMYFUNCTION("""COMPUTED_VALUE"""),0.5097222222211713)</f>
        <v>0.5097222222</v>
      </c>
      <c r="K872" s="2">
        <f>IFERROR(__xludf.DUMMYFUNCTION("""COMPUTED_VALUE"""),12.0)</f>
        <v>12</v>
      </c>
      <c r="L872" s="2">
        <f>IFERROR(__xludf.DUMMYFUNCTION("""COMPUTED_VALUE"""),11.8)</f>
        <v>11.8</v>
      </c>
    </row>
    <row r="873">
      <c r="A873" s="2">
        <f>IFERROR(__xludf.DUMMYFUNCTION("""COMPUTED_VALUE"""),489537.0)</f>
        <v>489537</v>
      </c>
      <c r="B873" s="2" t="str">
        <f>IFERROR(__xludf.DUMMYFUNCTION("""COMPUTED_VALUE"""),"22125")</f>
        <v>22125</v>
      </c>
      <c r="C873" s="2" t="str">
        <f>IFERROR(__xludf.DUMMYFUNCTION("""COMPUTED_VALUE"""),"UNION JACK HOT WATER BOTTLE")</f>
        <v>UNION JACK HOT WATER BOTTLE</v>
      </c>
      <c r="D873" s="2">
        <f>IFERROR(__xludf.DUMMYFUNCTION("""COMPUTED_VALUE"""),3.0)</f>
        <v>3</v>
      </c>
      <c r="E873" s="6">
        <f>IFERROR(__xludf.DUMMYFUNCTION("""COMPUTED_VALUE"""),40148.509722222225)</f>
        <v>40148.50972</v>
      </c>
      <c r="F873" s="2">
        <f>IFERROR(__xludf.DUMMYFUNCTION("""COMPUTED_VALUE"""),5.95)</f>
        <v>5.95</v>
      </c>
      <c r="G873" s="2">
        <f>IFERROR(__xludf.DUMMYFUNCTION("""COMPUTED_VALUE"""),14040.0)</f>
        <v>14040</v>
      </c>
      <c r="H873" s="2" t="str">
        <f>IFERROR(__xludf.DUMMYFUNCTION("""COMPUTED_VALUE"""),"United Kingdom")</f>
        <v>United Kingdom</v>
      </c>
      <c r="I873" s="7">
        <f>IFERROR(__xludf.DUMMYFUNCTION("""COMPUTED_VALUE"""),40148.0)</f>
        <v>40148</v>
      </c>
      <c r="J873" s="8">
        <f>IFERROR(__xludf.DUMMYFUNCTION("""COMPUTED_VALUE"""),0.5097222222211713)</f>
        <v>0.5097222222</v>
      </c>
      <c r="K873" s="2">
        <f>IFERROR(__xludf.DUMMYFUNCTION("""COMPUTED_VALUE"""),12.0)</f>
        <v>12</v>
      </c>
      <c r="L873" s="2">
        <f>IFERROR(__xludf.DUMMYFUNCTION("""COMPUTED_VALUE"""),17.85)</f>
        <v>17.85</v>
      </c>
    </row>
    <row r="874">
      <c r="A874" s="2">
        <f>IFERROR(__xludf.DUMMYFUNCTION("""COMPUTED_VALUE"""),489537.0)</f>
        <v>489537</v>
      </c>
      <c r="B874" s="2" t="str">
        <f>IFERROR(__xludf.DUMMYFUNCTION("""COMPUTED_VALUE"""),"84032A")</f>
        <v>84032A</v>
      </c>
      <c r="C874" s="2" t="str">
        <f>IFERROR(__xludf.DUMMYFUNCTION("""COMPUTED_VALUE"""),"CHARLIE+LOLA PINK HOT WATER BOTTLE")</f>
        <v>CHARLIE+LOLA PINK HOT WATER BOTTLE</v>
      </c>
      <c r="D874" s="2">
        <f>IFERROR(__xludf.DUMMYFUNCTION("""COMPUTED_VALUE"""),4.0)</f>
        <v>4</v>
      </c>
      <c r="E874" s="6">
        <f>IFERROR(__xludf.DUMMYFUNCTION("""COMPUTED_VALUE"""),40148.509722222225)</f>
        <v>40148.50972</v>
      </c>
      <c r="F874" s="2">
        <f>IFERROR(__xludf.DUMMYFUNCTION("""COMPUTED_VALUE"""),2.95)</f>
        <v>2.95</v>
      </c>
      <c r="G874" s="2">
        <f>IFERROR(__xludf.DUMMYFUNCTION("""COMPUTED_VALUE"""),14040.0)</f>
        <v>14040</v>
      </c>
      <c r="H874" s="2" t="str">
        <f>IFERROR(__xludf.DUMMYFUNCTION("""COMPUTED_VALUE"""),"United Kingdom")</f>
        <v>United Kingdom</v>
      </c>
      <c r="I874" s="7">
        <f>IFERROR(__xludf.DUMMYFUNCTION("""COMPUTED_VALUE"""),40148.0)</f>
        <v>40148</v>
      </c>
      <c r="J874" s="8">
        <f>IFERROR(__xludf.DUMMYFUNCTION("""COMPUTED_VALUE"""),0.5097222222211713)</f>
        <v>0.5097222222</v>
      </c>
      <c r="K874" s="2">
        <f>IFERROR(__xludf.DUMMYFUNCTION("""COMPUTED_VALUE"""),12.0)</f>
        <v>12</v>
      </c>
      <c r="L874" s="2">
        <f>IFERROR(__xludf.DUMMYFUNCTION("""COMPUTED_VALUE"""),11.8)</f>
        <v>11.8</v>
      </c>
    </row>
    <row r="875">
      <c r="A875" s="2">
        <f>IFERROR(__xludf.DUMMYFUNCTION("""COMPUTED_VALUE"""),489537.0)</f>
        <v>489537</v>
      </c>
      <c r="B875" s="2" t="str">
        <f>IFERROR(__xludf.DUMMYFUNCTION("""COMPUTED_VALUE"""),"21482")</f>
        <v>21482</v>
      </c>
      <c r="C875" s="2" t="str">
        <f>IFERROR(__xludf.DUMMYFUNCTION("""COMPUTED_VALUE"""),"MUSHROOM BLUE HOT WATER BOTTLE")</f>
        <v>MUSHROOM BLUE HOT WATER BOTTLE</v>
      </c>
      <c r="D875" s="2">
        <f>IFERROR(__xludf.DUMMYFUNCTION("""COMPUTED_VALUE"""),3.0)</f>
        <v>3</v>
      </c>
      <c r="E875" s="6">
        <f>IFERROR(__xludf.DUMMYFUNCTION("""COMPUTED_VALUE"""),40148.509722222225)</f>
        <v>40148.50972</v>
      </c>
      <c r="F875" s="2">
        <f>IFERROR(__xludf.DUMMYFUNCTION("""COMPUTED_VALUE"""),2.95)</f>
        <v>2.95</v>
      </c>
      <c r="G875" s="2">
        <f>IFERROR(__xludf.DUMMYFUNCTION("""COMPUTED_VALUE"""),14040.0)</f>
        <v>14040</v>
      </c>
      <c r="H875" s="2" t="str">
        <f>IFERROR(__xludf.DUMMYFUNCTION("""COMPUTED_VALUE"""),"United Kingdom")</f>
        <v>United Kingdom</v>
      </c>
      <c r="I875" s="7">
        <f>IFERROR(__xludf.DUMMYFUNCTION("""COMPUTED_VALUE"""),40148.0)</f>
        <v>40148</v>
      </c>
      <c r="J875" s="8">
        <f>IFERROR(__xludf.DUMMYFUNCTION("""COMPUTED_VALUE"""),0.5097222222211713)</f>
        <v>0.5097222222</v>
      </c>
      <c r="K875" s="2">
        <f>IFERROR(__xludf.DUMMYFUNCTION("""COMPUTED_VALUE"""),12.0)</f>
        <v>12</v>
      </c>
      <c r="L875" s="2">
        <f>IFERROR(__xludf.DUMMYFUNCTION("""COMPUTED_VALUE"""),8.85)</f>
        <v>8.85</v>
      </c>
    </row>
    <row r="876">
      <c r="A876" s="2">
        <f>IFERROR(__xludf.DUMMYFUNCTION("""COMPUTED_VALUE"""),489537.0)</f>
        <v>489537</v>
      </c>
      <c r="B876" s="2" t="str">
        <f>IFERROR(__xludf.DUMMYFUNCTION("""COMPUTED_VALUE"""),"21479")</f>
        <v>21479</v>
      </c>
      <c r="C876" s="2" t="str">
        <f>IFERROR(__xludf.DUMMYFUNCTION("""COMPUTED_VALUE"""),"WHITE SKULL HOT WATER BOTTLE")</f>
        <v>WHITE SKULL HOT WATER BOTTLE</v>
      </c>
      <c r="D876" s="2">
        <f>IFERROR(__xludf.DUMMYFUNCTION("""COMPUTED_VALUE"""),2.0)</f>
        <v>2</v>
      </c>
      <c r="E876" s="6">
        <f>IFERROR(__xludf.DUMMYFUNCTION("""COMPUTED_VALUE"""),40148.509722222225)</f>
        <v>40148.50972</v>
      </c>
      <c r="F876" s="2">
        <f>IFERROR(__xludf.DUMMYFUNCTION("""COMPUTED_VALUE"""),3.75)</f>
        <v>3.75</v>
      </c>
      <c r="G876" s="2">
        <f>IFERROR(__xludf.DUMMYFUNCTION("""COMPUTED_VALUE"""),14040.0)</f>
        <v>14040</v>
      </c>
      <c r="H876" s="2" t="str">
        <f>IFERROR(__xludf.DUMMYFUNCTION("""COMPUTED_VALUE"""),"United Kingdom")</f>
        <v>United Kingdom</v>
      </c>
      <c r="I876" s="7">
        <f>IFERROR(__xludf.DUMMYFUNCTION("""COMPUTED_VALUE"""),40148.0)</f>
        <v>40148</v>
      </c>
      <c r="J876" s="8">
        <f>IFERROR(__xludf.DUMMYFUNCTION("""COMPUTED_VALUE"""),0.5097222222211713)</f>
        <v>0.5097222222</v>
      </c>
      <c r="K876" s="2">
        <f>IFERROR(__xludf.DUMMYFUNCTION("""COMPUTED_VALUE"""),12.0)</f>
        <v>12</v>
      </c>
      <c r="L876" s="2">
        <f>IFERROR(__xludf.DUMMYFUNCTION("""COMPUTED_VALUE"""),7.5)</f>
        <v>7.5</v>
      </c>
    </row>
    <row r="877">
      <c r="A877" s="2">
        <f>IFERROR(__xludf.DUMMYFUNCTION("""COMPUTED_VALUE"""),489537.0)</f>
        <v>489537</v>
      </c>
      <c r="B877" s="2" t="str">
        <f>IFERROR(__xludf.DUMMYFUNCTION("""COMPUTED_VALUE"""),"21480")</f>
        <v>21480</v>
      </c>
      <c r="C877" s="2" t="str">
        <f>IFERROR(__xludf.DUMMYFUNCTION("""COMPUTED_VALUE"""),"PINK STRIPE HOT WATER BOTTLE")</f>
        <v>PINK STRIPE HOT WATER BOTTLE</v>
      </c>
      <c r="D877" s="2">
        <f>IFERROR(__xludf.DUMMYFUNCTION("""COMPUTED_VALUE"""),5.0)</f>
        <v>5</v>
      </c>
      <c r="E877" s="6">
        <f>IFERROR(__xludf.DUMMYFUNCTION("""COMPUTED_VALUE"""),40148.509722222225)</f>
        <v>40148.50972</v>
      </c>
      <c r="F877" s="2">
        <f>IFERROR(__xludf.DUMMYFUNCTION("""COMPUTED_VALUE"""),2.95)</f>
        <v>2.95</v>
      </c>
      <c r="G877" s="2">
        <f>IFERROR(__xludf.DUMMYFUNCTION("""COMPUTED_VALUE"""),14040.0)</f>
        <v>14040</v>
      </c>
      <c r="H877" s="2" t="str">
        <f>IFERROR(__xludf.DUMMYFUNCTION("""COMPUTED_VALUE"""),"United Kingdom")</f>
        <v>United Kingdom</v>
      </c>
      <c r="I877" s="7">
        <f>IFERROR(__xludf.DUMMYFUNCTION("""COMPUTED_VALUE"""),40148.0)</f>
        <v>40148</v>
      </c>
      <c r="J877" s="8">
        <f>IFERROR(__xludf.DUMMYFUNCTION("""COMPUTED_VALUE"""),0.5097222222211713)</f>
        <v>0.5097222222</v>
      </c>
      <c r="K877" s="2">
        <f>IFERROR(__xludf.DUMMYFUNCTION("""COMPUTED_VALUE"""),12.0)</f>
        <v>12</v>
      </c>
      <c r="L877" s="2">
        <f>IFERROR(__xludf.DUMMYFUNCTION("""COMPUTED_VALUE"""),14.75)</f>
        <v>14.75</v>
      </c>
    </row>
    <row r="878">
      <c r="A878" s="2">
        <f>IFERROR(__xludf.DUMMYFUNCTION("""COMPUTED_VALUE"""),489537.0)</f>
        <v>489537</v>
      </c>
      <c r="B878" s="2" t="str">
        <f>IFERROR(__xludf.DUMMYFUNCTION("""COMPUTED_VALUE"""),"21486")</f>
        <v>21486</v>
      </c>
      <c r="C878" s="2" t="str">
        <f>IFERROR(__xludf.DUMMYFUNCTION("""COMPUTED_VALUE"""),"PINK HEART DOTS HOT WATER BOTTLE")</f>
        <v>PINK HEART DOTS HOT WATER BOTTLE</v>
      </c>
      <c r="D878" s="2">
        <f>IFERROR(__xludf.DUMMYFUNCTION("""COMPUTED_VALUE"""),2.0)</f>
        <v>2</v>
      </c>
      <c r="E878" s="6">
        <f>IFERROR(__xludf.DUMMYFUNCTION("""COMPUTED_VALUE"""),40148.509722222225)</f>
        <v>40148.50972</v>
      </c>
      <c r="F878" s="2">
        <f>IFERROR(__xludf.DUMMYFUNCTION("""COMPUTED_VALUE"""),3.75)</f>
        <v>3.75</v>
      </c>
      <c r="G878" s="2">
        <f>IFERROR(__xludf.DUMMYFUNCTION("""COMPUTED_VALUE"""),14040.0)</f>
        <v>14040</v>
      </c>
      <c r="H878" s="2" t="str">
        <f>IFERROR(__xludf.DUMMYFUNCTION("""COMPUTED_VALUE"""),"United Kingdom")</f>
        <v>United Kingdom</v>
      </c>
      <c r="I878" s="7">
        <f>IFERROR(__xludf.DUMMYFUNCTION("""COMPUTED_VALUE"""),40148.0)</f>
        <v>40148</v>
      </c>
      <c r="J878" s="8">
        <f>IFERROR(__xludf.DUMMYFUNCTION("""COMPUTED_VALUE"""),0.5097222222211713)</f>
        <v>0.5097222222</v>
      </c>
      <c r="K878" s="2">
        <f>IFERROR(__xludf.DUMMYFUNCTION("""COMPUTED_VALUE"""),12.0)</f>
        <v>12</v>
      </c>
      <c r="L878" s="2">
        <f>IFERROR(__xludf.DUMMYFUNCTION("""COMPUTED_VALUE"""),7.5)</f>
        <v>7.5</v>
      </c>
    </row>
    <row r="879">
      <c r="A879" s="2">
        <f>IFERROR(__xludf.DUMMYFUNCTION("""COMPUTED_VALUE"""),489537.0)</f>
        <v>489537</v>
      </c>
      <c r="B879" s="2" t="str">
        <f>IFERROR(__xludf.DUMMYFUNCTION("""COMPUTED_VALUE"""),"21481")</f>
        <v>21481</v>
      </c>
      <c r="C879" s="2" t="str">
        <f>IFERROR(__xludf.DUMMYFUNCTION("""COMPUTED_VALUE"""),"FAWN BLUE HOT WATER BOTTLE")</f>
        <v>FAWN BLUE HOT WATER BOTTLE</v>
      </c>
      <c r="D879" s="2">
        <f>IFERROR(__xludf.DUMMYFUNCTION("""COMPUTED_VALUE"""),3.0)</f>
        <v>3</v>
      </c>
      <c r="E879" s="6">
        <f>IFERROR(__xludf.DUMMYFUNCTION("""COMPUTED_VALUE"""),40148.509722222225)</f>
        <v>40148.50972</v>
      </c>
      <c r="F879" s="2">
        <f>IFERROR(__xludf.DUMMYFUNCTION("""COMPUTED_VALUE"""),2.95)</f>
        <v>2.95</v>
      </c>
      <c r="G879" s="2">
        <f>IFERROR(__xludf.DUMMYFUNCTION("""COMPUTED_VALUE"""),14040.0)</f>
        <v>14040</v>
      </c>
      <c r="H879" s="2" t="str">
        <f>IFERROR(__xludf.DUMMYFUNCTION("""COMPUTED_VALUE"""),"United Kingdom")</f>
        <v>United Kingdom</v>
      </c>
      <c r="I879" s="7">
        <f>IFERROR(__xludf.DUMMYFUNCTION("""COMPUTED_VALUE"""),40148.0)</f>
        <v>40148</v>
      </c>
      <c r="J879" s="8">
        <f>IFERROR(__xludf.DUMMYFUNCTION("""COMPUTED_VALUE"""),0.5097222222211713)</f>
        <v>0.5097222222</v>
      </c>
      <c r="K879" s="2">
        <f>IFERROR(__xludf.DUMMYFUNCTION("""COMPUTED_VALUE"""),12.0)</f>
        <v>12</v>
      </c>
      <c r="L879" s="2">
        <f>IFERROR(__xludf.DUMMYFUNCTION("""COMPUTED_VALUE"""),8.85)</f>
        <v>8.85</v>
      </c>
    </row>
    <row r="880">
      <c r="A880" s="2">
        <f>IFERROR(__xludf.DUMMYFUNCTION("""COMPUTED_VALUE"""),489537.0)</f>
        <v>489537</v>
      </c>
      <c r="B880" s="2" t="str">
        <f>IFERROR(__xludf.DUMMYFUNCTION("""COMPUTED_VALUE"""),"72008")</f>
        <v>72008</v>
      </c>
      <c r="C880" s="2" t="str">
        <f>IFERROR(__xludf.DUMMYFUNCTION("""COMPUTED_VALUE"""),"FROSTED BOX 9 WHITE T-LIGHT CANDLES")</f>
        <v>FROSTED BOX 9 WHITE T-LIGHT CANDLES</v>
      </c>
      <c r="D880" s="2">
        <f>IFERROR(__xludf.DUMMYFUNCTION("""COMPUTED_VALUE"""),24.0)</f>
        <v>24</v>
      </c>
      <c r="E880" s="6">
        <f>IFERROR(__xludf.DUMMYFUNCTION("""COMPUTED_VALUE"""),40148.509722222225)</f>
        <v>40148.50972</v>
      </c>
      <c r="F880" s="2">
        <f>IFERROR(__xludf.DUMMYFUNCTION("""COMPUTED_VALUE"""),0.42)</f>
        <v>0.42</v>
      </c>
      <c r="G880" s="2">
        <f>IFERROR(__xludf.DUMMYFUNCTION("""COMPUTED_VALUE"""),14040.0)</f>
        <v>14040</v>
      </c>
      <c r="H880" s="2" t="str">
        <f>IFERROR(__xludf.DUMMYFUNCTION("""COMPUTED_VALUE"""),"United Kingdom")</f>
        <v>United Kingdom</v>
      </c>
      <c r="I880" s="7">
        <f>IFERROR(__xludf.DUMMYFUNCTION("""COMPUTED_VALUE"""),40148.0)</f>
        <v>40148</v>
      </c>
      <c r="J880" s="8">
        <f>IFERROR(__xludf.DUMMYFUNCTION("""COMPUTED_VALUE"""),0.5097222222211713)</f>
        <v>0.5097222222</v>
      </c>
      <c r="K880" s="2">
        <f>IFERROR(__xludf.DUMMYFUNCTION("""COMPUTED_VALUE"""),12.0)</f>
        <v>12</v>
      </c>
      <c r="L880" s="2">
        <f>IFERROR(__xludf.DUMMYFUNCTION("""COMPUTED_VALUE"""),10.08)</f>
        <v>10.08</v>
      </c>
    </row>
    <row r="881">
      <c r="A881" s="2">
        <f>IFERROR(__xludf.DUMMYFUNCTION("""COMPUTED_VALUE"""),489537.0)</f>
        <v>489537</v>
      </c>
      <c r="B881" s="2" t="str">
        <f>IFERROR(__xludf.DUMMYFUNCTION("""COMPUTED_VALUE"""),"21231")</f>
        <v>21231</v>
      </c>
      <c r="C881" s="2" t="str">
        <f>IFERROR(__xludf.DUMMYFUNCTION("""COMPUTED_VALUE"""),"SWEETHEART CERAMIC TRINKET BOX")</f>
        <v>SWEETHEART CERAMIC TRINKET BOX</v>
      </c>
      <c r="D881" s="2">
        <f>IFERROR(__xludf.DUMMYFUNCTION("""COMPUTED_VALUE"""),20.0)</f>
        <v>20</v>
      </c>
      <c r="E881" s="6">
        <f>IFERROR(__xludf.DUMMYFUNCTION("""COMPUTED_VALUE"""),40148.509722222225)</f>
        <v>40148.50972</v>
      </c>
      <c r="F881" s="2">
        <f>IFERROR(__xludf.DUMMYFUNCTION("""COMPUTED_VALUE"""),1.25)</f>
        <v>1.25</v>
      </c>
      <c r="G881" s="2">
        <f>IFERROR(__xludf.DUMMYFUNCTION("""COMPUTED_VALUE"""),14040.0)</f>
        <v>14040</v>
      </c>
      <c r="H881" s="2" t="str">
        <f>IFERROR(__xludf.DUMMYFUNCTION("""COMPUTED_VALUE"""),"United Kingdom")</f>
        <v>United Kingdom</v>
      </c>
      <c r="I881" s="7">
        <f>IFERROR(__xludf.DUMMYFUNCTION("""COMPUTED_VALUE"""),40148.0)</f>
        <v>40148</v>
      </c>
      <c r="J881" s="8">
        <f>IFERROR(__xludf.DUMMYFUNCTION("""COMPUTED_VALUE"""),0.5097222222211713)</f>
        <v>0.5097222222</v>
      </c>
      <c r="K881" s="2">
        <f>IFERROR(__xludf.DUMMYFUNCTION("""COMPUTED_VALUE"""),12.0)</f>
        <v>12</v>
      </c>
      <c r="L881" s="2">
        <f>IFERROR(__xludf.DUMMYFUNCTION("""COMPUTED_VALUE"""),25.0)</f>
        <v>25</v>
      </c>
    </row>
    <row r="882">
      <c r="A882" s="2">
        <f>IFERROR(__xludf.DUMMYFUNCTION("""COMPUTED_VALUE"""),489537.0)</f>
        <v>489537</v>
      </c>
      <c r="B882" s="2" t="str">
        <f>IFERROR(__xludf.DUMMYFUNCTION("""COMPUTED_VALUE"""),"21232")</f>
        <v>21232</v>
      </c>
      <c r="C882" s="2" t="str">
        <f>IFERROR(__xludf.DUMMYFUNCTION("""COMPUTED_VALUE"""),"STRAWBERRY CERAMIC TRINKET BOX")</f>
        <v>STRAWBERRY CERAMIC TRINKET BOX</v>
      </c>
      <c r="D882" s="2">
        <f>IFERROR(__xludf.DUMMYFUNCTION("""COMPUTED_VALUE"""),20.0)</f>
        <v>20</v>
      </c>
      <c r="E882" s="6">
        <f>IFERROR(__xludf.DUMMYFUNCTION("""COMPUTED_VALUE"""),40148.509722222225)</f>
        <v>40148.50972</v>
      </c>
      <c r="F882" s="2">
        <f>IFERROR(__xludf.DUMMYFUNCTION("""COMPUTED_VALUE"""),1.25)</f>
        <v>1.25</v>
      </c>
      <c r="G882" s="2">
        <f>IFERROR(__xludf.DUMMYFUNCTION("""COMPUTED_VALUE"""),14040.0)</f>
        <v>14040</v>
      </c>
      <c r="H882" s="2" t="str">
        <f>IFERROR(__xludf.DUMMYFUNCTION("""COMPUTED_VALUE"""),"United Kingdom")</f>
        <v>United Kingdom</v>
      </c>
      <c r="I882" s="7">
        <f>IFERROR(__xludf.DUMMYFUNCTION("""COMPUTED_VALUE"""),40148.0)</f>
        <v>40148</v>
      </c>
      <c r="J882" s="8">
        <f>IFERROR(__xludf.DUMMYFUNCTION("""COMPUTED_VALUE"""),0.5097222222211713)</f>
        <v>0.5097222222</v>
      </c>
      <c r="K882" s="2">
        <f>IFERROR(__xludf.DUMMYFUNCTION("""COMPUTED_VALUE"""),12.0)</f>
        <v>12</v>
      </c>
      <c r="L882" s="2">
        <f>IFERROR(__xludf.DUMMYFUNCTION("""COMPUTED_VALUE"""),25.0)</f>
        <v>25</v>
      </c>
    </row>
    <row r="883">
      <c r="A883" s="2">
        <f>IFERROR(__xludf.DUMMYFUNCTION("""COMPUTED_VALUE"""),489537.0)</f>
        <v>489537</v>
      </c>
      <c r="B883" s="2" t="str">
        <f>IFERROR(__xludf.DUMMYFUNCTION("""COMPUTED_VALUE"""),"21813")</f>
        <v>21813</v>
      </c>
      <c r="C883" s="2" t="str">
        <f>IFERROR(__xludf.DUMMYFUNCTION("""COMPUTED_VALUE"""),"GARLAND WITH STARS AND BELLS")</f>
        <v>GARLAND WITH STARS AND BELLS</v>
      </c>
      <c r="D883" s="2">
        <f>IFERROR(__xludf.DUMMYFUNCTION("""COMPUTED_VALUE"""),1.0)</f>
        <v>1</v>
      </c>
      <c r="E883" s="6">
        <f>IFERROR(__xludf.DUMMYFUNCTION("""COMPUTED_VALUE"""),40148.509722222225)</f>
        <v>40148.50972</v>
      </c>
      <c r="F883" s="2">
        <f>IFERROR(__xludf.DUMMYFUNCTION("""COMPUTED_VALUE"""),4.95)</f>
        <v>4.95</v>
      </c>
      <c r="G883" s="2">
        <f>IFERROR(__xludf.DUMMYFUNCTION("""COMPUTED_VALUE"""),14040.0)</f>
        <v>14040</v>
      </c>
      <c r="H883" s="2" t="str">
        <f>IFERROR(__xludf.DUMMYFUNCTION("""COMPUTED_VALUE"""),"United Kingdom")</f>
        <v>United Kingdom</v>
      </c>
      <c r="I883" s="7">
        <f>IFERROR(__xludf.DUMMYFUNCTION("""COMPUTED_VALUE"""),40148.0)</f>
        <v>40148</v>
      </c>
      <c r="J883" s="8">
        <f>IFERROR(__xludf.DUMMYFUNCTION("""COMPUTED_VALUE"""),0.5097222222211713)</f>
        <v>0.5097222222</v>
      </c>
      <c r="K883" s="2">
        <f>IFERROR(__xludf.DUMMYFUNCTION("""COMPUTED_VALUE"""),12.0)</f>
        <v>12</v>
      </c>
      <c r="L883" s="2">
        <f>IFERROR(__xludf.DUMMYFUNCTION("""COMPUTED_VALUE"""),4.95)</f>
        <v>4.95</v>
      </c>
    </row>
    <row r="884">
      <c r="A884" s="2">
        <f>IFERROR(__xludf.DUMMYFUNCTION("""COMPUTED_VALUE"""),489537.0)</f>
        <v>489537</v>
      </c>
      <c r="B884" s="2" t="str">
        <f>IFERROR(__xludf.DUMMYFUNCTION("""COMPUTED_VALUE"""),"21812")</f>
        <v>21812</v>
      </c>
      <c r="C884" s="2" t="str">
        <f>IFERROR(__xludf.DUMMYFUNCTION("""COMPUTED_VALUE"""),"GARLAND WITH HEARTS AND BELLS")</f>
        <v>GARLAND WITH HEARTS AND BELLS</v>
      </c>
      <c r="D884" s="2">
        <f>IFERROR(__xludf.DUMMYFUNCTION("""COMPUTED_VALUE"""),4.0)</f>
        <v>4</v>
      </c>
      <c r="E884" s="6">
        <f>IFERROR(__xludf.DUMMYFUNCTION("""COMPUTED_VALUE"""),40148.509722222225)</f>
        <v>40148.50972</v>
      </c>
      <c r="F884" s="2">
        <f>IFERROR(__xludf.DUMMYFUNCTION("""COMPUTED_VALUE"""),4.95)</f>
        <v>4.95</v>
      </c>
      <c r="G884" s="2">
        <f>IFERROR(__xludf.DUMMYFUNCTION("""COMPUTED_VALUE"""),14040.0)</f>
        <v>14040</v>
      </c>
      <c r="H884" s="2" t="str">
        <f>IFERROR(__xludf.DUMMYFUNCTION("""COMPUTED_VALUE"""),"United Kingdom")</f>
        <v>United Kingdom</v>
      </c>
      <c r="I884" s="7">
        <f>IFERROR(__xludf.DUMMYFUNCTION("""COMPUTED_VALUE"""),40148.0)</f>
        <v>40148</v>
      </c>
      <c r="J884" s="8">
        <f>IFERROR(__xludf.DUMMYFUNCTION("""COMPUTED_VALUE"""),0.5097222222211713)</f>
        <v>0.5097222222</v>
      </c>
      <c r="K884" s="2">
        <f>IFERROR(__xludf.DUMMYFUNCTION("""COMPUTED_VALUE"""),12.0)</f>
        <v>12</v>
      </c>
      <c r="L884" s="2">
        <f>IFERROR(__xludf.DUMMYFUNCTION("""COMPUTED_VALUE"""),19.8)</f>
        <v>19.8</v>
      </c>
    </row>
    <row r="885">
      <c r="A885" s="2">
        <f>IFERROR(__xludf.DUMMYFUNCTION("""COMPUTED_VALUE"""),489537.0)</f>
        <v>489537</v>
      </c>
      <c r="B885" s="2" t="str">
        <f>IFERROR(__xludf.DUMMYFUNCTION("""COMPUTED_VALUE"""),"21489")</f>
        <v>21489</v>
      </c>
      <c r="C885" s="2" t="str">
        <f>IFERROR(__xludf.DUMMYFUNCTION("""COMPUTED_VALUE"""),"BLUE WHITE SCARF HOT WATER BOTTLE")</f>
        <v>BLUE WHITE SCARF HOT WATER BOTTLE</v>
      </c>
      <c r="D885" s="2">
        <f>IFERROR(__xludf.DUMMYFUNCTION("""COMPUTED_VALUE"""),3.0)</f>
        <v>3</v>
      </c>
      <c r="E885" s="6">
        <f>IFERROR(__xludf.DUMMYFUNCTION("""COMPUTED_VALUE"""),40148.509722222225)</f>
        <v>40148.50972</v>
      </c>
      <c r="F885" s="2">
        <f>IFERROR(__xludf.DUMMYFUNCTION("""COMPUTED_VALUE"""),3.95)</f>
        <v>3.95</v>
      </c>
      <c r="G885" s="2">
        <f>IFERROR(__xludf.DUMMYFUNCTION("""COMPUTED_VALUE"""),14040.0)</f>
        <v>14040</v>
      </c>
      <c r="H885" s="2" t="str">
        <f>IFERROR(__xludf.DUMMYFUNCTION("""COMPUTED_VALUE"""),"United Kingdom")</f>
        <v>United Kingdom</v>
      </c>
      <c r="I885" s="7">
        <f>IFERROR(__xludf.DUMMYFUNCTION("""COMPUTED_VALUE"""),40148.0)</f>
        <v>40148</v>
      </c>
      <c r="J885" s="8">
        <f>IFERROR(__xludf.DUMMYFUNCTION("""COMPUTED_VALUE"""),0.5097222222211713)</f>
        <v>0.5097222222</v>
      </c>
      <c r="K885" s="2">
        <f>IFERROR(__xludf.DUMMYFUNCTION("""COMPUTED_VALUE"""),12.0)</f>
        <v>12</v>
      </c>
      <c r="L885" s="2">
        <f>IFERROR(__xludf.DUMMYFUNCTION("""COMPUTED_VALUE"""),11.85)</f>
        <v>11.85</v>
      </c>
    </row>
    <row r="886">
      <c r="A886" s="2">
        <f>IFERROR(__xludf.DUMMYFUNCTION("""COMPUTED_VALUE"""),489537.0)</f>
        <v>489537</v>
      </c>
      <c r="B886" s="2" t="str">
        <f>IFERROR(__xludf.DUMMYFUNCTION("""COMPUTED_VALUE"""),"21488")</f>
        <v>21488</v>
      </c>
      <c r="C886" s="2" t="str">
        <f>IFERROR(__xludf.DUMMYFUNCTION("""COMPUTED_VALUE"""),"RED WHITE SCARF HOT WATER BOTTLE")</f>
        <v>RED WHITE SCARF HOT WATER BOTTLE</v>
      </c>
      <c r="D886" s="2">
        <f>IFERROR(__xludf.DUMMYFUNCTION("""COMPUTED_VALUE"""),3.0)</f>
        <v>3</v>
      </c>
      <c r="E886" s="6">
        <f>IFERROR(__xludf.DUMMYFUNCTION("""COMPUTED_VALUE"""),40148.509722222225)</f>
        <v>40148.50972</v>
      </c>
      <c r="F886" s="2">
        <f>IFERROR(__xludf.DUMMYFUNCTION("""COMPUTED_VALUE"""),3.95)</f>
        <v>3.95</v>
      </c>
      <c r="G886" s="2">
        <f>IFERROR(__xludf.DUMMYFUNCTION("""COMPUTED_VALUE"""),14040.0)</f>
        <v>14040</v>
      </c>
      <c r="H886" s="2" t="str">
        <f>IFERROR(__xludf.DUMMYFUNCTION("""COMPUTED_VALUE"""),"United Kingdom")</f>
        <v>United Kingdom</v>
      </c>
      <c r="I886" s="7">
        <f>IFERROR(__xludf.DUMMYFUNCTION("""COMPUTED_VALUE"""),40148.0)</f>
        <v>40148</v>
      </c>
      <c r="J886" s="8">
        <f>IFERROR(__xludf.DUMMYFUNCTION("""COMPUTED_VALUE"""),0.5097222222211713)</f>
        <v>0.5097222222</v>
      </c>
      <c r="K886" s="2">
        <f>IFERROR(__xludf.DUMMYFUNCTION("""COMPUTED_VALUE"""),12.0)</f>
        <v>12</v>
      </c>
      <c r="L886" s="2">
        <f>IFERROR(__xludf.DUMMYFUNCTION("""COMPUTED_VALUE"""),11.85)</f>
        <v>11.85</v>
      </c>
    </row>
    <row r="887">
      <c r="A887" s="2">
        <f>IFERROR(__xludf.DUMMYFUNCTION("""COMPUTED_VALUE"""),489537.0)</f>
        <v>489537</v>
      </c>
      <c r="B887" s="2" t="str">
        <f>IFERROR(__xludf.DUMMYFUNCTION("""COMPUTED_VALUE"""),"84029E")</f>
        <v>84029E</v>
      </c>
      <c r="C887" s="2" t="str">
        <f>IFERROR(__xludf.DUMMYFUNCTION("""COMPUTED_VALUE"""),"RED WOOLLY HOTTIE WHITE HEART.")</f>
        <v>RED WOOLLY HOTTIE WHITE HEART.</v>
      </c>
      <c r="D887" s="2">
        <f>IFERROR(__xludf.DUMMYFUNCTION("""COMPUTED_VALUE"""),1.0)</f>
        <v>1</v>
      </c>
      <c r="E887" s="6">
        <f>IFERROR(__xludf.DUMMYFUNCTION("""COMPUTED_VALUE"""),40148.509722222225)</f>
        <v>40148.50972</v>
      </c>
      <c r="F887" s="2">
        <f>IFERROR(__xludf.DUMMYFUNCTION("""COMPUTED_VALUE"""),3.75)</f>
        <v>3.75</v>
      </c>
      <c r="G887" s="2">
        <f>IFERROR(__xludf.DUMMYFUNCTION("""COMPUTED_VALUE"""),14040.0)</f>
        <v>14040</v>
      </c>
      <c r="H887" s="2" t="str">
        <f>IFERROR(__xludf.DUMMYFUNCTION("""COMPUTED_VALUE"""),"United Kingdom")</f>
        <v>United Kingdom</v>
      </c>
      <c r="I887" s="7">
        <f>IFERROR(__xludf.DUMMYFUNCTION("""COMPUTED_VALUE"""),40148.0)</f>
        <v>40148</v>
      </c>
      <c r="J887" s="8">
        <f>IFERROR(__xludf.DUMMYFUNCTION("""COMPUTED_VALUE"""),0.5097222222211713)</f>
        <v>0.5097222222</v>
      </c>
      <c r="K887" s="2">
        <f>IFERROR(__xludf.DUMMYFUNCTION("""COMPUTED_VALUE"""),12.0)</f>
        <v>12</v>
      </c>
      <c r="L887" s="2">
        <f>IFERROR(__xludf.DUMMYFUNCTION("""COMPUTED_VALUE"""),3.75)</f>
        <v>3.75</v>
      </c>
    </row>
    <row r="888">
      <c r="A888" s="2">
        <f>IFERROR(__xludf.DUMMYFUNCTION("""COMPUTED_VALUE"""),489537.0)</f>
        <v>489537</v>
      </c>
      <c r="B888" s="2" t="str">
        <f>IFERROR(__xludf.DUMMYFUNCTION("""COMPUTED_VALUE"""),"75013B")</f>
        <v>75013B</v>
      </c>
      <c r="C888" s="2" t="str">
        <f>IFERROR(__xludf.DUMMYFUNCTION("""COMPUTED_VALUE"""),"STRING OF 8 BUTTERFLIES,PINK")</f>
        <v>STRING OF 8 BUTTERFLIES,PINK</v>
      </c>
      <c r="D888" s="2">
        <f>IFERROR(__xludf.DUMMYFUNCTION("""COMPUTED_VALUE"""),3.0)</f>
        <v>3</v>
      </c>
      <c r="E888" s="6">
        <f>IFERROR(__xludf.DUMMYFUNCTION("""COMPUTED_VALUE"""),40148.509722222225)</f>
        <v>40148.50972</v>
      </c>
      <c r="F888" s="2">
        <f>IFERROR(__xludf.DUMMYFUNCTION("""COMPUTED_VALUE"""),1.65)</f>
        <v>1.65</v>
      </c>
      <c r="G888" s="2">
        <f>IFERROR(__xludf.DUMMYFUNCTION("""COMPUTED_VALUE"""),14040.0)</f>
        <v>14040</v>
      </c>
      <c r="H888" s="2" t="str">
        <f>IFERROR(__xludf.DUMMYFUNCTION("""COMPUTED_VALUE"""),"United Kingdom")</f>
        <v>United Kingdom</v>
      </c>
      <c r="I888" s="7">
        <f>IFERROR(__xludf.DUMMYFUNCTION("""COMPUTED_VALUE"""),40148.0)</f>
        <v>40148</v>
      </c>
      <c r="J888" s="8">
        <f>IFERROR(__xludf.DUMMYFUNCTION("""COMPUTED_VALUE"""),0.5097222222211713)</f>
        <v>0.5097222222</v>
      </c>
      <c r="K888" s="2">
        <f>IFERROR(__xludf.DUMMYFUNCTION("""COMPUTED_VALUE"""),12.0)</f>
        <v>12</v>
      </c>
      <c r="L888" s="2">
        <f>IFERROR(__xludf.DUMMYFUNCTION("""COMPUTED_VALUE"""),4.94999999999999)</f>
        <v>4.95</v>
      </c>
    </row>
    <row r="889">
      <c r="A889" s="2">
        <f>IFERROR(__xludf.DUMMYFUNCTION("""COMPUTED_VALUE"""),489537.0)</f>
        <v>489537</v>
      </c>
      <c r="B889" s="2" t="str">
        <f>IFERROR(__xludf.DUMMYFUNCTION("""COMPUTED_VALUE"""),"72800E")</f>
        <v>72800E</v>
      </c>
      <c r="C889" s="2" t="str">
        <f>IFERROR(__xludf.DUMMYFUNCTION("""COMPUTED_VALUE"""),"4 IVORY DINNER CANDLES SILVER FLOCK")</f>
        <v>4 IVORY DINNER CANDLES SILVER FLOCK</v>
      </c>
      <c r="D889" s="2">
        <f>IFERROR(__xludf.DUMMYFUNCTION("""COMPUTED_VALUE"""),4.0)</f>
        <v>4</v>
      </c>
      <c r="E889" s="6">
        <f>IFERROR(__xludf.DUMMYFUNCTION("""COMPUTED_VALUE"""),40148.509722222225)</f>
        <v>40148.50972</v>
      </c>
      <c r="F889" s="2">
        <f>IFERROR(__xludf.DUMMYFUNCTION("""COMPUTED_VALUE"""),2.55)</f>
        <v>2.55</v>
      </c>
      <c r="G889" s="2">
        <f>IFERROR(__xludf.DUMMYFUNCTION("""COMPUTED_VALUE"""),14040.0)</f>
        <v>14040</v>
      </c>
      <c r="H889" s="2" t="str">
        <f>IFERROR(__xludf.DUMMYFUNCTION("""COMPUTED_VALUE"""),"United Kingdom")</f>
        <v>United Kingdom</v>
      </c>
      <c r="I889" s="7">
        <f>IFERROR(__xludf.DUMMYFUNCTION("""COMPUTED_VALUE"""),40148.0)</f>
        <v>40148</v>
      </c>
      <c r="J889" s="8">
        <f>IFERROR(__xludf.DUMMYFUNCTION("""COMPUTED_VALUE"""),0.5097222222211713)</f>
        <v>0.5097222222</v>
      </c>
      <c r="K889" s="2">
        <f>IFERROR(__xludf.DUMMYFUNCTION("""COMPUTED_VALUE"""),12.0)</f>
        <v>12</v>
      </c>
      <c r="L889" s="2">
        <f>IFERROR(__xludf.DUMMYFUNCTION("""COMPUTED_VALUE"""),10.2)</f>
        <v>10.2</v>
      </c>
    </row>
    <row r="890">
      <c r="A890" s="2">
        <f>IFERROR(__xludf.DUMMYFUNCTION("""COMPUTED_VALUE"""),489537.0)</f>
        <v>489537</v>
      </c>
      <c r="B890" s="2" t="str">
        <f>IFERROR(__xludf.DUMMYFUNCTION("""COMPUTED_VALUE"""),"72800F")</f>
        <v>72800F</v>
      </c>
      <c r="C890" s="2" t="str">
        <f>IFERROR(__xludf.DUMMYFUNCTION("""COMPUTED_VALUE"""),"4 IVORY DINNER CANDLES GOLD FLOCK")</f>
        <v>4 IVORY DINNER CANDLES GOLD FLOCK</v>
      </c>
      <c r="D890" s="2">
        <f>IFERROR(__xludf.DUMMYFUNCTION("""COMPUTED_VALUE"""),3.0)</f>
        <v>3</v>
      </c>
      <c r="E890" s="6">
        <f>IFERROR(__xludf.DUMMYFUNCTION("""COMPUTED_VALUE"""),40148.509722222225)</f>
        <v>40148.50972</v>
      </c>
      <c r="F890" s="2">
        <f>IFERROR(__xludf.DUMMYFUNCTION("""COMPUTED_VALUE"""),2.55)</f>
        <v>2.55</v>
      </c>
      <c r="G890" s="2">
        <f>IFERROR(__xludf.DUMMYFUNCTION("""COMPUTED_VALUE"""),14040.0)</f>
        <v>14040</v>
      </c>
      <c r="H890" s="2" t="str">
        <f>IFERROR(__xludf.DUMMYFUNCTION("""COMPUTED_VALUE"""),"United Kingdom")</f>
        <v>United Kingdom</v>
      </c>
      <c r="I890" s="7">
        <f>IFERROR(__xludf.DUMMYFUNCTION("""COMPUTED_VALUE"""),40148.0)</f>
        <v>40148</v>
      </c>
      <c r="J890" s="8">
        <f>IFERROR(__xludf.DUMMYFUNCTION("""COMPUTED_VALUE"""),0.5097222222211713)</f>
        <v>0.5097222222</v>
      </c>
      <c r="K890" s="2">
        <f>IFERROR(__xludf.DUMMYFUNCTION("""COMPUTED_VALUE"""),12.0)</f>
        <v>12</v>
      </c>
      <c r="L890" s="2">
        <f>IFERROR(__xludf.DUMMYFUNCTION("""COMPUTED_VALUE"""),7.64999999999999)</f>
        <v>7.65</v>
      </c>
    </row>
    <row r="891">
      <c r="A891" s="2">
        <f>IFERROR(__xludf.DUMMYFUNCTION("""COMPUTED_VALUE"""),489537.0)</f>
        <v>489537</v>
      </c>
      <c r="B891" s="2" t="str">
        <f>IFERROR(__xludf.DUMMYFUNCTION("""COMPUTED_VALUE"""),"72801G")</f>
        <v>72801G</v>
      </c>
      <c r="C891" s="2" t="str">
        <f>IFERROR(__xludf.DUMMYFUNCTION("""COMPUTED_VALUE"""),"S/4 BURGUNDY WINE DINNER CANDLES")</f>
        <v>S/4 BURGUNDY WINE DINNER CANDLES</v>
      </c>
      <c r="D891" s="2">
        <f>IFERROR(__xludf.DUMMYFUNCTION("""COMPUTED_VALUE"""),3.0)</f>
        <v>3</v>
      </c>
      <c r="E891" s="6">
        <f>IFERROR(__xludf.DUMMYFUNCTION("""COMPUTED_VALUE"""),40148.509722222225)</f>
        <v>40148.50972</v>
      </c>
      <c r="F891" s="2">
        <f>IFERROR(__xludf.DUMMYFUNCTION("""COMPUTED_VALUE"""),1.25)</f>
        <v>1.25</v>
      </c>
      <c r="G891" s="2">
        <f>IFERROR(__xludf.DUMMYFUNCTION("""COMPUTED_VALUE"""),14040.0)</f>
        <v>14040</v>
      </c>
      <c r="H891" s="2" t="str">
        <f>IFERROR(__xludf.DUMMYFUNCTION("""COMPUTED_VALUE"""),"United Kingdom")</f>
        <v>United Kingdom</v>
      </c>
      <c r="I891" s="7">
        <f>IFERROR(__xludf.DUMMYFUNCTION("""COMPUTED_VALUE"""),40148.0)</f>
        <v>40148</v>
      </c>
      <c r="J891" s="8">
        <f>IFERROR(__xludf.DUMMYFUNCTION("""COMPUTED_VALUE"""),0.5097222222211713)</f>
        <v>0.5097222222</v>
      </c>
      <c r="K891" s="2">
        <f>IFERROR(__xludf.DUMMYFUNCTION("""COMPUTED_VALUE"""),12.0)</f>
        <v>12</v>
      </c>
      <c r="L891" s="2">
        <f>IFERROR(__xludf.DUMMYFUNCTION("""COMPUTED_VALUE"""),3.75)</f>
        <v>3.75</v>
      </c>
    </row>
    <row r="892">
      <c r="A892" s="2">
        <f>IFERROR(__xludf.DUMMYFUNCTION("""COMPUTED_VALUE"""),489537.0)</f>
        <v>489537</v>
      </c>
      <c r="B892" s="2" t="str">
        <f>IFERROR(__xludf.DUMMYFUNCTION("""COMPUTED_VALUE"""),"72801F")</f>
        <v>72801F</v>
      </c>
      <c r="C892" s="2" t="str">
        <f>IFERROR(__xludf.DUMMYFUNCTION("""COMPUTED_VALUE"""),"S/4 FESTIVE RED DINNER CANDLES")</f>
        <v>S/4 FESTIVE RED DINNER CANDLES</v>
      </c>
      <c r="D892" s="2">
        <f>IFERROR(__xludf.DUMMYFUNCTION("""COMPUTED_VALUE"""),6.0)</f>
        <v>6</v>
      </c>
      <c r="E892" s="6">
        <f>IFERROR(__xludf.DUMMYFUNCTION("""COMPUTED_VALUE"""),40148.509722222225)</f>
        <v>40148.50972</v>
      </c>
      <c r="F892" s="2">
        <f>IFERROR(__xludf.DUMMYFUNCTION("""COMPUTED_VALUE"""),1.25)</f>
        <v>1.25</v>
      </c>
      <c r="G892" s="2">
        <f>IFERROR(__xludf.DUMMYFUNCTION("""COMPUTED_VALUE"""),14040.0)</f>
        <v>14040</v>
      </c>
      <c r="H892" s="2" t="str">
        <f>IFERROR(__xludf.DUMMYFUNCTION("""COMPUTED_VALUE"""),"United Kingdom")</f>
        <v>United Kingdom</v>
      </c>
      <c r="I892" s="7">
        <f>IFERROR(__xludf.DUMMYFUNCTION("""COMPUTED_VALUE"""),40148.0)</f>
        <v>40148</v>
      </c>
      <c r="J892" s="8">
        <f>IFERROR(__xludf.DUMMYFUNCTION("""COMPUTED_VALUE"""),0.5097222222211713)</f>
        <v>0.5097222222</v>
      </c>
      <c r="K892" s="2">
        <f>IFERROR(__xludf.DUMMYFUNCTION("""COMPUTED_VALUE"""),12.0)</f>
        <v>12</v>
      </c>
      <c r="L892" s="2">
        <f>IFERROR(__xludf.DUMMYFUNCTION("""COMPUTED_VALUE"""),7.5)</f>
        <v>7.5</v>
      </c>
    </row>
    <row r="893">
      <c r="A893" s="2">
        <f>IFERROR(__xludf.DUMMYFUNCTION("""COMPUTED_VALUE"""),489537.0)</f>
        <v>489537</v>
      </c>
      <c r="B893" s="2" t="str">
        <f>IFERROR(__xludf.DUMMYFUNCTION("""COMPUTED_VALUE"""),"72801E")</f>
        <v>72801E</v>
      </c>
      <c r="C893" s="2" t="str">
        <f>IFERROR(__xludf.DUMMYFUNCTION("""COMPUTED_VALUE"""),"S/4 FESTIVE GREEN DINNER CANDLES")</f>
        <v>S/4 FESTIVE GREEN DINNER CANDLES</v>
      </c>
      <c r="D893" s="2">
        <f>IFERROR(__xludf.DUMMYFUNCTION("""COMPUTED_VALUE"""),6.0)</f>
        <v>6</v>
      </c>
      <c r="E893" s="6">
        <f>IFERROR(__xludf.DUMMYFUNCTION("""COMPUTED_VALUE"""),40148.509722222225)</f>
        <v>40148.50972</v>
      </c>
      <c r="F893" s="2">
        <f>IFERROR(__xludf.DUMMYFUNCTION("""COMPUTED_VALUE"""),1.25)</f>
        <v>1.25</v>
      </c>
      <c r="G893" s="2">
        <f>IFERROR(__xludf.DUMMYFUNCTION("""COMPUTED_VALUE"""),14040.0)</f>
        <v>14040</v>
      </c>
      <c r="H893" s="2" t="str">
        <f>IFERROR(__xludf.DUMMYFUNCTION("""COMPUTED_VALUE"""),"United Kingdom")</f>
        <v>United Kingdom</v>
      </c>
      <c r="I893" s="7">
        <f>IFERROR(__xludf.DUMMYFUNCTION("""COMPUTED_VALUE"""),40148.0)</f>
        <v>40148</v>
      </c>
      <c r="J893" s="8">
        <f>IFERROR(__xludf.DUMMYFUNCTION("""COMPUTED_VALUE"""),0.5097222222211713)</f>
        <v>0.5097222222</v>
      </c>
      <c r="K893" s="2">
        <f>IFERROR(__xludf.DUMMYFUNCTION("""COMPUTED_VALUE"""),12.0)</f>
        <v>12</v>
      </c>
      <c r="L893" s="2">
        <f>IFERROR(__xludf.DUMMYFUNCTION("""COMPUTED_VALUE"""),7.5)</f>
        <v>7.5</v>
      </c>
    </row>
    <row r="894">
      <c r="A894" s="2">
        <f>IFERROR(__xludf.DUMMYFUNCTION("""COMPUTED_VALUE"""),489537.0)</f>
        <v>489537</v>
      </c>
      <c r="B894" s="2" t="str">
        <f>IFERROR(__xludf.DUMMYFUNCTION("""COMPUTED_VALUE"""),"21790")</f>
        <v>21790</v>
      </c>
      <c r="C894" s="2" t="str">
        <f>IFERROR(__xludf.DUMMYFUNCTION("""COMPUTED_VALUE"""),"VINTAGE SNAP CARDS")</f>
        <v>VINTAGE SNAP CARDS</v>
      </c>
      <c r="D894" s="2">
        <f>IFERROR(__xludf.DUMMYFUNCTION("""COMPUTED_VALUE"""),11.0)</f>
        <v>11</v>
      </c>
      <c r="E894" s="6">
        <f>IFERROR(__xludf.DUMMYFUNCTION("""COMPUTED_VALUE"""),40148.509722222225)</f>
        <v>40148.50972</v>
      </c>
      <c r="F894" s="2">
        <f>IFERROR(__xludf.DUMMYFUNCTION("""COMPUTED_VALUE"""),0.85)</f>
        <v>0.85</v>
      </c>
      <c r="G894" s="2">
        <f>IFERROR(__xludf.DUMMYFUNCTION("""COMPUTED_VALUE"""),14040.0)</f>
        <v>14040</v>
      </c>
      <c r="H894" s="2" t="str">
        <f>IFERROR(__xludf.DUMMYFUNCTION("""COMPUTED_VALUE"""),"United Kingdom")</f>
        <v>United Kingdom</v>
      </c>
      <c r="I894" s="7">
        <f>IFERROR(__xludf.DUMMYFUNCTION("""COMPUTED_VALUE"""),40148.0)</f>
        <v>40148</v>
      </c>
      <c r="J894" s="8">
        <f>IFERROR(__xludf.DUMMYFUNCTION("""COMPUTED_VALUE"""),0.5097222222211713)</f>
        <v>0.5097222222</v>
      </c>
      <c r="K894" s="2">
        <f>IFERROR(__xludf.DUMMYFUNCTION("""COMPUTED_VALUE"""),12.0)</f>
        <v>12</v>
      </c>
      <c r="L894" s="2">
        <f>IFERROR(__xludf.DUMMYFUNCTION("""COMPUTED_VALUE"""),9.35)</f>
        <v>9.35</v>
      </c>
    </row>
    <row r="895">
      <c r="A895" s="2">
        <f>IFERROR(__xludf.DUMMYFUNCTION("""COMPUTED_VALUE"""),489537.0)</f>
        <v>489537</v>
      </c>
      <c r="B895" s="2" t="str">
        <f>IFERROR(__xludf.DUMMYFUNCTION("""COMPUTED_VALUE"""),"21791")</f>
        <v>21791</v>
      </c>
      <c r="C895" s="2" t="str">
        <f>IFERROR(__xludf.DUMMYFUNCTION("""COMPUTED_VALUE"""),"VINTAGE HEADS AND TAILS CARD GAME")</f>
        <v>VINTAGE HEADS AND TAILS CARD GAME</v>
      </c>
      <c r="D895" s="2">
        <f>IFERROR(__xludf.DUMMYFUNCTION("""COMPUTED_VALUE"""),6.0)</f>
        <v>6</v>
      </c>
      <c r="E895" s="6">
        <f>IFERROR(__xludf.DUMMYFUNCTION("""COMPUTED_VALUE"""),40148.509722222225)</f>
        <v>40148.50972</v>
      </c>
      <c r="F895" s="2">
        <f>IFERROR(__xludf.DUMMYFUNCTION("""COMPUTED_VALUE"""),1.25)</f>
        <v>1.25</v>
      </c>
      <c r="G895" s="2">
        <f>IFERROR(__xludf.DUMMYFUNCTION("""COMPUTED_VALUE"""),14040.0)</f>
        <v>14040</v>
      </c>
      <c r="H895" s="2" t="str">
        <f>IFERROR(__xludf.DUMMYFUNCTION("""COMPUTED_VALUE"""),"United Kingdom")</f>
        <v>United Kingdom</v>
      </c>
      <c r="I895" s="7">
        <f>IFERROR(__xludf.DUMMYFUNCTION("""COMPUTED_VALUE"""),40148.0)</f>
        <v>40148</v>
      </c>
      <c r="J895" s="8">
        <f>IFERROR(__xludf.DUMMYFUNCTION("""COMPUTED_VALUE"""),0.5097222222211713)</f>
        <v>0.5097222222</v>
      </c>
      <c r="K895" s="2">
        <f>IFERROR(__xludf.DUMMYFUNCTION("""COMPUTED_VALUE"""),12.0)</f>
        <v>12</v>
      </c>
      <c r="L895" s="2">
        <f>IFERROR(__xludf.DUMMYFUNCTION("""COMPUTED_VALUE"""),7.5)</f>
        <v>7.5</v>
      </c>
    </row>
    <row r="896">
      <c r="A896" s="2">
        <f>IFERROR(__xludf.DUMMYFUNCTION("""COMPUTED_VALUE"""),489537.0)</f>
        <v>489537</v>
      </c>
      <c r="B896" s="2" t="str">
        <f>IFERROR(__xludf.DUMMYFUNCTION("""COMPUTED_VALUE"""),"21888")</f>
        <v>21888</v>
      </c>
      <c r="C896" s="2" t="str">
        <f>IFERROR(__xludf.DUMMYFUNCTION("""COMPUTED_VALUE"""),"BINGO SET")</f>
        <v>BINGO SET</v>
      </c>
      <c r="D896" s="2">
        <f>IFERROR(__xludf.DUMMYFUNCTION("""COMPUTED_VALUE"""),3.0)</f>
        <v>3</v>
      </c>
      <c r="E896" s="6">
        <f>IFERROR(__xludf.DUMMYFUNCTION("""COMPUTED_VALUE"""),40148.509722222225)</f>
        <v>40148.50972</v>
      </c>
      <c r="F896" s="2">
        <f>IFERROR(__xludf.DUMMYFUNCTION("""COMPUTED_VALUE"""),3.75)</f>
        <v>3.75</v>
      </c>
      <c r="G896" s="2">
        <f>IFERROR(__xludf.DUMMYFUNCTION("""COMPUTED_VALUE"""),14040.0)</f>
        <v>14040</v>
      </c>
      <c r="H896" s="2" t="str">
        <f>IFERROR(__xludf.DUMMYFUNCTION("""COMPUTED_VALUE"""),"United Kingdom")</f>
        <v>United Kingdom</v>
      </c>
      <c r="I896" s="7">
        <f>IFERROR(__xludf.DUMMYFUNCTION("""COMPUTED_VALUE"""),40148.0)</f>
        <v>40148</v>
      </c>
      <c r="J896" s="8">
        <f>IFERROR(__xludf.DUMMYFUNCTION("""COMPUTED_VALUE"""),0.5097222222211713)</f>
        <v>0.5097222222</v>
      </c>
      <c r="K896" s="2">
        <f>IFERROR(__xludf.DUMMYFUNCTION("""COMPUTED_VALUE"""),12.0)</f>
        <v>12</v>
      </c>
      <c r="L896" s="2">
        <f>IFERROR(__xludf.DUMMYFUNCTION("""COMPUTED_VALUE"""),11.25)</f>
        <v>11.25</v>
      </c>
    </row>
    <row r="897">
      <c r="A897" s="2">
        <f>IFERROR(__xludf.DUMMYFUNCTION("""COMPUTED_VALUE"""),489537.0)</f>
        <v>489537</v>
      </c>
      <c r="B897" s="2" t="str">
        <f>IFERROR(__xludf.DUMMYFUNCTION("""COMPUTED_VALUE"""),"21351")</f>
        <v>21351</v>
      </c>
      <c r="C897" s="2" t="str">
        <f>IFERROR(__xludf.DUMMYFUNCTION("""COMPUTED_VALUE"""),"CINAMMON &amp; ORANGE WREATH")</f>
        <v>CINAMMON &amp; ORANGE WREATH</v>
      </c>
      <c r="D897" s="2">
        <f>IFERROR(__xludf.DUMMYFUNCTION("""COMPUTED_VALUE"""),2.0)</f>
        <v>2</v>
      </c>
      <c r="E897" s="6">
        <f>IFERROR(__xludf.DUMMYFUNCTION("""COMPUTED_VALUE"""),40148.509722222225)</f>
        <v>40148.50972</v>
      </c>
      <c r="F897" s="2">
        <f>IFERROR(__xludf.DUMMYFUNCTION("""COMPUTED_VALUE"""),6.75)</f>
        <v>6.75</v>
      </c>
      <c r="G897" s="2">
        <f>IFERROR(__xludf.DUMMYFUNCTION("""COMPUTED_VALUE"""),14040.0)</f>
        <v>14040</v>
      </c>
      <c r="H897" s="2" t="str">
        <f>IFERROR(__xludf.DUMMYFUNCTION("""COMPUTED_VALUE"""),"United Kingdom")</f>
        <v>United Kingdom</v>
      </c>
      <c r="I897" s="7">
        <f>IFERROR(__xludf.DUMMYFUNCTION("""COMPUTED_VALUE"""),40148.0)</f>
        <v>40148</v>
      </c>
      <c r="J897" s="8">
        <f>IFERROR(__xludf.DUMMYFUNCTION("""COMPUTED_VALUE"""),0.5097222222211713)</f>
        <v>0.5097222222</v>
      </c>
      <c r="K897" s="2">
        <f>IFERROR(__xludf.DUMMYFUNCTION("""COMPUTED_VALUE"""),12.0)</f>
        <v>12</v>
      </c>
      <c r="L897" s="2">
        <f>IFERROR(__xludf.DUMMYFUNCTION("""COMPUTED_VALUE"""),13.5)</f>
        <v>13.5</v>
      </c>
    </row>
    <row r="898">
      <c r="A898" s="2"/>
      <c r="B898" s="2" t="str">
        <f>IFERROR(__xludf.DUMMYFUNCTION("""COMPUTED_VALUE"""),"22183")</f>
        <v>22183</v>
      </c>
      <c r="C898" s="2" t="str">
        <f>IFERROR(__xludf.DUMMYFUNCTION("""COMPUTED_VALUE"""),"CAKE STAND VICTORIAN FILIGREE MED")</f>
        <v>CAKE STAND VICTORIAN FILIGREE MED</v>
      </c>
      <c r="D898" s="2">
        <f>IFERROR(__xludf.DUMMYFUNCTION("""COMPUTED_VALUE"""),-4.0)</f>
        <v>-4</v>
      </c>
      <c r="E898" s="6">
        <f>IFERROR(__xludf.DUMMYFUNCTION("""COMPUTED_VALUE"""),40148.5125)</f>
        <v>40148.5125</v>
      </c>
      <c r="F898" s="2">
        <f>IFERROR(__xludf.DUMMYFUNCTION("""COMPUTED_VALUE"""),6.75)</f>
        <v>6.75</v>
      </c>
      <c r="G898" s="2">
        <f>IFERROR(__xludf.DUMMYFUNCTION("""COMPUTED_VALUE"""),15796.0)</f>
        <v>15796</v>
      </c>
      <c r="H898" s="2" t="str">
        <f>IFERROR(__xludf.DUMMYFUNCTION("""COMPUTED_VALUE"""),"United Kingdom")</f>
        <v>United Kingdom</v>
      </c>
      <c r="I898" s="7">
        <f>IFERROR(__xludf.DUMMYFUNCTION("""COMPUTED_VALUE"""),40148.0)</f>
        <v>40148</v>
      </c>
      <c r="J898" s="8">
        <f>IFERROR(__xludf.DUMMYFUNCTION("""COMPUTED_VALUE"""),0.5125000000007276)</f>
        <v>0.5125</v>
      </c>
      <c r="K898" s="2">
        <f>IFERROR(__xludf.DUMMYFUNCTION("""COMPUTED_VALUE"""),12.0)</f>
        <v>12</v>
      </c>
      <c r="L898" s="2">
        <f>IFERROR(__xludf.DUMMYFUNCTION("""COMPUTED_VALUE"""),-27.0)</f>
        <v>-27</v>
      </c>
    </row>
    <row r="899">
      <c r="A899" s="2"/>
      <c r="B899" s="2" t="str">
        <f>IFERROR(__xludf.DUMMYFUNCTION("""COMPUTED_VALUE"""),"POST")</f>
        <v>POST</v>
      </c>
      <c r="C899" s="2" t="str">
        <f>IFERROR(__xludf.DUMMYFUNCTION("""COMPUTED_VALUE"""),"POSTAGE")</f>
        <v>POSTAGE</v>
      </c>
      <c r="D899" s="2">
        <f>IFERROR(__xludf.DUMMYFUNCTION("""COMPUTED_VALUE"""),-1.0)</f>
        <v>-1</v>
      </c>
      <c r="E899" s="6">
        <f>IFERROR(__xludf.DUMMYFUNCTION("""COMPUTED_VALUE"""),40148.5125)</f>
        <v>40148.5125</v>
      </c>
      <c r="F899" s="2">
        <f>IFERROR(__xludf.DUMMYFUNCTION("""COMPUTED_VALUE"""),9.58)</f>
        <v>9.58</v>
      </c>
      <c r="G899" s="2">
        <f>IFERROR(__xludf.DUMMYFUNCTION("""COMPUTED_VALUE"""),15796.0)</f>
        <v>15796</v>
      </c>
      <c r="H899" s="2" t="str">
        <f>IFERROR(__xludf.DUMMYFUNCTION("""COMPUTED_VALUE"""),"United Kingdom")</f>
        <v>United Kingdom</v>
      </c>
      <c r="I899" s="7">
        <f>IFERROR(__xludf.DUMMYFUNCTION("""COMPUTED_VALUE"""),40148.0)</f>
        <v>40148</v>
      </c>
      <c r="J899" s="8">
        <f>IFERROR(__xludf.DUMMYFUNCTION("""COMPUTED_VALUE"""),0.5125000000007276)</f>
        <v>0.5125</v>
      </c>
      <c r="K899" s="2">
        <f>IFERROR(__xludf.DUMMYFUNCTION("""COMPUTED_VALUE"""),12.0)</f>
        <v>12</v>
      </c>
      <c r="L899" s="2">
        <f>IFERROR(__xludf.DUMMYFUNCTION("""COMPUTED_VALUE"""),-9.58)</f>
        <v>-9.58</v>
      </c>
    </row>
    <row r="900">
      <c r="A900" s="2">
        <f>IFERROR(__xludf.DUMMYFUNCTION("""COMPUTED_VALUE"""),489540.0)</f>
        <v>489540</v>
      </c>
      <c r="B900" s="2" t="str">
        <f>IFERROR(__xludf.DUMMYFUNCTION("""COMPUTED_VALUE"""),"21732")</f>
        <v>21732</v>
      </c>
      <c r="C900" s="2" t="str">
        <f>IFERROR(__xludf.DUMMYFUNCTION("""COMPUTED_VALUE"""),"RED HANGING METAL STAR TLIGHT HLDR")</f>
        <v>RED HANGING METAL STAR TLIGHT HLDR</v>
      </c>
      <c r="D900" s="2">
        <f>IFERROR(__xludf.DUMMYFUNCTION("""COMPUTED_VALUE"""),24.0)</f>
        <v>24</v>
      </c>
      <c r="E900" s="6">
        <f>IFERROR(__xludf.DUMMYFUNCTION("""COMPUTED_VALUE"""),40148.5125)</f>
        <v>40148.5125</v>
      </c>
      <c r="F900" s="2">
        <f>IFERROR(__xludf.DUMMYFUNCTION("""COMPUTED_VALUE"""),3.39)</f>
        <v>3.39</v>
      </c>
      <c r="G900" s="2">
        <f>IFERROR(__xludf.DUMMYFUNCTION("""COMPUTED_VALUE"""),12913.0)</f>
        <v>12913</v>
      </c>
      <c r="H900" s="2" t="str">
        <f>IFERROR(__xludf.DUMMYFUNCTION("""COMPUTED_VALUE"""),"United Kingdom")</f>
        <v>United Kingdom</v>
      </c>
      <c r="I900" s="7">
        <f>IFERROR(__xludf.DUMMYFUNCTION("""COMPUTED_VALUE"""),40148.0)</f>
        <v>40148</v>
      </c>
      <c r="J900" s="8">
        <f>IFERROR(__xludf.DUMMYFUNCTION("""COMPUTED_VALUE"""),0.5125000000007276)</f>
        <v>0.5125</v>
      </c>
      <c r="K900" s="2">
        <f>IFERROR(__xludf.DUMMYFUNCTION("""COMPUTED_VALUE"""),12.0)</f>
        <v>12</v>
      </c>
      <c r="L900" s="2">
        <f>IFERROR(__xludf.DUMMYFUNCTION("""COMPUTED_VALUE"""),81.36)</f>
        <v>81.36</v>
      </c>
    </row>
    <row r="901">
      <c r="A901" s="2">
        <f>IFERROR(__xludf.DUMMYFUNCTION("""COMPUTED_VALUE"""),489540.0)</f>
        <v>489540</v>
      </c>
      <c r="B901" s="2" t="str">
        <f>IFERROR(__xludf.DUMMYFUNCTION("""COMPUTED_VALUE"""),"21754")</f>
        <v>21754</v>
      </c>
      <c r="C901" s="2" t="str">
        <f>IFERROR(__xludf.DUMMYFUNCTION("""COMPUTED_VALUE"""),"HOME BUILDING BLOCK WORD")</f>
        <v>HOME BUILDING BLOCK WORD</v>
      </c>
      <c r="D901" s="2">
        <f>IFERROR(__xludf.DUMMYFUNCTION("""COMPUTED_VALUE"""),24.0)</f>
        <v>24</v>
      </c>
      <c r="E901" s="6">
        <f>IFERROR(__xludf.DUMMYFUNCTION("""COMPUTED_VALUE"""),40148.5125)</f>
        <v>40148.5125</v>
      </c>
      <c r="F901" s="2">
        <f>IFERROR(__xludf.DUMMYFUNCTION("""COMPUTED_VALUE"""),5.45)</f>
        <v>5.45</v>
      </c>
      <c r="G901" s="2">
        <f>IFERROR(__xludf.DUMMYFUNCTION("""COMPUTED_VALUE"""),12913.0)</f>
        <v>12913</v>
      </c>
      <c r="H901" s="2" t="str">
        <f>IFERROR(__xludf.DUMMYFUNCTION("""COMPUTED_VALUE"""),"United Kingdom")</f>
        <v>United Kingdom</v>
      </c>
      <c r="I901" s="7">
        <f>IFERROR(__xludf.DUMMYFUNCTION("""COMPUTED_VALUE"""),40148.0)</f>
        <v>40148</v>
      </c>
      <c r="J901" s="8">
        <f>IFERROR(__xludf.DUMMYFUNCTION("""COMPUTED_VALUE"""),0.5125000000007276)</f>
        <v>0.5125</v>
      </c>
      <c r="K901" s="2">
        <f>IFERROR(__xludf.DUMMYFUNCTION("""COMPUTED_VALUE"""),12.0)</f>
        <v>12</v>
      </c>
      <c r="L901" s="2">
        <f>IFERROR(__xludf.DUMMYFUNCTION("""COMPUTED_VALUE"""),130.8)</f>
        <v>130.8</v>
      </c>
    </row>
    <row r="902">
      <c r="A902" s="2">
        <f>IFERROR(__xludf.DUMMYFUNCTION("""COMPUTED_VALUE"""),489540.0)</f>
        <v>489540</v>
      </c>
      <c r="B902" s="2" t="str">
        <f>IFERROR(__xludf.DUMMYFUNCTION("""COMPUTED_VALUE"""),"22083")</f>
        <v>22083</v>
      </c>
      <c r="C902" s="2" t="str">
        <f>IFERROR(__xludf.DUMMYFUNCTION("""COMPUTED_VALUE"""),"PAPER CHAIN KIT RETRO SPOT")</f>
        <v>PAPER CHAIN KIT RETRO SPOT</v>
      </c>
      <c r="D902" s="2">
        <f>IFERROR(__xludf.DUMMYFUNCTION("""COMPUTED_VALUE"""),58.0)</f>
        <v>58</v>
      </c>
      <c r="E902" s="6">
        <f>IFERROR(__xludf.DUMMYFUNCTION("""COMPUTED_VALUE"""),40148.5125)</f>
        <v>40148.5125</v>
      </c>
      <c r="F902" s="2">
        <f>IFERROR(__xludf.DUMMYFUNCTION("""COMPUTED_VALUE"""),2.55)</f>
        <v>2.55</v>
      </c>
      <c r="G902" s="2">
        <f>IFERROR(__xludf.DUMMYFUNCTION("""COMPUTED_VALUE"""),12913.0)</f>
        <v>12913</v>
      </c>
      <c r="H902" s="2" t="str">
        <f>IFERROR(__xludf.DUMMYFUNCTION("""COMPUTED_VALUE"""),"United Kingdom")</f>
        <v>United Kingdom</v>
      </c>
      <c r="I902" s="7">
        <f>IFERROR(__xludf.DUMMYFUNCTION("""COMPUTED_VALUE"""),40148.0)</f>
        <v>40148</v>
      </c>
      <c r="J902" s="8">
        <f>IFERROR(__xludf.DUMMYFUNCTION("""COMPUTED_VALUE"""),0.5125000000007276)</f>
        <v>0.5125</v>
      </c>
      <c r="K902" s="2">
        <f>IFERROR(__xludf.DUMMYFUNCTION("""COMPUTED_VALUE"""),12.0)</f>
        <v>12</v>
      </c>
      <c r="L902" s="2">
        <f>IFERROR(__xludf.DUMMYFUNCTION("""COMPUTED_VALUE"""),147.899999999999)</f>
        <v>147.9</v>
      </c>
    </row>
    <row r="903">
      <c r="A903" s="2">
        <f>IFERROR(__xludf.DUMMYFUNCTION("""COMPUTED_VALUE"""),489540.0)</f>
        <v>489540</v>
      </c>
      <c r="B903" s="2" t="str">
        <f>IFERROR(__xludf.DUMMYFUNCTION("""COMPUTED_VALUE"""),"22086")</f>
        <v>22086</v>
      </c>
      <c r="C903" s="2" t="str">
        <f>IFERROR(__xludf.DUMMYFUNCTION("""COMPUTED_VALUE"""),"PAPER CHAIN KIT 50'S CHRISTMAS")</f>
        <v>PAPER CHAIN KIT 50'S CHRISTMAS</v>
      </c>
      <c r="D903" s="2">
        <f>IFERROR(__xludf.DUMMYFUNCTION("""COMPUTED_VALUE"""),58.0)</f>
        <v>58</v>
      </c>
      <c r="E903" s="6">
        <f>IFERROR(__xludf.DUMMYFUNCTION("""COMPUTED_VALUE"""),40148.5125)</f>
        <v>40148.5125</v>
      </c>
      <c r="F903" s="2">
        <f>IFERROR(__xludf.DUMMYFUNCTION("""COMPUTED_VALUE"""),2.55)</f>
        <v>2.55</v>
      </c>
      <c r="G903" s="2">
        <f>IFERROR(__xludf.DUMMYFUNCTION("""COMPUTED_VALUE"""),12913.0)</f>
        <v>12913</v>
      </c>
      <c r="H903" s="2" t="str">
        <f>IFERROR(__xludf.DUMMYFUNCTION("""COMPUTED_VALUE"""),"United Kingdom")</f>
        <v>United Kingdom</v>
      </c>
      <c r="I903" s="7">
        <f>IFERROR(__xludf.DUMMYFUNCTION("""COMPUTED_VALUE"""),40148.0)</f>
        <v>40148</v>
      </c>
      <c r="J903" s="8">
        <f>IFERROR(__xludf.DUMMYFUNCTION("""COMPUTED_VALUE"""),0.5125000000007276)</f>
        <v>0.5125</v>
      </c>
      <c r="K903" s="2">
        <f>IFERROR(__xludf.DUMMYFUNCTION("""COMPUTED_VALUE"""),12.0)</f>
        <v>12</v>
      </c>
      <c r="L903" s="2">
        <f>IFERROR(__xludf.DUMMYFUNCTION("""COMPUTED_VALUE"""),147.899999999999)</f>
        <v>147.9</v>
      </c>
    </row>
    <row r="904">
      <c r="A904" s="2">
        <f>IFERROR(__xludf.DUMMYFUNCTION("""COMPUTED_VALUE"""),489540.0)</f>
        <v>489540</v>
      </c>
      <c r="B904" s="2" t="str">
        <f>IFERROR(__xludf.DUMMYFUNCTION("""COMPUTED_VALUE"""),"84946")</f>
        <v>84946</v>
      </c>
      <c r="C904" s="2" t="str">
        <f>IFERROR(__xludf.DUMMYFUNCTION("""COMPUTED_VALUE"""),"ANTIQUE SILVER TEA GLASS ETCHED")</f>
        <v>ANTIQUE SILVER TEA GLASS ETCHED</v>
      </c>
      <c r="D904" s="2">
        <f>IFERROR(__xludf.DUMMYFUNCTION("""COMPUTED_VALUE"""),24.0)</f>
        <v>24</v>
      </c>
      <c r="E904" s="6">
        <f>IFERROR(__xludf.DUMMYFUNCTION("""COMPUTED_VALUE"""),40148.5125)</f>
        <v>40148.5125</v>
      </c>
      <c r="F904" s="2">
        <f>IFERROR(__xludf.DUMMYFUNCTION("""COMPUTED_VALUE"""),1.25)</f>
        <v>1.25</v>
      </c>
      <c r="G904" s="2">
        <f>IFERROR(__xludf.DUMMYFUNCTION("""COMPUTED_VALUE"""),12913.0)</f>
        <v>12913</v>
      </c>
      <c r="H904" s="2" t="str">
        <f>IFERROR(__xludf.DUMMYFUNCTION("""COMPUTED_VALUE"""),"United Kingdom")</f>
        <v>United Kingdom</v>
      </c>
      <c r="I904" s="7">
        <f>IFERROR(__xludf.DUMMYFUNCTION("""COMPUTED_VALUE"""),40148.0)</f>
        <v>40148</v>
      </c>
      <c r="J904" s="8">
        <f>IFERROR(__xludf.DUMMYFUNCTION("""COMPUTED_VALUE"""),0.5125000000007276)</f>
        <v>0.5125</v>
      </c>
      <c r="K904" s="2">
        <f>IFERROR(__xludf.DUMMYFUNCTION("""COMPUTED_VALUE"""),12.0)</f>
        <v>12</v>
      </c>
      <c r="L904" s="2">
        <f>IFERROR(__xludf.DUMMYFUNCTION("""COMPUTED_VALUE"""),30.0)</f>
        <v>30</v>
      </c>
    </row>
    <row r="905">
      <c r="A905" s="2"/>
      <c r="B905" s="2" t="str">
        <f>IFERROR(__xludf.DUMMYFUNCTION("""COMPUTED_VALUE"""),"21254")</f>
        <v>21254</v>
      </c>
      <c r="C905" s="2" t="str">
        <f>IFERROR(__xludf.DUMMYFUNCTION("""COMPUTED_VALUE"""),"SET OF KITCHEN WALL STICKERS")</f>
        <v>SET OF KITCHEN WALL STICKERS</v>
      </c>
      <c r="D905" s="2">
        <f>IFERROR(__xludf.DUMMYFUNCTION("""COMPUTED_VALUE"""),-4.0)</f>
        <v>-4</v>
      </c>
      <c r="E905" s="6">
        <f>IFERROR(__xludf.DUMMYFUNCTION("""COMPUTED_VALUE"""),40148.5125)</f>
        <v>40148.5125</v>
      </c>
      <c r="F905" s="2">
        <f>IFERROR(__xludf.DUMMYFUNCTION("""COMPUTED_VALUE"""),2.95)</f>
        <v>2.95</v>
      </c>
      <c r="G905" s="2">
        <f>IFERROR(__xludf.DUMMYFUNCTION("""COMPUTED_VALUE"""),15091.0)</f>
        <v>15091</v>
      </c>
      <c r="H905" s="2" t="str">
        <f>IFERROR(__xludf.DUMMYFUNCTION("""COMPUTED_VALUE"""),"United Kingdom")</f>
        <v>United Kingdom</v>
      </c>
      <c r="I905" s="7">
        <f>IFERROR(__xludf.DUMMYFUNCTION("""COMPUTED_VALUE"""),40148.0)</f>
        <v>40148</v>
      </c>
      <c r="J905" s="8">
        <f>IFERROR(__xludf.DUMMYFUNCTION("""COMPUTED_VALUE"""),0.5125000000007276)</f>
        <v>0.5125</v>
      </c>
      <c r="K905" s="2">
        <f>IFERROR(__xludf.DUMMYFUNCTION("""COMPUTED_VALUE"""),12.0)</f>
        <v>12</v>
      </c>
      <c r="L905" s="2">
        <f>IFERROR(__xludf.DUMMYFUNCTION("""COMPUTED_VALUE"""),-11.8)</f>
        <v>-11.8</v>
      </c>
    </row>
    <row r="906">
      <c r="A906" s="2">
        <f>IFERROR(__xludf.DUMMYFUNCTION("""COMPUTED_VALUE"""),489539.0)</f>
        <v>489539</v>
      </c>
      <c r="B906" s="2" t="str">
        <f>IFERROR(__xludf.DUMMYFUNCTION("""COMPUTED_VALUE"""),"22086")</f>
        <v>22086</v>
      </c>
      <c r="C906" s="2" t="str">
        <f>IFERROR(__xludf.DUMMYFUNCTION("""COMPUTED_VALUE"""),"PAPER CHAIN KIT 50'S CHRISTMAS")</f>
        <v>PAPER CHAIN KIT 50'S CHRISTMAS</v>
      </c>
      <c r="D906" s="2">
        <f>IFERROR(__xludf.DUMMYFUNCTION("""COMPUTED_VALUE"""),160.0)</f>
        <v>160</v>
      </c>
      <c r="E906" s="6">
        <f>IFERROR(__xludf.DUMMYFUNCTION("""COMPUTED_VALUE"""),40148.5125)</f>
        <v>40148.5125</v>
      </c>
      <c r="F906" s="2">
        <f>IFERROR(__xludf.DUMMYFUNCTION("""COMPUTED_VALUE"""),2.55)</f>
        <v>2.55</v>
      </c>
      <c r="G906" s="2">
        <f>IFERROR(__xludf.DUMMYFUNCTION("""COMPUTED_VALUE"""),15061.0)</f>
        <v>15061</v>
      </c>
      <c r="H906" s="2" t="str">
        <f>IFERROR(__xludf.DUMMYFUNCTION("""COMPUTED_VALUE"""),"United Kingdom")</f>
        <v>United Kingdom</v>
      </c>
      <c r="I906" s="7">
        <f>IFERROR(__xludf.DUMMYFUNCTION("""COMPUTED_VALUE"""),40148.0)</f>
        <v>40148</v>
      </c>
      <c r="J906" s="8">
        <f>IFERROR(__xludf.DUMMYFUNCTION("""COMPUTED_VALUE"""),0.5125000000007276)</f>
        <v>0.5125</v>
      </c>
      <c r="K906" s="2">
        <f>IFERROR(__xludf.DUMMYFUNCTION("""COMPUTED_VALUE"""),12.0)</f>
        <v>12</v>
      </c>
      <c r="L906" s="2">
        <f>IFERROR(__xludf.DUMMYFUNCTION("""COMPUTED_VALUE"""),408.0)</f>
        <v>408</v>
      </c>
    </row>
    <row r="907">
      <c r="A907" s="2">
        <f>IFERROR(__xludf.DUMMYFUNCTION("""COMPUTED_VALUE"""),489539.0)</f>
        <v>489539</v>
      </c>
      <c r="B907" s="2" t="str">
        <f>IFERROR(__xludf.DUMMYFUNCTION("""COMPUTED_VALUE"""),"22083")</f>
        <v>22083</v>
      </c>
      <c r="C907" s="2" t="str">
        <f>IFERROR(__xludf.DUMMYFUNCTION("""COMPUTED_VALUE"""),"PAPER CHAIN KIT RETRO SPOT")</f>
        <v>PAPER CHAIN KIT RETRO SPOT</v>
      </c>
      <c r="D907" s="2">
        <f>IFERROR(__xludf.DUMMYFUNCTION("""COMPUTED_VALUE"""),160.0)</f>
        <v>160</v>
      </c>
      <c r="E907" s="6">
        <f>IFERROR(__xludf.DUMMYFUNCTION("""COMPUTED_VALUE"""),40148.5125)</f>
        <v>40148.5125</v>
      </c>
      <c r="F907" s="2">
        <f>IFERROR(__xludf.DUMMYFUNCTION("""COMPUTED_VALUE"""),2.55)</f>
        <v>2.55</v>
      </c>
      <c r="G907" s="2">
        <f>IFERROR(__xludf.DUMMYFUNCTION("""COMPUTED_VALUE"""),15061.0)</f>
        <v>15061</v>
      </c>
      <c r="H907" s="2" t="str">
        <f>IFERROR(__xludf.DUMMYFUNCTION("""COMPUTED_VALUE"""),"United Kingdom")</f>
        <v>United Kingdom</v>
      </c>
      <c r="I907" s="7">
        <f>IFERROR(__xludf.DUMMYFUNCTION("""COMPUTED_VALUE"""),40148.0)</f>
        <v>40148</v>
      </c>
      <c r="J907" s="8">
        <f>IFERROR(__xludf.DUMMYFUNCTION("""COMPUTED_VALUE"""),0.5125000000007276)</f>
        <v>0.5125</v>
      </c>
      <c r="K907" s="2">
        <f>IFERROR(__xludf.DUMMYFUNCTION("""COMPUTED_VALUE"""),12.0)</f>
        <v>12</v>
      </c>
      <c r="L907" s="2">
        <f>IFERROR(__xludf.DUMMYFUNCTION("""COMPUTED_VALUE"""),408.0)</f>
        <v>408</v>
      </c>
    </row>
    <row r="908">
      <c r="A908" s="2">
        <f>IFERROR(__xludf.DUMMYFUNCTION("""COMPUTED_VALUE"""),489539.0)</f>
        <v>489539</v>
      </c>
      <c r="B908" s="2" t="str">
        <f>IFERROR(__xludf.DUMMYFUNCTION("""COMPUTED_VALUE"""),"85041")</f>
        <v>85041</v>
      </c>
      <c r="C908" s="2" t="str">
        <f>IFERROR(__xludf.DUMMYFUNCTION("""COMPUTED_VALUE"""),"SET/4 PINK ORCHID CANDLES IN BOWL")</f>
        <v>SET/4 PINK ORCHID CANDLES IN BOWL</v>
      </c>
      <c r="D908" s="2">
        <f>IFERROR(__xludf.DUMMYFUNCTION("""COMPUTED_VALUE"""),48.0)</f>
        <v>48</v>
      </c>
      <c r="E908" s="6">
        <f>IFERROR(__xludf.DUMMYFUNCTION("""COMPUTED_VALUE"""),40148.5125)</f>
        <v>40148.5125</v>
      </c>
      <c r="F908" s="2">
        <f>IFERROR(__xludf.DUMMYFUNCTION("""COMPUTED_VALUE"""),1.45)</f>
        <v>1.45</v>
      </c>
      <c r="G908" s="2">
        <f>IFERROR(__xludf.DUMMYFUNCTION("""COMPUTED_VALUE"""),15061.0)</f>
        <v>15061</v>
      </c>
      <c r="H908" s="2" t="str">
        <f>IFERROR(__xludf.DUMMYFUNCTION("""COMPUTED_VALUE"""),"United Kingdom")</f>
        <v>United Kingdom</v>
      </c>
      <c r="I908" s="7">
        <f>IFERROR(__xludf.DUMMYFUNCTION("""COMPUTED_VALUE"""),40148.0)</f>
        <v>40148</v>
      </c>
      <c r="J908" s="8">
        <f>IFERROR(__xludf.DUMMYFUNCTION("""COMPUTED_VALUE"""),0.5125000000007276)</f>
        <v>0.5125</v>
      </c>
      <c r="K908" s="2">
        <f>IFERROR(__xludf.DUMMYFUNCTION("""COMPUTED_VALUE"""),12.0)</f>
        <v>12</v>
      </c>
      <c r="L908" s="2">
        <f>IFERROR(__xludf.DUMMYFUNCTION("""COMPUTED_VALUE"""),69.6)</f>
        <v>69.6</v>
      </c>
    </row>
    <row r="909">
      <c r="A909" s="2">
        <f>IFERROR(__xludf.DUMMYFUNCTION("""COMPUTED_VALUE"""),489539.0)</f>
        <v>489539</v>
      </c>
      <c r="B909" s="2" t="str">
        <f>IFERROR(__xludf.DUMMYFUNCTION("""COMPUTED_VALUE"""),"85040B")</f>
        <v>85040B</v>
      </c>
      <c r="C909" s="2" t="str">
        <f>IFERROR(__xludf.DUMMYFUNCTION("""COMPUTED_VALUE"""),"SET/4 BLUE FLOWER CANDLES IN BOWL")</f>
        <v>SET/4 BLUE FLOWER CANDLES IN BOWL</v>
      </c>
      <c r="D909" s="2">
        <f>IFERROR(__xludf.DUMMYFUNCTION("""COMPUTED_VALUE"""),192.0)</f>
        <v>192</v>
      </c>
      <c r="E909" s="6">
        <f>IFERROR(__xludf.DUMMYFUNCTION("""COMPUTED_VALUE"""),40148.5125)</f>
        <v>40148.5125</v>
      </c>
      <c r="F909" s="2">
        <f>IFERROR(__xludf.DUMMYFUNCTION("""COMPUTED_VALUE"""),1.45)</f>
        <v>1.45</v>
      </c>
      <c r="G909" s="2">
        <f>IFERROR(__xludf.DUMMYFUNCTION("""COMPUTED_VALUE"""),15061.0)</f>
        <v>15061</v>
      </c>
      <c r="H909" s="2" t="str">
        <f>IFERROR(__xludf.DUMMYFUNCTION("""COMPUTED_VALUE"""),"United Kingdom")</f>
        <v>United Kingdom</v>
      </c>
      <c r="I909" s="7">
        <f>IFERROR(__xludf.DUMMYFUNCTION("""COMPUTED_VALUE"""),40148.0)</f>
        <v>40148</v>
      </c>
      <c r="J909" s="8">
        <f>IFERROR(__xludf.DUMMYFUNCTION("""COMPUTED_VALUE"""),0.5125000000007276)</f>
        <v>0.5125</v>
      </c>
      <c r="K909" s="2">
        <f>IFERROR(__xludf.DUMMYFUNCTION("""COMPUTED_VALUE"""),12.0)</f>
        <v>12</v>
      </c>
      <c r="L909" s="2">
        <f>IFERROR(__xludf.DUMMYFUNCTION("""COMPUTED_VALUE"""),278.4)</f>
        <v>278.4</v>
      </c>
    </row>
    <row r="910">
      <c r="A910" s="2">
        <f>IFERROR(__xludf.DUMMYFUNCTION("""COMPUTED_VALUE"""),489539.0)</f>
        <v>489539</v>
      </c>
      <c r="B910" s="2" t="str">
        <f>IFERROR(__xludf.DUMMYFUNCTION("""COMPUTED_VALUE"""),"84879")</f>
        <v>84879</v>
      </c>
      <c r="C910" s="2" t="str">
        <f>IFERROR(__xludf.DUMMYFUNCTION("""COMPUTED_VALUE"""),"ASSORTED COLOUR BIRD ORNAMENT")</f>
        <v>ASSORTED COLOUR BIRD ORNAMENT</v>
      </c>
      <c r="D910" s="2">
        <f>IFERROR(__xludf.DUMMYFUNCTION("""COMPUTED_VALUE"""),96.0)</f>
        <v>96</v>
      </c>
      <c r="E910" s="6">
        <f>IFERROR(__xludf.DUMMYFUNCTION("""COMPUTED_VALUE"""),40148.5125)</f>
        <v>40148.5125</v>
      </c>
      <c r="F910" s="2">
        <f>IFERROR(__xludf.DUMMYFUNCTION("""COMPUTED_VALUE"""),1.69)</f>
        <v>1.69</v>
      </c>
      <c r="G910" s="2">
        <f>IFERROR(__xludf.DUMMYFUNCTION("""COMPUTED_VALUE"""),15061.0)</f>
        <v>15061</v>
      </c>
      <c r="H910" s="2" t="str">
        <f>IFERROR(__xludf.DUMMYFUNCTION("""COMPUTED_VALUE"""),"United Kingdom")</f>
        <v>United Kingdom</v>
      </c>
      <c r="I910" s="7">
        <f>IFERROR(__xludf.DUMMYFUNCTION("""COMPUTED_VALUE"""),40148.0)</f>
        <v>40148</v>
      </c>
      <c r="J910" s="8">
        <f>IFERROR(__xludf.DUMMYFUNCTION("""COMPUTED_VALUE"""),0.5125000000007276)</f>
        <v>0.5125</v>
      </c>
      <c r="K910" s="2">
        <f>IFERROR(__xludf.DUMMYFUNCTION("""COMPUTED_VALUE"""),12.0)</f>
        <v>12</v>
      </c>
      <c r="L910" s="2">
        <f>IFERROR(__xludf.DUMMYFUNCTION("""COMPUTED_VALUE"""),162.24)</f>
        <v>162.24</v>
      </c>
    </row>
    <row r="911">
      <c r="A911" s="2">
        <f>IFERROR(__xludf.DUMMYFUNCTION("""COMPUTED_VALUE"""),489539.0)</f>
        <v>489539</v>
      </c>
      <c r="B911" s="2" t="str">
        <f>IFERROR(__xludf.DUMMYFUNCTION("""COMPUTED_VALUE"""),"79323P")</f>
        <v>79323P</v>
      </c>
      <c r="C911" s="2" t="str">
        <f>IFERROR(__xludf.DUMMYFUNCTION("""COMPUTED_VALUE"""),"PINK CHERRY LIGHTS")</f>
        <v>PINK CHERRY LIGHTS</v>
      </c>
      <c r="D911" s="2">
        <f>IFERROR(__xludf.DUMMYFUNCTION("""COMPUTED_VALUE"""),24.0)</f>
        <v>24</v>
      </c>
      <c r="E911" s="6">
        <f>IFERROR(__xludf.DUMMYFUNCTION("""COMPUTED_VALUE"""),40148.5125)</f>
        <v>40148.5125</v>
      </c>
      <c r="F911" s="2">
        <f>IFERROR(__xludf.DUMMYFUNCTION("""COMPUTED_VALUE"""),5.45)</f>
        <v>5.45</v>
      </c>
      <c r="G911" s="2">
        <f>IFERROR(__xludf.DUMMYFUNCTION("""COMPUTED_VALUE"""),15061.0)</f>
        <v>15061</v>
      </c>
      <c r="H911" s="2" t="str">
        <f>IFERROR(__xludf.DUMMYFUNCTION("""COMPUTED_VALUE"""),"United Kingdom")</f>
        <v>United Kingdom</v>
      </c>
      <c r="I911" s="7">
        <f>IFERROR(__xludf.DUMMYFUNCTION("""COMPUTED_VALUE"""),40148.0)</f>
        <v>40148</v>
      </c>
      <c r="J911" s="8">
        <f>IFERROR(__xludf.DUMMYFUNCTION("""COMPUTED_VALUE"""),0.5125000000007276)</f>
        <v>0.5125</v>
      </c>
      <c r="K911" s="2">
        <f>IFERROR(__xludf.DUMMYFUNCTION("""COMPUTED_VALUE"""),12.0)</f>
        <v>12</v>
      </c>
      <c r="L911" s="2">
        <f>IFERROR(__xludf.DUMMYFUNCTION("""COMPUTED_VALUE"""),130.8)</f>
        <v>130.8</v>
      </c>
    </row>
    <row r="912">
      <c r="A912" s="2">
        <f>IFERROR(__xludf.DUMMYFUNCTION("""COMPUTED_VALUE"""),489539.0)</f>
        <v>489539</v>
      </c>
      <c r="B912" s="2" t="str">
        <f>IFERROR(__xludf.DUMMYFUNCTION("""COMPUTED_VALUE"""),"48184")</f>
        <v>48184</v>
      </c>
      <c r="C912" s="2" t="str">
        <f>IFERROR(__xludf.DUMMYFUNCTION("""COMPUTED_VALUE"""),"DOOR MAT ENGLISH ROSE")</f>
        <v>DOOR MAT ENGLISH ROSE</v>
      </c>
      <c r="D912" s="2">
        <f>IFERROR(__xludf.DUMMYFUNCTION("""COMPUTED_VALUE"""),20.0)</f>
        <v>20</v>
      </c>
      <c r="E912" s="6">
        <f>IFERROR(__xludf.DUMMYFUNCTION("""COMPUTED_VALUE"""),40148.5125)</f>
        <v>40148.5125</v>
      </c>
      <c r="F912" s="2">
        <f>IFERROR(__xludf.DUMMYFUNCTION("""COMPUTED_VALUE"""),5.95)</f>
        <v>5.95</v>
      </c>
      <c r="G912" s="2">
        <f>IFERROR(__xludf.DUMMYFUNCTION("""COMPUTED_VALUE"""),15061.0)</f>
        <v>15061</v>
      </c>
      <c r="H912" s="2" t="str">
        <f>IFERROR(__xludf.DUMMYFUNCTION("""COMPUTED_VALUE"""),"United Kingdom")</f>
        <v>United Kingdom</v>
      </c>
      <c r="I912" s="7">
        <f>IFERROR(__xludf.DUMMYFUNCTION("""COMPUTED_VALUE"""),40148.0)</f>
        <v>40148</v>
      </c>
      <c r="J912" s="8">
        <f>IFERROR(__xludf.DUMMYFUNCTION("""COMPUTED_VALUE"""),0.5125000000007276)</f>
        <v>0.5125</v>
      </c>
      <c r="K912" s="2">
        <f>IFERROR(__xludf.DUMMYFUNCTION("""COMPUTED_VALUE"""),12.0)</f>
        <v>12</v>
      </c>
      <c r="L912" s="2">
        <f>IFERROR(__xludf.DUMMYFUNCTION("""COMPUTED_VALUE"""),119.0)</f>
        <v>119</v>
      </c>
    </row>
    <row r="913">
      <c r="A913" s="2">
        <f>IFERROR(__xludf.DUMMYFUNCTION("""COMPUTED_VALUE"""),489539.0)</f>
        <v>489539</v>
      </c>
      <c r="B913" s="2" t="str">
        <f>IFERROR(__xludf.DUMMYFUNCTION("""COMPUTED_VALUE"""),"37461")</f>
        <v>37461</v>
      </c>
      <c r="C913" s="2" t="str">
        <f>IFERROR(__xludf.DUMMYFUNCTION("""COMPUTED_VALUE"""),"FUNKY MONKEY MUG")</f>
        <v>FUNKY MONKEY MUG</v>
      </c>
      <c r="D913" s="2">
        <f>IFERROR(__xludf.DUMMYFUNCTION("""COMPUTED_VALUE"""),96.0)</f>
        <v>96</v>
      </c>
      <c r="E913" s="6">
        <f>IFERROR(__xludf.DUMMYFUNCTION("""COMPUTED_VALUE"""),40148.5125)</f>
        <v>40148.5125</v>
      </c>
      <c r="F913" s="2">
        <f>IFERROR(__xludf.DUMMYFUNCTION("""COMPUTED_VALUE"""),0.85)</f>
        <v>0.85</v>
      </c>
      <c r="G913" s="2">
        <f>IFERROR(__xludf.DUMMYFUNCTION("""COMPUTED_VALUE"""),15061.0)</f>
        <v>15061</v>
      </c>
      <c r="H913" s="2" t="str">
        <f>IFERROR(__xludf.DUMMYFUNCTION("""COMPUTED_VALUE"""),"United Kingdom")</f>
        <v>United Kingdom</v>
      </c>
      <c r="I913" s="7">
        <f>IFERROR(__xludf.DUMMYFUNCTION("""COMPUTED_VALUE"""),40148.0)</f>
        <v>40148</v>
      </c>
      <c r="J913" s="8">
        <f>IFERROR(__xludf.DUMMYFUNCTION("""COMPUTED_VALUE"""),0.5125000000007276)</f>
        <v>0.5125</v>
      </c>
      <c r="K913" s="2">
        <f>IFERROR(__xludf.DUMMYFUNCTION("""COMPUTED_VALUE"""),12.0)</f>
        <v>12</v>
      </c>
      <c r="L913" s="2">
        <f>IFERROR(__xludf.DUMMYFUNCTION("""COMPUTED_VALUE"""),81.6)</f>
        <v>81.6</v>
      </c>
    </row>
    <row r="914">
      <c r="A914" s="2">
        <f>IFERROR(__xludf.DUMMYFUNCTION("""COMPUTED_VALUE"""),489539.0)</f>
        <v>489539</v>
      </c>
      <c r="B914" s="2" t="str">
        <f>IFERROR(__xludf.DUMMYFUNCTION("""COMPUTED_VALUE"""),"22139")</f>
        <v>22139</v>
      </c>
      <c r="C914" s="2" t="str">
        <f>IFERROR(__xludf.DUMMYFUNCTION("""COMPUTED_VALUE"""),"RETRO SPOT TEA SET CERAMIC 11 PC")</f>
        <v>RETRO SPOT TEA SET CERAMIC 11 PC</v>
      </c>
      <c r="D914" s="2">
        <f>IFERROR(__xludf.DUMMYFUNCTION("""COMPUTED_VALUE"""),72.0)</f>
        <v>72</v>
      </c>
      <c r="E914" s="6">
        <f>IFERROR(__xludf.DUMMYFUNCTION("""COMPUTED_VALUE"""),40148.5125)</f>
        <v>40148.5125</v>
      </c>
      <c r="F914" s="2">
        <f>IFERROR(__xludf.DUMMYFUNCTION("""COMPUTED_VALUE"""),4.25)</f>
        <v>4.25</v>
      </c>
      <c r="G914" s="2">
        <f>IFERROR(__xludf.DUMMYFUNCTION("""COMPUTED_VALUE"""),15061.0)</f>
        <v>15061</v>
      </c>
      <c r="H914" s="2" t="str">
        <f>IFERROR(__xludf.DUMMYFUNCTION("""COMPUTED_VALUE"""),"United Kingdom")</f>
        <v>United Kingdom</v>
      </c>
      <c r="I914" s="7">
        <f>IFERROR(__xludf.DUMMYFUNCTION("""COMPUTED_VALUE"""),40148.0)</f>
        <v>40148</v>
      </c>
      <c r="J914" s="8">
        <f>IFERROR(__xludf.DUMMYFUNCTION("""COMPUTED_VALUE"""),0.5125000000007276)</f>
        <v>0.5125</v>
      </c>
      <c r="K914" s="2">
        <f>IFERROR(__xludf.DUMMYFUNCTION("""COMPUTED_VALUE"""),12.0)</f>
        <v>12</v>
      </c>
      <c r="L914" s="2">
        <f>IFERROR(__xludf.DUMMYFUNCTION("""COMPUTED_VALUE"""),306.0)</f>
        <v>306</v>
      </c>
    </row>
    <row r="915">
      <c r="A915" s="2">
        <f>IFERROR(__xludf.DUMMYFUNCTION("""COMPUTED_VALUE"""),489539.0)</f>
        <v>489539</v>
      </c>
      <c r="B915" s="2" t="str">
        <f>IFERROR(__xludf.DUMMYFUNCTION("""COMPUTED_VALUE"""),"21700")</f>
        <v>21700</v>
      </c>
      <c r="C915" s="2" t="str">
        <f>IFERROR(__xludf.DUMMYFUNCTION("""COMPUTED_VALUE"""),"BIG DOUGHNUT FRIDGE MAGNETS")</f>
        <v>BIG DOUGHNUT FRIDGE MAGNETS</v>
      </c>
      <c r="D915" s="2">
        <f>IFERROR(__xludf.DUMMYFUNCTION("""COMPUTED_VALUE"""),144.0)</f>
        <v>144</v>
      </c>
      <c r="E915" s="6">
        <f>IFERROR(__xludf.DUMMYFUNCTION("""COMPUTED_VALUE"""),40148.5125)</f>
        <v>40148.5125</v>
      </c>
      <c r="F915" s="2">
        <f>IFERROR(__xludf.DUMMYFUNCTION("""COMPUTED_VALUE"""),0.85)</f>
        <v>0.85</v>
      </c>
      <c r="G915" s="2">
        <f>IFERROR(__xludf.DUMMYFUNCTION("""COMPUTED_VALUE"""),15061.0)</f>
        <v>15061</v>
      </c>
      <c r="H915" s="2" t="str">
        <f>IFERROR(__xludf.DUMMYFUNCTION("""COMPUTED_VALUE"""),"United Kingdom")</f>
        <v>United Kingdom</v>
      </c>
      <c r="I915" s="7">
        <f>IFERROR(__xludf.DUMMYFUNCTION("""COMPUTED_VALUE"""),40148.0)</f>
        <v>40148</v>
      </c>
      <c r="J915" s="8">
        <f>IFERROR(__xludf.DUMMYFUNCTION("""COMPUTED_VALUE"""),0.5125000000007276)</f>
        <v>0.5125</v>
      </c>
      <c r="K915" s="2">
        <f>IFERROR(__xludf.DUMMYFUNCTION("""COMPUTED_VALUE"""),12.0)</f>
        <v>12</v>
      </c>
      <c r="L915" s="2">
        <f>IFERROR(__xludf.DUMMYFUNCTION("""COMPUTED_VALUE"""),122.399999999999)</f>
        <v>122.4</v>
      </c>
    </row>
    <row r="916">
      <c r="A916" s="2">
        <f>IFERROR(__xludf.DUMMYFUNCTION("""COMPUTED_VALUE"""),489539.0)</f>
        <v>489539</v>
      </c>
      <c r="B916" s="2" t="str">
        <f>IFERROR(__xludf.DUMMYFUNCTION("""COMPUTED_VALUE"""),"21673")</f>
        <v>21673</v>
      </c>
      <c r="C916" s="2" t="str">
        <f>IFERROR(__xludf.DUMMYFUNCTION("""COMPUTED_VALUE"""),"WHITE SPOT BLUE CERAMIC DRAWER KNOB")</f>
        <v>WHITE SPOT BLUE CERAMIC DRAWER KNOB</v>
      </c>
      <c r="D916" s="2">
        <f>IFERROR(__xludf.DUMMYFUNCTION("""COMPUTED_VALUE"""),60.0)</f>
        <v>60</v>
      </c>
      <c r="E916" s="6">
        <f>IFERROR(__xludf.DUMMYFUNCTION("""COMPUTED_VALUE"""),40148.5125)</f>
        <v>40148.5125</v>
      </c>
      <c r="F916" s="2">
        <f>IFERROR(__xludf.DUMMYFUNCTION("""COMPUTED_VALUE"""),1.06)</f>
        <v>1.06</v>
      </c>
      <c r="G916" s="2">
        <f>IFERROR(__xludf.DUMMYFUNCTION("""COMPUTED_VALUE"""),15061.0)</f>
        <v>15061</v>
      </c>
      <c r="H916" s="2" t="str">
        <f>IFERROR(__xludf.DUMMYFUNCTION("""COMPUTED_VALUE"""),"United Kingdom")</f>
        <v>United Kingdom</v>
      </c>
      <c r="I916" s="7">
        <f>IFERROR(__xludf.DUMMYFUNCTION("""COMPUTED_VALUE"""),40148.0)</f>
        <v>40148</v>
      </c>
      <c r="J916" s="8">
        <f>IFERROR(__xludf.DUMMYFUNCTION("""COMPUTED_VALUE"""),0.5125000000007276)</f>
        <v>0.5125</v>
      </c>
      <c r="K916" s="2">
        <f>IFERROR(__xludf.DUMMYFUNCTION("""COMPUTED_VALUE"""),12.0)</f>
        <v>12</v>
      </c>
      <c r="L916" s="2">
        <f>IFERROR(__xludf.DUMMYFUNCTION("""COMPUTED_VALUE"""),63.6)</f>
        <v>63.6</v>
      </c>
    </row>
    <row r="917">
      <c r="A917" s="2">
        <f>IFERROR(__xludf.DUMMYFUNCTION("""COMPUTED_VALUE"""),489539.0)</f>
        <v>489539</v>
      </c>
      <c r="B917" s="2" t="str">
        <f>IFERROR(__xludf.DUMMYFUNCTION("""COMPUTED_VALUE"""),"21671")</f>
        <v>21671</v>
      </c>
      <c r="C917" s="2" t="str">
        <f>IFERROR(__xludf.DUMMYFUNCTION("""COMPUTED_VALUE"""),"RED SPOT CERAMIC DRAWER KNOB")</f>
        <v>RED SPOT CERAMIC DRAWER KNOB</v>
      </c>
      <c r="D917" s="2">
        <f>IFERROR(__xludf.DUMMYFUNCTION("""COMPUTED_VALUE"""),60.0)</f>
        <v>60</v>
      </c>
      <c r="E917" s="6">
        <f>IFERROR(__xludf.DUMMYFUNCTION("""COMPUTED_VALUE"""),40148.5125)</f>
        <v>40148.5125</v>
      </c>
      <c r="F917" s="2">
        <f>IFERROR(__xludf.DUMMYFUNCTION("""COMPUTED_VALUE"""),1.06)</f>
        <v>1.06</v>
      </c>
      <c r="G917" s="2">
        <f>IFERROR(__xludf.DUMMYFUNCTION("""COMPUTED_VALUE"""),15061.0)</f>
        <v>15061</v>
      </c>
      <c r="H917" s="2" t="str">
        <f>IFERROR(__xludf.DUMMYFUNCTION("""COMPUTED_VALUE"""),"United Kingdom")</f>
        <v>United Kingdom</v>
      </c>
      <c r="I917" s="7">
        <f>IFERROR(__xludf.DUMMYFUNCTION("""COMPUTED_VALUE"""),40148.0)</f>
        <v>40148</v>
      </c>
      <c r="J917" s="8">
        <f>IFERROR(__xludf.DUMMYFUNCTION("""COMPUTED_VALUE"""),0.5125000000007276)</f>
        <v>0.5125</v>
      </c>
      <c r="K917" s="2">
        <f>IFERROR(__xludf.DUMMYFUNCTION("""COMPUTED_VALUE"""),12.0)</f>
        <v>12</v>
      </c>
      <c r="L917" s="2">
        <f>IFERROR(__xludf.DUMMYFUNCTION("""COMPUTED_VALUE"""),63.6)</f>
        <v>63.6</v>
      </c>
    </row>
    <row r="918">
      <c r="A918" s="2">
        <f>IFERROR(__xludf.DUMMYFUNCTION("""COMPUTED_VALUE"""),489539.0)</f>
        <v>489539</v>
      </c>
      <c r="B918" s="2" t="str">
        <f>IFERROR(__xludf.DUMMYFUNCTION("""COMPUTED_VALUE"""),"21669")</f>
        <v>21669</v>
      </c>
      <c r="C918" s="2" t="str">
        <f>IFERROR(__xludf.DUMMYFUNCTION("""COMPUTED_VALUE"""),"BLUE STRIPE CERAMIC DRAWER KNOB")</f>
        <v>BLUE STRIPE CERAMIC DRAWER KNOB</v>
      </c>
      <c r="D918" s="2">
        <f>IFERROR(__xludf.DUMMYFUNCTION("""COMPUTED_VALUE"""),60.0)</f>
        <v>60</v>
      </c>
      <c r="E918" s="6">
        <f>IFERROR(__xludf.DUMMYFUNCTION("""COMPUTED_VALUE"""),40148.5125)</f>
        <v>40148.5125</v>
      </c>
      <c r="F918" s="2">
        <f>IFERROR(__xludf.DUMMYFUNCTION("""COMPUTED_VALUE"""),1.06)</f>
        <v>1.06</v>
      </c>
      <c r="G918" s="2">
        <f>IFERROR(__xludf.DUMMYFUNCTION("""COMPUTED_VALUE"""),15061.0)</f>
        <v>15061</v>
      </c>
      <c r="H918" s="2" t="str">
        <f>IFERROR(__xludf.DUMMYFUNCTION("""COMPUTED_VALUE"""),"United Kingdom")</f>
        <v>United Kingdom</v>
      </c>
      <c r="I918" s="7">
        <f>IFERROR(__xludf.DUMMYFUNCTION("""COMPUTED_VALUE"""),40148.0)</f>
        <v>40148</v>
      </c>
      <c r="J918" s="8">
        <f>IFERROR(__xludf.DUMMYFUNCTION("""COMPUTED_VALUE"""),0.5125000000007276)</f>
        <v>0.5125</v>
      </c>
      <c r="K918" s="2">
        <f>IFERROR(__xludf.DUMMYFUNCTION("""COMPUTED_VALUE"""),12.0)</f>
        <v>12</v>
      </c>
      <c r="L918" s="2">
        <f>IFERROR(__xludf.DUMMYFUNCTION("""COMPUTED_VALUE"""),63.6)</f>
        <v>63.6</v>
      </c>
    </row>
    <row r="919">
      <c r="A919" s="2">
        <f>IFERROR(__xludf.DUMMYFUNCTION("""COMPUTED_VALUE"""),489539.0)</f>
        <v>489539</v>
      </c>
      <c r="B919" s="2" t="str">
        <f>IFERROR(__xludf.DUMMYFUNCTION("""COMPUTED_VALUE"""),"21500")</f>
        <v>21500</v>
      </c>
      <c r="C919" s="2" t="str">
        <f>IFERROR(__xludf.DUMMYFUNCTION("""COMPUTED_VALUE"""),"PINK SPOTS WRAP")</f>
        <v>PINK SPOTS WRAP</v>
      </c>
      <c r="D919" s="2">
        <f>IFERROR(__xludf.DUMMYFUNCTION("""COMPUTED_VALUE"""),100.0)</f>
        <v>100</v>
      </c>
      <c r="E919" s="6">
        <f>IFERROR(__xludf.DUMMYFUNCTION("""COMPUTED_VALUE"""),40148.5125)</f>
        <v>40148.5125</v>
      </c>
      <c r="F919" s="2">
        <f>IFERROR(__xludf.DUMMYFUNCTION("""COMPUTED_VALUE"""),0.34)</f>
        <v>0.34</v>
      </c>
      <c r="G919" s="2">
        <f>IFERROR(__xludf.DUMMYFUNCTION("""COMPUTED_VALUE"""),15061.0)</f>
        <v>15061</v>
      </c>
      <c r="H919" s="2" t="str">
        <f>IFERROR(__xludf.DUMMYFUNCTION("""COMPUTED_VALUE"""),"United Kingdom")</f>
        <v>United Kingdom</v>
      </c>
      <c r="I919" s="7">
        <f>IFERROR(__xludf.DUMMYFUNCTION("""COMPUTED_VALUE"""),40148.0)</f>
        <v>40148</v>
      </c>
      <c r="J919" s="8">
        <f>IFERROR(__xludf.DUMMYFUNCTION("""COMPUTED_VALUE"""),0.5125000000007276)</f>
        <v>0.5125</v>
      </c>
      <c r="K919" s="2">
        <f>IFERROR(__xludf.DUMMYFUNCTION("""COMPUTED_VALUE"""),12.0)</f>
        <v>12</v>
      </c>
      <c r="L919" s="2">
        <f>IFERROR(__xludf.DUMMYFUNCTION("""COMPUTED_VALUE"""),34.0)</f>
        <v>34</v>
      </c>
    </row>
    <row r="920">
      <c r="A920" s="2">
        <f>IFERROR(__xludf.DUMMYFUNCTION("""COMPUTED_VALUE"""),489539.0)</f>
        <v>489539</v>
      </c>
      <c r="B920" s="2" t="str">
        <f>IFERROR(__xludf.DUMMYFUNCTION("""COMPUTED_VALUE"""),"20692")</f>
        <v>20692</v>
      </c>
      <c r="C920" s="2" t="str">
        <f>IFERROR(__xludf.DUMMYFUNCTION("""COMPUTED_VALUE"""),"FLORAL ELEPHANT SOFT TOY")</f>
        <v>FLORAL ELEPHANT SOFT TOY</v>
      </c>
      <c r="D920" s="2">
        <f>IFERROR(__xludf.DUMMYFUNCTION("""COMPUTED_VALUE"""),96.0)</f>
        <v>96</v>
      </c>
      <c r="E920" s="6">
        <f>IFERROR(__xludf.DUMMYFUNCTION("""COMPUTED_VALUE"""),40148.5125)</f>
        <v>40148.5125</v>
      </c>
      <c r="F920" s="2">
        <f>IFERROR(__xludf.DUMMYFUNCTION("""COMPUTED_VALUE"""),3.75)</f>
        <v>3.75</v>
      </c>
      <c r="G920" s="2">
        <f>IFERROR(__xludf.DUMMYFUNCTION("""COMPUTED_VALUE"""),15061.0)</f>
        <v>15061</v>
      </c>
      <c r="H920" s="2" t="str">
        <f>IFERROR(__xludf.DUMMYFUNCTION("""COMPUTED_VALUE"""),"United Kingdom")</f>
        <v>United Kingdom</v>
      </c>
      <c r="I920" s="7">
        <f>IFERROR(__xludf.DUMMYFUNCTION("""COMPUTED_VALUE"""),40148.0)</f>
        <v>40148</v>
      </c>
      <c r="J920" s="8">
        <f>IFERROR(__xludf.DUMMYFUNCTION("""COMPUTED_VALUE"""),0.5125000000007276)</f>
        <v>0.5125</v>
      </c>
      <c r="K920" s="2">
        <f>IFERROR(__xludf.DUMMYFUNCTION("""COMPUTED_VALUE"""),12.0)</f>
        <v>12</v>
      </c>
      <c r="L920" s="2">
        <f>IFERROR(__xludf.DUMMYFUNCTION("""COMPUTED_VALUE"""),360.0)</f>
        <v>360</v>
      </c>
    </row>
    <row r="921">
      <c r="A921" s="2">
        <f>IFERROR(__xludf.DUMMYFUNCTION("""COMPUTED_VALUE"""),489539.0)</f>
        <v>489539</v>
      </c>
      <c r="B921" s="2" t="str">
        <f>IFERROR(__xludf.DUMMYFUNCTION("""COMPUTED_VALUE"""),"20685")</f>
        <v>20685</v>
      </c>
      <c r="C921" s="2" t="str">
        <f>IFERROR(__xludf.DUMMYFUNCTION("""COMPUTED_VALUE"""),"RED SPOTTY COIR DOORMAT")</f>
        <v>RED SPOTTY COIR DOORMAT</v>
      </c>
      <c r="D921" s="2">
        <f>IFERROR(__xludf.DUMMYFUNCTION("""COMPUTED_VALUE"""),30.0)</f>
        <v>30</v>
      </c>
      <c r="E921" s="6">
        <f>IFERROR(__xludf.DUMMYFUNCTION("""COMPUTED_VALUE"""),40148.5125)</f>
        <v>40148.5125</v>
      </c>
      <c r="F921" s="2">
        <f>IFERROR(__xludf.DUMMYFUNCTION("""COMPUTED_VALUE"""),5.95)</f>
        <v>5.95</v>
      </c>
      <c r="G921" s="2">
        <f>IFERROR(__xludf.DUMMYFUNCTION("""COMPUTED_VALUE"""),15061.0)</f>
        <v>15061</v>
      </c>
      <c r="H921" s="2" t="str">
        <f>IFERROR(__xludf.DUMMYFUNCTION("""COMPUTED_VALUE"""),"United Kingdom")</f>
        <v>United Kingdom</v>
      </c>
      <c r="I921" s="7">
        <f>IFERROR(__xludf.DUMMYFUNCTION("""COMPUTED_VALUE"""),40148.0)</f>
        <v>40148</v>
      </c>
      <c r="J921" s="8">
        <f>IFERROR(__xludf.DUMMYFUNCTION("""COMPUTED_VALUE"""),0.5125000000007276)</f>
        <v>0.5125</v>
      </c>
      <c r="K921" s="2">
        <f>IFERROR(__xludf.DUMMYFUNCTION("""COMPUTED_VALUE"""),12.0)</f>
        <v>12</v>
      </c>
      <c r="L921" s="2">
        <f>IFERROR(__xludf.DUMMYFUNCTION("""COMPUTED_VALUE"""),178.5)</f>
        <v>178.5</v>
      </c>
    </row>
    <row r="922">
      <c r="A922" s="2">
        <f>IFERROR(__xludf.DUMMYFUNCTION("""COMPUTED_VALUE"""),489539.0)</f>
        <v>489539</v>
      </c>
      <c r="B922" s="2" t="str">
        <f>IFERROR(__xludf.DUMMYFUNCTION("""COMPUTED_VALUE"""),"16237")</f>
        <v>16237</v>
      </c>
      <c r="C922" s="2" t="str">
        <f>IFERROR(__xludf.DUMMYFUNCTION("""COMPUTED_VALUE"""),"SLEEPING CAT ERASERS")</f>
        <v>SLEEPING CAT ERASERS</v>
      </c>
      <c r="D922" s="2">
        <f>IFERROR(__xludf.DUMMYFUNCTION("""COMPUTED_VALUE"""),180.0)</f>
        <v>180</v>
      </c>
      <c r="E922" s="6">
        <f>IFERROR(__xludf.DUMMYFUNCTION("""COMPUTED_VALUE"""),40148.5125)</f>
        <v>40148.5125</v>
      </c>
      <c r="F922" s="2">
        <f>IFERROR(__xludf.DUMMYFUNCTION("""COMPUTED_VALUE"""),0.21)</f>
        <v>0.21</v>
      </c>
      <c r="G922" s="2">
        <f>IFERROR(__xludf.DUMMYFUNCTION("""COMPUTED_VALUE"""),15061.0)</f>
        <v>15061</v>
      </c>
      <c r="H922" s="2" t="str">
        <f>IFERROR(__xludf.DUMMYFUNCTION("""COMPUTED_VALUE"""),"United Kingdom")</f>
        <v>United Kingdom</v>
      </c>
      <c r="I922" s="7">
        <f>IFERROR(__xludf.DUMMYFUNCTION("""COMPUTED_VALUE"""),40148.0)</f>
        <v>40148</v>
      </c>
      <c r="J922" s="8">
        <f>IFERROR(__xludf.DUMMYFUNCTION("""COMPUTED_VALUE"""),0.5125000000007276)</f>
        <v>0.5125</v>
      </c>
      <c r="K922" s="2">
        <f>IFERROR(__xludf.DUMMYFUNCTION("""COMPUTED_VALUE"""),12.0)</f>
        <v>12</v>
      </c>
      <c r="L922" s="2">
        <f>IFERROR(__xludf.DUMMYFUNCTION("""COMPUTED_VALUE"""),37.8)</f>
        <v>37.8</v>
      </c>
    </row>
    <row r="923">
      <c r="A923" s="2">
        <f>IFERROR(__xludf.DUMMYFUNCTION("""COMPUTED_VALUE"""),489542.0)</f>
        <v>489542</v>
      </c>
      <c r="B923" s="2" t="str">
        <f>IFERROR(__xludf.DUMMYFUNCTION("""COMPUTED_VALUE"""),"37410")</f>
        <v>37410</v>
      </c>
      <c r="C923" s="2" t="str">
        <f>IFERROR(__xludf.DUMMYFUNCTION("""COMPUTED_VALUE"""),"BLACK AND WHITE PAISLEY FLOWER MUG")</f>
        <v>BLACK AND WHITE PAISLEY FLOWER MUG</v>
      </c>
      <c r="D923" s="2">
        <f>IFERROR(__xludf.DUMMYFUNCTION("""COMPUTED_VALUE"""),216.0)</f>
        <v>216</v>
      </c>
      <c r="E923" s="6">
        <f>IFERROR(__xludf.DUMMYFUNCTION("""COMPUTED_VALUE"""),40148.513194444444)</f>
        <v>40148.51319</v>
      </c>
      <c r="F923" s="2">
        <f>IFERROR(__xludf.DUMMYFUNCTION("""COMPUTED_VALUE"""),0.85)</f>
        <v>0.85</v>
      </c>
      <c r="G923" s="2">
        <f>IFERROR(__xludf.DUMMYFUNCTION("""COMPUTED_VALUE"""),15061.0)</f>
        <v>15061</v>
      </c>
      <c r="H923" s="2" t="str">
        <f>IFERROR(__xludf.DUMMYFUNCTION("""COMPUTED_VALUE"""),"United Kingdom")</f>
        <v>United Kingdom</v>
      </c>
      <c r="I923" s="7">
        <f>IFERROR(__xludf.DUMMYFUNCTION("""COMPUTED_VALUE"""),40148.0)</f>
        <v>40148</v>
      </c>
      <c r="J923" s="8">
        <f>IFERROR(__xludf.DUMMYFUNCTION("""COMPUTED_VALUE"""),0.5131944444437977)</f>
        <v>0.5131944444</v>
      </c>
      <c r="K923" s="2">
        <f>IFERROR(__xludf.DUMMYFUNCTION("""COMPUTED_VALUE"""),12.0)</f>
        <v>12</v>
      </c>
      <c r="L923" s="2">
        <f>IFERROR(__xludf.DUMMYFUNCTION("""COMPUTED_VALUE"""),183.6)</f>
        <v>183.6</v>
      </c>
    </row>
    <row r="924">
      <c r="A924" s="2">
        <f>IFERROR(__xludf.DUMMYFUNCTION("""COMPUTED_VALUE"""),489542.0)</f>
        <v>489542</v>
      </c>
      <c r="B924" s="2" t="str">
        <f>IFERROR(__xludf.DUMMYFUNCTION("""COMPUTED_VALUE"""),"22139")</f>
        <v>22139</v>
      </c>
      <c r="C924" s="2" t="str">
        <f>IFERROR(__xludf.DUMMYFUNCTION("""COMPUTED_VALUE"""),"RETRO SPOT TEA SET CERAMIC 11 PC")</f>
        <v>RETRO SPOT TEA SET CERAMIC 11 PC</v>
      </c>
      <c r="D924" s="2">
        <f>IFERROR(__xludf.DUMMYFUNCTION("""COMPUTED_VALUE"""),48.0)</f>
        <v>48</v>
      </c>
      <c r="E924" s="6">
        <f>IFERROR(__xludf.DUMMYFUNCTION("""COMPUTED_VALUE"""),40148.513194444444)</f>
        <v>40148.51319</v>
      </c>
      <c r="F924" s="2">
        <f>IFERROR(__xludf.DUMMYFUNCTION("""COMPUTED_VALUE"""),4.25)</f>
        <v>4.25</v>
      </c>
      <c r="G924" s="2">
        <f>IFERROR(__xludf.DUMMYFUNCTION("""COMPUTED_VALUE"""),15061.0)</f>
        <v>15061</v>
      </c>
      <c r="H924" s="2" t="str">
        <f>IFERROR(__xludf.DUMMYFUNCTION("""COMPUTED_VALUE"""),"United Kingdom")</f>
        <v>United Kingdom</v>
      </c>
      <c r="I924" s="7">
        <f>IFERROR(__xludf.DUMMYFUNCTION("""COMPUTED_VALUE"""),40148.0)</f>
        <v>40148</v>
      </c>
      <c r="J924" s="8">
        <f>IFERROR(__xludf.DUMMYFUNCTION("""COMPUTED_VALUE"""),0.5131944444437977)</f>
        <v>0.5131944444</v>
      </c>
      <c r="K924" s="2">
        <f>IFERROR(__xludf.DUMMYFUNCTION("""COMPUTED_VALUE"""),12.0)</f>
        <v>12</v>
      </c>
      <c r="L924" s="2">
        <f>IFERROR(__xludf.DUMMYFUNCTION("""COMPUTED_VALUE"""),204.0)</f>
        <v>204</v>
      </c>
    </row>
    <row r="925">
      <c r="A925" s="2"/>
      <c r="B925" s="2" t="str">
        <f>IFERROR(__xludf.DUMMYFUNCTION("""COMPUTED_VALUE"""),"35400")</f>
        <v>35400</v>
      </c>
      <c r="C925" s="2" t="str">
        <f>IFERROR(__xludf.DUMMYFUNCTION("""COMPUTED_VALUE"""),"WOODEN BOX ADVENT CALENDAR")</f>
        <v>WOODEN BOX ADVENT CALENDAR</v>
      </c>
      <c r="D925" s="2">
        <f>IFERROR(__xludf.DUMMYFUNCTION("""COMPUTED_VALUE"""),-2.0)</f>
        <v>-2</v>
      </c>
      <c r="E925" s="6">
        <f>IFERROR(__xludf.DUMMYFUNCTION("""COMPUTED_VALUE"""),40148.513194444444)</f>
        <v>40148.51319</v>
      </c>
      <c r="F925" s="2">
        <f>IFERROR(__xludf.DUMMYFUNCTION("""COMPUTED_VALUE"""),8.95)</f>
        <v>8.95</v>
      </c>
      <c r="G925" s="2">
        <f>IFERROR(__xludf.DUMMYFUNCTION("""COMPUTED_VALUE"""),14292.0)</f>
        <v>14292</v>
      </c>
      <c r="H925" s="2" t="str">
        <f>IFERROR(__xludf.DUMMYFUNCTION("""COMPUTED_VALUE"""),"United Kingdom")</f>
        <v>United Kingdom</v>
      </c>
      <c r="I925" s="7">
        <f>IFERROR(__xludf.DUMMYFUNCTION("""COMPUTED_VALUE"""),40148.0)</f>
        <v>40148</v>
      </c>
      <c r="J925" s="8">
        <f>IFERROR(__xludf.DUMMYFUNCTION("""COMPUTED_VALUE"""),0.5131944444437977)</f>
        <v>0.5131944444</v>
      </c>
      <c r="K925" s="2">
        <f>IFERROR(__xludf.DUMMYFUNCTION("""COMPUTED_VALUE"""),12.0)</f>
        <v>12</v>
      </c>
      <c r="L925" s="2">
        <f>IFERROR(__xludf.DUMMYFUNCTION("""COMPUTED_VALUE"""),-17.9)</f>
        <v>-17.9</v>
      </c>
    </row>
    <row r="926">
      <c r="A926" s="2">
        <f>IFERROR(__xludf.DUMMYFUNCTION("""COMPUTED_VALUE"""),489544.0)</f>
        <v>489544</v>
      </c>
      <c r="B926" s="2" t="str">
        <f>IFERROR(__xludf.DUMMYFUNCTION("""COMPUTED_VALUE"""),"22086")</f>
        <v>22086</v>
      </c>
      <c r="C926" s="2" t="str">
        <f>IFERROR(__xludf.DUMMYFUNCTION("""COMPUTED_VALUE"""),"PAPER CHAIN KIT 50'S CHRISTMAS")</f>
        <v>PAPER CHAIN KIT 50'S CHRISTMAS</v>
      </c>
      <c r="D926" s="2">
        <f>IFERROR(__xludf.DUMMYFUNCTION("""COMPUTED_VALUE"""),18.0)</f>
        <v>18</v>
      </c>
      <c r="E926" s="6">
        <f>IFERROR(__xludf.DUMMYFUNCTION("""COMPUTED_VALUE"""),40148.51388888889)</f>
        <v>40148.51389</v>
      </c>
      <c r="F926" s="2">
        <f>IFERROR(__xludf.DUMMYFUNCTION("""COMPUTED_VALUE"""),2.95)</f>
        <v>2.95</v>
      </c>
      <c r="G926" s="2">
        <f>IFERROR(__xludf.DUMMYFUNCTION("""COMPUTED_VALUE"""),14341.0)</f>
        <v>14341</v>
      </c>
      <c r="H926" s="2" t="str">
        <f>IFERROR(__xludf.DUMMYFUNCTION("""COMPUTED_VALUE"""),"United Kingdom")</f>
        <v>United Kingdom</v>
      </c>
      <c r="I926" s="7">
        <f>IFERROR(__xludf.DUMMYFUNCTION("""COMPUTED_VALUE"""),40148.0)</f>
        <v>40148</v>
      </c>
      <c r="J926" s="8">
        <f>IFERROR(__xludf.DUMMYFUNCTION("""COMPUTED_VALUE"""),0.5138888888905058)</f>
        <v>0.5138888889</v>
      </c>
      <c r="K926" s="2">
        <f>IFERROR(__xludf.DUMMYFUNCTION("""COMPUTED_VALUE"""),12.0)</f>
        <v>12</v>
      </c>
      <c r="L926" s="2">
        <f>IFERROR(__xludf.DUMMYFUNCTION("""COMPUTED_VALUE"""),53.1)</f>
        <v>53.1</v>
      </c>
    </row>
    <row r="927">
      <c r="A927" s="2">
        <f>IFERROR(__xludf.DUMMYFUNCTION("""COMPUTED_VALUE"""),489544.0)</f>
        <v>489544</v>
      </c>
      <c r="B927" s="2" t="str">
        <f>IFERROR(__xludf.DUMMYFUNCTION("""COMPUTED_VALUE"""),"84347")</f>
        <v>84347</v>
      </c>
      <c r="C927" s="2" t="str">
        <f>IFERROR(__xludf.DUMMYFUNCTION("""COMPUTED_VALUE"""),"ROTATING SILVER ANGELS T-LIGHT HLDR")</f>
        <v>ROTATING SILVER ANGELS T-LIGHT HLDR</v>
      </c>
      <c r="D927" s="2">
        <f>IFERROR(__xludf.DUMMYFUNCTION("""COMPUTED_VALUE"""),18.0)</f>
        <v>18</v>
      </c>
      <c r="E927" s="6">
        <f>IFERROR(__xludf.DUMMYFUNCTION("""COMPUTED_VALUE"""),40148.51388888889)</f>
        <v>40148.51389</v>
      </c>
      <c r="F927" s="2">
        <f>IFERROR(__xludf.DUMMYFUNCTION("""COMPUTED_VALUE"""),2.55)</f>
        <v>2.55</v>
      </c>
      <c r="G927" s="2">
        <f>IFERROR(__xludf.DUMMYFUNCTION("""COMPUTED_VALUE"""),14341.0)</f>
        <v>14341</v>
      </c>
      <c r="H927" s="2" t="str">
        <f>IFERROR(__xludf.DUMMYFUNCTION("""COMPUTED_VALUE"""),"United Kingdom")</f>
        <v>United Kingdom</v>
      </c>
      <c r="I927" s="7">
        <f>IFERROR(__xludf.DUMMYFUNCTION("""COMPUTED_VALUE"""),40148.0)</f>
        <v>40148</v>
      </c>
      <c r="J927" s="8">
        <f>IFERROR(__xludf.DUMMYFUNCTION("""COMPUTED_VALUE"""),0.5138888888905058)</f>
        <v>0.5138888889</v>
      </c>
      <c r="K927" s="2">
        <f>IFERROR(__xludf.DUMMYFUNCTION("""COMPUTED_VALUE"""),12.0)</f>
        <v>12</v>
      </c>
      <c r="L927" s="2">
        <f>IFERROR(__xludf.DUMMYFUNCTION("""COMPUTED_VALUE"""),45.9)</f>
        <v>45.9</v>
      </c>
    </row>
    <row r="928">
      <c r="A928" s="2">
        <f>IFERROR(__xludf.DUMMYFUNCTION("""COMPUTED_VALUE"""),489544.0)</f>
        <v>489544</v>
      </c>
      <c r="B928" s="2" t="str">
        <f>IFERROR(__xludf.DUMMYFUNCTION("""COMPUTED_VALUE"""),"22065")</f>
        <v>22065</v>
      </c>
      <c r="C928" s="2" t="str">
        <f>IFERROR(__xludf.DUMMYFUNCTION("""COMPUTED_VALUE"""),"CHRISTMAS PUDDING TRINKET POT")</f>
        <v>CHRISTMAS PUDDING TRINKET POT</v>
      </c>
      <c r="D928" s="2">
        <f>IFERROR(__xludf.DUMMYFUNCTION("""COMPUTED_VALUE"""),12.0)</f>
        <v>12</v>
      </c>
      <c r="E928" s="6">
        <f>IFERROR(__xludf.DUMMYFUNCTION("""COMPUTED_VALUE"""),40148.51388888889)</f>
        <v>40148.51389</v>
      </c>
      <c r="F928" s="2">
        <f>IFERROR(__xludf.DUMMYFUNCTION("""COMPUTED_VALUE"""),1.45)</f>
        <v>1.45</v>
      </c>
      <c r="G928" s="2">
        <f>IFERROR(__xludf.DUMMYFUNCTION("""COMPUTED_VALUE"""),14341.0)</f>
        <v>14341</v>
      </c>
      <c r="H928" s="2" t="str">
        <f>IFERROR(__xludf.DUMMYFUNCTION("""COMPUTED_VALUE"""),"United Kingdom")</f>
        <v>United Kingdom</v>
      </c>
      <c r="I928" s="7">
        <f>IFERROR(__xludf.DUMMYFUNCTION("""COMPUTED_VALUE"""),40148.0)</f>
        <v>40148</v>
      </c>
      <c r="J928" s="8">
        <f>IFERROR(__xludf.DUMMYFUNCTION("""COMPUTED_VALUE"""),0.5138888888905058)</f>
        <v>0.5138888889</v>
      </c>
      <c r="K928" s="2">
        <f>IFERROR(__xludf.DUMMYFUNCTION("""COMPUTED_VALUE"""),12.0)</f>
        <v>12</v>
      </c>
      <c r="L928" s="2">
        <f>IFERROR(__xludf.DUMMYFUNCTION("""COMPUTED_VALUE"""),17.4)</f>
        <v>17.4</v>
      </c>
    </row>
    <row r="929">
      <c r="A929" s="2">
        <f>IFERROR(__xludf.DUMMYFUNCTION("""COMPUTED_VALUE"""),489544.0)</f>
        <v>489544</v>
      </c>
      <c r="B929" s="2" t="str">
        <f>IFERROR(__xludf.DUMMYFUNCTION("""COMPUTED_VALUE"""),"21813")</f>
        <v>21813</v>
      </c>
      <c r="C929" s="2" t="str">
        <f>IFERROR(__xludf.DUMMYFUNCTION("""COMPUTED_VALUE"""),"GARLAND WITH STARS AND BELLS")</f>
        <v>GARLAND WITH STARS AND BELLS</v>
      </c>
      <c r="D929" s="2">
        <f>IFERROR(__xludf.DUMMYFUNCTION("""COMPUTED_VALUE"""),6.0)</f>
        <v>6</v>
      </c>
      <c r="E929" s="6">
        <f>IFERROR(__xludf.DUMMYFUNCTION("""COMPUTED_VALUE"""),40148.51388888889)</f>
        <v>40148.51389</v>
      </c>
      <c r="F929" s="2">
        <f>IFERROR(__xludf.DUMMYFUNCTION("""COMPUTED_VALUE"""),4.95)</f>
        <v>4.95</v>
      </c>
      <c r="G929" s="2">
        <f>IFERROR(__xludf.DUMMYFUNCTION("""COMPUTED_VALUE"""),14341.0)</f>
        <v>14341</v>
      </c>
      <c r="H929" s="2" t="str">
        <f>IFERROR(__xludf.DUMMYFUNCTION("""COMPUTED_VALUE"""),"United Kingdom")</f>
        <v>United Kingdom</v>
      </c>
      <c r="I929" s="7">
        <f>IFERROR(__xludf.DUMMYFUNCTION("""COMPUTED_VALUE"""),40148.0)</f>
        <v>40148</v>
      </c>
      <c r="J929" s="8">
        <f>IFERROR(__xludf.DUMMYFUNCTION("""COMPUTED_VALUE"""),0.5138888888905058)</f>
        <v>0.5138888889</v>
      </c>
      <c r="K929" s="2">
        <f>IFERROR(__xludf.DUMMYFUNCTION("""COMPUTED_VALUE"""),12.0)</f>
        <v>12</v>
      </c>
      <c r="L929" s="2">
        <f>IFERROR(__xludf.DUMMYFUNCTION("""COMPUTED_VALUE"""),29.7)</f>
        <v>29.7</v>
      </c>
    </row>
    <row r="930">
      <c r="A930" s="2">
        <f>IFERROR(__xludf.DUMMYFUNCTION("""COMPUTED_VALUE"""),489544.0)</f>
        <v>489544</v>
      </c>
      <c r="B930" s="2" t="str">
        <f>IFERROR(__xludf.DUMMYFUNCTION("""COMPUTED_VALUE"""),"84251F")</f>
        <v>84251F</v>
      </c>
      <c r="C930" s="2" t="str">
        <f>IFERROR(__xludf.DUMMYFUNCTION("""COMPUTED_VALUE"""),"GREETING CARD, RITA")</f>
        <v>GREETING CARD, RITA</v>
      </c>
      <c r="D930" s="2">
        <f>IFERROR(__xludf.DUMMYFUNCTION("""COMPUTED_VALUE"""),12.0)</f>
        <v>12</v>
      </c>
      <c r="E930" s="6">
        <f>IFERROR(__xludf.DUMMYFUNCTION("""COMPUTED_VALUE"""),40148.51388888889)</f>
        <v>40148.51389</v>
      </c>
      <c r="F930" s="2">
        <f>IFERROR(__xludf.DUMMYFUNCTION("""COMPUTED_VALUE"""),0.19)</f>
        <v>0.19</v>
      </c>
      <c r="G930" s="2">
        <f>IFERROR(__xludf.DUMMYFUNCTION("""COMPUTED_VALUE"""),14341.0)</f>
        <v>14341</v>
      </c>
      <c r="H930" s="2" t="str">
        <f>IFERROR(__xludf.DUMMYFUNCTION("""COMPUTED_VALUE"""),"United Kingdom")</f>
        <v>United Kingdom</v>
      </c>
      <c r="I930" s="7">
        <f>IFERROR(__xludf.DUMMYFUNCTION("""COMPUTED_VALUE"""),40148.0)</f>
        <v>40148</v>
      </c>
      <c r="J930" s="8">
        <f>IFERROR(__xludf.DUMMYFUNCTION("""COMPUTED_VALUE"""),0.5138888888905058)</f>
        <v>0.5138888889</v>
      </c>
      <c r="K930" s="2">
        <f>IFERROR(__xludf.DUMMYFUNCTION("""COMPUTED_VALUE"""),12.0)</f>
        <v>12</v>
      </c>
      <c r="L930" s="2">
        <f>IFERROR(__xludf.DUMMYFUNCTION("""COMPUTED_VALUE"""),2.28)</f>
        <v>2.28</v>
      </c>
    </row>
    <row r="931">
      <c r="A931" s="2">
        <f>IFERROR(__xludf.DUMMYFUNCTION("""COMPUTED_VALUE"""),489544.0)</f>
        <v>489544</v>
      </c>
      <c r="B931" s="2" t="str">
        <f>IFERROR(__xludf.DUMMYFUNCTION("""COMPUTED_VALUE"""),"20975")</f>
        <v>20975</v>
      </c>
      <c r="C931" s="2" t="str">
        <f>IFERROR(__xludf.DUMMYFUNCTION("""COMPUTED_VALUE"""),"12 PENCILS SMALL TUBE RED SPOTTY")</f>
        <v>12 PENCILS SMALL TUBE RED SPOTTY</v>
      </c>
      <c r="D931" s="2">
        <f>IFERROR(__xludf.DUMMYFUNCTION("""COMPUTED_VALUE"""),24.0)</f>
        <v>24</v>
      </c>
      <c r="E931" s="6">
        <f>IFERROR(__xludf.DUMMYFUNCTION("""COMPUTED_VALUE"""),40148.51388888889)</f>
        <v>40148.51389</v>
      </c>
      <c r="F931" s="2">
        <f>IFERROR(__xludf.DUMMYFUNCTION("""COMPUTED_VALUE"""),0.65)</f>
        <v>0.65</v>
      </c>
      <c r="G931" s="2">
        <f>IFERROR(__xludf.DUMMYFUNCTION("""COMPUTED_VALUE"""),14341.0)</f>
        <v>14341</v>
      </c>
      <c r="H931" s="2" t="str">
        <f>IFERROR(__xludf.DUMMYFUNCTION("""COMPUTED_VALUE"""),"United Kingdom")</f>
        <v>United Kingdom</v>
      </c>
      <c r="I931" s="7">
        <f>IFERROR(__xludf.DUMMYFUNCTION("""COMPUTED_VALUE"""),40148.0)</f>
        <v>40148</v>
      </c>
      <c r="J931" s="8">
        <f>IFERROR(__xludf.DUMMYFUNCTION("""COMPUTED_VALUE"""),0.5138888888905058)</f>
        <v>0.5138888889</v>
      </c>
      <c r="K931" s="2">
        <f>IFERROR(__xludf.DUMMYFUNCTION("""COMPUTED_VALUE"""),12.0)</f>
        <v>12</v>
      </c>
      <c r="L931" s="2">
        <f>IFERROR(__xludf.DUMMYFUNCTION("""COMPUTED_VALUE"""),15.6)</f>
        <v>15.6</v>
      </c>
    </row>
    <row r="932">
      <c r="A932" s="2">
        <f>IFERROR(__xludf.DUMMYFUNCTION("""COMPUTED_VALUE"""),489544.0)</f>
        <v>489544</v>
      </c>
      <c r="B932" s="2" t="str">
        <f>IFERROR(__xludf.DUMMYFUNCTION("""COMPUTED_VALUE"""),"21080")</f>
        <v>21080</v>
      </c>
      <c r="C932" s="2" t="str">
        <f>IFERROR(__xludf.DUMMYFUNCTION("""COMPUTED_VALUE"""),"SET/20 RED SPOTTY PAPER NAPKINS")</f>
        <v>SET/20 RED SPOTTY PAPER NAPKINS</v>
      </c>
      <c r="D932" s="2">
        <f>IFERROR(__xludf.DUMMYFUNCTION("""COMPUTED_VALUE"""),12.0)</f>
        <v>12</v>
      </c>
      <c r="E932" s="6">
        <f>IFERROR(__xludf.DUMMYFUNCTION("""COMPUTED_VALUE"""),40148.51388888889)</f>
        <v>40148.51389</v>
      </c>
      <c r="F932" s="2">
        <f>IFERROR(__xludf.DUMMYFUNCTION("""COMPUTED_VALUE"""),0.85)</f>
        <v>0.85</v>
      </c>
      <c r="G932" s="2">
        <f>IFERROR(__xludf.DUMMYFUNCTION("""COMPUTED_VALUE"""),14341.0)</f>
        <v>14341</v>
      </c>
      <c r="H932" s="2" t="str">
        <f>IFERROR(__xludf.DUMMYFUNCTION("""COMPUTED_VALUE"""),"United Kingdom")</f>
        <v>United Kingdom</v>
      </c>
      <c r="I932" s="7">
        <f>IFERROR(__xludf.DUMMYFUNCTION("""COMPUTED_VALUE"""),40148.0)</f>
        <v>40148</v>
      </c>
      <c r="J932" s="8">
        <f>IFERROR(__xludf.DUMMYFUNCTION("""COMPUTED_VALUE"""),0.5138888888905058)</f>
        <v>0.5138888889</v>
      </c>
      <c r="K932" s="2">
        <f>IFERROR(__xludf.DUMMYFUNCTION("""COMPUTED_VALUE"""),12.0)</f>
        <v>12</v>
      </c>
      <c r="L932" s="2">
        <f>IFERROR(__xludf.DUMMYFUNCTION("""COMPUTED_VALUE"""),10.2)</f>
        <v>10.2</v>
      </c>
    </row>
    <row r="933">
      <c r="A933" s="2">
        <f>IFERROR(__xludf.DUMMYFUNCTION("""COMPUTED_VALUE"""),489544.0)</f>
        <v>489544</v>
      </c>
      <c r="B933" s="2" t="str">
        <f>IFERROR(__xludf.DUMMYFUNCTION("""COMPUTED_VALUE"""),"21844")</f>
        <v>21844</v>
      </c>
      <c r="C933" s="2" t="str">
        <f>IFERROR(__xludf.DUMMYFUNCTION("""COMPUTED_VALUE"""),"RETRO SPOT MUG")</f>
        <v>RETRO SPOT MUG</v>
      </c>
      <c r="D933" s="2">
        <f>IFERROR(__xludf.DUMMYFUNCTION("""COMPUTED_VALUE"""),6.0)</f>
        <v>6</v>
      </c>
      <c r="E933" s="6">
        <f>IFERROR(__xludf.DUMMYFUNCTION("""COMPUTED_VALUE"""),40148.51388888889)</f>
        <v>40148.51389</v>
      </c>
      <c r="F933" s="2">
        <f>IFERROR(__xludf.DUMMYFUNCTION("""COMPUTED_VALUE"""),2.95)</f>
        <v>2.95</v>
      </c>
      <c r="G933" s="2">
        <f>IFERROR(__xludf.DUMMYFUNCTION("""COMPUTED_VALUE"""),14341.0)</f>
        <v>14341</v>
      </c>
      <c r="H933" s="2" t="str">
        <f>IFERROR(__xludf.DUMMYFUNCTION("""COMPUTED_VALUE"""),"United Kingdom")</f>
        <v>United Kingdom</v>
      </c>
      <c r="I933" s="7">
        <f>IFERROR(__xludf.DUMMYFUNCTION("""COMPUTED_VALUE"""),40148.0)</f>
        <v>40148</v>
      </c>
      <c r="J933" s="8">
        <f>IFERROR(__xludf.DUMMYFUNCTION("""COMPUTED_VALUE"""),0.5138888888905058)</f>
        <v>0.5138888889</v>
      </c>
      <c r="K933" s="2">
        <f>IFERROR(__xludf.DUMMYFUNCTION("""COMPUTED_VALUE"""),12.0)</f>
        <v>12</v>
      </c>
      <c r="L933" s="2">
        <f>IFERROR(__xludf.DUMMYFUNCTION("""COMPUTED_VALUE"""),17.7)</f>
        <v>17.7</v>
      </c>
    </row>
    <row r="934">
      <c r="A934" s="2">
        <f>IFERROR(__xludf.DUMMYFUNCTION("""COMPUTED_VALUE"""),489544.0)</f>
        <v>489544</v>
      </c>
      <c r="B934" s="2" t="str">
        <f>IFERROR(__xludf.DUMMYFUNCTION("""COMPUTED_VALUE"""),"22070")</f>
        <v>22070</v>
      </c>
      <c r="C934" s="2" t="str">
        <f>IFERROR(__xludf.DUMMYFUNCTION("""COMPUTED_VALUE"""),"SMALL RETRO SPOT MUG IN BOX RED")</f>
        <v>SMALL RETRO SPOT MUG IN BOX RED</v>
      </c>
      <c r="D934" s="2">
        <f>IFERROR(__xludf.DUMMYFUNCTION("""COMPUTED_VALUE"""),6.0)</f>
        <v>6</v>
      </c>
      <c r="E934" s="6">
        <f>IFERROR(__xludf.DUMMYFUNCTION("""COMPUTED_VALUE"""),40148.51388888889)</f>
        <v>40148.51389</v>
      </c>
      <c r="F934" s="2">
        <f>IFERROR(__xludf.DUMMYFUNCTION("""COMPUTED_VALUE"""),3.75)</f>
        <v>3.75</v>
      </c>
      <c r="G934" s="2">
        <f>IFERROR(__xludf.DUMMYFUNCTION("""COMPUTED_VALUE"""),14341.0)</f>
        <v>14341</v>
      </c>
      <c r="H934" s="2" t="str">
        <f>IFERROR(__xludf.DUMMYFUNCTION("""COMPUTED_VALUE"""),"United Kingdom")</f>
        <v>United Kingdom</v>
      </c>
      <c r="I934" s="7">
        <f>IFERROR(__xludf.DUMMYFUNCTION("""COMPUTED_VALUE"""),40148.0)</f>
        <v>40148</v>
      </c>
      <c r="J934" s="8">
        <f>IFERROR(__xludf.DUMMYFUNCTION("""COMPUTED_VALUE"""),0.5138888888905058)</f>
        <v>0.5138888889</v>
      </c>
      <c r="K934" s="2">
        <f>IFERROR(__xludf.DUMMYFUNCTION("""COMPUTED_VALUE"""),12.0)</f>
        <v>12</v>
      </c>
      <c r="L934" s="2">
        <f>IFERROR(__xludf.DUMMYFUNCTION("""COMPUTED_VALUE"""),22.5)</f>
        <v>22.5</v>
      </c>
    </row>
    <row r="935">
      <c r="A935" s="2">
        <f>IFERROR(__xludf.DUMMYFUNCTION("""COMPUTED_VALUE"""),489544.0)</f>
        <v>489544</v>
      </c>
      <c r="B935" s="2" t="str">
        <f>IFERROR(__xludf.DUMMYFUNCTION("""COMPUTED_VALUE"""),"21980")</f>
        <v>21980</v>
      </c>
      <c r="C935" s="2" t="str">
        <f>IFERROR(__xludf.DUMMYFUNCTION("""COMPUTED_VALUE"""),"PACK OF 12 RED SPOTTY TISSUES")</f>
        <v>PACK OF 12 RED SPOTTY TISSUES</v>
      </c>
      <c r="D935" s="2">
        <f>IFERROR(__xludf.DUMMYFUNCTION("""COMPUTED_VALUE"""),48.0)</f>
        <v>48</v>
      </c>
      <c r="E935" s="6">
        <f>IFERROR(__xludf.DUMMYFUNCTION("""COMPUTED_VALUE"""),40148.51388888889)</f>
        <v>40148.51389</v>
      </c>
      <c r="F935" s="2">
        <f>IFERROR(__xludf.DUMMYFUNCTION("""COMPUTED_VALUE"""),0.29)</f>
        <v>0.29</v>
      </c>
      <c r="G935" s="2">
        <f>IFERROR(__xludf.DUMMYFUNCTION("""COMPUTED_VALUE"""),14341.0)</f>
        <v>14341</v>
      </c>
      <c r="H935" s="2" t="str">
        <f>IFERROR(__xludf.DUMMYFUNCTION("""COMPUTED_VALUE"""),"United Kingdom")</f>
        <v>United Kingdom</v>
      </c>
      <c r="I935" s="7">
        <f>IFERROR(__xludf.DUMMYFUNCTION("""COMPUTED_VALUE"""),40148.0)</f>
        <v>40148</v>
      </c>
      <c r="J935" s="8">
        <f>IFERROR(__xludf.DUMMYFUNCTION("""COMPUTED_VALUE"""),0.5138888888905058)</f>
        <v>0.5138888889</v>
      </c>
      <c r="K935" s="2">
        <f>IFERROR(__xludf.DUMMYFUNCTION("""COMPUTED_VALUE"""),12.0)</f>
        <v>12</v>
      </c>
      <c r="L935" s="2">
        <f>IFERROR(__xludf.DUMMYFUNCTION("""COMPUTED_VALUE"""),13.9199999999999)</f>
        <v>13.92</v>
      </c>
    </row>
    <row r="936">
      <c r="A936" s="2">
        <f>IFERROR(__xludf.DUMMYFUNCTION("""COMPUTED_VALUE"""),489544.0)</f>
        <v>489544</v>
      </c>
      <c r="B936" s="2" t="str">
        <f>IFERROR(__xludf.DUMMYFUNCTION("""COMPUTED_VALUE"""),"21967")</f>
        <v>21967</v>
      </c>
      <c r="C936" s="2" t="str">
        <f>IFERROR(__xludf.DUMMYFUNCTION("""COMPUTED_VALUE"""),"PACK OF 12 SKULL TISSUES")</f>
        <v>PACK OF 12 SKULL TISSUES</v>
      </c>
      <c r="D936" s="2">
        <f>IFERROR(__xludf.DUMMYFUNCTION("""COMPUTED_VALUE"""),48.0)</f>
        <v>48</v>
      </c>
      <c r="E936" s="6">
        <f>IFERROR(__xludf.DUMMYFUNCTION("""COMPUTED_VALUE"""),40148.51388888889)</f>
        <v>40148.51389</v>
      </c>
      <c r="F936" s="2">
        <f>IFERROR(__xludf.DUMMYFUNCTION("""COMPUTED_VALUE"""),0.29)</f>
        <v>0.29</v>
      </c>
      <c r="G936" s="2">
        <f>IFERROR(__xludf.DUMMYFUNCTION("""COMPUTED_VALUE"""),14341.0)</f>
        <v>14341</v>
      </c>
      <c r="H936" s="2" t="str">
        <f>IFERROR(__xludf.DUMMYFUNCTION("""COMPUTED_VALUE"""),"United Kingdom")</f>
        <v>United Kingdom</v>
      </c>
      <c r="I936" s="7">
        <f>IFERROR(__xludf.DUMMYFUNCTION("""COMPUTED_VALUE"""),40148.0)</f>
        <v>40148</v>
      </c>
      <c r="J936" s="8">
        <f>IFERROR(__xludf.DUMMYFUNCTION("""COMPUTED_VALUE"""),0.5138888888905058)</f>
        <v>0.5138888889</v>
      </c>
      <c r="K936" s="2">
        <f>IFERROR(__xludf.DUMMYFUNCTION("""COMPUTED_VALUE"""),12.0)</f>
        <v>12</v>
      </c>
      <c r="L936" s="2">
        <f>IFERROR(__xludf.DUMMYFUNCTION("""COMPUTED_VALUE"""),13.9199999999999)</f>
        <v>13.92</v>
      </c>
    </row>
    <row r="937">
      <c r="A937" s="2">
        <f>IFERROR(__xludf.DUMMYFUNCTION("""COMPUTED_VALUE"""),489544.0)</f>
        <v>489544</v>
      </c>
      <c r="B937" s="2" t="str">
        <f>IFERROR(__xludf.DUMMYFUNCTION("""COMPUTED_VALUE"""),"22125")</f>
        <v>22125</v>
      </c>
      <c r="C937" s="2" t="str">
        <f>IFERROR(__xludf.DUMMYFUNCTION("""COMPUTED_VALUE"""),"UNION JACK HOT WATER BOTTLE")</f>
        <v>UNION JACK HOT WATER BOTTLE</v>
      </c>
      <c r="D937" s="2">
        <f>IFERROR(__xludf.DUMMYFUNCTION("""COMPUTED_VALUE"""),3.0)</f>
        <v>3</v>
      </c>
      <c r="E937" s="6">
        <f>IFERROR(__xludf.DUMMYFUNCTION("""COMPUTED_VALUE"""),40148.51388888889)</f>
        <v>40148.51389</v>
      </c>
      <c r="F937" s="2">
        <f>IFERROR(__xludf.DUMMYFUNCTION("""COMPUTED_VALUE"""),5.95)</f>
        <v>5.95</v>
      </c>
      <c r="G937" s="2">
        <f>IFERROR(__xludf.DUMMYFUNCTION("""COMPUTED_VALUE"""),14341.0)</f>
        <v>14341</v>
      </c>
      <c r="H937" s="2" t="str">
        <f>IFERROR(__xludf.DUMMYFUNCTION("""COMPUTED_VALUE"""),"United Kingdom")</f>
        <v>United Kingdom</v>
      </c>
      <c r="I937" s="7">
        <f>IFERROR(__xludf.DUMMYFUNCTION("""COMPUTED_VALUE"""),40148.0)</f>
        <v>40148</v>
      </c>
      <c r="J937" s="8">
        <f>IFERROR(__xludf.DUMMYFUNCTION("""COMPUTED_VALUE"""),0.5138888888905058)</f>
        <v>0.5138888889</v>
      </c>
      <c r="K937" s="2">
        <f>IFERROR(__xludf.DUMMYFUNCTION("""COMPUTED_VALUE"""),12.0)</f>
        <v>12</v>
      </c>
      <c r="L937" s="2">
        <f>IFERROR(__xludf.DUMMYFUNCTION("""COMPUTED_VALUE"""),17.85)</f>
        <v>17.85</v>
      </c>
    </row>
    <row r="938">
      <c r="A938" s="2">
        <f>IFERROR(__xludf.DUMMYFUNCTION("""COMPUTED_VALUE"""),489544.0)</f>
        <v>489544</v>
      </c>
      <c r="B938" s="2" t="str">
        <f>IFERROR(__xludf.DUMMYFUNCTION("""COMPUTED_VALUE"""),"21364")</f>
        <v>21364</v>
      </c>
      <c r="C938" s="2" t="str">
        <f>IFERROR(__xludf.DUMMYFUNCTION("""COMPUTED_VALUE"""),"PEACE SMALL WOOD LETTERS")</f>
        <v>PEACE SMALL WOOD LETTERS</v>
      </c>
      <c r="D938" s="2">
        <f>IFERROR(__xludf.DUMMYFUNCTION("""COMPUTED_VALUE"""),1.0)</f>
        <v>1</v>
      </c>
      <c r="E938" s="6">
        <f>IFERROR(__xludf.DUMMYFUNCTION("""COMPUTED_VALUE"""),40148.51388888889)</f>
        <v>40148.51389</v>
      </c>
      <c r="F938" s="2">
        <f>IFERROR(__xludf.DUMMYFUNCTION("""COMPUTED_VALUE"""),6.75)</f>
        <v>6.75</v>
      </c>
      <c r="G938" s="2">
        <f>IFERROR(__xludf.DUMMYFUNCTION("""COMPUTED_VALUE"""),14341.0)</f>
        <v>14341</v>
      </c>
      <c r="H938" s="2" t="str">
        <f>IFERROR(__xludf.DUMMYFUNCTION("""COMPUTED_VALUE"""),"United Kingdom")</f>
        <v>United Kingdom</v>
      </c>
      <c r="I938" s="7">
        <f>IFERROR(__xludf.DUMMYFUNCTION("""COMPUTED_VALUE"""),40148.0)</f>
        <v>40148</v>
      </c>
      <c r="J938" s="8">
        <f>IFERROR(__xludf.DUMMYFUNCTION("""COMPUTED_VALUE"""),0.5138888888905058)</f>
        <v>0.5138888889</v>
      </c>
      <c r="K938" s="2">
        <f>IFERROR(__xludf.DUMMYFUNCTION("""COMPUTED_VALUE"""),12.0)</f>
        <v>12</v>
      </c>
      <c r="L938" s="2">
        <f>IFERROR(__xludf.DUMMYFUNCTION("""COMPUTED_VALUE"""),6.75)</f>
        <v>6.75</v>
      </c>
    </row>
    <row r="939">
      <c r="A939" s="2">
        <f>IFERROR(__xludf.DUMMYFUNCTION("""COMPUTED_VALUE"""),489544.0)</f>
        <v>489544</v>
      </c>
      <c r="B939" s="2" t="str">
        <f>IFERROR(__xludf.DUMMYFUNCTION("""COMPUTED_VALUE"""),"21809")</f>
        <v>21809</v>
      </c>
      <c r="C939" s="2" t="str">
        <f>IFERROR(__xludf.DUMMYFUNCTION("""COMPUTED_VALUE"""),"CHRISTMAS HANGING TREE WITH BELL")</f>
        <v>CHRISTMAS HANGING TREE WITH BELL</v>
      </c>
      <c r="D939" s="2">
        <f>IFERROR(__xludf.DUMMYFUNCTION("""COMPUTED_VALUE"""),12.0)</f>
        <v>12</v>
      </c>
      <c r="E939" s="6">
        <f>IFERROR(__xludf.DUMMYFUNCTION("""COMPUTED_VALUE"""),40148.51388888889)</f>
        <v>40148.51389</v>
      </c>
      <c r="F939" s="2">
        <f>IFERROR(__xludf.DUMMYFUNCTION("""COMPUTED_VALUE"""),1.25)</f>
        <v>1.25</v>
      </c>
      <c r="G939" s="2">
        <f>IFERROR(__xludf.DUMMYFUNCTION("""COMPUTED_VALUE"""),14341.0)</f>
        <v>14341</v>
      </c>
      <c r="H939" s="2" t="str">
        <f>IFERROR(__xludf.DUMMYFUNCTION("""COMPUTED_VALUE"""),"United Kingdom")</f>
        <v>United Kingdom</v>
      </c>
      <c r="I939" s="7">
        <f>IFERROR(__xludf.DUMMYFUNCTION("""COMPUTED_VALUE"""),40148.0)</f>
        <v>40148</v>
      </c>
      <c r="J939" s="8">
        <f>IFERROR(__xludf.DUMMYFUNCTION("""COMPUTED_VALUE"""),0.5138888888905058)</f>
        <v>0.5138888889</v>
      </c>
      <c r="K939" s="2">
        <f>IFERROR(__xludf.DUMMYFUNCTION("""COMPUTED_VALUE"""),12.0)</f>
        <v>12</v>
      </c>
      <c r="L939" s="2">
        <f>IFERROR(__xludf.DUMMYFUNCTION("""COMPUTED_VALUE"""),15.0)</f>
        <v>15</v>
      </c>
    </row>
    <row r="940">
      <c r="A940" s="2">
        <f>IFERROR(__xludf.DUMMYFUNCTION("""COMPUTED_VALUE"""),489545.0)</f>
        <v>489545</v>
      </c>
      <c r="B940" s="2" t="str">
        <f>IFERROR(__xludf.DUMMYFUNCTION("""COMPUTED_VALUE"""),"90062")</f>
        <v>90062</v>
      </c>
      <c r="C940" s="2" t="str">
        <f>IFERROR(__xludf.DUMMYFUNCTION("""COMPUTED_VALUE"""),"CARNIVAL BRACELET")</f>
        <v>CARNIVAL BRACELET</v>
      </c>
      <c r="D940" s="2">
        <f>IFERROR(__xludf.DUMMYFUNCTION("""COMPUTED_VALUE"""),1.0)</f>
        <v>1</v>
      </c>
      <c r="E940" s="6">
        <f>IFERROR(__xludf.DUMMYFUNCTION("""COMPUTED_VALUE"""),40148.51527777778)</f>
        <v>40148.51528</v>
      </c>
      <c r="F940" s="2">
        <f>IFERROR(__xludf.DUMMYFUNCTION("""COMPUTED_VALUE"""),12.75)</f>
        <v>12.75</v>
      </c>
      <c r="G940" s="2">
        <f>IFERROR(__xludf.DUMMYFUNCTION("""COMPUTED_VALUE"""),17804.0)</f>
        <v>17804</v>
      </c>
      <c r="H940" s="2" t="str">
        <f>IFERROR(__xludf.DUMMYFUNCTION("""COMPUTED_VALUE"""),"United Kingdom")</f>
        <v>United Kingdom</v>
      </c>
      <c r="I940" s="7">
        <f>IFERROR(__xludf.DUMMYFUNCTION("""COMPUTED_VALUE"""),40148.0)</f>
        <v>40148</v>
      </c>
      <c r="J940" s="8">
        <f>IFERROR(__xludf.DUMMYFUNCTION("""COMPUTED_VALUE"""),0.515277777776646)</f>
        <v>0.5152777778</v>
      </c>
      <c r="K940" s="2">
        <f>IFERROR(__xludf.DUMMYFUNCTION("""COMPUTED_VALUE"""),12.0)</f>
        <v>12</v>
      </c>
      <c r="L940" s="2">
        <f>IFERROR(__xludf.DUMMYFUNCTION("""COMPUTED_VALUE"""),12.75)</f>
        <v>12.75</v>
      </c>
    </row>
    <row r="941">
      <c r="A941" s="2">
        <f>IFERROR(__xludf.DUMMYFUNCTION("""COMPUTED_VALUE"""),489545.0)</f>
        <v>489545</v>
      </c>
      <c r="B941" s="2" t="str">
        <f>IFERROR(__xludf.DUMMYFUNCTION("""COMPUTED_VALUE"""),"21480")</f>
        <v>21480</v>
      </c>
      <c r="C941" s="2" t="str">
        <f>IFERROR(__xludf.DUMMYFUNCTION("""COMPUTED_VALUE"""),"PINK STRIPE HOT WATER BOTTLE")</f>
        <v>PINK STRIPE HOT WATER BOTTLE</v>
      </c>
      <c r="D941" s="2">
        <f>IFERROR(__xludf.DUMMYFUNCTION("""COMPUTED_VALUE"""),2.0)</f>
        <v>2</v>
      </c>
      <c r="E941" s="6">
        <f>IFERROR(__xludf.DUMMYFUNCTION("""COMPUTED_VALUE"""),40148.51527777778)</f>
        <v>40148.51528</v>
      </c>
      <c r="F941" s="2">
        <f>IFERROR(__xludf.DUMMYFUNCTION("""COMPUTED_VALUE"""),2.95)</f>
        <v>2.95</v>
      </c>
      <c r="G941" s="2">
        <f>IFERROR(__xludf.DUMMYFUNCTION("""COMPUTED_VALUE"""),17804.0)</f>
        <v>17804</v>
      </c>
      <c r="H941" s="2" t="str">
        <f>IFERROR(__xludf.DUMMYFUNCTION("""COMPUTED_VALUE"""),"United Kingdom")</f>
        <v>United Kingdom</v>
      </c>
      <c r="I941" s="7">
        <f>IFERROR(__xludf.DUMMYFUNCTION("""COMPUTED_VALUE"""),40148.0)</f>
        <v>40148</v>
      </c>
      <c r="J941" s="8">
        <f>IFERROR(__xludf.DUMMYFUNCTION("""COMPUTED_VALUE"""),0.515277777776646)</f>
        <v>0.5152777778</v>
      </c>
      <c r="K941" s="2">
        <f>IFERROR(__xludf.DUMMYFUNCTION("""COMPUTED_VALUE"""),12.0)</f>
        <v>12</v>
      </c>
      <c r="L941" s="2">
        <f>IFERROR(__xludf.DUMMYFUNCTION("""COMPUTED_VALUE"""),5.9)</f>
        <v>5.9</v>
      </c>
    </row>
    <row r="942">
      <c r="A942" s="2">
        <f>IFERROR(__xludf.DUMMYFUNCTION("""COMPUTED_VALUE"""),489545.0)</f>
        <v>489545</v>
      </c>
      <c r="B942" s="2" t="str">
        <f>IFERROR(__xludf.DUMMYFUNCTION("""COMPUTED_VALUE"""),"22110")</f>
        <v>22110</v>
      </c>
      <c r="C942" s="2" t="str">
        <f>IFERROR(__xludf.DUMMYFUNCTION("""COMPUTED_VALUE"""),"BIRD HOUSE HOT WATER BOTTLE")</f>
        <v>BIRD HOUSE HOT WATER BOTTLE</v>
      </c>
      <c r="D942" s="2">
        <f>IFERROR(__xludf.DUMMYFUNCTION("""COMPUTED_VALUE"""),1.0)</f>
        <v>1</v>
      </c>
      <c r="E942" s="6">
        <f>IFERROR(__xludf.DUMMYFUNCTION("""COMPUTED_VALUE"""),40148.51527777778)</f>
        <v>40148.51528</v>
      </c>
      <c r="F942" s="2">
        <f>IFERROR(__xludf.DUMMYFUNCTION("""COMPUTED_VALUE"""),3.45)</f>
        <v>3.45</v>
      </c>
      <c r="G942" s="2">
        <f>IFERROR(__xludf.DUMMYFUNCTION("""COMPUTED_VALUE"""),17804.0)</f>
        <v>17804</v>
      </c>
      <c r="H942" s="2" t="str">
        <f>IFERROR(__xludf.DUMMYFUNCTION("""COMPUTED_VALUE"""),"United Kingdom")</f>
        <v>United Kingdom</v>
      </c>
      <c r="I942" s="7">
        <f>IFERROR(__xludf.DUMMYFUNCTION("""COMPUTED_VALUE"""),40148.0)</f>
        <v>40148</v>
      </c>
      <c r="J942" s="8">
        <f>IFERROR(__xludf.DUMMYFUNCTION("""COMPUTED_VALUE"""),0.515277777776646)</f>
        <v>0.5152777778</v>
      </c>
      <c r="K942" s="2">
        <f>IFERROR(__xludf.DUMMYFUNCTION("""COMPUTED_VALUE"""),12.0)</f>
        <v>12</v>
      </c>
      <c r="L942" s="2">
        <f>IFERROR(__xludf.DUMMYFUNCTION("""COMPUTED_VALUE"""),3.45)</f>
        <v>3.45</v>
      </c>
    </row>
    <row r="943">
      <c r="A943" s="2">
        <f>IFERROR(__xludf.DUMMYFUNCTION("""COMPUTED_VALUE"""),489545.0)</f>
        <v>489545</v>
      </c>
      <c r="B943" s="2" t="str">
        <f>IFERROR(__xludf.DUMMYFUNCTION("""COMPUTED_VALUE"""),"22113")</f>
        <v>22113</v>
      </c>
      <c r="C943" s="2" t="str">
        <f>IFERROR(__xludf.DUMMYFUNCTION("""COMPUTED_VALUE"""),"GREY HEART HOT WATER BOTTLE")</f>
        <v>GREY HEART HOT WATER BOTTLE</v>
      </c>
      <c r="D943" s="2">
        <f>IFERROR(__xludf.DUMMYFUNCTION("""COMPUTED_VALUE"""),1.0)</f>
        <v>1</v>
      </c>
      <c r="E943" s="6">
        <f>IFERROR(__xludf.DUMMYFUNCTION("""COMPUTED_VALUE"""),40148.51527777778)</f>
        <v>40148.51528</v>
      </c>
      <c r="F943" s="2">
        <f>IFERROR(__xludf.DUMMYFUNCTION("""COMPUTED_VALUE"""),3.45)</f>
        <v>3.45</v>
      </c>
      <c r="G943" s="2">
        <f>IFERROR(__xludf.DUMMYFUNCTION("""COMPUTED_VALUE"""),17804.0)</f>
        <v>17804</v>
      </c>
      <c r="H943" s="2" t="str">
        <f>IFERROR(__xludf.DUMMYFUNCTION("""COMPUTED_VALUE"""),"United Kingdom")</f>
        <v>United Kingdom</v>
      </c>
      <c r="I943" s="7">
        <f>IFERROR(__xludf.DUMMYFUNCTION("""COMPUTED_VALUE"""),40148.0)</f>
        <v>40148</v>
      </c>
      <c r="J943" s="8">
        <f>IFERROR(__xludf.DUMMYFUNCTION("""COMPUTED_VALUE"""),0.515277777776646)</f>
        <v>0.5152777778</v>
      </c>
      <c r="K943" s="2">
        <f>IFERROR(__xludf.DUMMYFUNCTION("""COMPUTED_VALUE"""),12.0)</f>
        <v>12</v>
      </c>
      <c r="L943" s="2">
        <f>IFERROR(__xludf.DUMMYFUNCTION("""COMPUTED_VALUE"""),3.45)</f>
        <v>3.45</v>
      </c>
    </row>
    <row r="944">
      <c r="A944" s="2">
        <f>IFERROR(__xludf.DUMMYFUNCTION("""COMPUTED_VALUE"""),489545.0)</f>
        <v>489545</v>
      </c>
      <c r="B944" s="2" t="str">
        <f>IFERROR(__xludf.DUMMYFUNCTION("""COMPUTED_VALUE"""),"21484")</f>
        <v>21484</v>
      </c>
      <c r="C944" s="2" t="str">
        <f>IFERROR(__xludf.DUMMYFUNCTION("""COMPUTED_VALUE"""),"CHICK GREY HOT WATER BOTTLE")</f>
        <v>CHICK GREY HOT WATER BOTTLE</v>
      </c>
      <c r="D944" s="2">
        <f>IFERROR(__xludf.DUMMYFUNCTION("""COMPUTED_VALUE"""),2.0)</f>
        <v>2</v>
      </c>
      <c r="E944" s="6">
        <f>IFERROR(__xludf.DUMMYFUNCTION("""COMPUTED_VALUE"""),40148.51527777778)</f>
        <v>40148.51528</v>
      </c>
      <c r="F944" s="2">
        <f>IFERROR(__xludf.DUMMYFUNCTION("""COMPUTED_VALUE"""),3.45)</f>
        <v>3.45</v>
      </c>
      <c r="G944" s="2">
        <f>IFERROR(__xludf.DUMMYFUNCTION("""COMPUTED_VALUE"""),17804.0)</f>
        <v>17804</v>
      </c>
      <c r="H944" s="2" t="str">
        <f>IFERROR(__xludf.DUMMYFUNCTION("""COMPUTED_VALUE"""),"United Kingdom")</f>
        <v>United Kingdom</v>
      </c>
      <c r="I944" s="7">
        <f>IFERROR(__xludf.DUMMYFUNCTION("""COMPUTED_VALUE"""),40148.0)</f>
        <v>40148</v>
      </c>
      <c r="J944" s="8">
        <f>IFERROR(__xludf.DUMMYFUNCTION("""COMPUTED_VALUE"""),0.515277777776646)</f>
        <v>0.5152777778</v>
      </c>
      <c r="K944" s="2">
        <f>IFERROR(__xludf.DUMMYFUNCTION("""COMPUTED_VALUE"""),12.0)</f>
        <v>12</v>
      </c>
      <c r="L944" s="2">
        <f>IFERROR(__xludf.DUMMYFUNCTION("""COMPUTED_VALUE"""),6.9)</f>
        <v>6.9</v>
      </c>
    </row>
    <row r="945">
      <c r="A945" s="2">
        <f>IFERROR(__xludf.DUMMYFUNCTION("""COMPUTED_VALUE"""),489545.0)</f>
        <v>489545</v>
      </c>
      <c r="B945" s="2" t="str">
        <f>IFERROR(__xludf.DUMMYFUNCTION("""COMPUTED_VALUE"""),"20914")</f>
        <v>20914</v>
      </c>
      <c r="C945" s="2" t="str">
        <f>IFERROR(__xludf.DUMMYFUNCTION("""COMPUTED_VALUE"""),"SET/5 RED SPOTTY LID GLASS BOWLS")</f>
        <v>SET/5 RED SPOTTY LID GLASS BOWLS</v>
      </c>
      <c r="D945" s="2">
        <f>IFERROR(__xludf.DUMMYFUNCTION("""COMPUTED_VALUE"""),1.0)</f>
        <v>1</v>
      </c>
      <c r="E945" s="6">
        <f>IFERROR(__xludf.DUMMYFUNCTION("""COMPUTED_VALUE"""),40148.51527777778)</f>
        <v>40148.51528</v>
      </c>
      <c r="F945" s="2">
        <f>IFERROR(__xludf.DUMMYFUNCTION("""COMPUTED_VALUE"""),2.95)</f>
        <v>2.95</v>
      </c>
      <c r="G945" s="2">
        <f>IFERROR(__xludf.DUMMYFUNCTION("""COMPUTED_VALUE"""),17804.0)</f>
        <v>17804</v>
      </c>
      <c r="H945" s="2" t="str">
        <f>IFERROR(__xludf.DUMMYFUNCTION("""COMPUTED_VALUE"""),"United Kingdom")</f>
        <v>United Kingdom</v>
      </c>
      <c r="I945" s="7">
        <f>IFERROR(__xludf.DUMMYFUNCTION("""COMPUTED_VALUE"""),40148.0)</f>
        <v>40148</v>
      </c>
      <c r="J945" s="8">
        <f>IFERROR(__xludf.DUMMYFUNCTION("""COMPUTED_VALUE"""),0.515277777776646)</f>
        <v>0.5152777778</v>
      </c>
      <c r="K945" s="2">
        <f>IFERROR(__xludf.DUMMYFUNCTION("""COMPUTED_VALUE"""),12.0)</f>
        <v>12</v>
      </c>
      <c r="L945" s="2">
        <f>IFERROR(__xludf.DUMMYFUNCTION("""COMPUTED_VALUE"""),2.95)</f>
        <v>2.95</v>
      </c>
    </row>
    <row r="946">
      <c r="A946" s="2">
        <f>IFERROR(__xludf.DUMMYFUNCTION("""COMPUTED_VALUE"""),489545.0)</f>
        <v>489545</v>
      </c>
      <c r="B946" s="2" t="str">
        <f>IFERROR(__xludf.DUMMYFUNCTION("""COMPUTED_VALUE"""),"84977")</f>
        <v>84977</v>
      </c>
      <c r="C946" s="2" t="str">
        <f>IFERROR(__xludf.DUMMYFUNCTION("""COMPUTED_VALUE"""),"WIRE FLOWER T-LIGHT HOLDER")</f>
        <v>WIRE FLOWER T-LIGHT HOLDER</v>
      </c>
      <c r="D946" s="2">
        <f>IFERROR(__xludf.DUMMYFUNCTION("""COMPUTED_VALUE"""),6.0)</f>
        <v>6</v>
      </c>
      <c r="E946" s="6">
        <f>IFERROR(__xludf.DUMMYFUNCTION("""COMPUTED_VALUE"""),40148.51527777778)</f>
        <v>40148.51528</v>
      </c>
      <c r="F946" s="2">
        <f>IFERROR(__xludf.DUMMYFUNCTION("""COMPUTED_VALUE"""),1.25)</f>
        <v>1.25</v>
      </c>
      <c r="G946" s="2">
        <f>IFERROR(__xludf.DUMMYFUNCTION("""COMPUTED_VALUE"""),17804.0)</f>
        <v>17804</v>
      </c>
      <c r="H946" s="2" t="str">
        <f>IFERROR(__xludf.DUMMYFUNCTION("""COMPUTED_VALUE"""),"United Kingdom")</f>
        <v>United Kingdom</v>
      </c>
      <c r="I946" s="7">
        <f>IFERROR(__xludf.DUMMYFUNCTION("""COMPUTED_VALUE"""),40148.0)</f>
        <v>40148</v>
      </c>
      <c r="J946" s="8">
        <f>IFERROR(__xludf.DUMMYFUNCTION("""COMPUTED_VALUE"""),0.515277777776646)</f>
        <v>0.5152777778</v>
      </c>
      <c r="K946" s="2">
        <f>IFERROR(__xludf.DUMMYFUNCTION("""COMPUTED_VALUE"""),12.0)</f>
        <v>12</v>
      </c>
      <c r="L946" s="2">
        <f>IFERROR(__xludf.DUMMYFUNCTION("""COMPUTED_VALUE"""),7.5)</f>
        <v>7.5</v>
      </c>
    </row>
    <row r="947">
      <c r="A947" s="2">
        <f>IFERROR(__xludf.DUMMYFUNCTION("""COMPUTED_VALUE"""),489545.0)</f>
        <v>489545</v>
      </c>
      <c r="B947" s="2" t="str">
        <f>IFERROR(__xludf.DUMMYFUNCTION("""COMPUTED_VALUE"""),"21868")</f>
        <v>21868</v>
      </c>
      <c r="C947" s="2" t="str">
        <f>IFERROR(__xludf.DUMMYFUNCTION("""COMPUTED_VALUE"""),"POTTING SHED TEA MUG")</f>
        <v>POTTING SHED TEA MUG</v>
      </c>
      <c r="D947" s="2">
        <f>IFERROR(__xludf.DUMMYFUNCTION("""COMPUTED_VALUE"""),1.0)</f>
        <v>1</v>
      </c>
      <c r="E947" s="6">
        <f>IFERROR(__xludf.DUMMYFUNCTION("""COMPUTED_VALUE"""),40148.51527777778)</f>
        <v>40148.51528</v>
      </c>
      <c r="F947" s="2">
        <f>IFERROR(__xludf.DUMMYFUNCTION("""COMPUTED_VALUE"""),1.25)</f>
        <v>1.25</v>
      </c>
      <c r="G947" s="2">
        <f>IFERROR(__xludf.DUMMYFUNCTION("""COMPUTED_VALUE"""),17804.0)</f>
        <v>17804</v>
      </c>
      <c r="H947" s="2" t="str">
        <f>IFERROR(__xludf.DUMMYFUNCTION("""COMPUTED_VALUE"""),"United Kingdom")</f>
        <v>United Kingdom</v>
      </c>
      <c r="I947" s="7">
        <f>IFERROR(__xludf.DUMMYFUNCTION("""COMPUTED_VALUE"""),40148.0)</f>
        <v>40148</v>
      </c>
      <c r="J947" s="8">
        <f>IFERROR(__xludf.DUMMYFUNCTION("""COMPUTED_VALUE"""),0.515277777776646)</f>
        <v>0.5152777778</v>
      </c>
      <c r="K947" s="2">
        <f>IFERROR(__xludf.DUMMYFUNCTION("""COMPUTED_VALUE"""),12.0)</f>
        <v>12</v>
      </c>
      <c r="L947" s="2">
        <f>IFERROR(__xludf.DUMMYFUNCTION("""COMPUTED_VALUE"""),1.25)</f>
        <v>1.25</v>
      </c>
    </row>
    <row r="948">
      <c r="A948" s="2">
        <f>IFERROR(__xludf.DUMMYFUNCTION("""COMPUTED_VALUE"""),489545.0)</f>
        <v>489545</v>
      </c>
      <c r="B948" s="2" t="str">
        <f>IFERROR(__xludf.DUMMYFUNCTION("""COMPUTED_VALUE"""),"18010")</f>
        <v>18010</v>
      </c>
      <c r="C948" s="2" t="str">
        <f>IFERROR(__xludf.DUMMYFUNCTION("""COMPUTED_VALUE"""),"ASSORTED FRAGRANCE BATH CONFETTI")</f>
        <v>ASSORTED FRAGRANCE BATH CONFETTI</v>
      </c>
      <c r="D948" s="2">
        <f>IFERROR(__xludf.DUMMYFUNCTION("""COMPUTED_VALUE"""),6.0)</f>
        <v>6</v>
      </c>
      <c r="E948" s="6">
        <f>IFERROR(__xludf.DUMMYFUNCTION("""COMPUTED_VALUE"""),40148.51527777778)</f>
        <v>40148.51528</v>
      </c>
      <c r="F948" s="2">
        <f>IFERROR(__xludf.DUMMYFUNCTION("""COMPUTED_VALUE"""),0.42)</f>
        <v>0.42</v>
      </c>
      <c r="G948" s="2">
        <f>IFERROR(__xludf.DUMMYFUNCTION("""COMPUTED_VALUE"""),17804.0)</f>
        <v>17804</v>
      </c>
      <c r="H948" s="2" t="str">
        <f>IFERROR(__xludf.DUMMYFUNCTION("""COMPUTED_VALUE"""),"United Kingdom")</f>
        <v>United Kingdom</v>
      </c>
      <c r="I948" s="7">
        <f>IFERROR(__xludf.DUMMYFUNCTION("""COMPUTED_VALUE"""),40148.0)</f>
        <v>40148</v>
      </c>
      <c r="J948" s="8">
        <f>IFERROR(__xludf.DUMMYFUNCTION("""COMPUTED_VALUE"""),0.515277777776646)</f>
        <v>0.5152777778</v>
      </c>
      <c r="K948" s="2">
        <f>IFERROR(__xludf.DUMMYFUNCTION("""COMPUTED_VALUE"""),12.0)</f>
        <v>12</v>
      </c>
      <c r="L948" s="2">
        <f>IFERROR(__xludf.DUMMYFUNCTION("""COMPUTED_VALUE"""),2.52)</f>
        <v>2.52</v>
      </c>
    </row>
    <row r="949">
      <c r="A949" s="2">
        <f>IFERROR(__xludf.DUMMYFUNCTION("""COMPUTED_VALUE"""),489545.0)</f>
        <v>489545</v>
      </c>
      <c r="B949" s="2" t="str">
        <f>IFERROR(__xludf.DUMMYFUNCTION("""COMPUTED_VALUE"""),"21162")</f>
        <v>21162</v>
      </c>
      <c r="C949" s="2" t="str">
        <f>IFERROR(__xludf.DUMMYFUNCTION("""COMPUTED_VALUE"""),"TOXIC AREA DOOR HANGER")</f>
        <v>TOXIC AREA DOOR HANGER</v>
      </c>
      <c r="D949" s="2">
        <f>IFERROR(__xludf.DUMMYFUNCTION("""COMPUTED_VALUE"""),1.0)</f>
        <v>1</v>
      </c>
      <c r="E949" s="6">
        <f>IFERROR(__xludf.DUMMYFUNCTION("""COMPUTED_VALUE"""),40148.51527777778)</f>
        <v>40148.51528</v>
      </c>
      <c r="F949" s="2">
        <f>IFERROR(__xludf.DUMMYFUNCTION("""COMPUTED_VALUE"""),1.45)</f>
        <v>1.45</v>
      </c>
      <c r="G949" s="2">
        <f>IFERROR(__xludf.DUMMYFUNCTION("""COMPUTED_VALUE"""),17804.0)</f>
        <v>17804</v>
      </c>
      <c r="H949" s="2" t="str">
        <f>IFERROR(__xludf.DUMMYFUNCTION("""COMPUTED_VALUE"""),"United Kingdom")</f>
        <v>United Kingdom</v>
      </c>
      <c r="I949" s="7">
        <f>IFERROR(__xludf.DUMMYFUNCTION("""COMPUTED_VALUE"""),40148.0)</f>
        <v>40148</v>
      </c>
      <c r="J949" s="8">
        <f>IFERROR(__xludf.DUMMYFUNCTION("""COMPUTED_VALUE"""),0.515277777776646)</f>
        <v>0.5152777778</v>
      </c>
      <c r="K949" s="2">
        <f>IFERROR(__xludf.DUMMYFUNCTION("""COMPUTED_VALUE"""),12.0)</f>
        <v>12</v>
      </c>
      <c r="L949" s="2">
        <f>IFERROR(__xludf.DUMMYFUNCTION("""COMPUTED_VALUE"""),1.45)</f>
        <v>1.45</v>
      </c>
    </row>
    <row r="950">
      <c r="A950" s="2">
        <f>IFERROR(__xludf.DUMMYFUNCTION("""COMPUTED_VALUE"""),489545.0)</f>
        <v>489545</v>
      </c>
      <c r="B950" s="2" t="str">
        <f>IFERROR(__xludf.DUMMYFUNCTION("""COMPUTED_VALUE"""),"37370")</f>
        <v>37370</v>
      </c>
      <c r="C950" s="2" t="str">
        <f>IFERROR(__xludf.DUMMYFUNCTION("""COMPUTED_VALUE"""),"RETRO COFFEE MUGS ASSORTED")</f>
        <v>RETRO COFFEE MUGS ASSORTED</v>
      </c>
      <c r="D950" s="2">
        <f>IFERROR(__xludf.DUMMYFUNCTION("""COMPUTED_VALUE"""),2.0)</f>
        <v>2</v>
      </c>
      <c r="E950" s="6">
        <f>IFERROR(__xludf.DUMMYFUNCTION("""COMPUTED_VALUE"""),40148.51527777778)</f>
        <v>40148.51528</v>
      </c>
      <c r="F950" s="2">
        <f>IFERROR(__xludf.DUMMYFUNCTION("""COMPUTED_VALUE"""),1.25)</f>
        <v>1.25</v>
      </c>
      <c r="G950" s="2">
        <f>IFERROR(__xludf.DUMMYFUNCTION("""COMPUTED_VALUE"""),17804.0)</f>
        <v>17804</v>
      </c>
      <c r="H950" s="2" t="str">
        <f>IFERROR(__xludf.DUMMYFUNCTION("""COMPUTED_VALUE"""),"United Kingdom")</f>
        <v>United Kingdom</v>
      </c>
      <c r="I950" s="7">
        <f>IFERROR(__xludf.DUMMYFUNCTION("""COMPUTED_VALUE"""),40148.0)</f>
        <v>40148</v>
      </c>
      <c r="J950" s="8">
        <f>IFERROR(__xludf.DUMMYFUNCTION("""COMPUTED_VALUE"""),0.515277777776646)</f>
        <v>0.5152777778</v>
      </c>
      <c r="K950" s="2">
        <f>IFERROR(__xludf.DUMMYFUNCTION("""COMPUTED_VALUE"""),12.0)</f>
        <v>12</v>
      </c>
      <c r="L950" s="2">
        <f>IFERROR(__xludf.DUMMYFUNCTION("""COMPUTED_VALUE"""),2.5)</f>
        <v>2.5</v>
      </c>
    </row>
    <row r="951">
      <c r="A951" s="2">
        <f>IFERROR(__xludf.DUMMYFUNCTION("""COMPUTED_VALUE"""),489545.0)</f>
        <v>489545</v>
      </c>
      <c r="B951" s="2" t="str">
        <f>IFERROR(__xludf.DUMMYFUNCTION("""COMPUTED_VALUE"""),"22152")</f>
        <v>22152</v>
      </c>
      <c r="C951" s="2" t="str">
        <f>IFERROR(__xludf.DUMMYFUNCTION("""COMPUTED_VALUE"""),"PLACE SETTING WHITE STAR")</f>
        <v>PLACE SETTING WHITE STAR</v>
      </c>
      <c r="D951" s="2">
        <f>IFERROR(__xludf.DUMMYFUNCTION("""COMPUTED_VALUE"""),15.0)</f>
        <v>15</v>
      </c>
      <c r="E951" s="6">
        <f>IFERROR(__xludf.DUMMYFUNCTION("""COMPUTED_VALUE"""),40148.51527777778)</f>
        <v>40148.51528</v>
      </c>
      <c r="F951" s="2">
        <f>IFERROR(__xludf.DUMMYFUNCTION("""COMPUTED_VALUE"""),0.42)</f>
        <v>0.42</v>
      </c>
      <c r="G951" s="2">
        <f>IFERROR(__xludf.DUMMYFUNCTION("""COMPUTED_VALUE"""),17804.0)</f>
        <v>17804</v>
      </c>
      <c r="H951" s="2" t="str">
        <f>IFERROR(__xludf.DUMMYFUNCTION("""COMPUTED_VALUE"""),"United Kingdom")</f>
        <v>United Kingdom</v>
      </c>
      <c r="I951" s="7">
        <f>IFERROR(__xludf.DUMMYFUNCTION("""COMPUTED_VALUE"""),40148.0)</f>
        <v>40148</v>
      </c>
      <c r="J951" s="8">
        <f>IFERROR(__xludf.DUMMYFUNCTION("""COMPUTED_VALUE"""),0.515277777776646)</f>
        <v>0.5152777778</v>
      </c>
      <c r="K951" s="2">
        <f>IFERROR(__xludf.DUMMYFUNCTION("""COMPUTED_VALUE"""),12.0)</f>
        <v>12</v>
      </c>
      <c r="L951" s="2">
        <f>IFERROR(__xludf.DUMMYFUNCTION("""COMPUTED_VALUE"""),6.3)</f>
        <v>6.3</v>
      </c>
    </row>
    <row r="952">
      <c r="A952" s="2">
        <f>IFERROR(__xludf.DUMMYFUNCTION("""COMPUTED_VALUE"""),489545.0)</f>
        <v>489545</v>
      </c>
      <c r="B952" s="2" t="str">
        <f>IFERROR(__xludf.DUMMYFUNCTION("""COMPUTED_VALUE"""),"72267")</f>
        <v>72267</v>
      </c>
      <c r="C952" s="2" t="str">
        <f>IFERROR(__xludf.DUMMYFUNCTION("""COMPUTED_VALUE"""),"PREMIUM CHURCH CANDLE")</f>
        <v>PREMIUM CHURCH CANDLE</v>
      </c>
      <c r="D952" s="2">
        <f>IFERROR(__xludf.DUMMYFUNCTION("""COMPUTED_VALUE"""),3.0)</f>
        <v>3</v>
      </c>
      <c r="E952" s="6">
        <f>IFERROR(__xludf.DUMMYFUNCTION("""COMPUTED_VALUE"""),40148.51527777778)</f>
        <v>40148.51528</v>
      </c>
      <c r="F952" s="2">
        <f>IFERROR(__xludf.DUMMYFUNCTION("""COMPUTED_VALUE"""),2.1)</f>
        <v>2.1</v>
      </c>
      <c r="G952" s="2">
        <f>IFERROR(__xludf.DUMMYFUNCTION("""COMPUTED_VALUE"""),17804.0)</f>
        <v>17804</v>
      </c>
      <c r="H952" s="2" t="str">
        <f>IFERROR(__xludf.DUMMYFUNCTION("""COMPUTED_VALUE"""),"United Kingdom")</f>
        <v>United Kingdom</v>
      </c>
      <c r="I952" s="7">
        <f>IFERROR(__xludf.DUMMYFUNCTION("""COMPUTED_VALUE"""),40148.0)</f>
        <v>40148</v>
      </c>
      <c r="J952" s="8">
        <f>IFERROR(__xludf.DUMMYFUNCTION("""COMPUTED_VALUE"""),0.515277777776646)</f>
        <v>0.5152777778</v>
      </c>
      <c r="K952" s="2">
        <f>IFERROR(__xludf.DUMMYFUNCTION("""COMPUTED_VALUE"""),12.0)</f>
        <v>12</v>
      </c>
      <c r="L952" s="2">
        <f>IFERROR(__xludf.DUMMYFUNCTION("""COMPUTED_VALUE"""),6.3)</f>
        <v>6.3</v>
      </c>
    </row>
    <row r="953">
      <c r="A953" s="2">
        <f>IFERROR(__xludf.DUMMYFUNCTION("""COMPUTED_VALUE"""),489545.0)</f>
        <v>489545</v>
      </c>
      <c r="B953" s="2" t="str">
        <f>IFERROR(__xludf.DUMMYFUNCTION("""COMPUTED_VALUE"""),"22139")</f>
        <v>22139</v>
      </c>
      <c r="C953" s="2" t="str">
        <f>IFERROR(__xludf.DUMMYFUNCTION("""COMPUTED_VALUE"""),"RETRO SPOT TEA SET CERAMIC 11 PC")</f>
        <v>RETRO SPOT TEA SET CERAMIC 11 PC</v>
      </c>
      <c r="D953" s="2">
        <f>IFERROR(__xludf.DUMMYFUNCTION("""COMPUTED_VALUE"""),4.0)</f>
        <v>4</v>
      </c>
      <c r="E953" s="6">
        <f>IFERROR(__xludf.DUMMYFUNCTION("""COMPUTED_VALUE"""),40148.51527777778)</f>
        <v>40148.51528</v>
      </c>
      <c r="F953" s="2">
        <f>IFERROR(__xludf.DUMMYFUNCTION("""COMPUTED_VALUE"""),4.95)</f>
        <v>4.95</v>
      </c>
      <c r="G953" s="2">
        <f>IFERROR(__xludf.DUMMYFUNCTION("""COMPUTED_VALUE"""),17804.0)</f>
        <v>17804</v>
      </c>
      <c r="H953" s="2" t="str">
        <f>IFERROR(__xludf.DUMMYFUNCTION("""COMPUTED_VALUE"""),"United Kingdom")</f>
        <v>United Kingdom</v>
      </c>
      <c r="I953" s="7">
        <f>IFERROR(__xludf.DUMMYFUNCTION("""COMPUTED_VALUE"""),40148.0)</f>
        <v>40148</v>
      </c>
      <c r="J953" s="8">
        <f>IFERROR(__xludf.DUMMYFUNCTION("""COMPUTED_VALUE"""),0.515277777776646)</f>
        <v>0.5152777778</v>
      </c>
      <c r="K953" s="2">
        <f>IFERROR(__xludf.DUMMYFUNCTION("""COMPUTED_VALUE"""),12.0)</f>
        <v>12</v>
      </c>
      <c r="L953" s="2">
        <f>IFERROR(__xludf.DUMMYFUNCTION("""COMPUTED_VALUE"""),19.8)</f>
        <v>19.8</v>
      </c>
    </row>
    <row r="954">
      <c r="A954" s="2">
        <f>IFERROR(__xludf.DUMMYFUNCTION("""COMPUTED_VALUE"""),489545.0)</f>
        <v>489545</v>
      </c>
      <c r="B954" s="2" t="str">
        <f>IFERROR(__xludf.DUMMYFUNCTION("""COMPUTED_VALUE"""),"22143")</f>
        <v>22143</v>
      </c>
      <c r="C954" s="2" t="str">
        <f>IFERROR(__xludf.DUMMYFUNCTION("""COMPUTED_VALUE"""),"CHRISTMAS CRAFT HEART DECORATIONS")</f>
        <v>CHRISTMAS CRAFT HEART DECORATIONS</v>
      </c>
      <c r="D954" s="2">
        <f>IFERROR(__xludf.DUMMYFUNCTION("""COMPUTED_VALUE"""),1.0)</f>
        <v>1</v>
      </c>
      <c r="E954" s="6">
        <f>IFERROR(__xludf.DUMMYFUNCTION("""COMPUTED_VALUE"""),40148.51527777778)</f>
        <v>40148.51528</v>
      </c>
      <c r="F954" s="2">
        <f>IFERROR(__xludf.DUMMYFUNCTION("""COMPUTED_VALUE"""),2.1)</f>
        <v>2.1</v>
      </c>
      <c r="G954" s="2">
        <f>IFERROR(__xludf.DUMMYFUNCTION("""COMPUTED_VALUE"""),17804.0)</f>
        <v>17804</v>
      </c>
      <c r="H954" s="2" t="str">
        <f>IFERROR(__xludf.DUMMYFUNCTION("""COMPUTED_VALUE"""),"United Kingdom")</f>
        <v>United Kingdom</v>
      </c>
      <c r="I954" s="7">
        <f>IFERROR(__xludf.DUMMYFUNCTION("""COMPUTED_VALUE"""),40148.0)</f>
        <v>40148</v>
      </c>
      <c r="J954" s="8">
        <f>IFERROR(__xludf.DUMMYFUNCTION("""COMPUTED_VALUE"""),0.515277777776646)</f>
        <v>0.5152777778</v>
      </c>
      <c r="K954" s="2">
        <f>IFERROR(__xludf.DUMMYFUNCTION("""COMPUTED_VALUE"""),12.0)</f>
        <v>12</v>
      </c>
      <c r="L954" s="2">
        <f>IFERROR(__xludf.DUMMYFUNCTION("""COMPUTED_VALUE"""),2.1)</f>
        <v>2.1</v>
      </c>
    </row>
    <row r="955">
      <c r="A955" s="2">
        <f>IFERROR(__xludf.DUMMYFUNCTION("""COMPUTED_VALUE"""),489545.0)</f>
        <v>489545</v>
      </c>
      <c r="B955" s="2" t="str">
        <f>IFERROR(__xludf.DUMMYFUNCTION("""COMPUTED_VALUE"""),"22197")</f>
        <v>22197</v>
      </c>
      <c r="C955" s="2" t="str">
        <f>IFERROR(__xludf.DUMMYFUNCTION("""COMPUTED_VALUE"""),"POPCORN HOLDER , SMALL")</f>
        <v>POPCORN HOLDER , SMALL</v>
      </c>
      <c r="D955" s="2">
        <f>IFERROR(__xludf.DUMMYFUNCTION("""COMPUTED_VALUE"""),3.0)</f>
        <v>3</v>
      </c>
      <c r="E955" s="6">
        <f>IFERROR(__xludf.DUMMYFUNCTION("""COMPUTED_VALUE"""),40148.51527777778)</f>
        <v>40148.51528</v>
      </c>
      <c r="F955" s="2">
        <f>IFERROR(__xludf.DUMMYFUNCTION("""COMPUTED_VALUE"""),0.85)</f>
        <v>0.85</v>
      </c>
      <c r="G955" s="2">
        <f>IFERROR(__xludf.DUMMYFUNCTION("""COMPUTED_VALUE"""),17804.0)</f>
        <v>17804</v>
      </c>
      <c r="H955" s="2" t="str">
        <f>IFERROR(__xludf.DUMMYFUNCTION("""COMPUTED_VALUE"""),"United Kingdom")</f>
        <v>United Kingdom</v>
      </c>
      <c r="I955" s="7">
        <f>IFERROR(__xludf.DUMMYFUNCTION("""COMPUTED_VALUE"""),40148.0)</f>
        <v>40148</v>
      </c>
      <c r="J955" s="8">
        <f>IFERROR(__xludf.DUMMYFUNCTION("""COMPUTED_VALUE"""),0.515277777776646)</f>
        <v>0.5152777778</v>
      </c>
      <c r="K955" s="2">
        <f>IFERROR(__xludf.DUMMYFUNCTION("""COMPUTED_VALUE"""),12.0)</f>
        <v>12</v>
      </c>
      <c r="L955" s="2">
        <f>IFERROR(__xludf.DUMMYFUNCTION("""COMPUTED_VALUE"""),2.55)</f>
        <v>2.55</v>
      </c>
    </row>
    <row r="956">
      <c r="A956" s="2">
        <f>IFERROR(__xludf.DUMMYFUNCTION("""COMPUTED_VALUE"""),489545.0)</f>
        <v>489545</v>
      </c>
      <c r="B956" s="2" t="str">
        <f>IFERROR(__xludf.DUMMYFUNCTION("""COMPUTED_VALUE"""),"22081")</f>
        <v>22081</v>
      </c>
      <c r="C956" s="2" t="str">
        <f>IFERROR(__xludf.DUMMYFUNCTION("""COMPUTED_VALUE"""),"RIBBON REEL FLORA + FAUNA")</f>
        <v>RIBBON REEL FLORA + FAUNA</v>
      </c>
      <c r="D956" s="2">
        <f>IFERROR(__xludf.DUMMYFUNCTION("""COMPUTED_VALUE"""),1.0)</f>
        <v>1</v>
      </c>
      <c r="E956" s="6">
        <f>IFERROR(__xludf.DUMMYFUNCTION("""COMPUTED_VALUE"""),40148.51527777778)</f>
        <v>40148.51528</v>
      </c>
      <c r="F956" s="2">
        <f>IFERROR(__xludf.DUMMYFUNCTION("""COMPUTED_VALUE"""),1.65)</f>
        <v>1.65</v>
      </c>
      <c r="G956" s="2">
        <f>IFERROR(__xludf.DUMMYFUNCTION("""COMPUTED_VALUE"""),17804.0)</f>
        <v>17804</v>
      </c>
      <c r="H956" s="2" t="str">
        <f>IFERROR(__xludf.DUMMYFUNCTION("""COMPUTED_VALUE"""),"United Kingdom")</f>
        <v>United Kingdom</v>
      </c>
      <c r="I956" s="7">
        <f>IFERROR(__xludf.DUMMYFUNCTION("""COMPUTED_VALUE"""),40148.0)</f>
        <v>40148</v>
      </c>
      <c r="J956" s="8">
        <f>IFERROR(__xludf.DUMMYFUNCTION("""COMPUTED_VALUE"""),0.515277777776646)</f>
        <v>0.5152777778</v>
      </c>
      <c r="K956" s="2">
        <f>IFERROR(__xludf.DUMMYFUNCTION("""COMPUTED_VALUE"""),12.0)</f>
        <v>12</v>
      </c>
      <c r="L956" s="2">
        <f>IFERROR(__xludf.DUMMYFUNCTION("""COMPUTED_VALUE"""),1.65)</f>
        <v>1.65</v>
      </c>
    </row>
    <row r="957">
      <c r="A957" s="2">
        <f>IFERROR(__xludf.DUMMYFUNCTION("""COMPUTED_VALUE"""),489545.0)</f>
        <v>489545</v>
      </c>
      <c r="B957" s="2" t="str">
        <f>IFERROR(__xludf.DUMMYFUNCTION("""COMPUTED_VALUE"""),"22079")</f>
        <v>22079</v>
      </c>
      <c r="C957" s="2" t="str">
        <f>IFERROR(__xludf.DUMMYFUNCTION("""COMPUTED_VALUE"""),"RIBBON REEL HEARTS DESIGN")</f>
        <v>RIBBON REEL HEARTS DESIGN</v>
      </c>
      <c r="D957" s="2">
        <f>IFERROR(__xludf.DUMMYFUNCTION("""COMPUTED_VALUE"""),1.0)</f>
        <v>1</v>
      </c>
      <c r="E957" s="6">
        <f>IFERROR(__xludf.DUMMYFUNCTION("""COMPUTED_VALUE"""),40148.51527777778)</f>
        <v>40148.51528</v>
      </c>
      <c r="F957" s="2">
        <f>IFERROR(__xludf.DUMMYFUNCTION("""COMPUTED_VALUE"""),1.65)</f>
        <v>1.65</v>
      </c>
      <c r="G957" s="2">
        <f>IFERROR(__xludf.DUMMYFUNCTION("""COMPUTED_VALUE"""),17804.0)</f>
        <v>17804</v>
      </c>
      <c r="H957" s="2" t="str">
        <f>IFERROR(__xludf.DUMMYFUNCTION("""COMPUTED_VALUE"""),"United Kingdom")</f>
        <v>United Kingdom</v>
      </c>
      <c r="I957" s="7">
        <f>IFERROR(__xludf.DUMMYFUNCTION("""COMPUTED_VALUE"""),40148.0)</f>
        <v>40148</v>
      </c>
      <c r="J957" s="8">
        <f>IFERROR(__xludf.DUMMYFUNCTION("""COMPUTED_VALUE"""),0.515277777776646)</f>
        <v>0.5152777778</v>
      </c>
      <c r="K957" s="2">
        <f>IFERROR(__xludf.DUMMYFUNCTION("""COMPUTED_VALUE"""),12.0)</f>
        <v>12</v>
      </c>
      <c r="L957" s="2">
        <f>IFERROR(__xludf.DUMMYFUNCTION("""COMPUTED_VALUE"""),1.65)</f>
        <v>1.65</v>
      </c>
    </row>
    <row r="958">
      <c r="A958" s="2">
        <f>IFERROR(__xludf.DUMMYFUNCTION("""COMPUTED_VALUE"""),489545.0)</f>
        <v>489545</v>
      </c>
      <c r="B958" s="2" t="str">
        <f>IFERROR(__xludf.DUMMYFUNCTION("""COMPUTED_VALUE"""),"22273")</f>
        <v>22273</v>
      </c>
      <c r="C958" s="2" t="str">
        <f>IFERROR(__xludf.DUMMYFUNCTION("""COMPUTED_VALUE"""),"FELTCRAFT DOLL MOLLY")</f>
        <v>FELTCRAFT DOLL MOLLY</v>
      </c>
      <c r="D958" s="2">
        <f>IFERROR(__xludf.DUMMYFUNCTION("""COMPUTED_VALUE"""),1.0)</f>
        <v>1</v>
      </c>
      <c r="E958" s="6">
        <f>IFERROR(__xludf.DUMMYFUNCTION("""COMPUTED_VALUE"""),40148.51527777778)</f>
        <v>40148.51528</v>
      </c>
      <c r="F958" s="2">
        <f>IFERROR(__xludf.DUMMYFUNCTION("""COMPUTED_VALUE"""),2.95)</f>
        <v>2.95</v>
      </c>
      <c r="G958" s="2">
        <f>IFERROR(__xludf.DUMMYFUNCTION("""COMPUTED_VALUE"""),17804.0)</f>
        <v>17804</v>
      </c>
      <c r="H958" s="2" t="str">
        <f>IFERROR(__xludf.DUMMYFUNCTION("""COMPUTED_VALUE"""),"United Kingdom")</f>
        <v>United Kingdom</v>
      </c>
      <c r="I958" s="7">
        <f>IFERROR(__xludf.DUMMYFUNCTION("""COMPUTED_VALUE"""),40148.0)</f>
        <v>40148</v>
      </c>
      <c r="J958" s="8">
        <f>IFERROR(__xludf.DUMMYFUNCTION("""COMPUTED_VALUE"""),0.515277777776646)</f>
        <v>0.5152777778</v>
      </c>
      <c r="K958" s="2">
        <f>IFERROR(__xludf.DUMMYFUNCTION("""COMPUTED_VALUE"""),12.0)</f>
        <v>12</v>
      </c>
      <c r="L958" s="2">
        <f>IFERROR(__xludf.DUMMYFUNCTION("""COMPUTED_VALUE"""),2.95)</f>
        <v>2.95</v>
      </c>
    </row>
    <row r="959">
      <c r="A959" s="2">
        <f>IFERROR(__xludf.DUMMYFUNCTION("""COMPUTED_VALUE"""),489545.0)</f>
        <v>489545</v>
      </c>
      <c r="B959" s="2" t="str">
        <f>IFERROR(__xludf.DUMMYFUNCTION("""COMPUTED_VALUE"""),"22272")</f>
        <v>22272</v>
      </c>
      <c r="C959" s="2" t="str">
        <f>IFERROR(__xludf.DUMMYFUNCTION("""COMPUTED_VALUE"""),"FELTCRAFT DOLL MARIA")</f>
        <v>FELTCRAFT DOLL MARIA</v>
      </c>
      <c r="D959" s="2">
        <f>IFERROR(__xludf.DUMMYFUNCTION("""COMPUTED_VALUE"""),1.0)</f>
        <v>1</v>
      </c>
      <c r="E959" s="6">
        <f>IFERROR(__xludf.DUMMYFUNCTION("""COMPUTED_VALUE"""),40148.51527777778)</f>
        <v>40148.51528</v>
      </c>
      <c r="F959" s="2">
        <f>IFERROR(__xludf.DUMMYFUNCTION("""COMPUTED_VALUE"""),2.95)</f>
        <v>2.95</v>
      </c>
      <c r="G959" s="2">
        <f>IFERROR(__xludf.DUMMYFUNCTION("""COMPUTED_VALUE"""),17804.0)</f>
        <v>17804</v>
      </c>
      <c r="H959" s="2" t="str">
        <f>IFERROR(__xludf.DUMMYFUNCTION("""COMPUTED_VALUE"""),"United Kingdom")</f>
        <v>United Kingdom</v>
      </c>
      <c r="I959" s="7">
        <f>IFERROR(__xludf.DUMMYFUNCTION("""COMPUTED_VALUE"""),40148.0)</f>
        <v>40148</v>
      </c>
      <c r="J959" s="8">
        <f>IFERROR(__xludf.DUMMYFUNCTION("""COMPUTED_VALUE"""),0.515277777776646)</f>
        <v>0.5152777778</v>
      </c>
      <c r="K959" s="2">
        <f>IFERROR(__xludf.DUMMYFUNCTION("""COMPUTED_VALUE"""),12.0)</f>
        <v>12</v>
      </c>
      <c r="L959" s="2">
        <f>IFERROR(__xludf.DUMMYFUNCTION("""COMPUTED_VALUE"""),2.95)</f>
        <v>2.95</v>
      </c>
    </row>
    <row r="960">
      <c r="A960" s="2">
        <f>IFERROR(__xludf.DUMMYFUNCTION("""COMPUTED_VALUE"""),489545.0)</f>
        <v>489545</v>
      </c>
      <c r="B960" s="2" t="str">
        <f>IFERROR(__xludf.DUMMYFUNCTION("""COMPUTED_VALUE"""),"22274")</f>
        <v>22274</v>
      </c>
      <c r="C960" s="2" t="str">
        <f>IFERROR(__xludf.DUMMYFUNCTION("""COMPUTED_VALUE"""),"FELTCRAFT DOLL EMILY")</f>
        <v>FELTCRAFT DOLL EMILY</v>
      </c>
      <c r="D960" s="2">
        <f>IFERROR(__xludf.DUMMYFUNCTION("""COMPUTED_VALUE"""),1.0)</f>
        <v>1</v>
      </c>
      <c r="E960" s="6">
        <f>IFERROR(__xludf.DUMMYFUNCTION("""COMPUTED_VALUE"""),40148.51527777778)</f>
        <v>40148.51528</v>
      </c>
      <c r="F960" s="2">
        <f>IFERROR(__xludf.DUMMYFUNCTION("""COMPUTED_VALUE"""),2.95)</f>
        <v>2.95</v>
      </c>
      <c r="G960" s="2">
        <f>IFERROR(__xludf.DUMMYFUNCTION("""COMPUTED_VALUE"""),17804.0)</f>
        <v>17804</v>
      </c>
      <c r="H960" s="2" t="str">
        <f>IFERROR(__xludf.DUMMYFUNCTION("""COMPUTED_VALUE"""),"United Kingdom")</f>
        <v>United Kingdom</v>
      </c>
      <c r="I960" s="7">
        <f>IFERROR(__xludf.DUMMYFUNCTION("""COMPUTED_VALUE"""),40148.0)</f>
        <v>40148</v>
      </c>
      <c r="J960" s="8">
        <f>IFERROR(__xludf.DUMMYFUNCTION("""COMPUTED_VALUE"""),0.515277777776646)</f>
        <v>0.5152777778</v>
      </c>
      <c r="K960" s="2">
        <f>IFERROR(__xludf.DUMMYFUNCTION("""COMPUTED_VALUE"""),12.0)</f>
        <v>12</v>
      </c>
      <c r="L960" s="2">
        <f>IFERROR(__xludf.DUMMYFUNCTION("""COMPUTED_VALUE"""),2.95)</f>
        <v>2.95</v>
      </c>
    </row>
    <row r="961">
      <c r="A961" s="2">
        <f>IFERROR(__xludf.DUMMYFUNCTION("""COMPUTED_VALUE"""),489545.0)</f>
        <v>489545</v>
      </c>
      <c r="B961" s="2" t="str">
        <f>IFERROR(__xludf.DUMMYFUNCTION("""COMPUTED_VALUE"""),"21124")</f>
        <v>21124</v>
      </c>
      <c r="C961" s="2" t="str">
        <f>IFERROR(__xludf.DUMMYFUNCTION("""COMPUTED_VALUE"""),"SET/10 BLUE SPOTTY PARTY CANDLES")</f>
        <v>SET/10 BLUE SPOTTY PARTY CANDLES</v>
      </c>
      <c r="D961" s="2">
        <f>IFERROR(__xludf.DUMMYFUNCTION("""COMPUTED_VALUE"""),1.0)</f>
        <v>1</v>
      </c>
      <c r="E961" s="6">
        <f>IFERROR(__xludf.DUMMYFUNCTION("""COMPUTED_VALUE"""),40148.51527777778)</f>
        <v>40148.51528</v>
      </c>
      <c r="F961" s="2">
        <f>IFERROR(__xludf.DUMMYFUNCTION("""COMPUTED_VALUE"""),1.25)</f>
        <v>1.25</v>
      </c>
      <c r="G961" s="2">
        <f>IFERROR(__xludf.DUMMYFUNCTION("""COMPUTED_VALUE"""),17804.0)</f>
        <v>17804</v>
      </c>
      <c r="H961" s="2" t="str">
        <f>IFERROR(__xludf.DUMMYFUNCTION("""COMPUTED_VALUE"""),"United Kingdom")</f>
        <v>United Kingdom</v>
      </c>
      <c r="I961" s="7">
        <f>IFERROR(__xludf.DUMMYFUNCTION("""COMPUTED_VALUE"""),40148.0)</f>
        <v>40148</v>
      </c>
      <c r="J961" s="8">
        <f>IFERROR(__xludf.DUMMYFUNCTION("""COMPUTED_VALUE"""),0.515277777776646)</f>
        <v>0.5152777778</v>
      </c>
      <c r="K961" s="2">
        <f>IFERROR(__xludf.DUMMYFUNCTION("""COMPUTED_VALUE"""),12.0)</f>
        <v>12</v>
      </c>
      <c r="L961" s="2">
        <f>IFERROR(__xludf.DUMMYFUNCTION("""COMPUTED_VALUE"""),1.25)</f>
        <v>1.25</v>
      </c>
    </row>
    <row r="962">
      <c r="A962" s="2">
        <f>IFERROR(__xludf.DUMMYFUNCTION("""COMPUTED_VALUE"""),489545.0)</f>
        <v>489545</v>
      </c>
      <c r="B962" s="2" t="str">
        <f>IFERROR(__xludf.DUMMYFUNCTION("""COMPUTED_VALUE"""),"21122")</f>
        <v>21122</v>
      </c>
      <c r="C962" s="2" t="str">
        <f>IFERROR(__xludf.DUMMYFUNCTION("""COMPUTED_VALUE"""),"SET/10 PINK SPOTTY PARTY CANDLES")</f>
        <v>SET/10 PINK SPOTTY PARTY CANDLES</v>
      </c>
      <c r="D962" s="2">
        <f>IFERROR(__xludf.DUMMYFUNCTION("""COMPUTED_VALUE"""),1.0)</f>
        <v>1</v>
      </c>
      <c r="E962" s="6">
        <f>IFERROR(__xludf.DUMMYFUNCTION("""COMPUTED_VALUE"""),40148.51527777778)</f>
        <v>40148.51528</v>
      </c>
      <c r="F962" s="2">
        <f>IFERROR(__xludf.DUMMYFUNCTION("""COMPUTED_VALUE"""),1.25)</f>
        <v>1.25</v>
      </c>
      <c r="G962" s="2">
        <f>IFERROR(__xludf.DUMMYFUNCTION("""COMPUTED_VALUE"""),17804.0)</f>
        <v>17804</v>
      </c>
      <c r="H962" s="2" t="str">
        <f>IFERROR(__xludf.DUMMYFUNCTION("""COMPUTED_VALUE"""),"United Kingdom")</f>
        <v>United Kingdom</v>
      </c>
      <c r="I962" s="7">
        <f>IFERROR(__xludf.DUMMYFUNCTION("""COMPUTED_VALUE"""),40148.0)</f>
        <v>40148</v>
      </c>
      <c r="J962" s="8">
        <f>IFERROR(__xludf.DUMMYFUNCTION("""COMPUTED_VALUE"""),0.515277777776646)</f>
        <v>0.5152777778</v>
      </c>
      <c r="K962" s="2">
        <f>IFERROR(__xludf.DUMMYFUNCTION("""COMPUTED_VALUE"""),12.0)</f>
        <v>12</v>
      </c>
      <c r="L962" s="2">
        <f>IFERROR(__xludf.DUMMYFUNCTION("""COMPUTED_VALUE"""),1.25)</f>
        <v>1.25</v>
      </c>
    </row>
    <row r="963">
      <c r="A963" s="2">
        <f>IFERROR(__xludf.DUMMYFUNCTION("""COMPUTED_VALUE"""),489545.0)</f>
        <v>489545</v>
      </c>
      <c r="B963" s="2" t="str">
        <f>IFERROR(__xludf.DUMMYFUNCTION("""COMPUTED_VALUE"""),"20758")</f>
        <v>20758</v>
      </c>
      <c r="C963" s="2" t="str">
        <f>IFERROR(__xludf.DUMMYFUNCTION("""COMPUTED_VALUE"""),"ABSTRACT CIRCLES POCKET BOOK")</f>
        <v>ABSTRACT CIRCLES POCKET BOOK</v>
      </c>
      <c r="D963" s="2">
        <f>IFERROR(__xludf.DUMMYFUNCTION("""COMPUTED_VALUE"""),3.0)</f>
        <v>3</v>
      </c>
      <c r="E963" s="6">
        <f>IFERROR(__xludf.DUMMYFUNCTION("""COMPUTED_VALUE"""),40148.51527777778)</f>
        <v>40148.51528</v>
      </c>
      <c r="F963" s="2">
        <f>IFERROR(__xludf.DUMMYFUNCTION("""COMPUTED_VALUE"""),0.85)</f>
        <v>0.85</v>
      </c>
      <c r="G963" s="2">
        <f>IFERROR(__xludf.DUMMYFUNCTION("""COMPUTED_VALUE"""),17804.0)</f>
        <v>17804</v>
      </c>
      <c r="H963" s="2" t="str">
        <f>IFERROR(__xludf.DUMMYFUNCTION("""COMPUTED_VALUE"""),"United Kingdom")</f>
        <v>United Kingdom</v>
      </c>
      <c r="I963" s="7">
        <f>IFERROR(__xludf.DUMMYFUNCTION("""COMPUTED_VALUE"""),40148.0)</f>
        <v>40148</v>
      </c>
      <c r="J963" s="8">
        <f>IFERROR(__xludf.DUMMYFUNCTION("""COMPUTED_VALUE"""),0.515277777776646)</f>
        <v>0.5152777778</v>
      </c>
      <c r="K963" s="2">
        <f>IFERROR(__xludf.DUMMYFUNCTION("""COMPUTED_VALUE"""),12.0)</f>
        <v>12</v>
      </c>
      <c r="L963" s="2">
        <f>IFERROR(__xludf.DUMMYFUNCTION("""COMPUTED_VALUE"""),2.55)</f>
        <v>2.55</v>
      </c>
    </row>
    <row r="964">
      <c r="A964" s="2">
        <f>IFERROR(__xludf.DUMMYFUNCTION("""COMPUTED_VALUE"""),489545.0)</f>
        <v>489545</v>
      </c>
      <c r="B964" s="2" t="str">
        <f>IFERROR(__xludf.DUMMYFUNCTION("""COMPUTED_VALUE"""),"20756")</f>
        <v>20756</v>
      </c>
      <c r="C964" s="2" t="str">
        <f>IFERROR(__xludf.DUMMYFUNCTION("""COMPUTED_VALUE"""),"GREEN FERN POCKET BOOK")</f>
        <v>GREEN FERN POCKET BOOK</v>
      </c>
      <c r="D964" s="2">
        <f>IFERROR(__xludf.DUMMYFUNCTION("""COMPUTED_VALUE"""),3.0)</f>
        <v>3</v>
      </c>
      <c r="E964" s="6">
        <f>IFERROR(__xludf.DUMMYFUNCTION("""COMPUTED_VALUE"""),40148.51527777778)</f>
        <v>40148.51528</v>
      </c>
      <c r="F964" s="2">
        <f>IFERROR(__xludf.DUMMYFUNCTION("""COMPUTED_VALUE"""),0.85)</f>
        <v>0.85</v>
      </c>
      <c r="G964" s="2">
        <f>IFERROR(__xludf.DUMMYFUNCTION("""COMPUTED_VALUE"""),17804.0)</f>
        <v>17804</v>
      </c>
      <c r="H964" s="2" t="str">
        <f>IFERROR(__xludf.DUMMYFUNCTION("""COMPUTED_VALUE"""),"United Kingdom")</f>
        <v>United Kingdom</v>
      </c>
      <c r="I964" s="7">
        <f>IFERROR(__xludf.DUMMYFUNCTION("""COMPUTED_VALUE"""),40148.0)</f>
        <v>40148</v>
      </c>
      <c r="J964" s="8">
        <f>IFERROR(__xludf.DUMMYFUNCTION("""COMPUTED_VALUE"""),0.515277777776646)</f>
        <v>0.5152777778</v>
      </c>
      <c r="K964" s="2">
        <f>IFERROR(__xludf.DUMMYFUNCTION("""COMPUTED_VALUE"""),12.0)</f>
        <v>12</v>
      </c>
      <c r="L964" s="2">
        <f>IFERROR(__xludf.DUMMYFUNCTION("""COMPUTED_VALUE"""),2.55)</f>
        <v>2.55</v>
      </c>
    </row>
    <row r="965">
      <c r="A965" s="2">
        <f>IFERROR(__xludf.DUMMYFUNCTION("""COMPUTED_VALUE"""),489545.0)</f>
        <v>489545</v>
      </c>
      <c r="B965" s="2" t="str">
        <f>IFERROR(__xludf.DUMMYFUNCTION("""COMPUTED_VALUE"""),"21126")</f>
        <v>21126</v>
      </c>
      <c r="C965" s="2" t="str">
        <f>IFERROR(__xludf.DUMMYFUNCTION("""COMPUTED_VALUE"""),"SET OF 6 GIRLS CELEBRATION CANDLES")</f>
        <v>SET OF 6 GIRLS CELEBRATION CANDLES</v>
      </c>
      <c r="D965" s="2">
        <f>IFERROR(__xludf.DUMMYFUNCTION("""COMPUTED_VALUE"""),1.0)</f>
        <v>1</v>
      </c>
      <c r="E965" s="6">
        <f>IFERROR(__xludf.DUMMYFUNCTION("""COMPUTED_VALUE"""),40148.51527777778)</f>
        <v>40148.51528</v>
      </c>
      <c r="F965" s="2">
        <f>IFERROR(__xludf.DUMMYFUNCTION("""COMPUTED_VALUE"""),1.25)</f>
        <v>1.25</v>
      </c>
      <c r="G965" s="2">
        <f>IFERROR(__xludf.DUMMYFUNCTION("""COMPUTED_VALUE"""),17804.0)</f>
        <v>17804</v>
      </c>
      <c r="H965" s="2" t="str">
        <f>IFERROR(__xludf.DUMMYFUNCTION("""COMPUTED_VALUE"""),"United Kingdom")</f>
        <v>United Kingdom</v>
      </c>
      <c r="I965" s="7">
        <f>IFERROR(__xludf.DUMMYFUNCTION("""COMPUTED_VALUE"""),40148.0)</f>
        <v>40148</v>
      </c>
      <c r="J965" s="8">
        <f>IFERROR(__xludf.DUMMYFUNCTION("""COMPUTED_VALUE"""),0.515277777776646)</f>
        <v>0.5152777778</v>
      </c>
      <c r="K965" s="2">
        <f>IFERROR(__xludf.DUMMYFUNCTION("""COMPUTED_VALUE"""),12.0)</f>
        <v>12</v>
      </c>
      <c r="L965" s="2">
        <f>IFERROR(__xludf.DUMMYFUNCTION("""COMPUTED_VALUE"""),1.25)</f>
        <v>1.25</v>
      </c>
    </row>
    <row r="966">
      <c r="A966" s="2">
        <f>IFERROR(__xludf.DUMMYFUNCTION("""COMPUTED_VALUE"""),489545.0)</f>
        <v>489545</v>
      </c>
      <c r="B966" s="2" t="str">
        <f>IFERROR(__xludf.DUMMYFUNCTION("""COMPUTED_VALUE"""),"21125")</f>
        <v>21125</v>
      </c>
      <c r="C966" s="2" t="str">
        <f>IFERROR(__xludf.DUMMYFUNCTION("""COMPUTED_VALUE"""),"SET 6 FOOTBALL CELEBRATION CANDLES")</f>
        <v>SET 6 FOOTBALL CELEBRATION CANDLES</v>
      </c>
      <c r="D966" s="2">
        <f>IFERROR(__xludf.DUMMYFUNCTION("""COMPUTED_VALUE"""),1.0)</f>
        <v>1</v>
      </c>
      <c r="E966" s="6">
        <f>IFERROR(__xludf.DUMMYFUNCTION("""COMPUTED_VALUE"""),40148.51527777778)</f>
        <v>40148.51528</v>
      </c>
      <c r="F966" s="2">
        <f>IFERROR(__xludf.DUMMYFUNCTION("""COMPUTED_VALUE"""),1.25)</f>
        <v>1.25</v>
      </c>
      <c r="G966" s="2">
        <f>IFERROR(__xludf.DUMMYFUNCTION("""COMPUTED_VALUE"""),17804.0)</f>
        <v>17804</v>
      </c>
      <c r="H966" s="2" t="str">
        <f>IFERROR(__xludf.DUMMYFUNCTION("""COMPUTED_VALUE"""),"United Kingdom")</f>
        <v>United Kingdom</v>
      </c>
      <c r="I966" s="7">
        <f>IFERROR(__xludf.DUMMYFUNCTION("""COMPUTED_VALUE"""),40148.0)</f>
        <v>40148</v>
      </c>
      <c r="J966" s="8">
        <f>IFERROR(__xludf.DUMMYFUNCTION("""COMPUTED_VALUE"""),0.515277777776646)</f>
        <v>0.5152777778</v>
      </c>
      <c r="K966" s="2">
        <f>IFERROR(__xludf.DUMMYFUNCTION("""COMPUTED_VALUE"""),12.0)</f>
        <v>12</v>
      </c>
      <c r="L966" s="2">
        <f>IFERROR(__xludf.DUMMYFUNCTION("""COMPUTED_VALUE"""),1.25)</f>
        <v>1.25</v>
      </c>
    </row>
    <row r="967">
      <c r="A967" s="2">
        <f>IFERROR(__xludf.DUMMYFUNCTION("""COMPUTED_VALUE"""),489545.0)</f>
        <v>489545</v>
      </c>
      <c r="B967" s="2" t="str">
        <f>IFERROR(__xludf.DUMMYFUNCTION("""COMPUTED_VALUE"""),"22154")</f>
        <v>22154</v>
      </c>
      <c r="C967" s="2" t="str">
        <f>IFERROR(__xludf.DUMMYFUNCTION("""COMPUTED_VALUE"""),"ANGEL DECORATION 3 BUTTONS")</f>
        <v>ANGEL DECORATION 3 BUTTONS</v>
      </c>
      <c r="D967" s="2">
        <f>IFERROR(__xludf.DUMMYFUNCTION("""COMPUTED_VALUE"""),8.0)</f>
        <v>8</v>
      </c>
      <c r="E967" s="6">
        <f>IFERROR(__xludf.DUMMYFUNCTION("""COMPUTED_VALUE"""),40148.51527777778)</f>
        <v>40148.51528</v>
      </c>
      <c r="F967" s="2">
        <f>IFERROR(__xludf.DUMMYFUNCTION("""COMPUTED_VALUE"""),0.42)</f>
        <v>0.42</v>
      </c>
      <c r="G967" s="2">
        <f>IFERROR(__xludf.DUMMYFUNCTION("""COMPUTED_VALUE"""),17804.0)</f>
        <v>17804</v>
      </c>
      <c r="H967" s="2" t="str">
        <f>IFERROR(__xludf.DUMMYFUNCTION("""COMPUTED_VALUE"""),"United Kingdom")</f>
        <v>United Kingdom</v>
      </c>
      <c r="I967" s="7">
        <f>IFERROR(__xludf.DUMMYFUNCTION("""COMPUTED_VALUE"""),40148.0)</f>
        <v>40148</v>
      </c>
      <c r="J967" s="8">
        <f>IFERROR(__xludf.DUMMYFUNCTION("""COMPUTED_VALUE"""),0.515277777776646)</f>
        <v>0.5152777778</v>
      </c>
      <c r="K967" s="2">
        <f>IFERROR(__xludf.DUMMYFUNCTION("""COMPUTED_VALUE"""),12.0)</f>
        <v>12</v>
      </c>
      <c r="L967" s="2">
        <f>IFERROR(__xludf.DUMMYFUNCTION("""COMPUTED_VALUE"""),3.36)</f>
        <v>3.36</v>
      </c>
    </row>
    <row r="968">
      <c r="A968" s="2">
        <f>IFERROR(__xludf.DUMMYFUNCTION("""COMPUTED_VALUE"""),489545.0)</f>
        <v>489545</v>
      </c>
      <c r="B968" s="2" t="str">
        <f>IFERROR(__xludf.DUMMYFUNCTION("""COMPUTED_VALUE"""),"22102")</f>
        <v>22102</v>
      </c>
      <c r="C968" s="2" t="str">
        <f>IFERROR(__xludf.DUMMYFUNCTION("""COMPUTED_VALUE"""),"MIRROR MOSAIC T-LIGHT HOLDER")</f>
        <v>MIRROR MOSAIC T-LIGHT HOLDER</v>
      </c>
      <c r="D968" s="2">
        <f>IFERROR(__xludf.DUMMYFUNCTION("""COMPUTED_VALUE"""),3.0)</f>
        <v>3</v>
      </c>
      <c r="E968" s="6">
        <f>IFERROR(__xludf.DUMMYFUNCTION("""COMPUTED_VALUE"""),40148.51527777778)</f>
        <v>40148.51528</v>
      </c>
      <c r="F968" s="2">
        <f>IFERROR(__xludf.DUMMYFUNCTION("""COMPUTED_VALUE"""),1.65)</f>
        <v>1.65</v>
      </c>
      <c r="G968" s="2">
        <f>IFERROR(__xludf.DUMMYFUNCTION("""COMPUTED_VALUE"""),17804.0)</f>
        <v>17804</v>
      </c>
      <c r="H968" s="2" t="str">
        <f>IFERROR(__xludf.DUMMYFUNCTION("""COMPUTED_VALUE"""),"United Kingdom")</f>
        <v>United Kingdom</v>
      </c>
      <c r="I968" s="7">
        <f>IFERROR(__xludf.DUMMYFUNCTION("""COMPUTED_VALUE"""),40148.0)</f>
        <v>40148</v>
      </c>
      <c r="J968" s="8">
        <f>IFERROR(__xludf.DUMMYFUNCTION("""COMPUTED_VALUE"""),0.515277777776646)</f>
        <v>0.5152777778</v>
      </c>
      <c r="K968" s="2">
        <f>IFERROR(__xludf.DUMMYFUNCTION("""COMPUTED_VALUE"""),12.0)</f>
        <v>12</v>
      </c>
      <c r="L968" s="2">
        <f>IFERROR(__xludf.DUMMYFUNCTION("""COMPUTED_VALUE"""),4.94999999999999)</f>
        <v>4.95</v>
      </c>
    </row>
    <row r="969">
      <c r="A969" s="2">
        <f>IFERROR(__xludf.DUMMYFUNCTION("""COMPUTED_VALUE"""),489545.0)</f>
        <v>489545</v>
      </c>
      <c r="B969" s="2" t="str">
        <f>IFERROR(__xludf.DUMMYFUNCTION("""COMPUTED_VALUE"""),"35955")</f>
        <v>35955</v>
      </c>
      <c r="C969" s="2" t="str">
        <f>IFERROR(__xludf.DUMMYFUNCTION("""COMPUTED_VALUE"""),"SMALL FOLKART CHRISTMAS TREE DEC")</f>
        <v>SMALL FOLKART CHRISTMAS TREE DEC</v>
      </c>
      <c r="D969" s="2">
        <f>IFERROR(__xludf.DUMMYFUNCTION("""COMPUTED_VALUE"""),4.0)</f>
        <v>4</v>
      </c>
      <c r="E969" s="6">
        <f>IFERROR(__xludf.DUMMYFUNCTION("""COMPUTED_VALUE"""),40148.51527777778)</f>
        <v>40148.51528</v>
      </c>
      <c r="F969" s="2">
        <f>IFERROR(__xludf.DUMMYFUNCTION("""COMPUTED_VALUE"""),0.42)</f>
        <v>0.42</v>
      </c>
      <c r="G969" s="2">
        <f>IFERROR(__xludf.DUMMYFUNCTION("""COMPUTED_VALUE"""),17804.0)</f>
        <v>17804</v>
      </c>
      <c r="H969" s="2" t="str">
        <f>IFERROR(__xludf.DUMMYFUNCTION("""COMPUTED_VALUE"""),"United Kingdom")</f>
        <v>United Kingdom</v>
      </c>
      <c r="I969" s="7">
        <f>IFERROR(__xludf.DUMMYFUNCTION("""COMPUTED_VALUE"""),40148.0)</f>
        <v>40148</v>
      </c>
      <c r="J969" s="8">
        <f>IFERROR(__xludf.DUMMYFUNCTION("""COMPUTED_VALUE"""),0.515277777776646)</f>
        <v>0.5152777778</v>
      </c>
      <c r="K969" s="2">
        <f>IFERROR(__xludf.DUMMYFUNCTION("""COMPUTED_VALUE"""),12.0)</f>
        <v>12</v>
      </c>
      <c r="L969" s="2">
        <f>IFERROR(__xludf.DUMMYFUNCTION("""COMPUTED_VALUE"""),1.68)</f>
        <v>1.68</v>
      </c>
    </row>
    <row r="970">
      <c r="A970" s="2">
        <f>IFERROR(__xludf.DUMMYFUNCTION("""COMPUTED_VALUE"""),489545.0)</f>
        <v>489545</v>
      </c>
      <c r="B970" s="2" t="str">
        <f>IFERROR(__xludf.DUMMYFUNCTION("""COMPUTED_VALUE"""),"35954")</f>
        <v>35954</v>
      </c>
      <c r="C970" s="2" t="str">
        <f>IFERROR(__xludf.DUMMYFUNCTION("""COMPUTED_VALUE"""),"SMALL FOLKART STAR CHRISTMAS DEC")</f>
        <v>SMALL FOLKART STAR CHRISTMAS DEC</v>
      </c>
      <c r="D970" s="2">
        <f>IFERROR(__xludf.DUMMYFUNCTION("""COMPUTED_VALUE"""),6.0)</f>
        <v>6</v>
      </c>
      <c r="E970" s="6">
        <f>IFERROR(__xludf.DUMMYFUNCTION("""COMPUTED_VALUE"""),40148.51527777778)</f>
        <v>40148.51528</v>
      </c>
      <c r="F970" s="2">
        <f>IFERROR(__xludf.DUMMYFUNCTION("""COMPUTED_VALUE"""),0.42)</f>
        <v>0.42</v>
      </c>
      <c r="G970" s="2">
        <f>IFERROR(__xludf.DUMMYFUNCTION("""COMPUTED_VALUE"""),17804.0)</f>
        <v>17804</v>
      </c>
      <c r="H970" s="2" t="str">
        <f>IFERROR(__xludf.DUMMYFUNCTION("""COMPUTED_VALUE"""),"United Kingdom")</f>
        <v>United Kingdom</v>
      </c>
      <c r="I970" s="7">
        <f>IFERROR(__xludf.DUMMYFUNCTION("""COMPUTED_VALUE"""),40148.0)</f>
        <v>40148</v>
      </c>
      <c r="J970" s="8">
        <f>IFERROR(__xludf.DUMMYFUNCTION("""COMPUTED_VALUE"""),0.515277777776646)</f>
        <v>0.5152777778</v>
      </c>
      <c r="K970" s="2">
        <f>IFERROR(__xludf.DUMMYFUNCTION("""COMPUTED_VALUE"""),12.0)</f>
        <v>12</v>
      </c>
      <c r="L970" s="2">
        <f>IFERROR(__xludf.DUMMYFUNCTION("""COMPUTED_VALUE"""),2.52)</f>
        <v>2.52</v>
      </c>
    </row>
    <row r="971">
      <c r="A971" s="2">
        <f>IFERROR(__xludf.DUMMYFUNCTION("""COMPUTED_VALUE"""),489545.0)</f>
        <v>489545</v>
      </c>
      <c r="B971" s="2" t="str">
        <f>IFERROR(__xludf.DUMMYFUNCTION("""COMPUTED_VALUE"""),"35957")</f>
        <v>35957</v>
      </c>
      <c r="C971" s="2" t="str">
        <f>IFERROR(__xludf.DUMMYFUNCTION("""COMPUTED_VALUE"""),"SMALLFOLKART BAUBLE CHRISTMAS DEC")</f>
        <v>SMALLFOLKART BAUBLE CHRISTMAS DEC</v>
      </c>
      <c r="D971" s="2">
        <f>IFERROR(__xludf.DUMMYFUNCTION("""COMPUTED_VALUE"""),6.0)</f>
        <v>6</v>
      </c>
      <c r="E971" s="6">
        <f>IFERROR(__xludf.DUMMYFUNCTION("""COMPUTED_VALUE"""),40148.51527777778)</f>
        <v>40148.51528</v>
      </c>
      <c r="F971" s="2">
        <f>IFERROR(__xludf.DUMMYFUNCTION("""COMPUTED_VALUE"""),0.42)</f>
        <v>0.42</v>
      </c>
      <c r="G971" s="2">
        <f>IFERROR(__xludf.DUMMYFUNCTION("""COMPUTED_VALUE"""),17804.0)</f>
        <v>17804</v>
      </c>
      <c r="H971" s="2" t="str">
        <f>IFERROR(__xludf.DUMMYFUNCTION("""COMPUTED_VALUE"""),"United Kingdom")</f>
        <v>United Kingdom</v>
      </c>
      <c r="I971" s="7">
        <f>IFERROR(__xludf.DUMMYFUNCTION("""COMPUTED_VALUE"""),40148.0)</f>
        <v>40148</v>
      </c>
      <c r="J971" s="8">
        <f>IFERROR(__xludf.DUMMYFUNCTION("""COMPUTED_VALUE"""),0.515277777776646)</f>
        <v>0.5152777778</v>
      </c>
      <c r="K971" s="2">
        <f>IFERROR(__xludf.DUMMYFUNCTION("""COMPUTED_VALUE"""),12.0)</f>
        <v>12</v>
      </c>
      <c r="L971" s="2">
        <f>IFERROR(__xludf.DUMMYFUNCTION("""COMPUTED_VALUE"""),2.52)</f>
        <v>2.52</v>
      </c>
    </row>
    <row r="972">
      <c r="A972" s="2">
        <f>IFERROR(__xludf.DUMMYFUNCTION("""COMPUTED_VALUE"""),489546.0)</f>
        <v>489546</v>
      </c>
      <c r="B972" s="2" t="str">
        <f>IFERROR(__xludf.DUMMYFUNCTION("""COMPUTED_VALUE"""),"84050")</f>
        <v>84050</v>
      </c>
      <c r="C972" s="2" t="str">
        <f>IFERROR(__xludf.DUMMYFUNCTION("""COMPUTED_VALUE"""),"PINK HEART SHAPE EGG FRYING PAN")</f>
        <v>PINK HEART SHAPE EGG FRYING PAN</v>
      </c>
      <c r="D972" s="2">
        <f>IFERROR(__xludf.DUMMYFUNCTION("""COMPUTED_VALUE"""),6.0)</f>
        <v>6</v>
      </c>
      <c r="E972" s="6">
        <f>IFERROR(__xludf.DUMMYFUNCTION("""COMPUTED_VALUE"""),40148.520833333336)</f>
        <v>40148.52083</v>
      </c>
      <c r="F972" s="2">
        <f>IFERROR(__xludf.DUMMYFUNCTION("""COMPUTED_VALUE"""),1.65)</f>
        <v>1.65</v>
      </c>
      <c r="G972" s="2">
        <f>IFERROR(__xludf.DUMMYFUNCTION("""COMPUTED_VALUE"""),14156.0)</f>
        <v>14156</v>
      </c>
      <c r="H972" s="2" t="str">
        <f>IFERROR(__xludf.DUMMYFUNCTION("""COMPUTED_VALUE"""),"EIRE")</f>
        <v>EIRE</v>
      </c>
      <c r="I972" s="7">
        <f>IFERROR(__xludf.DUMMYFUNCTION("""COMPUTED_VALUE"""),40148.0)</f>
        <v>40148</v>
      </c>
      <c r="J972" s="8">
        <f>IFERROR(__xludf.DUMMYFUNCTION("""COMPUTED_VALUE"""),0.5208333333321207)</f>
        <v>0.5208333333</v>
      </c>
      <c r="K972" s="2">
        <f>IFERROR(__xludf.DUMMYFUNCTION("""COMPUTED_VALUE"""),12.0)</f>
        <v>12</v>
      </c>
      <c r="L972" s="2">
        <f>IFERROR(__xludf.DUMMYFUNCTION("""COMPUTED_VALUE"""),9.89999999999999)</f>
        <v>9.9</v>
      </c>
    </row>
    <row r="973">
      <c r="A973" s="2">
        <f>IFERROR(__xludf.DUMMYFUNCTION("""COMPUTED_VALUE"""),489546.0)</f>
        <v>489546</v>
      </c>
      <c r="B973" s="2" t="str">
        <f>IFERROR(__xludf.DUMMYFUNCTION("""COMPUTED_VALUE"""),"47568")</f>
        <v>47568</v>
      </c>
      <c r="C973" s="2" t="str">
        <f>IFERROR(__xludf.DUMMYFUNCTION("""COMPUTED_VALUE"""),"ENGLISH ROSE DESIGN PEG BAG")</f>
        <v>ENGLISH ROSE DESIGN PEG BAG</v>
      </c>
      <c r="D973" s="2">
        <f>IFERROR(__xludf.DUMMYFUNCTION("""COMPUTED_VALUE"""),6.0)</f>
        <v>6</v>
      </c>
      <c r="E973" s="6">
        <f>IFERROR(__xludf.DUMMYFUNCTION("""COMPUTED_VALUE"""),40148.520833333336)</f>
        <v>40148.52083</v>
      </c>
      <c r="F973" s="2">
        <f>IFERROR(__xludf.DUMMYFUNCTION("""COMPUTED_VALUE"""),2.1)</f>
        <v>2.1</v>
      </c>
      <c r="G973" s="2">
        <f>IFERROR(__xludf.DUMMYFUNCTION("""COMPUTED_VALUE"""),14156.0)</f>
        <v>14156</v>
      </c>
      <c r="H973" s="2" t="str">
        <f>IFERROR(__xludf.DUMMYFUNCTION("""COMPUTED_VALUE"""),"EIRE")</f>
        <v>EIRE</v>
      </c>
      <c r="I973" s="7">
        <f>IFERROR(__xludf.DUMMYFUNCTION("""COMPUTED_VALUE"""),40148.0)</f>
        <v>40148</v>
      </c>
      <c r="J973" s="8">
        <f>IFERROR(__xludf.DUMMYFUNCTION("""COMPUTED_VALUE"""),0.5208333333321207)</f>
        <v>0.5208333333</v>
      </c>
      <c r="K973" s="2">
        <f>IFERROR(__xludf.DUMMYFUNCTION("""COMPUTED_VALUE"""),12.0)</f>
        <v>12</v>
      </c>
      <c r="L973" s="2">
        <f>IFERROR(__xludf.DUMMYFUNCTION("""COMPUTED_VALUE"""),12.6)</f>
        <v>12.6</v>
      </c>
    </row>
    <row r="974">
      <c r="A974" s="2">
        <f>IFERROR(__xludf.DUMMYFUNCTION("""COMPUTED_VALUE"""),489546.0)</f>
        <v>489546</v>
      </c>
      <c r="B974" s="2" t="str">
        <f>IFERROR(__xludf.DUMMYFUNCTION("""COMPUTED_VALUE"""),"84782A")</f>
        <v>84782A</v>
      </c>
      <c r="C974" s="2" t="str">
        <f>IFERROR(__xludf.DUMMYFUNCTION("""COMPUTED_VALUE"""),"PINK 3 TIER GLASS PLATE STAND")</f>
        <v>PINK 3 TIER GLASS PLATE STAND</v>
      </c>
      <c r="D974" s="2">
        <f>IFERROR(__xludf.DUMMYFUNCTION("""COMPUTED_VALUE"""),2.0)</f>
        <v>2</v>
      </c>
      <c r="E974" s="6">
        <f>IFERROR(__xludf.DUMMYFUNCTION("""COMPUTED_VALUE"""),40148.520833333336)</f>
        <v>40148.52083</v>
      </c>
      <c r="F974" s="2">
        <f>IFERROR(__xludf.DUMMYFUNCTION("""COMPUTED_VALUE"""),12.75)</f>
        <v>12.75</v>
      </c>
      <c r="G974" s="2">
        <f>IFERROR(__xludf.DUMMYFUNCTION("""COMPUTED_VALUE"""),14156.0)</f>
        <v>14156</v>
      </c>
      <c r="H974" s="2" t="str">
        <f>IFERROR(__xludf.DUMMYFUNCTION("""COMPUTED_VALUE"""),"EIRE")</f>
        <v>EIRE</v>
      </c>
      <c r="I974" s="7">
        <f>IFERROR(__xludf.DUMMYFUNCTION("""COMPUTED_VALUE"""),40148.0)</f>
        <v>40148</v>
      </c>
      <c r="J974" s="8">
        <f>IFERROR(__xludf.DUMMYFUNCTION("""COMPUTED_VALUE"""),0.5208333333321207)</f>
        <v>0.5208333333</v>
      </c>
      <c r="K974" s="2">
        <f>IFERROR(__xludf.DUMMYFUNCTION("""COMPUTED_VALUE"""),12.0)</f>
        <v>12</v>
      </c>
      <c r="L974" s="2">
        <f>IFERROR(__xludf.DUMMYFUNCTION("""COMPUTED_VALUE"""),25.5)</f>
        <v>25.5</v>
      </c>
    </row>
    <row r="975">
      <c r="A975" s="2">
        <f>IFERROR(__xludf.DUMMYFUNCTION("""COMPUTED_VALUE"""),489546.0)</f>
        <v>489546</v>
      </c>
      <c r="B975" s="2" t="str">
        <f>IFERROR(__xludf.DUMMYFUNCTION("""COMPUTED_VALUE"""),"84782C")</f>
        <v>84782C</v>
      </c>
      <c r="C975" s="2" t="str">
        <f>IFERROR(__xludf.DUMMYFUNCTION("""COMPUTED_VALUE"""),"GREEN 3 TIER GLASS PLATE STAND")</f>
        <v>GREEN 3 TIER GLASS PLATE STAND</v>
      </c>
      <c r="D975" s="2">
        <f>IFERROR(__xludf.DUMMYFUNCTION("""COMPUTED_VALUE"""),1.0)</f>
        <v>1</v>
      </c>
      <c r="E975" s="6">
        <f>IFERROR(__xludf.DUMMYFUNCTION("""COMPUTED_VALUE"""),40148.520833333336)</f>
        <v>40148.52083</v>
      </c>
      <c r="F975" s="2">
        <f>IFERROR(__xludf.DUMMYFUNCTION("""COMPUTED_VALUE"""),12.75)</f>
        <v>12.75</v>
      </c>
      <c r="G975" s="2">
        <f>IFERROR(__xludf.DUMMYFUNCTION("""COMPUTED_VALUE"""),14156.0)</f>
        <v>14156</v>
      </c>
      <c r="H975" s="2" t="str">
        <f>IFERROR(__xludf.DUMMYFUNCTION("""COMPUTED_VALUE"""),"EIRE")</f>
        <v>EIRE</v>
      </c>
      <c r="I975" s="7">
        <f>IFERROR(__xludf.DUMMYFUNCTION("""COMPUTED_VALUE"""),40148.0)</f>
        <v>40148</v>
      </c>
      <c r="J975" s="8">
        <f>IFERROR(__xludf.DUMMYFUNCTION("""COMPUTED_VALUE"""),0.5208333333321207)</f>
        <v>0.5208333333</v>
      </c>
      <c r="K975" s="2">
        <f>IFERROR(__xludf.DUMMYFUNCTION("""COMPUTED_VALUE"""),12.0)</f>
        <v>12</v>
      </c>
      <c r="L975" s="2">
        <f>IFERROR(__xludf.DUMMYFUNCTION("""COMPUTED_VALUE"""),12.75)</f>
        <v>12.75</v>
      </c>
    </row>
    <row r="976">
      <c r="A976" s="2">
        <f>IFERROR(__xludf.DUMMYFUNCTION("""COMPUTED_VALUE"""),489546.0)</f>
        <v>489546</v>
      </c>
      <c r="B976" s="2" t="str">
        <f>IFERROR(__xludf.DUMMYFUNCTION("""COMPUTED_VALUE"""),"21232")</f>
        <v>21232</v>
      </c>
      <c r="C976" s="2" t="str">
        <f>IFERROR(__xludf.DUMMYFUNCTION("""COMPUTED_VALUE"""),"STRAWBERRY CERAMIC TRINKET BOX")</f>
        <v>STRAWBERRY CERAMIC TRINKET BOX</v>
      </c>
      <c r="D976" s="2">
        <f>IFERROR(__xludf.DUMMYFUNCTION("""COMPUTED_VALUE"""),12.0)</f>
        <v>12</v>
      </c>
      <c r="E976" s="6">
        <f>IFERROR(__xludf.DUMMYFUNCTION("""COMPUTED_VALUE"""),40148.520833333336)</f>
        <v>40148.52083</v>
      </c>
      <c r="F976" s="2">
        <f>IFERROR(__xludf.DUMMYFUNCTION("""COMPUTED_VALUE"""),1.25)</f>
        <v>1.25</v>
      </c>
      <c r="G976" s="2">
        <f>IFERROR(__xludf.DUMMYFUNCTION("""COMPUTED_VALUE"""),14156.0)</f>
        <v>14156</v>
      </c>
      <c r="H976" s="2" t="str">
        <f>IFERROR(__xludf.DUMMYFUNCTION("""COMPUTED_VALUE"""),"EIRE")</f>
        <v>EIRE</v>
      </c>
      <c r="I976" s="7">
        <f>IFERROR(__xludf.DUMMYFUNCTION("""COMPUTED_VALUE"""),40148.0)</f>
        <v>40148</v>
      </c>
      <c r="J976" s="8">
        <f>IFERROR(__xludf.DUMMYFUNCTION("""COMPUTED_VALUE"""),0.5208333333321207)</f>
        <v>0.5208333333</v>
      </c>
      <c r="K976" s="2">
        <f>IFERROR(__xludf.DUMMYFUNCTION("""COMPUTED_VALUE"""),12.0)</f>
        <v>12</v>
      </c>
      <c r="L976" s="2">
        <f>IFERROR(__xludf.DUMMYFUNCTION("""COMPUTED_VALUE"""),15.0)</f>
        <v>15</v>
      </c>
    </row>
    <row r="977">
      <c r="A977" s="2">
        <f>IFERROR(__xludf.DUMMYFUNCTION("""COMPUTED_VALUE"""),489546.0)</f>
        <v>489546</v>
      </c>
      <c r="B977" s="2" t="str">
        <f>IFERROR(__xludf.DUMMYFUNCTION("""COMPUTED_VALUE"""),"21231")</f>
        <v>21231</v>
      </c>
      <c r="C977" s="2" t="str">
        <f>IFERROR(__xludf.DUMMYFUNCTION("""COMPUTED_VALUE"""),"SWEETHEART CERAMIC TRINKET BOX")</f>
        <v>SWEETHEART CERAMIC TRINKET BOX</v>
      </c>
      <c r="D977" s="2">
        <f>IFERROR(__xludf.DUMMYFUNCTION("""COMPUTED_VALUE"""),12.0)</f>
        <v>12</v>
      </c>
      <c r="E977" s="6">
        <f>IFERROR(__xludf.DUMMYFUNCTION("""COMPUTED_VALUE"""),40148.520833333336)</f>
        <v>40148.52083</v>
      </c>
      <c r="F977" s="2">
        <f>IFERROR(__xludf.DUMMYFUNCTION("""COMPUTED_VALUE"""),1.25)</f>
        <v>1.25</v>
      </c>
      <c r="G977" s="2">
        <f>IFERROR(__xludf.DUMMYFUNCTION("""COMPUTED_VALUE"""),14156.0)</f>
        <v>14156</v>
      </c>
      <c r="H977" s="2" t="str">
        <f>IFERROR(__xludf.DUMMYFUNCTION("""COMPUTED_VALUE"""),"EIRE")</f>
        <v>EIRE</v>
      </c>
      <c r="I977" s="7">
        <f>IFERROR(__xludf.DUMMYFUNCTION("""COMPUTED_VALUE"""),40148.0)</f>
        <v>40148</v>
      </c>
      <c r="J977" s="8">
        <f>IFERROR(__xludf.DUMMYFUNCTION("""COMPUTED_VALUE"""),0.5208333333321207)</f>
        <v>0.5208333333</v>
      </c>
      <c r="K977" s="2">
        <f>IFERROR(__xludf.DUMMYFUNCTION("""COMPUTED_VALUE"""),12.0)</f>
        <v>12</v>
      </c>
      <c r="L977" s="2">
        <f>IFERROR(__xludf.DUMMYFUNCTION("""COMPUTED_VALUE"""),15.0)</f>
        <v>15</v>
      </c>
    </row>
    <row r="978">
      <c r="A978" s="2">
        <f>IFERROR(__xludf.DUMMYFUNCTION("""COMPUTED_VALUE"""),489546.0)</f>
        <v>489546</v>
      </c>
      <c r="B978" s="2" t="str">
        <f>IFERROR(__xludf.DUMMYFUNCTION("""COMPUTED_VALUE"""),"22186")</f>
        <v>22186</v>
      </c>
      <c r="C978" s="2" t="str">
        <f>IFERROR(__xludf.DUMMYFUNCTION("""COMPUTED_VALUE"""),"RED STAR CARD HOLDER")</f>
        <v>RED STAR CARD HOLDER</v>
      </c>
      <c r="D978" s="2">
        <f>IFERROR(__xludf.DUMMYFUNCTION("""COMPUTED_VALUE"""),6.0)</f>
        <v>6</v>
      </c>
      <c r="E978" s="6">
        <f>IFERROR(__xludf.DUMMYFUNCTION("""COMPUTED_VALUE"""),40148.520833333336)</f>
        <v>40148.52083</v>
      </c>
      <c r="F978" s="2">
        <f>IFERROR(__xludf.DUMMYFUNCTION("""COMPUTED_VALUE"""),2.95)</f>
        <v>2.95</v>
      </c>
      <c r="G978" s="2">
        <f>IFERROR(__xludf.DUMMYFUNCTION("""COMPUTED_VALUE"""),14156.0)</f>
        <v>14156</v>
      </c>
      <c r="H978" s="2" t="str">
        <f>IFERROR(__xludf.DUMMYFUNCTION("""COMPUTED_VALUE"""),"EIRE")</f>
        <v>EIRE</v>
      </c>
      <c r="I978" s="7">
        <f>IFERROR(__xludf.DUMMYFUNCTION("""COMPUTED_VALUE"""),40148.0)</f>
        <v>40148</v>
      </c>
      <c r="J978" s="8">
        <f>IFERROR(__xludf.DUMMYFUNCTION("""COMPUTED_VALUE"""),0.5208333333321207)</f>
        <v>0.5208333333</v>
      </c>
      <c r="K978" s="2">
        <f>IFERROR(__xludf.DUMMYFUNCTION("""COMPUTED_VALUE"""),12.0)</f>
        <v>12</v>
      </c>
      <c r="L978" s="2">
        <f>IFERROR(__xludf.DUMMYFUNCTION("""COMPUTED_VALUE"""),17.7)</f>
        <v>17.7</v>
      </c>
    </row>
    <row r="979">
      <c r="A979" s="2">
        <f>IFERROR(__xludf.DUMMYFUNCTION("""COMPUTED_VALUE"""),489546.0)</f>
        <v>489546</v>
      </c>
      <c r="B979" s="2" t="str">
        <f>IFERROR(__xludf.DUMMYFUNCTION("""COMPUTED_VALUE"""),"22169")</f>
        <v>22169</v>
      </c>
      <c r="C979" s="2" t="str">
        <f>IFERROR(__xludf.DUMMYFUNCTION("""COMPUTED_VALUE"""),"FAMILY ALBUM WHITE PICTURE FRAME")</f>
        <v>FAMILY ALBUM WHITE PICTURE FRAME</v>
      </c>
      <c r="D979" s="2">
        <f>IFERROR(__xludf.DUMMYFUNCTION("""COMPUTED_VALUE"""),4.0)</f>
        <v>4</v>
      </c>
      <c r="E979" s="6">
        <f>IFERROR(__xludf.DUMMYFUNCTION("""COMPUTED_VALUE"""),40148.520833333336)</f>
        <v>40148.52083</v>
      </c>
      <c r="F979" s="2">
        <f>IFERROR(__xludf.DUMMYFUNCTION("""COMPUTED_VALUE"""),8.5)</f>
        <v>8.5</v>
      </c>
      <c r="G979" s="2">
        <f>IFERROR(__xludf.DUMMYFUNCTION("""COMPUTED_VALUE"""),14156.0)</f>
        <v>14156</v>
      </c>
      <c r="H979" s="2" t="str">
        <f>IFERROR(__xludf.DUMMYFUNCTION("""COMPUTED_VALUE"""),"EIRE")</f>
        <v>EIRE</v>
      </c>
      <c r="I979" s="7">
        <f>IFERROR(__xludf.DUMMYFUNCTION("""COMPUTED_VALUE"""),40148.0)</f>
        <v>40148</v>
      </c>
      <c r="J979" s="8">
        <f>IFERROR(__xludf.DUMMYFUNCTION("""COMPUTED_VALUE"""),0.5208333333321207)</f>
        <v>0.5208333333</v>
      </c>
      <c r="K979" s="2">
        <f>IFERROR(__xludf.DUMMYFUNCTION("""COMPUTED_VALUE"""),12.0)</f>
        <v>12</v>
      </c>
      <c r="L979" s="2">
        <f>IFERROR(__xludf.DUMMYFUNCTION("""COMPUTED_VALUE"""),34.0)</f>
        <v>34</v>
      </c>
    </row>
    <row r="980">
      <c r="A980" s="2">
        <f>IFERROR(__xludf.DUMMYFUNCTION("""COMPUTED_VALUE"""),489546.0)</f>
        <v>489546</v>
      </c>
      <c r="B980" s="2" t="str">
        <f>IFERROR(__xludf.DUMMYFUNCTION("""COMPUTED_VALUE"""),"82494L")</f>
        <v>82494L</v>
      </c>
      <c r="C980" s="2" t="str">
        <f>IFERROR(__xludf.DUMMYFUNCTION("""COMPUTED_VALUE"""),"WOODEN FRAME ANTIQUE WHITE")</f>
        <v>WOODEN FRAME ANTIQUE WHITE</v>
      </c>
      <c r="D980" s="2">
        <f>IFERROR(__xludf.DUMMYFUNCTION("""COMPUTED_VALUE"""),6.0)</f>
        <v>6</v>
      </c>
      <c r="E980" s="6">
        <f>IFERROR(__xludf.DUMMYFUNCTION("""COMPUTED_VALUE"""),40148.520833333336)</f>
        <v>40148.52083</v>
      </c>
      <c r="F980" s="2">
        <f>IFERROR(__xludf.DUMMYFUNCTION("""COMPUTED_VALUE"""),2.95)</f>
        <v>2.95</v>
      </c>
      <c r="G980" s="2">
        <f>IFERROR(__xludf.DUMMYFUNCTION("""COMPUTED_VALUE"""),14156.0)</f>
        <v>14156</v>
      </c>
      <c r="H980" s="2" t="str">
        <f>IFERROR(__xludf.DUMMYFUNCTION("""COMPUTED_VALUE"""),"EIRE")</f>
        <v>EIRE</v>
      </c>
      <c r="I980" s="7">
        <f>IFERROR(__xludf.DUMMYFUNCTION("""COMPUTED_VALUE"""),40148.0)</f>
        <v>40148</v>
      </c>
      <c r="J980" s="8">
        <f>IFERROR(__xludf.DUMMYFUNCTION("""COMPUTED_VALUE"""),0.5208333333321207)</f>
        <v>0.5208333333</v>
      </c>
      <c r="K980" s="2">
        <f>IFERROR(__xludf.DUMMYFUNCTION("""COMPUTED_VALUE"""),12.0)</f>
        <v>12</v>
      </c>
      <c r="L980" s="2">
        <f>IFERROR(__xludf.DUMMYFUNCTION("""COMPUTED_VALUE"""),17.7)</f>
        <v>17.7</v>
      </c>
    </row>
    <row r="981">
      <c r="A981" s="2">
        <f>IFERROR(__xludf.DUMMYFUNCTION("""COMPUTED_VALUE"""),489546.0)</f>
        <v>489546</v>
      </c>
      <c r="B981" s="2" t="str">
        <f>IFERROR(__xludf.DUMMYFUNCTION("""COMPUTED_VALUE"""),"84933A")</f>
        <v>84933A</v>
      </c>
      <c r="C981" s="2" t="str">
        <f>IFERROR(__xludf.DUMMYFUNCTION("""COMPUTED_VALUE"""),"LARGE GREEN PEONY FOLDING STOOL")</f>
        <v>LARGE GREEN PEONY FOLDING STOOL</v>
      </c>
      <c r="D981" s="2">
        <f>IFERROR(__xludf.DUMMYFUNCTION("""COMPUTED_VALUE"""),6.0)</f>
        <v>6</v>
      </c>
      <c r="E981" s="6">
        <f>IFERROR(__xludf.DUMMYFUNCTION("""COMPUTED_VALUE"""),40148.520833333336)</f>
        <v>40148.52083</v>
      </c>
      <c r="F981" s="2">
        <f>IFERROR(__xludf.DUMMYFUNCTION("""COMPUTED_VALUE"""),2.1)</f>
        <v>2.1</v>
      </c>
      <c r="G981" s="2">
        <f>IFERROR(__xludf.DUMMYFUNCTION("""COMPUTED_VALUE"""),14156.0)</f>
        <v>14156</v>
      </c>
      <c r="H981" s="2" t="str">
        <f>IFERROR(__xludf.DUMMYFUNCTION("""COMPUTED_VALUE"""),"EIRE")</f>
        <v>EIRE</v>
      </c>
      <c r="I981" s="7">
        <f>IFERROR(__xludf.DUMMYFUNCTION("""COMPUTED_VALUE"""),40148.0)</f>
        <v>40148</v>
      </c>
      <c r="J981" s="8">
        <f>IFERROR(__xludf.DUMMYFUNCTION("""COMPUTED_VALUE"""),0.5208333333321207)</f>
        <v>0.5208333333</v>
      </c>
      <c r="K981" s="2">
        <f>IFERROR(__xludf.DUMMYFUNCTION("""COMPUTED_VALUE"""),12.0)</f>
        <v>12</v>
      </c>
      <c r="L981" s="2">
        <f>IFERROR(__xludf.DUMMYFUNCTION("""COMPUTED_VALUE"""),12.6)</f>
        <v>12.6</v>
      </c>
    </row>
    <row r="982">
      <c r="A982" s="2">
        <f>IFERROR(__xludf.DUMMYFUNCTION("""COMPUTED_VALUE"""),489546.0)</f>
        <v>489546</v>
      </c>
      <c r="B982" s="2" t="str">
        <f>IFERROR(__xludf.DUMMYFUNCTION("""COMPUTED_VALUE"""),"84933B")</f>
        <v>84933B</v>
      </c>
      <c r="C982" s="2" t="str">
        <f>IFERROR(__xludf.DUMMYFUNCTION("""COMPUTED_VALUE"""),"LARGE PINK PEONY FOLDING STOOL")</f>
        <v>LARGE PINK PEONY FOLDING STOOL</v>
      </c>
      <c r="D982" s="2">
        <f>IFERROR(__xludf.DUMMYFUNCTION("""COMPUTED_VALUE"""),6.0)</f>
        <v>6</v>
      </c>
      <c r="E982" s="6">
        <f>IFERROR(__xludf.DUMMYFUNCTION("""COMPUTED_VALUE"""),40148.520833333336)</f>
        <v>40148.52083</v>
      </c>
      <c r="F982" s="2">
        <f>IFERROR(__xludf.DUMMYFUNCTION("""COMPUTED_VALUE"""),2.1)</f>
        <v>2.1</v>
      </c>
      <c r="G982" s="2">
        <f>IFERROR(__xludf.DUMMYFUNCTION("""COMPUTED_VALUE"""),14156.0)</f>
        <v>14156</v>
      </c>
      <c r="H982" s="2" t="str">
        <f>IFERROR(__xludf.DUMMYFUNCTION("""COMPUTED_VALUE"""),"EIRE")</f>
        <v>EIRE</v>
      </c>
      <c r="I982" s="7">
        <f>IFERROR(__xludf.DUMMYFUNCTION("""COMPUTED_VALUE"""),40148.0)</f>
        <v>40148</v>
      </c>
      <c r="J982" s="8">
        <f>IFERROR(__xludf.DUMMYFUNCTION("""COMPUTED_VALUE"""),0.5208333333321207)</f>
        <v>0.5208333333</v>
      </c>
      <c r="K982" s="2">
        <f>IFERROR(__xludf.DUMMYFUNCTION("""COMPUTED_VALUE"""),12.0)</f>
        <v>12</v>
      </c>
      <c r="L982" s="2">
        <f>IFERROR(__xludf.DUMMYFUNCTION("""COMPUTED_VALUE"""),12.6)</f>
        <v>12.6</v>
      </c>
    </row>
    <row r="983">
      <c r="A983" s="2">
        <f>IFERROR(__xludf.DUMMYFUNCTION("""COMPUTED_VALUE"""),489546.0)</f>
        <v>489546</v>
      </c>
      <c r="B983" s="2" t="str">
        <f>IFERROR(__xludf.DUMMYFUNCTION("""COMPUTED_VALUE"""),"22201")</f>
        <v>22201</v>
      </c>
      <c r="C983" s="2" t="str">
        <f>IFERROR(__xludf.DUMMYFUNCTION("""COMPUTED_VALUE"""),"FRYING PAN BLUE POLKADOT")</f>
        <v>FRYING PAN BLUE POLKADOT</v>
      </c>
      <c r="D983" s="2">
        <f>IFERROR(__xludf.DUMMYFUNCTION("""COMPUTED_VALUE"""),4.0)</f>
        <v>4</v>
      </c>
      <c r="E983" s="6">
        <f>IFERROR(__xludf.DUMMYFUNCTION("""COMPUTED_VALUE"""),40148.520833333336)</f>
        <v>40148.52083</v>
      </c>
      <c r="F983" s="2">
        <f>IFERROR(__xludf.DUMMYFUNCTION("""COMPUTED_VALUE"""),4.25)</f>
        <v>4.25</v>
      </c>
      <c r="G983" s="2">
        <f>IFERROR(__xludf.DUMMYFUNCTION("""COMPUTED_VALUE"""),14156.0)</f>
        <v>14156</v>
      </c>
      <c r="H983" s="2" t="str">
        <f>IFERROR(__xludf.DUMMYFUNCTION("""COMPUTED_VALUE"""),"EIRE")</f>
        <v>EIRE</v>
      </c>
      <c r="I983" s="7">
        <f>IFERROR(__xludf.DUMMYFUNCTION("""COMPUTED_VALUE"""),40148.0)</f>
        <v>40148</v>
      </c>
      <c r="J983" s="8">
        <f>IFERROR(__xludf.DUMMYFUNCTION("""COMPUTED_VALUE"""),0.5208333333321207)</f>
        <v>0.5208333333</v>
      </c>
      <c r="K983" s="2">
        <f>IFERROR(__xludf.DUMMYFUNCTION("""COMPUTED_VALUE"""),12.0)</f>
        <v>12</v>
      </c>
      <c r="L983" s="2">
        <f>IFERROR(__xludf.DUMMYFUNCTION("""COMPUTED_VALUE"""),17.0)</f>
        <v>17</v>
      </c>
    </row>
    <row r="984">
      <c r="A984" s="2">
        <f>IFERROR(__xludf.DUMMYFUNCTION("""COMPUTED_VALUE"""),489546.0)</f>
        <v>489546</v>
      </c>
      <c r="B984" s="2" t="str">
        <f>IFERROR(__xludf.DUMMYFUNCTION("""COMPUTED_VALUE"""),"37503")</f>
        <v>37503</v>
      </c>
      <c r="C984" s="2" t="str">
        <f>IFERROR(__xludf.DUMMYFUNCTION("""COMPUTED_VALUE"""),"TEA TIME CAKE STAND IN GIFT BOX")</f>
        <v>TEA TIME CAKE STAND IN GIFT BOX</v>
      </c>
      <c r="D984" s="2">
        <f>IFERROR(__xludf.DUMMYFUNCTION("""COMPUTED_VALUE"""),4.0)</f>
        <v>4</v>
      </c>
      <c r="E984" s="6">
        <f>IFERROR(__xludf.DUMMYFUNCTION("""COMPUTED_VALUE"""),40148.520833333336)</f>
        <v>40148.52083</v>
      </c>
      <c r="F984" s="2">
        <f>IFERROR(__xludf.DUMMYFUNCTION("""COMPUTED_VALUE"""),10.75)</f>
        <v>10.75</v>
      </c>
      <c r="G984" s="2">
        <f>IFERROR(__xludf.DUMMYFUNCTION("""COMPUTED_VALUE"""),14156.0)</f>
        <v>14156</v>
      </c>
      <c r="H984" s="2" t="str">
        <f>IFERROR(__xludf.DUMMYFUNCTION("""COMPUTED_VALUE"""),"EIRE")</f>
        <v>EIRE</v>
      </c>
      <c r="I984" s="7">
        <f>IFERROR(__xludf.DUMMYFUNCTION("""COMPUTED_VALUE"""),40148.0)</f>
        <v>40148</v>
      </c>
      <c r="J984" s="8">
        <f>IFERROR(__xludf.DUMMYFUNCTION("""COMPUTED_VALUE"""),0.5208333333321207)</f>
        <v>0.5208333333</v>
      </c>
      <c r="K984" s="2">
        <f>IFERROR(__xludf.DUMMYFUNCTION("""COMPUTED_VALUE"""),12.0)</f>
        <v>12</v>
      </c>
      <c r="L984" s="2">
        <f>IFERROR(__xludf.DUMMYFUNCTION("""COMPUTED_VALUE"""),43.0)</f>
        <v>43</v>
      </c>
    </row>
    <row r="985">
      <c r="A985" s="2">
        <f>IFERROR(__xludf.DUMMYFUNCTION("""COMPUTED_VALUE"""),489546.0)</f>
        <v>489546</v>
      </c>
      <c r="B985" s="2" t="str">
        <f>IFERROR(__xludf.DUMMYFUNCTION("""COMPUTED_VALUE"""),"48185")</f>
        <v>48185</v>
      </c>
      <c r="C985" s="2" t="str">
        <f>IFERROR(__xludf.DUMMYFUNCTION("""COMPUTED_VALUE"""),"DOOR MAT FAIRY CAKE")</f>
        <v>DOOR MAT FAIRY CAKE</v>
      </c>
      <c r="D985" s="2">
        <f>IFERROR(__xludf.DUMMYFUNCTION("""COMPUTED_VALUE"""),4.0)</f>
        <v>4</v>
      </c>
      <c r="E985" s="6">
        <f>IFERROR(__xludf.DUMMYFUNCTION("""COMPUTED_VALUE"""),40148.520833333336)</f>
        <v>40148.52083</v>
      </c>
      <c r="F985" s="2">
        <f>IFERROR(__xludf.DUMMYFUNCTION("""COMPUTED_VALUE"""),6.75)</f>
        <v>6.75</v>
      </c>
      <c r="G985" s="2">
        <f>IFERROR(__xludf.DUMMYFUNCTION("""COMPUTED_VALUE"""),14156.0)</f>
        <v>14156</v>
      </c>
      <c r="H985" s="2" t="str">
        <f>IFERROR(__xludf.DUMMYFUNCTION("""COMPUTED_VALUE"""),"EIRE")</f>
        <v>EIRE</v>
      </c>
      <c r="I985" s="7">
        <f>IFERROR(__xludf.DUMMYFUNCTION("""COMPUTED_VALUE"""),40148.0)</f>
        <v>40148</v>
      </c>
      <c r="J985" s="8">
        <f>IFERROR(__xludf.DUMMYFUNCTION("""COMPUTED_VALUE"""),0.5208333333321207)</f>
        <v>0.5208333333</v>
      </c>
      <c r="K985" s="2">
        <f>IFERROR(__xludf.DUMMYFUNCTION("""COMPUTED_VALUE"""),12.0)</f>
        <v>12</v>
      </c>
      <c r="L985" s="2">
        <f>IFERROR(__xludf.DUMMYFUNCTION("""COMPUTED_VALUE"""),27.0)</f>
        <v>27</v>
      </c>
    </row>
    <row r="986">
      <c r="A986" s="2">
        <f>IFERROR(__xludf.DUMMYFUNCTION("""COMPUTED_VALUE"""),489547.0)</f>
        <v>489547</v>
      </c>
      <c r="B986" s="2" t="str">
        <f>IFERROR(__xludf.DUMMYFUNCTION("""COMPUTED_VALUE"""),"22086")</f>
        <v>22086</v>
      </c>
      <c r="C986" s="2" t="str">
        <f>IFERROR(__xludf.DUMMYFUNCTION("""COMPUTED_VALUE"""),"PAPER CHAIN KIT 50'S CHRISTMAS")</f>
        <v>PAPER CHAIN KIT 50'S CHRISTMAS</v>
      </c>
      <c r="D986" s="2">
        <f>IFERROR(__xludf.DUMMYFUNCTION("""COMPUTED_VALUE"""),18.0)</f>
        <v>18</v>
      </c>
      <c r="E986" s="6">
        <f>IFERROR(__xludf.DUMMYFUNCTION("""COMPUTED_VALUE"""),40148.520833333336)</f>
        <v>40148.52083</v>
      </c>
      <c r="F986" s="2">
        <f>IFERROR(__xludf.DUMMYFUNCTION("""COMPUTED_VALUE"""),2.95)</f>
        <v>2.95</v>
      </c>
      <c r="G986" s="2">
        <f>IFERROR(__xludf.DUMMYFUNCTION("""COMPUTED_VALUE"""),13599.0)</f>
        <v>13599</v>
      </c>
      <c r="H986" s="2" t="str">
        <f>IFERROR(__xludf.DUMMYFUNCTION("""COMPUTED_VALUE"""),"United Kingdom")</f>
        <v>United Kingdom</v>
      </c>
      <c r="I986" s="7">
        <f>IFERROR(__xludf.DUMMYFUNCTION("""COMPUTED_VALUE"""),40148.0)</f>
        <v>40148</v>
      </c>
      <c r="J986" s="8">
        <f>IFERROR(__xludf.DUMMYFUNCTION("""COMPUTED_VALUE"""),0.5208333333321207)</f>
        <v>0.5208333333</v>
      </c>
      <c r="K986" s="2">
        <f>IFERROR(__xludf.DUMMYFUNCTION("""COMPUTED_VALUE"""),12.0)</f>
        <v>12</v>
      </c>
      <c r="L986" s="2">
        <f>IFERROR(__xludf.DUMMYFUNCTION("""COMPUTED_VALUE"""),53.1)</f>
        <v>53.1</v>
      </c>
    </row>
    <row r="987">
      <c r="A987" s="2">
        <f>IFERROR(__xludf.DUMMYFUNCTION("""COMPUTED_VALUE"""),489547.0)</f>
        <v>489547</v>
      </c>
      <c r="B987" s="2" t="str">
        <f>IFERROR(__xludf.DUMMYFUNCTION("""COMPUTED_VALUE"""),"21871")</f>
        <v>21871</v>
      </c>
      <c r="C987" s="2" t="str">
        <f>IFERROR(__xludf.DUMMYFUNCTION("""COMPUTED_VALUE"""),"SAVE THE PLANET MUG")</f>
        <v>SAVE THE PLANET MUG</v>
      </c>
      <c r="D987" s="2">
        <f>IFERROR(__xludf.DUMMYFUNCTION("""COMPUTED_VALUE"""),12.0)</f>
        <v>12</v>
      </c>
      <c r="E987" s="6">
        <f>IFERROR(__xludf.DUMMYFUNCTION("""COMPUTED_VALUE"""),40148.520833333336)</f>
        <v>40148.52083</v>
      </c>
      <c r="F987" s="2">
        <f>IFERROR(__xludf.DUMMYFUNCTION("""COMPUTED_VALUE"""),1.25)</f>
        <v>1.25</v>
      </c>
      <c r="G987" s="2">
        <f>IFERROR(__xludf.DUMMYFUNCTION("""COMPUTED_VALUE"""),13599.0)</f>
        <v>13599</v>
      </c>
      <c r="H987" s="2" t="str">
        <f>IFERROR(__xludf.DUMMYFUNCTION("""COMPUTED_VALUE"""),"United Kingdom")</f>
        <v>United Kingdom</v>
      </c>
      <c r="I987" s="7">
        <f>IFERROR(__xludf.DUMMYFUNCTION("""COMPUTED_VALUE"""),40148.0)</f>
        <v>40148</v>
      </c>
      <c r="J987" s="8">
        <f>IFERROR(__xludf.DUMMYFUNCTION("""COMPUTED_VALUE"""),0.5208333333321207)</f>
        <v>0.5208333333</v>
      </c>
      <c r="K987" s="2">
        <f>IFERROR(__xludf.DUMMYFUNCTION("""COMPUTED_VALUE"""),12.0)</f>
        <v>12</v>
      </c>
      <c r="L987" s="2">
        <f>IFERROR(__xludf.DUMMYFUNCTION("""COMPUTED_VALUE"""),15.0)</f>
        <v>15</v>
      </c>
    </row>
    <row r="988">
      <c r="A988" s="2">
        <f>IFERROR(__xludf.DUMMYFUNCTION("""COMPUTED_VALUE"""),489547.0)</f>
        <v>489547</v>
      </c>
      <c r="B988" s="2" t="str">
        <f>IFERROR(__xludf.DUMMYFUNCTION("""COMPUTED_VALUE"""),"21875")</f>
        <v>21875</v>
      </c>
      <c r="C988" s="2" t="str">
        <f>IFERROR(__xludf.DUMMYFUNCTION("""COMPUTED_VALUE"""),"KINGS CHOICE MUG")</f>
        <v>KINGS CHOICE MUG</v>
      </c>
      <c r="D988" s="2">
        <f>IFERROR(__xludf.DUMMYFUNCTION("""COMPUTED_VALUE"""),12.0)</f>
        <v>12</v>
      </c>
      <c r="E988" s="6">
        <f>IFERROR(__xludf.DUMMYFUNCTION("""COMPUTED_VALUE"""),40148.520833333336)</f>
        <v>40148.52083</v>
      </c>
      <c r="F988" s="2">
        <f>IFERROR(__xludf.DUMMYFUNCTION("""COMPUTED_VALUE"""),1.25)</f>
        <v>1.25</v>
      </c>
      <c r="G988" s="2">
        <f>IFERROR(__xludf.DUMMYFUNCTION("""COMPUTED_VALUE"""),13599.0)</f>
        <v>13599</v>
      </c>
      <c r="H988" s="2" t="str">
        <f>IFERROR(__xludf.DUMMYFUNCTION("""COMPUTED_VALUE"""),"United Kingdom")</f>
        <v>United Kingdom</v>
      </c>
      <c r="I988" s="7">
        <f>IFERROR(__xludf.DUMMYFUNCTION("""COMPUTED_VALUE"""),40148.0)</f>
        <v>40148</v>
      </c>
      <c r="J988" s="8">
        <f>IFERROR(__xludf.DUMMYFUNCTION("""COMPUTED_VALUE"""),0.5208333333321207)</f>
        <v>0.5208333333</v>
      </c>
      <c r="K988" s="2">
        <f>IFERROR(__xludf.DUMMYFUNCTION("""COMPUTED_VALUE"""),12.0)</f>
        <v>12</v>
      </c>
      <c r="L988" s="2">
        <f>IFERROR(__xludf.DUMMYFUNCTION("""COMPUTED_VALUE"""),15.0)</f>
        <v>15</v>
      </c>
    </row>
    <row r="989">
      <c r="A989" s="2">
        <f>IFERROR(__xludf.DUMMYFUNCTION("""COMPUTED_VALUE"""),489547.0)</f>
        <v>489547</v>
      </c>
      <c r="B989" s="2" t="str">
        <f>IFERROR(__xludf.DUMMYFUNCTION("""COMPUTED_VALUE"""),"21587")</f>
        <v>21587</v>
      </c>
      <c r="C989" s="2" t="str">
        <f>IFERROR(__xludf.DUMMYFUNCTION("""COMPUTED_VALUE"""),"COSY HOUR GIANT TUBE MATCHES")</f>
        <v>COSY HOUR GIANT TUBE MATCHES</v>
      </c>
      <c r="D989" s="2">
        <f>IFERROR(__xludf.DUMMYFUNCTION("""COMPUTED_VALUE"""),12.0)</f>
        <v>12</v>
      </c>
      <c r="E989" s="6">
        <f>IFERROR(__xludf.DUMMYFUNCTION("""COMPUTED_VALUE"""),40148.520833333336)</f>
        <v>40148.52083</v>
      </c>
      <c r="F989" s="2">
        <f>IFERROR(__xludf.DUMMYFUNCTION("""COMPUTED_VALUE"""),2.55)</f>
        <v>2.55</v>
      </c>
      <c r="G989" s="2">
        <f>IFERROR(__xludf.DUMMYFUNCTION("""COMPUTED_VALUE"""),13599.0)</f>
        <v>13599</v>
      </c>
      <c r="H989" s="2" t="str">
        <f>IFERROR(__xludf.DUMMYFUNCTION("""COMPUTED_VALUE"""),"United Kingdom")</f>
        <v>United Kingdom</v>
      </c>
      <c r="I989" s="7">
        <f>IFERROR(__xludf.DUMMYFUNCTION("""COMPUTED_VALUE"""),40148.0)</f>
        <v>40148</v>
      </c>
      <c r="J989" s="8">
        <f>IFERROR(__xludf.DUMMYFUNCTION("""COMPUTED_VALUE"""),0.5208333333321207)</f>
        <v>0.5208333333</v>
      </c>
      <c r="K989" s="2">
        <f>IFERROR(__xludf.DUMMYFUNCTION("""COMPUTED_VALUE"""),12.0)</f>
        <v>12</v>
      </c>
      <c r="L989" s="2">
        <f>IFERROR(__xludf.DUMMYFUNCTION("""COMPUTED_VALUE"""),30.5999999999999)</f>
        <v>30.6</v>
      </c>
    </row>
    <row r="990">
      <c r="A990" s="2">
        <f>IFERROR(__xludf.DUMMYFUNCTION("""COMPUTED_VALUE"""),489547.0)</f>
        <v>489547</v>
      </c>
      <c r="B990" s="2" t="str">
        <f>IFERROR(__xludf.DUMMYFUNCTION("""COMPUTED_VALUE"""),"21593")</f>
        <v>21593</v>
      </c>
      <c r="C990" s="2" t="str">
        <f>IFERROR(__xludf.DUMMYFUNCTION("""COMPUTED_VALUE"""),"SWALLOW CIGAR BOX MATCHES")</f>
        <v>SWALLOW CIGAR BOX MATCHES</v>
      </c>
      <c r="D990" s="2">
        <f>IFERROR(__xludf.DUMMYFUNCTION("""COMPUTED_VALUE"""),24.0)</f>
        <v>24</v>
      </c>
      <c r="E990" s="6">
        <f>IFERROR(__xludf.DUMMYFUNCTION("""COMPUTED_VALUE"""),40148.520833333336)</f>
        <v>40148.52083</v>
      </c>
      <c r="F990" s="2">
        <f>IFERROR(__xludf.DUMMYFUNCTION("""COMPUTED_VALUE"""),1.25)</f>
        <v>1.25</v>
      </c>
      <c r="G990" s="2">
        <f>IFERROR(__xludf.DUMMYFUNCTION("""COMPUTED_VALUE"""),13599.0)</f>
        <v>13599</v>
      </c>
      <c r="H990" s="2" t="str">
        <f>IFERROR(__xludf.DUMMYFUNCTION("""COMPUTED_VALUE"""),"United Kingdom")</f>
        <v>United Kingdom</v>
      </c>
      <c r="I990" s="7">
        <f>IFERROR(__xludf.DUMMYFUNCTION("""COMPUTED_VALUE"""),40148.0)</f>
        <v>40148</v>
      </c>
      <c r="J990" s="8">
        <f>IFERROR(__xludf.DUMMYFUNCTION("""COMPUTED_VALUE"""),0.5208333333321207)</f>
        <v>0.5208333333</v>
      </c>
      <c r="K990" s="2">
        <f>IFERROR(__xludf.DUMMYFUNCTION("""COMPUTED_VALUE"""),12.0)</f>
        <v>12</v>
      </c>
      <c r="L990" s="2">
        <f>IFERROR(__xludf.DUMMYFUNCTION("""COMPUTED_VALUE"""),30.0)</f>
        <v>30</v>
      </c>
    </row>
    <row r="991">
      <c r="A991" s="2">
        <f>IFERROR(__xludf.DUMMYFUNCTION("""COMPUTED_VALUE"""),489547.0)</f>
        <v>489547</v>
      </c>
      <c r="B991" s="2" t="str">
        <f>IFERROR(__xludf.DUMMYFUNCTION("""COMPUTED_VALUE"""),"21591")</f>
        <v>21591</v>
      </c>
      <c r="C991" s="2" t="str">
        <f>IFERROR(__xludf.DUMMYFUNCTION("""COMPUTED_VALUE"""),"COSY HOUR CIGAR BOX MATCHES")</f>
        <v>COSY HOUR CIGAR BOX MATCHES</v>
      </c>
      <c r="D991" s="2">
        <f>IFERROR(__xludf.DUMMYFUNCTION("""COMPUTED_VALUE"""),24.0)</f>
        <v>24</v>
      </c>
      <c r="E991" s="6">
        <f>IFERROR(__xludf.DUMMYFUNCTION("""COMPUTED_VALUE"""),40148.520833333336)</f>
        <v>40148.52083</v>
      </c>
      <c r="F991" s="2">
        <f>IFERROR(__xludf.DUMMYFUNCTION("""COMPUTED_VALUE"""),1.25)</f>
        <v>1.25</v>
      </c>
      <c r="G991" s="2">
        <f>IFERROR(__xludf.DUMMYFUNCTION("""COMPUTED_VALUE"""),13599.0)</f>
        <v>13599</v>
      </c>
      <c r="H991" s="2" t="str">
        <f>IFERROR(__xludf.DUMMYFUNCTION("""COMPUTED_VALUE"""),"United Kingdom")</f>
        <v>United Kingdom</v>
      </c>
      <c r="I991" s="7">
        <f>IFERROR(__xludf.DUMMYFUNCTION("""COMPUTED_VALUE"""),40148.0)</f>
        <v>40148</v>
      </c>
      <c r="J991" s="8">
        <f>IFERROR(__xludf.DUMMYFUNCTION("""COMPUTED_VALUE"""),0.5208333333321207)</f>
        <v>0.5208333333</v>
      </c>
      <c r="K991" s="2">
        <f>IFERROR(__xludf.DUMMYFUNCTION("""COMPUTED_VALUE"""),12.0)</f>
        <v>12</v>
      </c>
      <c r="L991" s="2">
        <f>IFERROR(__xludf.DUMMYFUNCTION("""COMPUTED_VALUE"""),30.0)</f>
        <v>30</v>
      </c>
    </row>
    <row r="992">
      <c r="A992" s="2">
        <f>IFERROR(__xludf.DUMMYFUNCTION("""COMPUTED_VALUE"""),489547.0)</f>
        <v>489547</v>
      </c>
      <c r="B992" s="2" t="str">
        <f>IFERROR(__xludf.DUMMYFUNCTION("""COMPUTED_VALUE"""),"21590")</f>
        <v>21590</v>
      </c>
      <c r="C992" s="2" t="str">
        <f>IFERROR(__xludf.DUMMYFUNCTION("""COMPUTED_VALUE"""),"KINGS CHOICE CIGAR BOX MATCHES")</f>
        <v>KINGS CHOICE CIGAR BOX MATCHES</v>
      </c>
      <c r="D992" s="2">
        <f>IFERROR(__xludf.DUMMYFUNCTION("""COMPUTED_VALUE"""),24.0)</f>
        <v>24</v>
      </c>
      <c r="E992" s="6">
        <f>IFERROR(__xludf.DUMMYFUNCTION("""COMPUTED_VALUE"""),40148.520833333336)</f>
        <v>40148.52083</v>
      </c>
      <c r="F992" s="2">
        <f>IFERROR(__xludf.DUMMYFUNCTION("""COMPUTED_VALUE"""),1.25)</f>
        <v>1.25</v>
      </c>
      <c r="G992" s="2">
        <f>IFERROR(__xludf.DUMMYFUNCTION("""COMPUTED_VALUE"""),13599.0)</f>
        <v>13599</v>
      </c>
      <c r="H992" s="2" t="str">
        <f>IFERROR(__xludf.DUMMYFUNCTION("""COMPUTED_VALUE"""),"United Kingdom")</f>
        <v>United Kingdom</v>
      </c>
      <c r="I992" s="7">
        <f>IFERROR(__xludf.DUMMYFUNCTION("""COMPUTED_VALUE"""),40148.0)</f>
        <v>40148</v>
      </c>
      <c r="J992" s="8">
        <f>IFERROR(__xludf.DUMMYFUNCTION("""COMPUTED_VALUE"""),0.5208333333321207)</f>
        <v>0.5208333333</v>
      </c>
      <c r="K992" s="2">
        <f>IFERROR(__xludf.DUMMYFUNCTION("""COMPUTED_VALUE"""),12.0)</f>
        <v>12</v>
      </c>
      <c r="L992" s="2">
        <f>IFERROR(__xludf.DUMMYFUNCTION("""COMPUTED_VALUE"""),30.0)</f>
        <v>30</v>
      </c>
    </row>
    <row r="993">
      <c r="A993" s="2">
        <f>IFERROR(__xludf.DUMMYFUNCTION("""COMPUTED_VALUE"""),489547.0)</f>
        <v>489547</v>
      </c>
      <c r="B993" s="2" t="str">
        <f>IFERROR(__xludf.DUMMYFUNCTION("""COMPUTED_VALUE"""),"22083")</f>
        <v>22083</v>
      </c>
      <c r="C993" s="2" t="str">
        <f>IFERROR(__xludf.DUMMYFUNCTION("""COMPUTED_VALUE"""),"PAPER CHAIN KIT RETRO SPOT")</f>
        <v>PAPER CHAIN KIT RETRO SPOT</v>
      </c>
      <c r="D993" s="2">
        <f>IFERROR(__xludf.DUMMYFUNCTION("""COMPUTED_VALUE"""),6.0)</f>
        <v>6</v>
      </c>
      <c r="E993" s="6">
        <f>IFERROR(__xludf.DUMMYFUNCTION("""COMPUTED_VALUE"""),40148.520833333336)</f>
        <v>40148.52083</v>
      </c>
      <c r="F993" s="2">
        <f>IFERROR(__xludf.DUMMYFUNCTION("""COMPUTED_VALUE"""),2.95)</f>
        <v>2.95</v>
      </c>
      <c r="G993" s="2">
        <f>IFERROR(__xludf.DUMMYFUNCTION("""COMPUTED_VALUE"""),13599.0)</f>
        <v>13599</v>
      </c>
      <c r="H993" s="2" t="str">
        <f>IFERROR(__xludf.DUMMYFUNCTION("""COMPUTED_VALUE"""),"United Kingdom")</f>
        <v>United Kingdom</v>
      </c>
      <c r="I993" s="7">
        <f>IFERROR(__xludf.DUMMYFUNCTION("""COMPUTED_VALUE"""),40148.0)</f>
        <v>40148</v>
      </c>
      <c r="J993" s="8">
        <f>IFERROR(__xludf.DUMMYFUNCTION("""COMPUTED_VALUE"""),0.5208333333321207)</f>
        <v>0.5208333333</v>
      </c>
      <c r="K993" s="2">
        <f>IFERROR(__xludf.DUMMYFUNCTION("""COMPUTED_VALUE"""),12.0)</f>
        <v>12</v>
      </c>
      <c r="L993" s="2">
        <f>IFERROR(__xludf.DUMMYFUNCTION("""COMPUTED_VALUE"""),17.7)</f>
        <v>17.7</v>
      </c>
    </row>
    <row r="994">
      <c r="A994" s="2">
        <f>IFERROR(__xludf.DUMMYFUNCTION("""COMPUTED_VALUE"""),489547.0)</f>
        <v>489547</v>
      </c>
      <c r="B994" s="2" t="str">
        <f>IFERROR(__xludf.DUMMYFUNCTION("""COMPUTED_VALUE"""),"22085")</f>
        <v>22085</v>
      </c>
      <c r="C994" s="2" t="str">
        <f>IFERROR(__xludf.DUMMYFUNCTION("""COMPUTED_VALUE"""),"PAPER CHAIN KIT SKULLS")</f>
        <v>PAPER CHAIN KIT SKULLS</v>
      </c>
      <c r="D994" s="2">
        <f>IFERROR(__xludf.DUMMYFUNCTION("""COMPUTED_VALUE"""),6.0)</f>
        <v>6</v>
      </c>
      <c r="E994" s="6">
        <f>IFERROR(__xludf.DUMMYFUNCTION("""COMPUTED_VALUE"""),40148.520833333336)</f>
        <v>40148.52083</v>
      </c>
      <c r="F994" s="2">
        <f>IFERROR(__xludf.DUMMYFUNCTION("""COMPUTED_VALUE"""),2.95)</f>
        <v>2.95</v>
      </c>
      <c r="G994" s="2">
        <f>IFERROR(__xludf.DUMMYFUNCTION("""COMPUTED_VALUE"""),13599.0)</f>
        <v>13599</v>
      </c>
      <c r="H994" s="2" t="str">
        <f>IFERROR(__xludf.DUMMYFUNCTION("""COMPUTED_VALUE"""),"United Kingdom")</f>
        <v>United Kingdom</v>
      </c>
      <c r="I994" s="7">
        <f>IFERROR(__xludf.DUMMYFUNCTION("""COMPUTED_VALUE"""),40148.0)</f>
        <v>40148</v>
      </c>
      <c r="J994" s="8">
        <f>IFERROR(__xludf.DUMMYFUNCTION("""COMPUTED_VALUE"""),0.5208333333321207)</f>
        <v>0.5208333333</v>
      </c>
      <c r="K994" s="2">
        <f>IFERROR(__xludf.DUMMYFUNCTION("""COMPUTED_VALUE"""),12.0)</f>
        <v>12</v>
      </c>
      <c r="L994" s="2">
        <f>IFERROR(__xludf.DUMMYFUNCTION("""COMPUTED_VALUE"""),17.7)</f>
        <v>17.7</v>
      </c>
    </row>
    <row r="995">
      <c r="A995" s="2">
        <f>IFERROR(__xludf.DUMMYFUNCTION("""COMPUTED_VALUE"""),489547.0)</f>
        <v>489547</v>
      </c>
      <c r="B995" s="2" t="str">
        <f>IFERROR(__xludf.DUMMYFUNCTION("""COMPUTED_VALUE"""),"21493")</f>
        <v>21493</v>
      </c>
      <c r="C995" s="2" t="str">
        <f>IFERROR(__xludf.DUMMYFUNCTION("""COMPUTED_VALUE"""),"VINTAGE DESIGN GIFT TAGS")</f>
        <v>VINTAGE DESIGN GIFT TAGS</v>
      </c>
      <c r="D995" s="2">
        <f>IFERROR(__xludf.DUMMYFUNCTION("""COMPUTED_VALUE"""),12.0)</f>
        <v>12</v>
      </c>
      <c r="E995" s="6">
        <f>IFERROR(__xludf.DUMMYFUNCTION("""COMPUTED_VALUE"""),40148.520833333336)</f>
        <v>40148.52083</v>
      </c>
      <c r="F995" s="2">
        <f>IFERROR(__xludf.DUMMYFUNCTION("""COMPUTED_VALUE"""),0.85)</f>
        <v>0.85</v>
      </c>
      <c r="G995" s="2">
        <f>IFERROR(__xludf.DUMMYFUNCTION("""COMPUTED_VALUE"""),13599.0)</f>
        <v>13599</v>
      </c>
      <c r="H995" s="2" t="str">
        <f>IFERROR(__xludf.DUMMYFUNCTION("""COMPUTED_VALUE"""),"United Kingdom")</f>
        <v>United Kingdom</v>
      </c>
      <c r="I995" s="7">
        <f>IFERROR(__xludf.DUMMYFUNCTION("""COMPUTED_VALUE"""),40148.0)</f>
        <v>40148</v>
      </c>
      <c r="J995" s="8">
        <f>IFERROR(__xludf.DUMMYFUNCTION("""COMPUTED_VALUE"""),0.5208333333321207)</f>
        <v>0.5208333333</v>
      </c>
      <c r="K995" s="2">
        <f>IFERROR(__xludf.DUMMYFUNCTION("""COMPUTED_VALUE"""),12.0)</f>
        <v>12</v>
      </c>
      <c r="L995" s="2">
        <f>IFERROR(__xludf.DUMMYFUNCTION("""COMPUTED_VALUE"""),10.2)</f>
        <v>10.2</v>
      </c>
    </row>
    <row r="996">
      <c r="A996" s="2">
        <f>IFERROR(__xludf.DUMMYFUNCTION("""COMPUTED_VALUE"""),489547.0)</f>
        <v>489547</v>
      </c>
      <c r="B996" s="2" t="str">
        <f>IFERROR(__xludf.DUMMYFUNCTION("""COMPUTED_VALUE"""),"22138")</f>
        <v>22138</v>
      </c>
      <c r="C996" s="2" t="str">
        <f>IFERROR(__xludf.DUMMYFUNCTION("""COMPUTED_VALUE"""),"BAKING SET 9 PIECE RETROSPOT")</f>
        <v>BAKING SET 9 PIECE RETROSPOT</v>
      </c>
      <c r="D996" s="2">
        <f>IFERROR(__xludf.DUMMYFUNCTION("""COMPUTED_VALUE"""),3.0)</f>
        <v>3</v>
      </c>
      <c r="E996" s="6">
        <f>IFERROR(__xludf.DUMMYFUNCTION("""COMPUTED_VALUE"""),40148.520833333336)</f>
        <v>40148.52083</v>
      </c>
      <c r="F996" s="2">
        <f>IFERROR(__xludf.DUMMYFUNCTION("""COMPUTED_VALUE"""),4.95)</f>
        <v>4.95</v>
      </c>
      <c r="G996" s="2">
        <f>IFERROR(__xludf.DUMMYFUNCTION("""COMPUTED_VALUE"""),13599.0)</f>
        <v>13599</v>
      </c>
      <c r="H996" s="2" t="str">
        <f>IFERROR(__xludf.DUMMYFUNCTION("""COMPUTED_VALUE"""),"United Kingdom")</f>
        <v>United Kingdom</v>
      </c>
      <c r="I996" s="7">
        <f>IFERROR(__xludf.DUMMYFUNCTION("""COMPUTED_VALUE"""),40148.0)</f>
        <v>40148</v>
      </c>
      <c r="J996" s="8">
        <f>IFERROR(__xludf.DUMMYFUNCTION("""COMPUTED_VALUE"""),0.5208333333321207)</f>
        <v>0.5208333333</v>
      </c>
      <c r="K996" s="2">
        <f>IFERROR(__xludf.DUMMYFUNCTION("""COMPUTED_VALUE"""),12.0)</f>
        <v>12</v>
      </c>
      <c r="L996" s="2">
        <f>IFERROR(__xludf.DUMMYFUNCTION("""COMPUTED_VALUE"""),14.85)</f>
        <v>14.85</v>
      </c>
    </row>
    <row r="997">
      <c r="A997" s="2">
        <f>IFERROR(__xludf.DUMMYFUNCTION("""COMPUTED_VALUE"""),489547.0)</f>
        <v>489547</v>
      </c>
      <c r="B997" s="2" t="str">
        <f>IFERROR(__xludf.DUMMYFUNCTION("""COMPUTED_VALUE"""),"21930")</f>
        <v>21930</v>
      </c>
      <c r="C997" s="2" t="str">
        <f>IFERROR(__xludf.DUMMYFUNCTION("""COMPUTED_VALUE"""),"JUMBO STORAGE BAG SKULLS")</f>
        <v>JUMBO STORAGE BAG SKULLS</v>
      </c>
      <c r="D997" s="2">
        <f>IFERROR(__xludf.DUMMYFUNCTION("""COMPUTED_VALUE"""),10.0)</f>
        <v>10</v>
      </c>
      <c r="E997" s="6">
        <f>IFERROR(__xludf.DUMMYFUNCTION("""COMPUTED_VALUE"""),40148.520833333336)</f>
        <v>40148.52083</v>
      </c>
      <c r="F997" s="2">
        <f>IFERROR(__xludf.DUMMYFUNCTION("""COMPUTED_VALUE"""),1.95)</f>
        <v>1.95</v>
      </c>
      <c r="G997" s="2">
        <f>IFERROR(__xludf.DUMMYFUNCTION("""COMPUTED_VALUE"""),13599.0)</f>
        <v>13599</v>
      </c>
      <c r="H997" s="2" t="str">
        <f>IFERROR(__xludf.DUMMYFUNCTION("""COMPUTED_VALUE"""),"United Kingdom")</f>
        <v>United Kingdom</v>
      </c>
      <c r="I997" s="7">
        <f>IFERROR(__xludf.DUMMYFUNCTION("""COMPUTED_VALUE"""),40148.0)</f>
        <v>40148</v>
      </c>
      <c r="J997" s="8">
        <f>IFERROR(__xludf.DUMMYFUNCTION("""COMPUTED_VALUE"""),0.5208333333321207)</f>
        <v>0.5208333333</v>
      </c>
      <c r="K997" s="2">
        <f>IFERROR(__xludf.DUMMYFUNCTION("""COMPUTED_VALUE"""),12.0)</f>
        <v>12</v>
      </c>
      <c r="L997" s="2">
        <f>IFERROR(__xludf.DUMMYFUNCTION("""COMPUTED_VALUE"""),19.5)</f>
        <v>19.5</v>
      </c>
    </row>
    <row r="998">
      <c r="A998" s="2">
        <f>IFERROR(__xludf.DUMMYFUNCTION("""COMPUTED_VALUE"""),489547.0)</f>
        <v>489547</v>
      </c>
      <c r="B998" s="2" t="str">
        <f>IFERROR(__xludf.DUMMYFUNCTION("""COMPUTED_VALUE"""),"85099B")</f>
        <v>85099B</v>
      </c>
      <c r="C998" s="2" t="str">
        <f>IFERROR(__xludf.DUMMYFUNCTION("""COMPUTED_VALUE"""),"JUMBO BAG RED WHITE SPOTTY")</f>
        <v>JUMBO BAG RED WHITE SPOTTY</v>
      </c>
      <c r="D998" s="2">
        <f>IFERROR(__xludf.DUMMYFUNCTION("""COMPUTED_VALUE"""),10.0)</f>
        <v>10</v>
      </c>
      <c r="E998" s="6">
        <f>IFERROR(__xludf.DUMMYFUNCTION("""COMPUTED_VALUE"""),40148.520833333336)</f>
        <v>40148.52083</v>
      </c>
      <c r="F998" s="2">
        <f>IFERROR(__xludf.DUMMYFUNCTION("""COMPUTED_VALUE"""),1.95)</f>
        <v>1.95</v>
      </c>
      <c r="G998" s="2">
        <f>IFERROR(__xludf.DUMMYFUNCTION("""COMPUTED_VALUE"""),13599.0)</f>
        <v>13599</v>
      </c>
      <c r="H998" s="2" t="str">
        <f>IFERROR(__xludf.DUMMYFUNCTION("""COMPUTED_VALUE"""),"United Kingdom")</f>
        <v>United Kingdom</v>
      </c>
      <c r="I998" s="7">
        <f>IFERROR(__xludf.DUMMYFUNCTION("""COMPUTED_VALUE"""),40148.0)</f>
        <v>40148</v>
      </c>
      <c r="J998" s="8">
        <f>IFERROR(__xludf.DUMMYFUNCTION("""COMPUTED_VALUE"""),0.5208333333321207)</f>
        <v>0.5208333333</v>
      </c>
      <c r="K998" s="2">
        <f>IFERROR(__xludf.DUMMYFUNCTION("""COMPUTED_VALUE"""),12.0)</f>
        <v>12</v>
      </c>
      <c r="L998" s="2">
        <f>IFERROR(__xludf.DUMMYFUNCTION("""COMPUTED_VALUE"""),19.5)</f>
        <v>19.5</v>
      </c>
    </row>
    <row r="999">
      <c r="A999" s="2">
        <f>IFERROR(__xludf.DUMMYFUNCTION("""COMPUTED_VALUE"""),489547.0)</f>
        <v>489547</v>
      </c>
      <c r="B999" s="2" t="str">
        <f>IFERROR(__xludf.DUMMYFUNCTION("""COMPUTED_VALUE"""),"85099C")</f>
        <v>85099C</v>
      </c>
      <c r="C999" s="2" t="str">
        <f>IFERROR(__xludf.DUMMYFUNCTION("""COMPUTED_VALUE"""),"JUMBO BAG BAROQUE BLACK WHITE")</f>
        <v>JUMBO BAG BAROQUE BLACK WHITE</v>
      </c>
      <c r="D999" s="2">
        <f>IFERROR(__xludf.DUMMYFUNCTION("""COMPUTED_VALUE"""),10.0)</f>
        <v>10</v>
      </c>
      <c r="E999" s="6">
        <f>IFERROR(__xludf.DUMMYFUNCTION("""COMPUTED_VALUE"""),40148.520833333336)</f>
        <v>40148.52083</v>
      </c>
      <c r="F999" s="2">
        <f>IFERROR(__xludf.DUMMYFUNCTION("""COMPUTED_VALUE"""),1.95)</f>
        <v>1.95</v>
      </c>
      <c r="G999" s="2">
        <f>IFERROR(__xludf.DUMMYFUNCTION("""COMPUTED_VALUE"""),13599.0)</f>
        <v>13599</v>
      </c>
      <c r="H999" s="2" t="str">
        <f>IFERROR(__xludf.DUMMYFUNCTION("""COMPUTED_VALUE"""),"United Kingdom")</f>
        <v>United Kingdom</v>
      </c>
      <c r="I999" s="7">
        <f>IFERROR(__xludf.DUMMYFUNCTION("""COMPUTED_VALUE"""),40148.0)</f>
        <v>40148</v>
      </c>
      <c r="J999" s="8">
        <f>IFERROR(__xludf.DUMMYFUNCTION("""COMPUTED_VALUE"""),0.5208333333321207)</f>
        <v>0.5208333333</v>
      </c>
      <c r="K999" s="2">
        <f>IFERROR(__xludf.DUMMYFUNCTION("""COMPUTED_VALUE"""),12.0)</f>
        <v>12</v>
      </c>
      <c r="L999" s="2">
        <f>IFERROR(__xludf.DUMMYFUNCTION("""COMPUTED_VALUE"""),19.5)</f>
        <v>19.5</v>
      </c>
    </row>
    <row r="1000">
      <c r="A1000" s="2">
        <f>IFERROR(__xludf.DUMMYFUNCTION("""COMPUTED_VALUE"""),489547.0)</f>
        <v>489547</v>
      </c>
      <c r="B1000" s="2" t="str">
        <f>IFERROR(__xludf.DUMMYFUNCTION("""COMPUTED_VALUE"""),"20719")</f>
        <v>20719</v>
      </c>
      <c r="C1000" s="2" t="str">
        <f>IFERROR(__xludf.DUMMYFUNCTION("""COMPUTED_VALUE"""),"WOODLAND CHARLOTTE BAG")</f>
        <v>WOODLAND CHARLOTTE BAG</v>
      </c>
      <c r="D1000" s="2">
        <f>IFERROR(__xludf.DUMMYFUNCTION("""COMPUTED_VALUE"""),10.0)</f>
        <v>10</v>
      </c>
      <c r="E1000" s="6">
        <f>IFERROR(__xludf.DUMMYFUNCTION("""COMPUTED_VALUE"""),40148.520833333336)</f>
        <v>40148.52083</v>
      </c>
      <c r="F1000" s="2">
        <f>IFERROR(__xludf.DUMMYFUNCTION("""COMPUTED_VALUE"""),0.85)</f>
        <v>0.85</v>
      </c>
      <c r="G1000" s="2">
        <f>IFERROR(__xludf.DUMMYFUNCTION("""COMPUTED_VALUE"""),13599.0)</f>
        <v>13599</v>
      </c>
      <c r="H1000" s="2" t="str">
        <f>IFERROR(__xludf.DUMMYFUNCTION("""COMPUTED_VALUE"""),"United Kingdom")</f>
        <v>United Kingdom</v>
      </c>
      <c r="I1000" s="7">
        <f>IFERROR(__xludf.DUMMYFUNCTION("""COMPUTED_VALUE"""),40148.0)</f>
        <v>40148</v>
      </c>
      <c r="J1000" s="8">
        <f>IFERROR(__xludf.DUMMYFUNCTION("""COMPUTED_VALUE"""),0.5208333333321207)</f>
        <v>0.5208333333</v>
      </c>
      <c r="K1000" s="2">
        <f>IFERROR(__xludf.DUMMYFUNCTION("""COMPUTED_VALUE"""),12.0)</f>
        <v>12</v>
      </c>
      <c r="L1000" s="2">
        <f>IFERROR(__xludf.DUMMYFUNCTION("""COMPUTED_VALUE"""),8.5)</f>
        <v>8.5</v>
      </c>
    </row>
    <row r="1001">
      <c r="A1001" s="2">
        <f>IFERROR(__xludf.DUMMYFUNCTION("""COMPUTED_VALUE"""),489547.0)</f>
        <v>489547</v>
      </c>
      <c r="B1001" s="2" t="str">
        <f>IFERROR(__xludf.DUMMYFUNCTION("""COMPUTED_VALUE"""),"22356")</f>
        <v>22356</v>
      </c>
      <c r="C1001" s="2" t="str">
        <f>IFERROR(__xludf.DUMMYFUNCTION("""COMPUTED_VALUE"""),"CHARLOTTE BAG , PINK/WHITE SPOTS")</f>
        <v>CHARLOTTE BAG , PINK/WHITE SPOTS</v>
      </c>
      <c r="D1001" s="2">
        <f>IFERROR(__xludf.DUMMYFUNCTION("""COMPUTED_VALUE"""),100.0)</f>
        <v>100</v>
      </c>
      <c r="E1001" s="6">
        <f>IFERROR(__xludf.DUMMYFUNCTION("""COMPUTED_VALUE"""),40148.520833333336)</f>
        <v>40148.52083</v>
      </c>
      <c r="F1001" s="2">
        <f>IFERROR(__xludf.DUMMYFUNCTION("""COMPUTED_VALUE"""),0.72)</f>
        <v>0.72</v>
      </c>
      <c r="G1001" s="2">
        <f>IFERROR(__xludf.DUMMYFUNCTION("""COMPUTED_VALUE"""),13599.0)</f>
        <v>13599</v>
      </c>
      <c r="H1001" s="2" t="str">
        <f>IFERROR(__xludf.DUMMYFUNCTION("""COMPUTED_VALUE"""),"United Kingdom")</f>
        <v>United Kingdom</v>
      </c>
      <c r="I1001" s="7">
        <f>IFERROR(__xludf.DUMMYFUNCTION("""COMPUTED_VALUE"""),40148.0)</f>
        <v>40148</v>
      </c>
      <c r="J1001" s="8">
        <f>IFERROR(__xludf.DUMMYFUNCTION("""COMPUTED_VALUE"""),0.5208333333321207)</f>
        <v>0.5208333333</v>
      </c>
      <c r="K1001" s="2">
        <f>IFERROR(__xludf.DUMMYFUNCTION("""COMPUTED_VALUE"""),12.0)</f>
        <v>12</v>
      </c>
      <c r="L1001" s="2">
        <f>IFERROR(__xludf.DUMMYFUNCTION("""COMPUTED_VALUE"""),72.0)</f>
        <v>72</v>
      </c>
    </row>
    <row r="1002">
      <c r="A1002" s="2">
        <f>IFERROR(__xludf.DUMMYFUNCTION("""COMPUTED_VALUE"""),489547.0)</f>
        <v>489547</v>
      </c>
      <c r="B1002" s="2" t="str">
        <f>IFERROR(__xludf.DUMMYFUNCTION("""COMPUTED_VALUE"""),"20724")</f>
        <v>20724</v>
      </c>
      <c r="C1002" s="2" t="str">
        <f>IFERROR(__xludf.DUMMYFUNCTION("""COMPUTED_VALUE"""),"RED SPOTTY CHARLOTTE BAG")</f>
        <v>RED SPOTTY CHARLOTTE BAG</v>
      </c>
      <c r="D1002" s="2">
        <f>IFERROR(__xludf.DUMMYFUNCTION("""COMPUTED_VALUE"""),10.0)</f>
        <v>10</v>
      </c>
      <c r="E1002" s="6">
        <f>IFERROR(__xludf.DUMMYFUNCTION("""COMPUTED_VALUE"""),40148.520833333336)</f>
        <v>40148.52083</v>
      </c>
      <c r="F1002" s="2">
        <f>IFERROR(__xludf.DUMMYFUNCTION("""COMPUTED_VALUE"""),0.85)</f>
        <v>0.85</v>
      </c>
      <c r="G1002" s="2">
        <f>IFERROR(__xludf.DUMMYFUNCTION("""COMPUTED_VALUE"""),13599.0)</f>
        <v>13599</v>
      </c>
      <c r="H1002" s="2" t="str">
        <f>IFERROR(__xludf.DUMMYFUNCTION("""COMPUTED_VALUE"""),"United Kingdom")</f>
        <v>United Kingdom</v>
      </c>
      <c r="I1002" s="7">
        <f>IFERROR(__xludf.DUMMYFUNCTION("""COMPUTED_VALUE"""),40148.0)</f>
        <v>40148</v>
      </c>
      <c r="J1002" s="8">
        <f>IFERROR(__xludf.DUMMYFUNCTION("""COMPUTED_VALUE"""),0.5208333333321207)</f>
        <v>0.5208333333</v>
      </c>
      <c r="K1002" s="2">
        <f>IFERROR(__xludf.DUMMYFUNCTION("""COMPUTED_VALUE"""),12.0)</f>
        <v>12</v>
      </c>
      <c r="L1002" s="2">
        <f>IFERROR(__xludf.DUMMYFUNCTION("""COMPUTED_VALUE"""),8.5)</f>
        <v>8.5</v>
      </c>
    </row>
    <row r="1003">
      <c r="A1003" s="2">
        <f>IFERROR(__xludf.DUMMYFUNCTION("""COMPUTED_VALUE"""),489547.0)</f>
        <v>489547</v>
      </c>
      <c r="B1003" s="2" t="str">
        <f>IFERROR(__xludf.DUMMYFUNCTION("""COMPUTED_VALUE"""),"20727")</f>
        <v>20727</v>
      </c>
      <c r="C1003" s="2" t="str">
        <f>IFERROR(__xludf.DUMMYFUNCTION("""COMPUTED_VALUE"""),"LUNCH BAG BLACK SKULL.")</f>
        <v>LUNCH BAG BLACK SKULL.</v>
      </c>
      <c r="D1003" s="2">
        <f>IFERROR(__xludf.DUMMYFUNCTION("""COMPUTED_VALUE"""),10.0)</f>
        <v>10</v>
      </c>
      <c r="E1003" s="6">
        <f>IFERROR(__xludf.DUMMYFUNCTION("""COMPUTED_VALUE"""),40148.520833333336)</f>
        <v>40148.52083</v>
      </c>
      <c r="F1003" s="2">
        <f>IFERROR(__xludf.DUMMYFUNCTION("""COMPUTED_VALUE"""),1.65)</f>
        <v>1.65</v>
      </c>
      <c r="G1003" s="2">
        <f>IFERROR(__xludf.DUMMYFUNCTION("""COMPUTED_VALUE"""),13599.0)</f>
        <v>13599</v>
      </c>
      <c r="H1003" s="2" t="str">
        <f>IFERROR(__xludf.DUMMYFUNCTION("""COMPUTED_VALUE"""),"United Kingdom")</f>
        <v>United Kingdom</v>
      </c>
      <c r="I1003" s="7">
        <f>IFERROR(__xludf.DUMMYFUNCTION("""COMPUTED_VALUE"""),40148.0)</f>
        <v>40148</v>
      </c>
      <c r="J1003" s="8">
        <f>IFERROR(__xludf.DUMMYFUNCTION("""COMPUTED_VALUE"""),0.5208333333321207)</f>
        <v>0.5208333333</v>
      </c>
      <c r="K1003" s="2">
        <f>IFERROR(__xludf.DUMMYFUNCTION("""COMPUTED_VALUE"""),12.0)</f>
        <v>12</v>
      </c>
      <c r="L1003" s="2">
        <f>IFERROR(__xludf.DUMMYFUNCTION("""COMPUTED_VALUE"""),16.5)</f>
        <v>16.5</v>
      </c>
    </row>
    <row r="1004">
      <c r="A1004" s="2">
        <f>IFERROR(__xludf.DUMMYFUNCTION("""COMPUTED_VALUE"""),489547.0)</f>
        <v>489547</v>
      </c>
      <c r="B1004" s="2" t="str">
        <f>IFERROR(__xludf.DUMMYFUNCTION("""COMPUTED_VALUE"""),"20726")</f>
        <v>20726</v>
      </c>
      <c r="C1004" s="2" t="str">
        <f>IFERROR(__xludf.DUMMYFUNCTION("""COMPUTED_VALUE"""),"LUNCH BAG WOODLAND")</f>
        <v>LUNCH BAG WOODLAND</v>
      </c>
      <c r="D1004" s="2">
        <f>IFERROR(__xludf.DUMMYFUNCTION("""COMPUTED_VALUE"""),10.0)</f>
        <v>10</v>
      </c>
      <c r="E1004" s="6">
        <f>IFERROR(__xludf.DUMMYFUNCTION("""COMPUTED_VALUE"""),40148.520833333336)</f>
        <v>40148.52083</v>
      </c>
      <c r="F1004" s="2">
        <f>IFERROR(__xludf.DUMMYFUNCTION("""COMPUTED_VALUE"""),1.65)</f>
        <v>1.65</v>
      </c>
      <c r="G1004" s="2">
        <f>IFERROR(__xludf.DUMMYFUNCTION("""COMPUTED_VALUE"""),13599.0)</f>
        <v>13599</v>
      </c>
      <c r="H1004" s="2" t="str">
        <f>IFERROR(__xludf.DUMMYFUNCTION("""COMPUTED_VALUE"""),"United Kingdom")</f>
        <v>United Kingdom</v>
      </c>
      <c r="I1004" s="7">
        <f>IFERROR(__xludf.DUMMYFUNCTION("""COMPUTED_VALUE"""),40148.0)</f>
        <v>40148</v>
      </c>
      <c r="J1004" s="8">
        <f>IFERROR(__xludf.DUMMYFUNCTION("""COMPUTED_VALUE"""),0.5208333333321207)</f>
        <v>0.5208333333</v>
      </c>
      <c r="K1004" s="2">
        <f>IFERROR(__xludf.DUMMYFUNCTION("""COMPUTED_VALUE"""),12.0)</f>
        <v>12</v>
      </c>
      <c r="L1004" s="2">
        <f>IFERROR(__xludf.DUMMYFUNCTION("""COMPUTED_VALUE"""),16.5)</f>
        <v>16.5</v>
      </c>
    </row>
    <row r="1005">
      <c r="A1005" s="2">
        <f>IFERROR(__xludf.DUMMYFUNCTION("""COMPUTED_VALUE"""),489547.0)</f>
        <v>489547</v>
      </c>
      <c r="B1005" s="2" t="str">
        <f>IFERROR(__xludf.DUMMYFUNCTION("""COMPUTED_VALUE"""),"20725")</f>
        <v>20725</v>
      </c>
      <c r="C1005" s="2" t="str">
        <f>IFERROR(__xludf.DUMMYFUNCTION("""COMPUTED_VALUE"""),"LUNCH BAG RED SPOTTY")</f>
        <v>LUNCH BAG RED SPOTTY</v>
      </c>
      <c r="D1005" s="2">
        <f>IFERROR(__xludf.DUMMYFUNCTION("""COMPUTED_VALUE"""),20.0)</f>
        <v>20</v>
      </c>
      <c r="E1005" s="6">
        <f>IFERROR(__xludf.DUMMYFUNCTION("""COMPUTED_VALUE"""),40148.520833333336)</f>
        <v>40148.52083</v>
      </c>
      <c r="F1005" s="2">
        <f>IFERROR(__xludf.DUMMYFUNCTION("""COMPUTED_VALUE"""),1.65)</f>
        <v>1.65</v>
      </c>
      <c r="G1005" s="2">
        <f>IFERROR(__xludf.DUMMYFUNCTION("""COMPUTED_VALUE"""),13599.0)</f>
        <v>13599</v>
      </c>
      <c r="H1005" s="2" t="str">
        <f>IFERROR(__xludf.DUMMYFUNCTION("""COMPUTED_VALUE"""),"United Kingdom")</f>
        <v>United Kingdom</v>
      </c>
      <c r="I1005" s="7">
        <f>IFERROR(__xludf.DUMMYFUNCTION("""COMPUTED_VALUE"""),40148.0)</f>
        <v>40148</v>
      </c>
      <c r="J1005" s="8">
        <f>IFERROR(__xludf.DUMMYFUNCTION("""COMPUTED_VALUE"""),0.5208333333321207)</f>
        <v>0.5208333333</v>
      </c>
      <c r="K1005" s="2">
        <f>IFERROR(__xludf.DUMMYFUNCTION("""COMPUTED_VALUE"""),12.0)</f>
        <v>12</v>
      </c>
      <c r="L1005" s="2">
        <f>IFERROR(__xludf.DUMMYFUNCTION("""COMPUTED_VALUE"""),33.0)</f>
        <v>33</v>
      </c>
    </row>
    <row r="1006">
      <c r="A1006" s="2">
        <f>IFERROR(__xludf.DUMMYFUNCTION("""COMPUTED_VALUE"""),489547.0)</f>
        <v>489547</v>
      </c>
      <c r="B1006" s="2" t="str">
        <f>IFERROR(__xludf.DUMMYFUNCTION("""COMPUTED_VALUE"""),"22348")</f>
        <v>22348</v>
      </c>
      <c r="C1006" s="2" t="str">
        <f>IFERROR(__xludf.DUMMYFUNCTION("""COMPUTED_VALUE"""),"TEA BAG PLATE RED SPOTTY")</f>
        <v>TEA BAG PLATE RED SPOTTY</v>
      </c>
      <c r="D1006" s="2">
        <f>IFERROR(__xludf.DUMMYFUNCTION("""COMPUTED_VALUE"""),12.0)</f>
        <v>12</v>
      </c>
      <c r="E1006" s="6">
        <f>IFERROR(__xludf.DUMMYFUNCTION("""COMPUTED_VALUE"""),40148.520833333336)</f>
        <v>40148.52083</v>
      </c>
      <c r="F1006" s="2">
        <f>IFERROR(__xludf.DUMMYFUNCTION("""COMPUTED_VALUE"""),0.85)</f>
        <v>0.85</v>
      </c>
      <c r="G1006" s="2">
        <f>IFERROR(__xludf.DUMMYFUNCTION("""COMPUTED_VALUE"""),13599.0)</f>
        <v>13599</v>
      </c>
      <c r="H1006" s="2" t="str">
        <f>IFERROR(__xludf.DUMMYFUNCTION("""COMPUTED_VALUE"""),"United Kingdom")</f>
        <v>United Kingdom</v>
      </c>
      <c r="I1006" s="7">
        <f>IFERROR(__xludf.DUMMYFUNCTION("""COMPUTED_VALUE"""),40148.0)</f>
        <v>40148</v>
      </c>
      <c r="J1006" s="8">
        <f>IFERROR(__xludf.DUMMYFUNCTION("""COMPUTED_VALUE"""),0.5208333333321207)</f>
        <v>0.5208333333</v>
      </c>
      <c r="K1006" s="2">
        <f>IFERROR(__xludf.DUMMYFUNCTION("""COMPUTED_VALUE"""),12.0)</f>
        <v>12</v>
      </c>
      <c r="L1006" s="2">
        <f>IFERROR(__xludf.DUMMYFUNCTION("""COMPUTED_VALUE"""),10.2)</f>
        <v>10.2</v>
      </c>
    </row>
    <row r="1007">
      <c r="A1007" s="2">
        <f>IFERROR(__xludf.DUMMYFUNCTION("""COMPUTED_VALUE"""),489547.0)</f>
        <v>489547</v>
      </c>
      <c r="B1007" s="2" t="str">
        <f>IFERROR(__xludf.DUMMYFUNCTION("""COMPUTED_VALUE"""),"85061W")</f>
        <v>85061W</v>
      </c>
      <c r="C1007" s="2" t="str">
        <f>IFERROR(__xludf.DUMMYFUNCTION("""COMPUTED_VALUE"""),"WHITE JEWELLED HEART DECORATION")</f>
        <v>WHITE JEWELLED HEART DECORATION</v>
      </c>
      <c r="D1007" s="2">
        <f>IFERROR(__xludf.DUMMYFUNCTION("""COMPUTED_VALUE"""),240.0)</f>
        <v>240</v>
      </c>
      <c r="E1007" s="6">
        <f>IFERROR(__xludf.DUMMYFUNCTION("""COMPUTED_VALUE"""),40148.520833333336)</f>
        <v>40148.52083</v>
      </c>
      <c r="F1007" s="2">
        <f>IFERROR(__xludf.DUMMYFUNCTION("""COMPUTED_VALUE"""),0.64)</f>
        <v>0.64</v>
      </c>
      <c r="G1007" s="2">
        <f>IFERROR(__xludf.DUMMYFUNCTION("""COMPUTED_VALUE"""),13599.0)</f>
        <v>13599</v>
      </c>
      <c r="H1007" s="2" t="str">
        <f>IFERROR(__xludf.DUMMYFUNCTION("""COMPUTED_VALUE"""),"United Kingdom")</f>
        <v>United Kingdom</v>
      </c>
      <c r="I1007" s="7">
        <f>IFERROR(__xludf.DUMMYFUNCTION("""COMPUTED_VALUE"""),40148.0)</f>
        <v>40148</v>
      </c>
      <c r="J1007" s="8">
        <f>IFERROR(__xludf.DUMMYFUNCTION("""COMPUTED_VALUE"""),0.5208333333321207)</f>
        <v>0.5208333333</v>
      </c>
      <c r="K1007" s="2">
        <f>IFERROR(__xludf.DUMMYFUNCTION("""COMPUTED_VALUE"""),12.0)</f>
        <v>12</v>
      </c>
      <c r="L1007" s="2">
        <f>IFERROR(__xludf.DUMMYFUNCTION("""COMPUTED_VALUE"""),153.6)</f>
        <v>153.6</v>
      </c>
    </row>
    <row r="1008">
      <c r="A1008" s="2">
        <f>IFERROR(__xludf.DUMMYFUNCTION("""COMPUTED_VALUE"""),489546.0)</f>
        <v>489546</v>
      </c>
      <c r="B1008" s="2" t="str">
        <f>IFERROR(__xludf.DUMMYFUNCTION("""COMPUTED_VALUE"""),"48188")</f>
        <v>48188</v>
      </c>
      <c r="C1008" s="2" t="str">
        <f>IFERROR(__xludf.DUMMYFUNCTION("""COMPUTED_VALUE"""),"DOOR MAT WELCOME PUPPIES")</f>
        <v>DOOR MAT WELCOME PUPPIES</v>
      </c>
      <c r="D1008" s="2">
        <f>IFERROR(__xludf.DUMMYFUNCTION("""COMPUTED_VALUE"""),2.0)</f>
        <v>2</v>
      </c>
      <c r="E1008" s="6">
        <f>IFERROR(__xludf.DUMMYFUNCTION("""COMPUTED_VALUE"""),40148.520833333336)</f>
        <v>40148.52083</v>
      </c>
      <c r="F1008" s="2">
        <f>IFERROR(__xludf.DUMMYFUNCTION("""COMPUTED_VALUE"""),6.75)</f>
        <v>6.75</v>
      </c>
      <c r="G1008" s="2">
        <f>IFERROR(__xludf.DUMMYFUNCTION("""COMPUTED_VALUE"""),14156.0)</f>
        <v>14156</v>
      </c>
      <c r="H1008" s="2" t="str">
        <f>IFERROR(__xludf.DUMMYFUNCTION("""COMPUTED_VALUE"""),"EIRE")</f>
        <v>EIRE</v>
      </c>
      <c r="I1008" s="7">
        <f>IFERROR(__xludf.DUMMYFUNCTION("""COMPUTED_VALUE"""),40148.0)</f>
        <v>40148</v>
      </c>
      <c r="J1008" s="8">
        <f>IFERROR(__xludf.DUMMYFUNCTION("""COMPUTED_VALUE"""),0.5208333333321207)</f>
        <v>0.5208333333</v>
      </c>
      <c r="K1008" s="2">
        <f>IFERROR(__xludf.DUMMYFUNCTION("""COMPUTED_VALUE"""),12.0)</f>
        <v>12</v>
      </c>
      <c r="L1008" s="2">
        <f>IFERROR(__xludf.DUMMYFUNCTION("""COMPUTED_VALUE"""),13.5)</f>
        <v>13.5</v>
      </c>
    </row>
    <row r="1009">
      <c r="A1009" s="2">
        <f>IFERROR(__xludf.DUMMYFUNCTION("""COMPUTED_VALUE"""),489546.0)</f>
        <v>489546</v>
      </c>
      <c r="B1009" s="2" t="str">
        <f>IFERROR(__xludf.DUMMYFUNCTION("""COMPUTED_VALUE"""),"48194")</f>
        <v>48194</v>
      </c>
      <c r="C1009" s="2" t="str">
        <f>IFERROR(__xludf.DUMMYFUNCTION("""COMPUTED_VALUE"""),"DOORMAT HEARTS")</f>
        <v>DOORMAT HEARTS</v>
      </c>
      <c r="D1009" s="2">
        <f>IFERROR(__xludf.DUMMYFUNCTION("""COMPUTED_VALUE"""),2.0)</f>
        <v>2</v>
      </c>
      <c r="E1009" s="6">
        <f>IFERROR(__xludf.DUMMYFUNCTION("""COMPUTED_VALUE"""),40148.520833333336)</f>
        <v>40148.52083</v>
      </c>
      <c r="F1009" s="2">
        <f>IFERROR(__xludf.DUMMYFUNCTION("""COMPUTED_VALUE"""),6.75)</f>
        <v>6.75</v>
      </c>
      <c r="G1009" s="2">
        <f>IFERROR(__xludf.DUMMYFUNCTION("""COMPUTED_VALUE"""),14156.0)</f>
        <v>14156</v>
      </c>
      <c r="H1009" s="2" t="str">
        <f>IFERROR(__xludf.DUMMYFUNCTION("""COMPUTED_VALUE"""),"EIRE")</f>
        <v>EIRE</v>
      </c>
      <c r="I1009" s="7">
        <f>IFERROR(__xludf.DUMMYFUNCTION("""COMPUTED_VALUE"""),40148.0)</f>
        <v>40148</v>
      </c>
      <c r="J1009" s="8">
        <f>IFERROR(__xludf.DUMMYFUNCTION("""COMPUTED_VALUE"""),0.5208333333321207)</f>
        <v>0.5208333333</v>
      </c>
      <c r="K1009" s="2">
        <f>IFERROR(__xludf.DUMMYFUNCTION("""COMPUTED_VALUE"""),12.0)</f>
        <v>12</v>
      </c>
      <c r="L1009" s="2">
        <f>IFERROR(__xludf.DUMMYFUNCTION("""COMPUTED_VALUE"""),13.5)</f>
        <v>13.5</v>
      </c>
    </row>
    <row r="1010">
      <c r="A1010" s="2">
        <f>IFERROR(__xludf.DUMMYFUNCTION("""COMPUTED_VALUE"""),489546.0)</f>
        <v>489546</v>
      </c>
      <c r="B1010" s="2" t="str">
        <f>IFERROR(__xludf.DUMMYFUNCTION("""COMPUTED_VALUE"""),"48129")</f>
        <v>48129</v>
      </c>
      <c r="C1010" s="2" t="str">
        <f>IFERROR(__xludf.DUMMYFUNCTION("""COMPUTED_VALUE"""),"DOOR MAT TOPIARY")</f>
        <v>DOOR MAT TOPIARY</v>
      </c>
      <c r="D1010" s="2">
        <f>IFERROR(__xludf.DUMMYFUNCTION("""COMPUTED_VALUE"""),2.0)</f>
        <v>2</v>
      </c>
      <c r="E1010" s="6">
        <f>IFERROR(__xludf.DUMMYFUNCTION("""COMPUTED_VALUE"""),40148.520833333336)</f>
        <v>40148.52083</v>
      </c>
      <c r="F1010" s="2">
        <f>IFERROR(__xludf.DUMMYFUNCTION("""COMPUTED_VALUE"""),6.75)</f>
        <v>6.75</v>
      </c>
      <c r="G1010" s="2">
        <f>IFERROR(__xludf.DUMMYFUNCTION("""COMPUTED_VALUE"""),14156.0)</f>
        <v>14156</v>
      </c>
      <c r="H1010" s="2" t="str">
        <f>IFERROR(__xludf.DUMMYFUNCTION("""COMPUTED_VALUE"""),"EIRE")</f>
        <v>EIRE</v>
      </c>
      <c r="I1010" s="7">
        <f>IFERROR(__xludf.DUMMYFUNCTION("""COMPUTED_VALUE"""),40148.0)</f>
        <v>40148</v>
      </c>
      <c r="J1010" s="8">
        <f>IFERROR(__xludf.DUMMYFUNCTION("""COMPUTED_VALUE"""),0.5208333333321207)</f>
        <v>0.5208333333</v>
      </c>
      <c r="K1010" s="2">
        <f>IFERROR(__xludf.DUMMYFUNCTION("""COMPUTED_VALUE"""),12.0)</f>
        <v>12</v>
      </c>
      <c r="L1010" s="2">
        <f>IFERROR(__xludf.DUMMYFUNCTION("""COMPUTED_VALUE"""),13.5)</f>
        <v>13.5</v>
      </c>
    </row>
    <row r="1011">
      <c r="A1011" s="2">
        <f>IFERROR(__xludf.DUMMYFUNCTION("""COMPUTED_VALUE"""),489546.0)</f>
        <v>489546</v>
      </c>
      <c r="B1011" s="2" t="str">
        <f>IFERROR(__xludf.DUMMYFUNCTION("""COMPUTED_VALUE"""),"84997D")</f>
        <v>84997D</v>
      </c>
      <c r="C1011" s="2" t="str">
        <f>IFERROR(__xludf.DUMMYFUNCTION("""COMPUTED_VALUE"""),"PINK 3 PIECE MINI DOTS CUTLERY SET")</f>
        <v>PINK 3 PIECE MINI DOTS CUTLERY SET</v>
      </c>
      <c r="D1011" s="2">
        <f>IFERROR(__xludf.DUMMYFUNCTION("""COMPUTED_VALUE"""),6.0)</f>
        <v>6</v>
      </c>
      <c r="E1011" s="6">
        <f>IFERROR(__xludf.DUMMYFUNCTION("""COMPUTED_VALUE"""),40148.520833333336)</f>
        <v>40148.52083</v>
      </c>
      <c r="F1011" s="2">
        <f>IFERROR(__xludf.DUMMYFUNCTION("""COMPUTED_VALUE"""),3.75)</f>
        <v>3.75</v>
      </c>
      <c r="G1011" s="2">
        <f>IFERROR(__xludf.DUMMYFUNCTION("""COMPUTED_VALUE"""),14156.0)</f>
        <v>14156</v>
      </c>
      <c r="H1011" s="2" t="str">
        <f>IFERROR(__xludf.DUMMYFUNCTION("""COMPUTED_VALUE"""),"EIRE")</f>
        <v>EIRE</v>
      </c>
      <c r="I1011" s="7">
        <f>IFERROR(__xludf.DUMMYFUNCTION("""COMPUTED_VALUE"""),40148.0)</f>
        <v>40148</v>
      </c>
      <c r="J1011" s="8">
        <f>IFERROR(__xludf.DUMMYFUNCTION("""COMPUTED_VALUE"""),0.5208333333321207)</f>
        <v>0.5208333333</v>
      </c>
      <c r="K1011" s="2">
        <f>IFERROR(__xludf.DUMMYFUNCTION("""COMPUTED_VALUE"""),12.0)</f>
        <v>12</v>
      </c>
      <c r="L1011" s="2">
        <f>IFERROR(__xludf.DUMMYFUNCTION("""COMPUTED_VALUE"""),22.5)</f>
        <v>22.5</v>
      </c>
    </row>
    <row r="1012">
      <c r="A1012" s="2">
        <f>IFERROR(__xludf.DUMMYFUNCTION("""COMPUTED_VALUE"""),489546.0)</f>
        <v>489546</v>
      </c>
      <c r="B1012" s="2" t="str">
        <f>IFERROR(__xludf.DUMMYFUNCTION("""COMPUTED_VALUE"""),"21781")</f>
        <v>21781</v>
      </c>
      <c r="C1012" s="2" t="str">
        <f>IFERROR(__xludf.DUMMYFUNCTION("""COMPUTED_VALUE"""),"MA CAMPAGNE CUTLERY BOX")</f>
        <v>MA CAMPAGNE CUTLERY BOX</v>
      </c>
      <c r="D1012" s="2">
        <f>IFERROR(__xludf.DUMMYFUNCTION("""COMPUTED_VALUE"""),1.0)</f>
        <v>1</v>
      </c>
      <c r="E1012" s="6">
        <f>IFERROR(__xludf.DUMMYFUNCTION("""COMPUTED_VALUE"""),40148.520833333336)</f>
        <v>40148.52083</v>
      </c>
      <c r="F1012" s="2">
        <f>IFERROR(__xludf.DUMMYFUNCTION("""COMPUTED_VALUE"""),14.95)</f>
        <v>14.95</v>
      </c>
      <c r="G1012" s="2">
        <f>IFERROR(__xludf.DUMMYFUNCTION("""COMPUTED_VALUE"""),14156.0)</f>
        <v>14156</v>
      </c>
      <c r="H1012" s="2" t="str">
        <f>IFERROR(__xludf.DUMMYFUNCTION("""COMPUTED_VALUE"""),"EIRE")</f>
        <v>EIRE</v>
      </c>
      <c r="I1012" s="7">
        <f>IFERROR(__xludf.DUMMYFUNCTION("""COMPUTED_VALUE"""),40148.0)</f>
        <v>40148</v>
      </c>
      <c r="J1012" s="8">
        <f>IFERROR(__xludf.DUMMYFUNCTION("""COMPUTED_VALUE"""),0.5208333333321207)</f>
        <v>0.5208333333</v>
      </c>
      <c r="K1012" s="2">
        <f>IFERROR(__xludf.DUMMYFUNCTION("""COMPUTED_VALUE"""),12.0)</f>
        <v>12</v>
      </c>
      <c r="L1012" s="2">
        <f>IFERROR(__xludf.DUMMYFUNCTION("""COMPUTED_VALUE"""),14.95)</f>
        <v>14.95</v>
      </c>
    </row>
    <row r="1013">
      <c r="A1013" s="2">
        <f>IFERROR(__xludf.DUMMYFUNCTION("""COMPUTED_VALUE"""),489546.0)</f>
        <v>489546</v>
      </c>
      <c r="B1013" s="2" t="str">
        <f>IFERROR(__xludf.DUMMYFUNCTION("""COMPUTED_VALUE"""),"22111")</f>
        <v>22111</v>
      </c>
      <c r="C1013" s="2" t="str">
        <f>IFERROR(__xludf.DUMMYFUNCTION("""COMPUTED_VALUE"""),"SCOTTIE DOG HOT WATER BOTTLE")</f>
        <v>SCOTTIE DOG HOT WATER BOTTLE</v>
      </c>
      <c r="D1013" s="2">
        <f>IFERROR(__xludf.DUMMYFUNCTION("""COMPUTED_VALUE"""),3.0)</f>
        <v>3</v>
      </c>
      <c r="E1013" s="6">
        <f>IFERROR(__xludf.DUMMYFUNCTION("""COMPUTED_VALUE"""),40148.520833333336)</f>
        <v>40148.52083</v>
      </c>
      <c r="F1013" s="2">
        <f>IFERROR(__xludf.DUMMYFUNCTION("""COMPUTED_VALUE"""),4.95)</f>
        <v>4.95</v>
      </c>
      <c r="G1013" s="2">
        <f>IFERROR(__xludf.DUMMYFUNCTION("""COMPUTED_VALUE"""),14156.0)</f>
        <v>14156</v>
      </c>
      <c r="H1013" s="2" t="str">
        <f>IFERROR(__xludf.DUMMYFUNCTION("""COMPUTED_VALUE"""),"EIRE")</f>
        <v>EIRE</v>
      </c>
      <c r="I1013" s="7">
        <f>IFERROR(__xludf.DUMMYFUNCTION("""COMPUTED_VALUE"""),40148.0)</f>
        <v>40148</v>
      </c>
      <c r="J1013" s="8">
        <f>IFERROR(__xludf.DUMMYFUNCTION("""COMPUTED_VALUE"""),0.5208333333321207)</f>
        <v>0.5208333333</v>
      </c>
      <c r="K1013" s="2">
        <f>IFERROR(__xludf.DUMMYFUNCTION("""COMPUTED_VALUE"""),12.0)</f>
        <v>12</v>
      </c>
      <c r="L1013" s="2">
        <f>IFERROR(__xludf.DUMMYFUNCTION("""COMPUTED_VALUE"""),14.85)</f>
        <v>14.85</v>
      </c>
    </row>
    <row r="1014">
      <c r="A1014" s="2">
        <f>IFERROR(__xludf.DUMMYFUNCTION("""COMPUTED_VALUE"""),489546.0)</f>
        <v>489546</v>
      </c>
      <c r="B1014" s="2" t="str">
        <f>IFERROR(__xludf.DUMMYFUNCTION("""COMPUTED_VALUE"""),"21485")</f>
        <v>21485</v>
      </c>
      <c r="C1014" s="2" t="str">
        <f>IFERROR(__xludf.DUMMYFUNCTION("""COMPUTED_VALUE"""),"RED SPOT HEART HOT WATER BOTTLE")</f>
        <v>RED SPOT HEART HOT WATER BOTTLE</v>
      </c>
      <c r="D1014" s="2">
        <f>IFERROR(__xludf.DUMMYFUNCTION("""COMPUTED_VALUE"""),3.0)</f>
        <v>3</v>
      </c>
      <c r="E1014" s="6">
        <f>IFERROR(__xludf.DUMMYFUNCTION("""COMPUTED_VALUE"""),40148.520833333336)</f>
        <v>40148.52083</v>
      </c>
      <c r="F1014" s="2">
        <f>IFERROR(__xludf.DUMMYFUNCTION("""COMPUTED_VALUE"""),4.95)</f>
        <v>4.95</v>
      </c>
      <c r="G1014" s="2">
        <f>IFERROR(__xludf.DUMMYFUNCTION("""COMPUTED_VALUE"""),14156.0)</f>
        <v>14156</v>
      </c>
      <c r="H1014" s="2" t="str">
        <f>IFERROR(__xludf.DUMMYFUNCTION("""COMPUTED_VALUE"""),"EIRE")</f>
        <v>EIRE</v>
      </c>
      <c r="I1014" s="7">
        <f>IFERROR(__xludf.DUMMYFUNCTION("""COMPUTED_VALUE"""),40148.0)</f>
        <v>40148</v>
      </c>
      <c r="J1014" s="8">
        <f>IFERROR(__xludf.DUMMYFUNCTION("""COMPUTED_VALUE"""),0.5208333333321207)</f>
        <v>0.5208333333</v>
      </c>
      <c r="K1014" s="2">
        <f>IFERROR(__xludf.DUMMYFUNCTION("""COMPUTED_VALUE"""),12.0)</f>
        <v>12</v>
      </c>
      <c r="L1014" s="2">
        <f>IFERROR(__xludf.DUMMYFUNCTION("""COMPUTED_VALUE"""),14.85)</f>
        <v>14.85</v>
      </c>
    </row>
    <row r="1015">
      <c r="A1015" s="2">
        <f>IFERROR(__xludf.DUMMYFUNCTION("""COMPUTED_VALUE"""),489546.0)</f>
        <v>489546</v>
      </c>
      <c r="B1015" s="2" t="str">
        <f>IFERROR(__xludf.DUMMYFUNCTION("""COMPUTED_VALUE"""),"21484")</f>
        <v>21484</v>
      </c>
      <c r="C1015" s="2" t="str">
        <f>IFERROR(__xludf.DUMMYFUNCTION("""COMPUTED_VALUE"""),"CHICK GREY HOT WATER BOTTLE")</f>
        <v>CHICK GREY HOT WATER BOTTLE</v>
      </c>
      <c r="D1015" s="2">
        <f>IFERROR(__xludf.DUMMYFUNCTION("""COMPUTED_VALUE"""),4.0)</f>
        <v>4</v>
      </c>
      <c r="E1015" s="6">
        <f>IFERROR(__xludf.DUMMYFUNCTION("""COMPUTED_VALUE"""),40148.520833333336)</f>
        <v>40148.52083</v>
      </c>
      <c r="F1015" s="2">
        <f>IFERROR(__xludf.DUMMYFUNCTION("""COMPUTED_VALUE"""),3.45)</f>
        <v>3.45</v>
      </c>
      <c r="G1015" s="2">
        <f>IFERROR(__xludf.DUMMYFUNCTION("""COMPUTED_VALUE"""),14156.0)</f>
        <v>14156</v>
      </c>
      <c r="H1015" s="2" t="str">
        <f>IFERROR(__xludf.DUMMYFUNCTION("""COMPUTED_VALUE"""),"EIRE")</f>
        <v>EIRE</v>
      </c>
      <c r="I1015" s="7">
        <f>IFERROR(__xludf.DUMMYFUNCTION("""COMPUTED_VALUE"""),40148.0)</f>
        <v>40148</v>
      </c>
      <c r="J1015" s="8">
        <f>IFERROR(__xludf.DUMMYFUNCTION("""COMPUTED_VALUE"""),0.5208333333321207)</f>
        <v>0.5208333333</v>
      </c>
      <c r="K1015" s="2">
        <f>IFERROR(__xludf.DUMMYFUNCTION("""COMPUTED_VALUE"""),12.0)</f>
        <v>12</v>
      </c>
      <c r="L1015" s="2">
        <f>IFERROR(__xludf.DUMMYFUNCTION("""COMPUTED_VALUE"""),13.8)</f>
        <v>13.8</v>
      </c>
    </row>
    <row r="1016">
      <c r="A1016" s="2">
        <f>IFERROR(__xludf.DUMMYFUNCTION("""COMPUTED_VALUE"""),489546.0)</f>
        <v>489546</v>
      </c>
      <c r="B1016" s="2" t="str">
        <f>IFERROR(__xludf.DUMMYFUNCTION("""COMPUTED_VALUE"""),"20692")</f>
        <v>20692</v>
      </c>
      <c r="C1016" s="2" t="str">
        <f>IFERROR(__xludf.DUMMYFUNCTION("""COMPUTED_VALUE"""),"FLORAL ELEPHANT SOFT TOY")</f>
        <v>FLORAL ELEPHANT SOFT TOY</v>
      </c>
      <c r="D1016" s="2">
        <f>IFERROR(__xludf.DUMMYFUNCTION("""COMPUTED_VALUE"""),9.0)</f>
        <v>9</v>
      </c>
      <c r="E1016" s="6">
        <f>IFERROR(__xludf.DUMMYFUNCTION("""COMPUTED_VALUE"""),40148.520833333336)</f>
        <v>40148.52083</v>
      </c>
      <c r="F1016" s="2">
        <f>IFERROR(__xludf.DUMMYFUNCTION("""COMPUTED_VALUE"""),4.25)</f>
        <v>4.25</v>
      </c>
      <c r="G1016" s="2">
        <f>IFERROR(__xludf.DUMMYFUNCTION("""COMPUTED_VALUE"""),14156.0)</f>
        <v>14156</v>
      </c>
      <c r="H1016" s="2" t="str">
        <f>IFERROR(__xludf.DUMMYFUNCTION("""COMPUTED_VALUE"""),"EIRE")</f>
        <v>EIRE</v>
      </c>
      <c r="I1016" s="7">
        <f>IFERROR(__xludf.DUMMYFUNCTION("""COMPUTED_VALUE"""),40148.0)</f>
        <v>40148</v>
      </c>
      <c r="J1016" s="8">
        <f>IFERROR(__xludf.DUMMYFUNCTION("""COMPUTED_VALUE"""),0.5208333333321207)</f>
        <v>0.5208333333</v>
      </c>
      <c r="K1016" s="2">
        <f>IFERROR(__xludf.DUMMYFUNCTION("""COMPUTED_VALUE"""),12.0)</f>
        <v>12</v>
      </c>
      <c r="L1016" s="2">
        <f>IFERROR(__xludf.DUMMYFUNCTION("""COMPUTED_VALUE"""),38.25)</f>
        <v>38.25</v>
      </c>
    </row>
    <row r="1017">
      <c r="A1017" s="2">
        <f>IFERROR(__xludf.DUMMYFUNCTION("""COMPUTED_VALUE"""),489546.0)</f>
        <v>489546</v>
      </c>
      <c r="B1017" s="2" t="str">
        <f>IFERROR(__xludf.DUMMYFUNCTION("""COMPUTED_VALUE"""),"20768")</f>
        <v>20768</v>
      </c>
      <c r="C1017" s="2" t="str">
        <f>IFERROR(__xludf.DUMMYFUNCTION("""COMPUTED_VALUE"""),"GREEN FERN JOURNAL")</f>
        <v>GREEN FERN JOURNAL</v>
      </c>
      <c r="D1017" s="2">
        <f>IFERROR(__xludf.DUMMYFUNCTION("""COMPUTED_VALUE"""),6.0)</f>
        <v>6</v>
      </c>
      <c r="E1017" s="6">
        <f>IFERROR(__xludf.DUMMYFUNCTION("""COMPUTED_VALUE"""),40148.520833333336)</f>
        <v>40148.52083</v>
      </c>
      <c r="F1017" s="2">
        <f>IFERROR(__xludf.DUMMYFUNCTION("""COMPUTED_VALUE"""),2.55)</f>
        <v>2.55</v>
      </c>
      <c r="G1017" s="2">
        <f>IFERROR(__xludf.DUMMYFUNCTION("""COMPUTED_VALUE"""),14156.0)</f>
        <v>14156</v>
      </c>
      <c r="H1017" s="2" t="str">
        <f>IFERROR(__xludf.DUMMYFUNCTION("""COMPUTED_VALUE"""),"EIRE")</f>
        <v>EIRE</v>
      </c>
      <c r="I1017" s="7">
        <f>IFERROR(__xludf.DUMMYFUNCTION("""COMPUTED_VALUE"""),40148.0)</f>
        <v>40148</v>
      </c>
      <c r="J1017" s="8">
        <f>IFERROR(__xludf.DUMMYFUNCTION("""COMPUTED_VALUE"""),0.5208333333321207)</f>
        <v>0.5208333333</v>
      </c>
      <c r="K1017" s="2">
        <f>IFERROR(__xludf.DUMMYFUNCTION("""COMPUTED_VALUE"""),12.0)</f>
        <v>12</v>
      </c>
      <c r="L1017" s="2">
        <f>IFERROR(__xludf.DUMMYFUNCTION("""COMPUTED_VALUE"""),15.2999999999999)</f>
        <v>15.3</v>
      </c>
    </row>
    <row r="1018">
      <c r="A1018" s="2">
        <f>IFERROR(__xludf.DUMMYFUNCTION("""COMPUTED_VALUE"""),489546.0)</f>
        <v>489546</v>
      </c>
      <c r="B1018" s="2" t="str">
        <f>IFERROR(__xludf.DUMMYFUNCTION("""COMPUTED_VALUE"""),"21082")</f>
        <v>21082</v>
      </c>
      <c r="C1018" s="2" t="str">
        <f>IFERROR(__xludf.DUMMYFUNCTION("""COMPUTED_VALUE"""),"SET/20 FRUIT SALAD PAPER NAPKINS")</f>
        <v>SET/20 FRUIT SALAD PAPER NAPKINS</v>
      </c>
      <c r="D1018" s="2">
        <f>IFERROR(__xludf.DUMMYFUNCTION("""COMPUTED_VALUE"""),12.0)</f>
        <v>12</v>
      </c>
      <c r="E1018" s="6">
        <f>IFERROR(__xludf.DUMMYFUNCTION("""COMPUTED_VALUE"""),40148.520833333336)</f>
        <v>40148.52083</v>
      </c>
      <c r="F1018" s="2">
        <f>IFERROR(__xludf.DUMMYFUNCTION("""COMPUTED_VALUE"""),0.85)</f>
        <v>0.85</v>
      </c>
      <c r="G1018" s="2">
        <f>IFERROR(__xludf.DUMMYFUNCTION("""COMPUTED_VALUE"""),14156.0)</f>
        <v>14156</v>
      </c>
      <c r="H1018" s="2" t="str">
        <f>IFERROR(__xludf.DUMMYFUNCTION("""COMPUTED_VALUE"""),"EIRE")</f>
        <v>EIRE</v>
      </c>
      <c r="I1018" s="7">
        <f>IFERROR(__xludf.DUMMYFUNCTION("""COMPUTED_VALUE"""),40148.0)</f>
        <v>40148</v>
      </c>
      <c r="J1018" s="8">
        <f>IFERROR(__xludf.DUMMYFUNCTION("""COMPUTED_VALUE"""),0.5208333333321207)</f>
        <v>0.5208333333</v>
      </c>
      <c r="K1018" s="2">
        <f>IFERROR(__xludf.DUMMYFUNCTION("""COMPUTED_VALUE"""),12.0)</f>
        <v>12</v>
      </c>
      <c r="L1018" s="2">
        <f>IFERROR(__xludf.DUMMYFUNCTION("""COMPUTED_VALUE"""),10.2)</f>
        <v>10.2</v>
      </c>
    </row>
    <row r="1019">
      <c r="A1019" s="2">
        <f>IFERROR(__xludf.DUMMYFUNCTION("""COMPUTED_VALUE"""),489546.0)</f>
        <v>489546</v>
      </c>
      <c r="B1019" s="2" t="str">
        <f>IFERROR(__xludf.DUMMYFUNCTION("""COMPUTED_VALUE"""),"47591D")</f>
        <v>47591D</v>
      </c>
      <c r="C1019" s="2" t="str">
        <f>IFERROR(__xludf.DUMMYFUNCTION("""COMPUTED_VALUE"""),"PINK FAIRY CAKE CHILD'S APRON")</f>
        <v>PINK FAIRY CAKE CHILD'S APRON</v>
      </c>
      <c r="D1019" s="2">
        <f>IFERROR(__xludf.DUMMYFUNCTION("""COMPUTED_VALUE"""),8.0)</f>
        <v>8</v>
      </c>
      <c r="E1019" s="6">
        <f>IFERROR(__xludf.DUMMYFUNCTION("""COMPUTED_VALUE"""),40148.520833333336)</f>
        <v>40148.52083</v>
      </c>
      <c r="F1019" s="2">
        <f>IFERROR(__xludf.DUMMYFUNCTION("""COMPUTED_VALUE"""),1.95)</f>
        <v>1.95</v>
      </c>
      <c r="G1019" s="2">
        <f>IFERROR(__xludf.DUMMYFUNCTION("""COMPUTED_VALUE"""),14156.0)</f>
        <v>14156</v>
      </c>
      <c r="H1019" s="2" t="str">
        <f>IFERROR(__xludf.DUMMYFUNCTION("""COMPUTED_VALUE"""),"EIRE")</f>
        <v>EIRE</v>
      </c>
      <c r="I1019" s="7">
        <f>IFERROR(__xludf.DUMMYFUNCTION("""COMPUTED_VALUE"""),40148.0)</f>
        <v>40148</v>
      </c>
      <c r="J1019" s="8">
        <f>IFERROR(__xludf.DUMMYFUNCTION("""COMPUTED_VALUE"""),0.5208333333321207)</f>
        <v>0.5208333333</v>
      </c>
      <c r="K1019" s="2">
        <f>IFERROR(__xludf.DUMMYFUNCTION("""COMPUTED_VALUE"""),12.0)</f>
        <v>12</v>
      </c>
      <c r="L1019" s="2">
        <f>IFERROR(__xludf.DUMMYFUNCTION("""COMPUTED_VALUE"""),15.6)</f>
        <v>15.6</v>
      </c>
    </row>
    <row r="1020">
      <c r="A1020" s="2">
        <f>IFERROR(__xludf.DUMMYFUNCTION("""COMPUTED_VALUE"""),489546.0)</f>
        <v>489546</v>
      </c>
      <c r="B1020" s="2" t="str">
        <f>IFERROR(__xludf.DUMMYFUNCTION("""COMPUTED_VALUE"""),"47591B")</f>
        <v>47591B</v>
      </c>
      <c r="C1020" s="2" t="str">
        <f>IFERROR(__xludf.DUMMYFUNCTION("""COMPUTED_VALUE"""),"SCOTTIES DES CHILD'S APRON")</f>
        <v>SCOTTIES DES CHILD'S APRON</v>
      </c>
      <c r="D1020" s="2">
        <f>IFERROR(__xludf.DUMMYFUNCTION("""COMPUTED_VALUE"""),8.0)</f>
        <v>8</v>
      </c>
      <c r="E1020" s="6">
        <f>IFERROR(__xludf.DUMMYFUNCTION("""COMPUTED_VALUE"""),40148.520833333336)</f>
        <v>40148.52083</v>
      </c>
      <c r="F1020" s="2">
        <f>IFERROR(__xludf.DUMMYFUNCTION("""COMPUTED_VALUE"""),1.65)</f>
        <v>1.65</v>
      </c>
      <c r="G1020" s="2">
        <f>IFERROR(__xludf.DUMMYFUNCTION("""COMPUTED_VALUE"""),14156.0)</f>
        <v>14156</v>
      </c>
      <c r="H1020" s="2" t="str">
        <f>IFERROR(__xludf.DUMMYFUNCTION("""COMPUTED_VALUE"""),"EIRE")</f>
        <v>EIRE</v>
      </c>
      <c r="I1020" s="7">
        <f>IFERROR(__xludf.DUMMYFUNCTION("""COMPUTED_VALUE"""),40148.0)</f>
        <v>40148</v>
      </c>
      <c r="J1020" s="8">
        <f>IFERROR(__xludf.DUMMYFUNCTION("""COMPUTED_VALUE"""),0.5208333333321207)</f>
        <v>0.5208333333</v>
      </c>
      <c r="K1020" s="2">
        <f>IFERROR(__xludf.DUMMYFUNCTION("""COMPUTED_VALUE"""),12.0)</f>
        <v>12</v>
      </c>
      <c r="L1020" s="2">
        <f>IFERROR(__xludf.DUMMYFUNCTION("""COMPUTED_VALUE"""),13.2)</f>
        <v>13.2</v>
      </c>
    </row>
    <row r="1021">
      <c r="A1021" s="2">
        <f>IFERROR(__xludf.DUMMYFUNCTION("""COMPUTED_VALUE"""),489546.0)</f>
        <v>489546</v>
      </c>
      <c r="B1021" s="2" t="str">
        <f>IFERROR(__xludf.DUMMYFUNCTION("""COMPUTED_VALUE"""),"21004")</f>
        <v>21004</v>
      </c>
      <c r="C1021" s="2" t="str">
        <f>IFERROR(__xludf.DUMMYFUNCTION("""COMPUTED_VALUE"""),"ROSE DU SUD CHILDS APRON")</f>
        <v>ROSE DU SUD CHILDS APRON</v>
      </c>
      <c r="D1021" s="2">
        <f>IFERROR(__xludf.DUMMYFUNCTION("""COMPUTED_VALUE"""),3.0)</f>
        <v>3</v>
      </c>
      <c r="E1021" s="6">
        <f>IFERROR(__xludf.DUMMYFUNCTION("""COMPUTED_VALUE"""),40148.520833333336)</f>
        <v>40148.52083</v>
      </c>
      <c r="F1021" s="2">
        <f>IFERROR(__xludf.DUMMYFUNCTION("""COMPUTED_VALUE"""),4.25)</f>
        <v>4.25</v>
      </c>
      <c r="G1021" s="2">
        <f>IFERROR(__xludf.DUMMYFUNCTION("""COMPUTED_VALUE"""),14156.0)</f>
        <v>14156</v>
      </c>
      <c r="H1021" s="2" t="str">
        <f>IFERROR(__xludf.DUMMYFUNCTION("""COMPUTED_VALUE"""),"EIRE")</f>
        <v>EIRE</v>
      </c>
      <c r="I1021" s="7">
        <f>IFERROR(__xludf.DUMMYFUNCTION("""COMPUTED_VALUE"""),40148.0)</f>
        <v>40148</v>
      </c>
      <c r="J1021" s="8">
        <f>IFERROR(__xludf.DUMMYFUNCTION("""COMPUTED_VALUE"""),0.5208333333321207)</f>
        <v>0.5208333333</v>
      </c>
      <c r="K1021" s="2">
        <f>IFERROR(__xludf.DUMMYFUNCTION("""COMPUTED_VALUE"""),12.0)</f>
        <v>12</v>
      </c>
      <c r="L1021" s="2">
        <f>IFERROR(__xludf.DUMMYFUNCTION("""COMPUTED_VALUE"""),12.75)</f>
        <v>12.75</v>
      </c>
    </row>
    <row r="1022">
      <c r="A1022" s="2">
        <f>IFERROR(__xludf.DUMMYFUNCTION("""COMPUTED_VALUE"""),489546.0)</f>
        <v>489546</v>
      </c>
      <c r="B1022" s="2" t="str">
        <f>IFERROR(__xludf.DUMMYFUNCTION("""COMPUTED_VALUE"""),"21212")</f>
        <v>21212</v>
      </c>
      <c r="C1022" s="2" t="str">
        <f>IFERROR(__xludf.DUMMYFUNCTION("""COMPUTED_VALUE"""),"PACK OF 72 RETRO SPOT CAKE CASES")</f>
        <v>PACK OF 72 RETRO SPOT CAKE CASES</v>
      </c>
      <c r="D1022" s="2">
        <f>IFERROR(__xludf.DUMMYFUNCTION("""COMPUTED_VALUE"""),24.0)</f>
        <v>24</v>
      </c>
      <c r="E1022" s="6">
        <f>IFERROR(__xludf.DUMMYFUNCTION("""COMPUTED_VALUE"""),40148.520833333336)</f>
        <v>40148.52083</v>
      </c>
      <c r="F1022" s="2">
        <f>IFERROR(__xludf.DUMMYFUNCTION("""COMPUTED_VALUE"""),0.55)</f>
        <v>0.55</v>
      </c>
      <c r="G1022" s="2">
        <f>IFERROR(__xludf.DUMMYFUNCTION("""COMPUTED_VALUE"""),14156.0)</f>
        <v>14156</v>
      </c>
      <c r="H1022" s="2" t="str">
        <f>IFERROR(__xludf.DUMMYFUNCTION("""COMPUTED_VALUE"""),"EIRE")</f>
        <v>EIRE</v>
      </c>
      <c r="I1022" s="7">
        <f>IFERROR(__xludf.DUMMYFUNCTION("""COMPUTED_VALUE"""),40148.0)</f>
        <v>40148</v>
      </c>
      <c r="J1022" s="8">
        <f>IFERROR(__xludf.DUMMYFUNCTION("""COMPUTED_VALUE"""),0.5208333333321207)</f>
        <v>0.5208333333</v>
      </c>
      <c r="K1022" s="2">
        <f>IFERROR(__xludf.DUMMYFUNCTION("""COMPUTED_VALUE"""),12.0)</f>
        <v>12</v>
      </c>
      <c r="L1022" s="2">
        <f>IFERROR(__xludf.DUMMYFUNCTION("""COMPUTED_VALUE"""),13.2)</f>
        <v>13.2</v>
      </c>
    </row>
    <row r="1023">
      <c r="A1023" s="2">
        <f>IFERROR(__xludf.DUMMYFUNCTION("""COMPUTED_VALUE"""),489546.0)</f>
        <v>489546</v>
      </c>
      <c r="B1023" s="2" t="str">
        <f>IFERROR(__xludf.DUMMYFUNCTION("""COMPUTED_VALUE"""),"20751")</f>
        <v>20751</v>
      </c>
      <c r="C1023" s="2" t="str">
        <f>IFERROR(__xludf.DUMMYFUNCTION("""COMPUTED_VALUE"""),"FUNKY WASHING UP GLOVES ASSORTED")</f>
        <v>FUNKY WASHING UP GLOVES ASSORTED</v>
      </c>
      <c r="D1023" s="2">
        <f>IFERROR(__xludf.DUMMYFUNCTION("""COMPUTED_VALUE"""),12.0)</f>
        <v>12</v>
      </c>
      <c r="E1023" s="6">
        <f>IFERROR(__xludf.DUMMYFUNCTION("""COMPUTED_VALUE"""),40148.520833333336)</f>
        <v>40148.52083</v>
      </c>
      <c r="F1023" s="2">
        <f>IFERROR(__xludf.DUMMYFUNCTION("""COMPUTED_VALUE"""),2.1)</f>
        <v>2.1</v>
      </c>
      <c r="G1023" s="2">
        <f>IFERROR(__xludf.DUMMYFUNCTION("""COMPUTED_VALUE"""),14156.0)</f>
        <v>14156</v>
      </c>
      <c r="H1023" s="2" t="str">
        <f>IFERROR(__xludf.DUMMYFUNCTION("""COMPUTED_VALUE"""),"EIRE")</f>
        <v>EIRE</v>
      </c>
      <c r="I1023" s="7">
        <f>IFERROR(__xludf.DUMMYFUNCTION("""COMPUTED_VALUE"""),40148.0)</f>
        <v>40148</v>
      </c>
      <c r="J1023" s="8">
        <f>IFERROR(__xludf.DUMMYFUNCTION("""COMPUTED_VALUE"""),0.5208333333321207)</f>
        <v>0.5208333333</v>
      </c>
      <c r="K1023" s="2">
        <f>IFERROR(__xludf.DUMMYFUNCTION("""COMPUTED_VALUE"""),12.0)</f>
        <v>12</v>
      </c>
      <c r="L1023" s="2">
        <f>IFERROR(__xludf.DUMMYFUNCTION("""COMPUTED_VALUE"""),25.2)</f>
        <v>25.2</v>
      </c>
    </row>
    <row r="1024">
      <c r="A1024" s="2">
        <f>IFERROR(__xludf.DUMMYFUNCTION("""COMPUTED_VALUE"""),489546.0)</f>
        <v>489546</v>
      </c>
      <c r="B1024" s="2" t="str">
        <f>IFERROR(__xludf.DUMMYFUNCTION("""COMPUTED_VALUE"""),"22195")</f>
        <v>22195</v>
      </c>
      <c r="C1024" s="2" t="str">
        <f>IFERROR(__xludf.DUMMYFUNCTION("""COMPUTED_VALUE"""),"LARGE HEART MEASURING SPOONS")</f>
        <v>LARGE HEART MEASURING SPOONS</v>
      </c>
      <c r="D1024" s="2">
        <f>IFERROR(__xludf.DUMMYFUNCTION("""COMPUTED_VALUE"""),12.0)</f>
        <v>12</v>
      </c>
      <c r="E1024" s="6">
        <f>IFERROR(__xludf.DUMMYFUNCTION("""COMPUTED_VALUE"""),40148.520833333336)</f>
        <v>40148.52083</v>
      </c>
      <c r="F1024" s="2">
        <f>IFERROR(__xludf.DUMMYFUNCTION("""COMPUTED_VALUE"""),1.65)</f>
        <v>1.65</v>
      </c>
      <c r="G1024" s="2">
        <f>IFERROR(__xludf.DUMMYFUNCTION("""COMPUTED_VALUE"""),14156.0)</f>
        <v>14156</v>
      </c>
      <c r="H1024" s="2" t="str">
        <f>IFERROR(__xludf.DUMMYFUNCTION("""COMPUTED_VALUE"""),"EIRE")</f>
        <v>EIRE</v>
      </c>
      <c r="I1024" s="7">
        <f>IFERROR(__xludf.DUMMYFUNCTION("""COMPUTED_VALUE"""),40148.0)</f>
        <v>40148</v>
      </c>
      <c r="J1024" s="8">
        <f>IFERROR(__xludf.DUMMYFUNCTION("""COMPUTED_VALUE"""),0.5208333333321207)</f>
        <v>0.5208333333</v>
      </c>
      <c r="K1024" s="2">
        <f>IFERROR(__xludf.DUMMYFUNCTION("""COMPUTED_VALUE"""),12.0)</f>
        <v>12</v>
      </c>
      <c r="L1024" s="2">
        <f>IFERROR(__xludf.DUMMYFUNCTION("""COMPUTED_VALUE"""),19.7999999999999)</f>
        <v>19.8</v>
      </c>
    </row>
    <row r="1025">
      <c r="A1025" s="2">
        <f>IFERROR(__xludf.DUMMYFUNCTION("""COMPUTED_VALUE"""),489546.0)</f>
        <v>489546</v>
      </c>
      <c r="B1025" s="2" t="str">
        <f>IFERROR(__xludf.DUMMYFUNCTION("""COMPUTED_VALUE"""),"22196")</f>
        <v>22196</v>
      </c>
      <c r="C1025" s="2" t="str">
        <f>IFERROR(__xludf.DUMMYFUNCTION("""COMPUTED_VALUE"""),"SMALL HEART MEASURING SPOONS")</f>
        <v>SMALL HEART MEASURING SPOONS</v>
      </c>
      <c r="D1025" s="2">
        <f>IFERROR(__xludf.DUMMYFUNCTION("""COMPUTED_VALUE"""),12.0)</f>
        <v>12</v>
      </c>
      <c r="E1025" s="6">
        <f>IFERROR(__xludf.DUMMYFUNCTION("""COMPUTED_VALUE"""),40148.520833333336)</f>
        <v>40148.52083</v>
      </c>
      <c r="F1025" s="2">
        <f>IFERROR(__xludf.DUMMYFUNCTION("""COMPUTED_VALUE"""),0.85)</f>
        <v>0.85</v>
      </c>
      <c r="G1025" s="2">
        <f>IFERROR(__xludf.DUMMYFUNCTION("""COMPUTED_VALUE"""),14156.0)</f>
        <v>14156</v>
      </c>
      <c r="H1025" s="2" t="str">
        <f>IFERROR(__xludf.DUMMYFUNCTION("""COMPUTED_VALUE"""),"EIRE")</f>
        <v>EIRE</v>
      </c>
      <c r="I1025" s="7">
        <f>IFERROR(__xludf.DUMMYFUNCTION("""COMPUTED_VALUE"""),40148.0)</f>
        <v>40148</v>
      </c>
      <c r="J1025" s="8">
        <f>IFERROR(__xludf.DUMMYFUNCTION("""COMPUTED_VALUE"""),0.5208333333321207)</f>
        <v>0.5208333333</v>
      </c>
      <c r="K1025" s="2">
        <f>IFERROR(__xludf.DUMMYFUNCTION("""COMPUTED_VALUE"""),12.0)</f>
        <v>12</v>
      </c>
      <c r="L1025" s="2">
        <f>IFERROR(__xludf.DUMMYFUNCTION("""COMPUTED_VALUE"""),10.2)</f>
        <v>10.2</v>
      </c>
    </row>
    <row r="1026">
      <c r="A1026" s="2">
        <f>IFERROR(__xludf.DUMMYFUNCTION("""COMPUTED_VALUE"""),489546.0)</f>
        <v>489546</v>
      </c>
      <c r="B1026" s="2" t="str">
        <f>IFERROR(__xludf.DUMMYFUNCTION("""COMPUTED_VALUE"""),"22199")</f>
        <v>22199</v>
      </c>
      <c r="C1026" s="2" t="str">
        <f>IFERROR(__xludf.DUMMYFUNCTION("""COMPUTED_VALUE"""),"FRYING PAN RED POLKADOT")</f>
        <v>FRYING PAN RED POLKADOT</v>
      </c>
      <c r="D1026" s="2">
        <f>IFERROR(__xludf.DUMMYFUNCTION("""COMPUTED_VALUE"""),4.0)</f>
        <v>4</v>
      </c>
      <c r="E1026" s="6">
        <f>IFERROR(__xludf.DUMMYFUNCTION("""COMPUTED_VALUE"""),40148.520833333336)</f>
        <v>40148.52083</v>
      </c>
      <c r="F1026" s="2">
        <f>IFERROR(__xludf.DUMMYFUNCTION("""COMPUTED_VALUE"""),4.25)</f>
        <v>4.25</v>
      </c>
      <c r="G1026" s="2">
        <f>IFERROR(__xludf.DUMMYFUNCTION("""COMPUTED_VALUE"""),14156.0)</f>
        <v>14156</v>
      </c>
      <c r="H1026" s="2" t="str">
        <f>IFERROR(__xludf.DUMMYFUNCTION("""COMPUTED_VALUE"""),"EIRE")</f>
        <v>EIRE</v>
      </c>
      <c r="I1026" s="7">
        <f>IFERROR(__xludf.DUMMYFUNCTION("""COMPUTED_VALUE"""),40148.0)</f>
        <v>40148</v>
      </c>
      <c r="J1026" s="8">
        <f>IFERROR(__xludf.DUMMYFUNCTION("""COMPUTED_VALUE"""),0.5208333333321207)</f>
        <v>0.5208333333</v>
      </c>
      <c r="K1026" s="2">
        <f>IFERROR(__xludf.DUMMYFUNCTION("""COMPUTED_VALUE"""),12.0)</f>
        <v>12</v>
      </c>
      <c r="L1026" s="2">
        <f>IFERROR(__xludf.DUMMYFUNCTION("""COMPUTED_VALUE"""),17.0)</f>
        <v>17</v>
      </c>
    </row>
    <row r="1027">
      <c r="A1027" s="2">
        <f>IFERROR(__xludf.DUMMYFUNCTION("""COMPUTED_VALUE"""),489548.0)</f>
        <v>489548</v>
      </c>
      <c r="B1027" s="2" t="str">
        <f>IFERROR(__xludf.DUMMYFUNCTION("""COMPUTED_VALUE"""),"22271")</f>
        <v>22271</v>
      </c>
      <c r="C1027" s="2" t="str">
        <f>IFERROR(__xludf.DUMMYFUNCTION("""COMPUTED_VALUE"""),"FELTCRAFT DOLL ROSIE")</f>
        <v>FELTCRAFT DOLL ROSIE</v>
      </c>
      <c r="D1027" s="2">
        <f>IFERROR(__xludf.DUMMYFUNCTION("""COMPUTED_VALUE"""),1.0)</f>
        <v>1</v>
      </c>
      <c r="E1027" s="6">
        <f>IFERROR(__xludf.DUMMYFUNCTION("""COMPUTED_VALUE"""),40148.52222222222)</f>
        <v>40148.52222</v>
      </c>
      <c r="F1027" s="2">
        <f>IFERROR(__xludf.DUMMYFUNCTION("""COMPUTED_VALUE"""),2.95)</f>
        <v>2.95</v>
      </c>
      <c r="G1027" s="2"/>
      <c r="H1027" s="2" t="str">
        <f>IFERROR(__xludf.DUMMYFUNCTION("""COMPUTED_VALUE"""),"United Kingdom")</f>
        <v>United Kingdom</v>
      </c>
      <c r="I1027" s="7">
        <f>IFERROR(__xludf.DUMMYFUNCTION("""COMPUTED_VALUE"""),40148.0)</f>
        <v>40148</v>
      </c>
      <c r="J1027" s="8">
        <f>IFERROR(__xludf.DUMMYFUNCTION("""COMPUTED_VALUE"""),0.5222222222218988)</f>
        <v>0.5222222222</v>
      </c>
      <c r="K1027" s="2">
        <f>IFERROR(__xludf.DUMMYFUNCTION("""COMPUTED_VALUE"""),12.0)</f>
        <v>12</v>
      </c>
      <c r="L1027" s="2">
        <f>IFERROR(__xludf.DUMMYFUNCTION("""COMPUTED_VALUE"""),2.95)</f>
        <v>2.95</v>
      </c>
    </row>
    <row r="1028">
      <c r="A1028" s="2">
        <f>IFERROR(__xludf.DUMMYFUNCTION("""COMPUTED_VALUE"""),489548.0)</f>
        <v>489548</v>
      </c>
      <c r="B1028" s="2" t="str">
        <f>IFERROR(__xludf.DUMMYFUNCTION("""COMPUTED_VALUE"""),"22254")</f>
        <v>22254</v>
      </c>
      <c r="C1028" s="2" t="str">
        <f>IFERROR(__xludf.DUMMYFUNCTION("""COMPUTED_VALUE"""),"FELT TOADSTOOL LARGE")</f>
        <v>FELT TOADSTOOL LARGE</v>
      </c>
      <c r="D1028" s="2">
        <f>IFERROR(__xludf.DUMMYFUNCTION("""COMPUTED_VALUE"""),12.0)</f>
        <v>12</v>
      </c>
      <c r="E1028" s="6">
        <f>IFERROR(__xludf.DUMMYFUNCTION("""COMPUTED_VALUE"""),40148.52222222222)</f>
        <v>40148.52222</v>
      </c>
      <c r="F1028" s="2">
        <f>IFERROR(__xludf.DUMMYFUNCTION("""COMPUTED_VALUE"""),1.25)</f>
        <v>1.25</v>
      </c>
      <c r="G1028" s="2"/>
      <c r="H1028" s="2" t="str">
        <f>IFERROR(__xludf.DUMMYFUNCTION("""COMPUTED_VALUE"""),"United Kingdom")</f>
        <v>United Kingdom</v>
      </c>
      <c r="I1028" s="7">
        <f>IFERROR(__xludf.DUMMYFUNCTION("""COMPUTED_VALUE"""),40148.0)</f>
        <v>40148</v>
      </c>
      <c r="J1028" s="8">
        <f>IFERROR(__xludf.DUMMYFUNCTION("""COMPUTED_VALUE"""),0.5222222222218988)</f>
        <v>0.5222222222</v>
      </c>
      <c r="K1028" s="2">
        <f>IFERROR(__xludf.DUMMYFUNCTION("""COMPUTED_VALUE"""),12.0)</f>
        <v>12</v>
      </c>
      <c r="L1028" s="2">
        <f>IFERROR(__xludf.DUMMYFUNCTION("""COMPUTED_VALUE"""),15.0)</f>
        <v>15</v>
      </c>
    </row>
    <row r="1029">
      <c r="A1029" s="2">
        <f>IFERROR(__xludf.DUMMYFUNCTION("""COMPUTED_VALUE"""),489548.0)</f>
        <v>489548</v>
      </c>
      <c r="B1029" s="2" t="str">
        <f>IFERROR(__xludf.DUMMYFUNCTION("""COMPUTED_VALUE"""),"22273")</f>
        <v>22273</v>
      </c>
      <c r="C1029" s="2" t="str">
        <f>IFERROR(__xludf.DUMMYFUNCTION("""COMPUTED_VALUE"""),"FELTCRAFT DOLL MOLLY")</f>
        <v>FELTCRAFT DOLL MOLLY</v>
      </c>
      <c r="D1029" s="2">
        <f>IFERROR(__xludf.DUMMYFUNCTION("""COMPUTED_VALUE"""),3.0)</f>
        <v>3</v>
      </c>
      <c r="E1029" s="6">
        <f>IFERROR(__xludf.DUMMYFUNCTION("""COMPUTED_VALUE"""),40148.52222222222)</f>
        <v>40148.52222</v>
      </c>
      <c r="F1029" s="2">
        <f>IFERROR(__xludf.DUMMYFUNCTION("""COMPUTED_VALUE"""),2.95)</f>
        <v>2.95</v>
      </c>
      <c r="G1029" s="2"/>
      <c r="H1029" s="2" t="str">
        <f>IFERROR(__xludf.DUMMYFUNCTION("""COMPUTED_VALUE"""),"United Kingdom")</f>
        <v>United Kingdom</v>
      </c>
      <c r="I1029" s="7">
        <f>IFERROR(__xludf.DUMMYFUNCTION("""COMPUTED_VALUE"""),40148.0)</f>
        <v>40148</v>
      </c>
      <c r="J1029" s="8">
        <f>IFERROR(__xludf.DUMMYFUNCTION("""COMPUTED_VALUE"""),0.5222222222218988)</f>
        <v>0.5222222222</v>
      </c>
      <c r="K1029" s="2">
        <f>IFERROR(__xludf.DUMMYFUNCTION("""COMPUTED_VALUE"""),12.0)</f>
        <v>12</v>
      </c>
      <c r="L1029" s="2">
        <f>IFERROR(__xludf.DUMMYFUNCTION("""COMPUTED_VALUE"""),8.85)</f>
        <v>8.85</v>
      </c>
    </row>
    <row r="1030">
      <c r="A1030" s="2">
        <f>IFERROR(__xludf.DUMMYFUNCTION("""COMPUTED_VALUE"""),489548.0)</f>
        <v>489548</v>
      </c>
      <c r="B1030" s="2" t="str">
        <f>IFERROR(__xludf.DUMMYFUNCTION("""COMPUTED_VALUE"""),"22195")</f>
        <v>22195</v>
      </c>
      <c r="C1030" s="2" t="str">
        <f>IFERROR(__xludf.DUMMYFUNCTION("""COMPUTED_VALUE"""),"LARGE HEART MEASURING SPOONS")</f>
        <v>LARGE HEART MEASURING SPOONS</v>
      </c>
      <c r="D1030" s="2">
        <f>IFERROR(__xludf.DUMMYFUNCTION("""COMPUTED_VALUE"""),1.0)</f>
        <v>1</v>
      </c>
      <c r="E1030" s="6">
        <f>IFERROR(__xludf.DUMMYFUNCTION("""COMPUTED_VALUE"""),40148.52222222222)</f>
        <v>40148.52222</v>
      </c>
      <c r="F1030" s="2">
        <f>IFERROR(__xludf.DUMMYFUNCTION("""COMPUTED_VALUE"""),1.65)</f>
        <v>1.65</v>
      </c>
      <c r="G1030" s="2"/>
      <c r="H1030" s="2" t="str">
        <f>IFERROR(__xludf.DUMMYFUNCTION("""COMPUTED_VALUE"""),"United Kingdom")</f>
        <v>United Kingdom</v>
      </c>
      <c r="I1030" s="7">
        <f>IFERROR(__xludf.DUMMYFUNCTION("""COMPUTED_VALUE"""),40148.0)</f>
        <v>40148</v>
      </c>
      <c r="J1030" s="8">
        <f>IFERROR(__xludf.DUMMYFUNCTION("""COMPUTED_VALUE"""),0.5222222222218988)</f>
        <v>0.5222222222</v>
      </c>
      <c r="K1030" s="2">
        <f>IFERROR(__xludf.DUMMYFUNCTION("""COMPUTED_VALUE"""),12.0)</f>
        <v>12</v>
      </c>
      <c r="L1030" s="2">
        <f>IFERROR(__xludf.DUMMYFUNCTION("""COMPUTED_VALUE"""),1.65)</f>
        <v>1.65</v>
      </c>
    </row>
    <row r="1031">
      <c r="A1031" s="2">
        <f>IFERROR(__xludf.DUMMYFUNCTION("""COMPUTED_VALUE"""),489548.0)</f>
        <v>489548</v>
      </c>
      <c r="B1031" s="2" t="str">
        <f>IFERROR(__xludf.DUMMYFUNCTION("""COMPUTED_VALUE"""),"22131")</f>
        <v>22131</v>
      </c>
      <c r="C1031" s="2" t="str">
        <f>IFERROR(__xludf.DUMMYFUNCTION("""COMPUTED_VALUE"""),"FOOD CONTAINER SET 3 LOVE HEART")</f>
        <v>FOOD CONTAINER SET 3 LOVE HEART</v>
      </c>
      <c r="D1031" s="2">
        <f>IFERROR(__xludf.DUMMYFUNCTION("""COMPUTED_VALUE"""),2.0)</f>
        <v>2</v>
      </c>
      <c r="E1031" s="6">
        <f>IFERROR(__xludf.DUMMYFUNCTION("""COMPUTED_VALUE"""),40148.52222222222)</f>
        <v>40148.52222</v>
      </c>
      <c r="F1031" s="2">
        <f>IFERROR(__xludf.DUMMYFUNCTION("""COMPUTED_VALUE"""),1.95)</f>
        <v>1.95</v>
      </c>
      <c r="G1031" s="2"/>
      <c r="H1031" s="2" t="str">
        <f>IFERROR(__xludf.DUMMYFUNCTION("""COMPUTED_VALUE"""),"United Kingdom")</f>
        <v>United Kingdom</v>
      </c>
      <c r="I1031" s="7">
        <f>IFERROR(__xludf.DUMMYFUNCTION("""COMPUTED_VALUE"""),40148.0)</f>
        <v>40148</v>
      </c>
      <c r="J1031" s="8">
        <f>IFERROR(__xludf.DUMMYFUNCTION("""COMPUTED_VALUE"""),0.5222222222218988)</f>
        <v>0.5222222222</v>
      </c>
      <c r="K1031" s="2">
        <f>IFERROR(__xludf.DUMMYFUNCTION("""COMPUTED_VALUE"""),12.0)</f>
        <v>12</v>
      </c>
      <c r="L1031" s="2">
        <f>IFERROR(__xludf.DUMMYFUNCTION("""COMPUTED_VALUE"""),3.9)</f>
        <v>3.9</v>
      </c>
    </row>
    <row r="1032">
      <c r="A1032" s="2">
        <f>IFERROR(__xludf.DUMMYFUNCTION("""COMPUTED_VALUE"""),489548.0)</f>
        <v>489548</v>
      </c>
      <c r="B1032" s="2" t="str">
        <f>IFERROR(__xludf.DUMMYFUNCTION("""COMPUTED_VALUE"""),"22079")</f>
        <v>22079</v>
      </c>
      <c r="C1032" s="2" t="str">
        <f>IFERROR(__xludf.DUMMYFUNCTION("""COMPUTED_VALUE"""),"RIBBON REEL HEARTS DESIGN")</f>
        <v>RIBBON REEL HEARTS DESIGN</v>
      </c>
      <c r="D1032" s="2">
        <f>IFERROR(__xludf.DUMMYFUNCTION("""COMPUTED_VALUE"""),10.0)</f>
        <v>10</v>
      </c>
      <c r="E1032" s="6">
        <f>IFERROR(__xludf.DUMMYFUNCTION("""COMPUTED_VALUE"""),40148.52222222222)</f>
        <v>40148.52222</v>
      </c>
      <c r="F1032" s="2">
        <f>IFERROR(__xludf.DUMMYFUNCTION("""COMPUTED_VALUE"""),1.65)</f>
        <v>1.65</v>
      </c>
      <c r="G1032" s="2"/>
      <c r="H1032" s="2" t="str">
        <f>IFERROR(__xludf.DUMMYFUNCTION("""COMPUTED_VALUE"""),"United Kingdom")</f>
        <v>United Kingdom</v>
      </c>
      <c r="I1032" s="7">
        <f>IFERROR(__xludf.DUMMYFUNCTION("""COMPUTED_VALUE"""),40148.0)</f>
        <v>40148</v>
      </c>
      <c r="J1032" s="8">
        <f>IFERROR(__xludf.DUMMYFUNCTION("""COMPUTED_VALUE"""),0.5222222222218988)</f>
        <v>0.5222222222</v>
      </c>
      <c r="K1032" s="2">
        <f>IFERROR(__xludf.DUMMYFUNCTION("""COMPUTED_VALUE"""),12.0)</f>
        <v>12</v>
      </c>
      <c r="L1032" s="2">
        <f>IFERROR(__xludf.DUMMYFUNCTION("""COMPUTED_VALUE"""),16.5)</f>
        <v>16.5</v>
      </c>
    </row>
    <row r="1033">
      <c r="A1033" s="2">
        <f>IFERROR(__xludf.DUMMYFUNCTION("""COMPUTED_VALUE"""),489548.0)</f>
        <v>489548</v>
      </c>
      <c r="B1033" s="2" t="str">
        <f>IFERROR(__xludf.DUMMYFUNCTION("""COMPUTED_VALUE"""),"22138")</f>
        <v>22138</v>
      </c>
      <c r="C1033" s="2" t="str">
        <f>IFERROR(__xludf.DUMMYFUNCTION("""COMPUTED_VALUE"""),"BAKING SET 9 PIECE RETROSPOT")</f>
        <v>BAKING SET 9 PIECE RETROSPOT</v>
      </c>
      <c r="D1033" s="2">
        <f>IFERROR(__xludf.DUMMYFUNCTION("""COMPUTED_VALUE"""),3.0)</f>
        <v>3</v>
      </c>
      <c r="E1033" s="6">
        <f>IFERROR(__xludf.DUMMYFUNCTION("""COMPUTED_VALUE"""),40148.52222222222)</f>
        <v>40148.52222</v>
      </c>
      <c r="F1033" s="2">
        <f>IFERROR(__xludf.DUMMYFUNCTION("""COMPUTED_VALUE"""),4.95)</f>
        <v>4.95</v>
      </c>
      <c r="G1033" s="2"/>
      <c r="H1033" s="2" t="str">
        <f>IFERROR(__xludf.DUMMYFUNCTION("""COMPUTED_VALUE"""),"United Kingdom")</f>
        <v>United Kingdom</v>
      </c>
      <c r="I1033" s="7">
        <f>IFERROR(__xludf.DUMMYFUNCTION("""COMPUTED_VALUE"""),40148.0)</f>
        <v>40148</v>
      </c>
      <c r="J1033" s="8">
        <f>IFERROR(__xludf.DUMMYFUNCTION("""COMPUTED_VALUE"""),0.5222222222218988)</f>
        <v>0.5222222222</v>
      </c>
      <c r="K1033" s="2">
        <f>IFERROR(__xludf.DUMMYFUNCTION("""COMPUTED_VALUE"""),12.0)</f>
        <v>12</v>
      </c>
      <c r="L1033" s="2">
        <f>IFERROR(__xludf.DUMMYFUNCTION("""COMPUTED_VALUE"""),14.85)</f>
        <v>14.85</v>
      </c>
    </row>
    <row r="1034">
      <c r="A1034" s="2">
        <f>IFERROR(__xludf.DUMMYFUNCTION("""COMPUTED_VALUE"""),489548.0)</f>
        <v>489548</v>
      </c>
      <c r="B1034" s="2" t="str">
        <f>IFERROR(__xludf.DUMMYFUNCTION("""COMPUTED_VALUE"""),"22147")</f>
        <v>22147</v>
      </c>
      <c r="C1034" s="2" t="str">
        <f>IFERROR(__xludf.DUMMYFUNCTION("""COMPUTED_VALUE"""),"FELTCRAFT BUTTERFLY HEARTS")</f>
        <v>FELTCRAFT BUTTERFLY HEARTS</v>
      </c>
      <c r="D1034" s="2">
        <f>IFERROR(__xludf.DUMMYFUNCTION("""COMPUTED_VALUE"""),2.0)</f>
        <v>2</v>
      </c>
      <c r="E1034" s="6">
        <f>IFERROR(__xludf.DUMMYFUNCTION("""COMPUTED_VALUE"""),40148.52222222222)</f>
        <v>40148.52222</v>
      </c>
      <c r="F1034" s="2">
        <f>IFERROR(__xludf.DUMMYFUNCTION("""COMPUTED_VALUE"""),1.45)</f>
        <v>1.45</v>
      </c>
      <c r="G1034" s="2"/>
      <c r="H1034" s="2" t="str">
        <f>IFERROR(__xludf.DUMMYFUNCTION("""COMPUTED_VALUE"""),"United Kingdom")</f>
        <v>United Kingdom</v>
      </c>
      <c r="I1034" s="7">
        <f>IFERROR(__xludf.DUMMYFUNCTION("""COMPUTED_VALUE"""),40148.0)</f>
        <v>40148</v>
      </c>
      <c r="J1034" s="8">
        <f>IFERROR(__xludf.DUMMYFUNCTION("""COMPUTED_VALUE"""),0.5222222222218988)</f>
        <v>0.5222222222</v>
      </c>
      <c r="K1034" s="2">
        <f>IFERROR(__xludf.DUMMYFUNCTION("""COMPUTED_VALUE"""),12.0)</f>
        <v>12</v>
      </c>
      <c r="L1034" s="2">
        <f>IFERROR(__xludf.DUMMYFUNCTION("""COMPUTED_VALUE"""),2.9)</f>
        <v>2.9</v>
      </c>
    </row>
    <row r="1035">
      <c r="A1035" s="2">
        <f>IFERROR(__xludf.DUMMYFUNCTION("""COMPUTED_VALUE"""),489548.0)</f>
        <v>489548</v>
      </c>
      <c r="B1035" s="2" t="str">
        <f>IFERROR(__xludf.DUMMYFUNCTION("""COMPUTED_VALUE"""),"22142")</f>
        <v>22142</v>
      </c>
      <c r="C1035" s="2" t="str">
        <f>IFERROR(__xludf.DUMMYFUNCTION("""COMPUTED_VALUE"""),"CHRISTMAS CRAFT WHITE FAIRY")</f>
        <v>CHRISTMAS CRAFT WHITE FAIRY</v>
      </c>
      <c r="D1035" s="2">
        <f>IFERROR(__xludf.DUMMYFUNCTION("""COMPUTED_VALUE"""),2.0)</f>
        <v>2</v>
      </c>
      <c r="E1035" s="6">
        <f>IFERROR(__xludf.DUMMYFUNCTION("""COMPUTED_VALUE"""),40148.52222222222)</f>
        <v>40148.52222</v>
      </c>
      <c r="F1035" s="2">
        <f>IFERROR(__xludf.DUMMYFUNCTION("""COMPUTED_VALUE"""),1.45)</f>
        <v>1.45</v>
      </c>
      <c r="G1035" s="2"/>
      <c r="H1035" s="2" t="str">
        <f>IFERROR(__xludf.DUMMYFUNCTION("""COMPUTED_VALUE"""),"United Kingdom")</f>
        <v>United Kingdom</v>
      </c>
      <c r="I1035" s="7">
        <f>IFERROR(__xludf.DUMMYFUNCTION("""COMPUTED_VALUE"""),40148.0)</f>
        <v>40148</v>
      </c>
      <c r="J1035" s="8">
        <f>IFERROR(__xludf.DUMMYFUNCTION("""COMPUTED_VALUE"""),0.5222222222218988)</f>
        <v>0.5222222222</v>
      </c>
      <c r="K1035" s="2">
        <f>IFERROR(__xludf.DUMMYFUNCTION("""COMPUTED_VALUE"""),12.0)</f>
        <v>12</v>
      </c>
      <c r="L1035" s="2">
        <f>IFERROR(__xludf.DUMMYFUNCTION("""COMPUTED_VALUE"""),2.9)</f>
        <v>2.9</v>
      </c>
    </row>
    <row r="1036">
      <c r="A1036" s="2">
        <f>IFERROR(__xludf.DUMMYFUNCTION("""COMPUTED_VALUE"""),489548.0)</f>
        <v>489548</v>
      </c>
      <c r="B1036" s="2" t="str">
        <f>IFERROR(__xludf.DUMMYFUNCTION("""COMPUTED_VALUE"""),"22150")</f>
        <v>22150</v>
      </c>
      <c r="C1036" s="2" t="str">
        <f>IFERROR(__xludf.DUMMYFUNCTION("""COMPUTED_VALUE"""),"3 STRIPEY MICE FELTCRAFT")</f>
        <v>3 STRIPEY MICE FELTCRAFT</v>
      </c>
      <c r="D1036" s="2">
        <f>IFERROR(__xludf.DUMMYFUNCTION("""COMPUTED_VALUE"""),2.0)</f>
        <v>2</v>
      </c>
      <c r="E1036" s="6">
        <f>IFERROR(__xludf.DUMMYFUNCTION("""COMPUTED_VALUE"""),40148.52222222222)</f>
        <v>40148.52222</v>
      </c>
      <c r="F1036" s="2">
        <f>IFERROR(__xludf.DUMMYFUNCTION("""COMPUTED_VALUE"""),1.95)</f>
        <v>1.95</v>
      </c>
      <c r="G1036" s="2"/>
      <c r="H1036" s="2" t="str">
        <f>IFERROR(__xludf.DUMMYFUNCTION("""COMPUTED_VALUE"""),"United Kingdom")</f>
        <v>United Kingdom</v>
      </c>
      <c r="I1036" s="7">
        <f>IFERROR(__xludf.DUMMYFUNCTION("""COMPUTED_VALUE"""),40148.0)</f>
        <v>40148</v>
      </c>
      <c r="J1036" s="8">
        <f>IFERROR(__xludf.DUMMYFUNCTION("""COMPUTED_VALUE"""),0.5222222222218988)</f>
        <v>0.5222222222</v>
      </c>
      <c r="K1036" s="2">
        <f>IFERROR(__xludf.DUMMYFUNCTION("""COMPUTED_VALUE"""),12.0)</f>
        <v>12</v>
      </c>
      <c r="L1036" s="2">
        <f>IFERROR(__xludf.DUMMYFUNCTION("""COMPUTED_VALUE"""),3.9)</f>
        <v>3.9</v>
      </c>
    </row>
    <row r="1037">
      <c r="A1037" s="2">
        <f>IFERROR(__xludf.DUMMYFUNCTION("""COMPUTED_VALUE"""),489548.0)</f>
        <v>489548</v>
      </c>
      <c r="B1037" s="2" t="str">
        <f>IFERROR(__xludf.DUMMYFUNCTION("""COMPUTED_VALUE"""),"20804")</f>
        <v>20804</v>
      </c>
      <c r="C1037" s="2" t="str">
        <f>IFERROR(__xludf.DUMMYFUNCTION("""COMPUTED_VALUE"""),"GLASS CHICKEN BUTTER DISH")</f>
        <v>GLASS CHICKEN BUTTER DISH</v>
      </c>
      <c r="D1037" s="2">
        <f>IFERROR(__xludf.DUMMYFUNCTION("""COMPUTED_VALUE"""),1.0)</f>
        <v>1</v>
      </c>
      <c r="E1037" s="6">
        <f>IFERROR(__xludf.DUMMYFUNCTION("""COMPUTED_VALUE"""),40148.52222222222)</f>
        <v>40148.52222</v>
      </c>
      <c r="F1037" s="2">
        <f>IFERROR(__xludf.DUMMYFUNCTION("""COMPUTED_VALUE"""),1.65)</f>
        <v>1.65</v>
      </c>
      <c r="G1037" s="2"/>
      <c r="H1037" s="2" t="str">
        <f>IFERROR(__xludf.DUMMYFUNCTION("""COMPUTED_VALUE"""),"United Kingdom")</f>
        <v>United Kingdom</v>
      </c>
      <c r="I1037" s="7">
        <f>IFERROR(__xludf.DUMMYFUNCTION("""COMPUTED_VALUE"""),40148.0)</f>
        <v>40148</v>
      </c>
      <c r="J1037" s="8">
        <f>IFERROR(__xludf.DUMMYFUNCTION("""COMPUTED_VALUE"""),0.5222222222218988)</f>
        <v>0.5222222222</v>
      </c>
      <c r="K1037" s="2">
        <f>IFERROR(__xludf.DUMMYFUNCTION("""COMPUTED_VALUE"""),12.0)</f>
        <v>12</v>
      </c>
      <c r="L1037" s="2">
        <f>IFERROR(__xludf.DUMMYFUNCTION("""COMPUTED_VALUE"""),1.65)</f>
        <v>1.65</v>
      </c>
    </row>
    <row r="1038">
      <c r="A1038" s="2">
        <f>IFERROR(__xludf.DUMMYFUNCTION("""COMPUTED_VALUE"""),489548.0)</f>
        <v>489548</v>
      </c>
      <c r="B1038" s="2" t="str">
        <f>IFERROR(__xludf.DUMMYFUNCTION("""COMPUTED_VALUE"""),"22196")</f>
        <v>22196</v>
      </c>
      <c r="C1038" s="2" t="str">
        <f>IFERROR(__xludf.DUMMYFUNCTION("""COMPUTED_VALUE"""),"SMALL HEART MEASURING SPOONS")</f>
        <v>SMALL HEART MEASURING SPOONS</v>
      </c>
      <c r="D1038" s="2">
        <f>IFERROR(__xludf.DUMMYFUNCTION("""COMPUTED_VALUE"""),8.0)</f>
        <v>8</v>
      </c>
      <c r="E1038" s="6">
        <f>IFERROR(__xludf.DUMMYFUNCTION("""COMPUTED_VALUE"""),40148.52222222222)</f>
        <v>40148.52222</v>
      </c>
      <c r="F1038" s="2">
        <f>IFERROR(__xludf.DUMMYFUNCTION("""COMPUTED_VALUE"""),0.85)</f>
        <v>0.85</v>
      </c>
      <c r="G1038" s="2"/>
      <c r="H1038" s="2" t="str">
        <f>IFERROR(__xludf.DUMMYFUNCTION("""COMPUTED_VALUE"""),"United Kingdom")</f>
        <v>United Kingdom</v>
      </c>
      <c r="I1038" s="7">
        <f>IFERROR(__xludf.DUMMYFUNCTION("""COMPUTED_VALUE"""),40148.0)</f>
        <v>40148</v>
      </c>
      <c r="J1038" s="8">
        <f>IFERROR(__xludf.DUMMYFUNCTION("""COMPUTED_VALUE"""),0.5222222222218988)</f>
        <v>0.5222222222</v>
      </c>
      <c r="K1038" s="2">
        <f>IFERROR(__xludf.DUMMYFUNCTION("""COMPUTED_VALUE"""),12.0)</f>
        <v>12</v>
      </c>
      <c r="L1038" s="2">
        <f>IFERROR(__xludf.DUMMYFUNCTION("""COMPUTED_VALUE"""),6.8)</f>
        <v>6.8</v>
      </c>
    </row>
    <row r="1039">
      <c r="A1039" s="2">
        <f>IFERROR(__xludf.DUMMYFUNCTION("""COMPUTED_VALUE"""),489548.0)</f>
        <v>489548</v>
      </c>
      <c r="B1039" s="2" t="str">
        <f>IFERROR(__xludf.DUMMYFUNCTION("""COMPUTED_VALUE"""),"22086")</f>
        <v>22086</v>
      </c>
      <c r="C1039" s="2" t="str">
        <f>IFERROR(__xludf.DUMMYFUNCTION("""COMPUTED_VALUE"""),"PAPER CHAIN KIT 50'S CHRISTMAS")</f>
        <v>PAPER CHAIN KIT 50'S CHRISTMAS</v>
      </c>
      <c r="D1039" s="2">
        <f>IFERROR(__xludf.DUMMYFUNCTION("""COMPUTED_VALUE"""),3.0)</f>
        <v>3</v>
      </c>
      <c r="E1039" s="6">
        <f>IFERROR(__xludf.DUMMYFUNCTION("""COMPUTED_VALUE"""),40148.52222222222)</f>
        <v>40148.52222</v>
      </c>
      <c r="F1039" s="2">
        <f>IFERROR(__xludf.DUMMYFUNCTION("""COMPUTED_VALUE"""),2.95)</f>
        <v>2.95</v>
      </c>
      <c r="G1039" s="2"/>
      <c r="H1039" s="2" t="str">
        <f>IFERROR(__xludf.DUMMYFUNCTION("""COMPUTED_VALUE"""),"United Kingdom")</f>
        <v>United Kingdom</v>
      </c>
      <c r="I1039" s="7">
        <f>IFERROR(__xludf.DUMMYFUNCTION("""COMPUTED_VALUE"""),40148.0)</f>
        <v>40148</v>
      </c>
      <c r="J1039" s="8">
        <f>IFERROR(__xludf.DUMMYFUNCTION("""COMPUTED_VALUE"""),0.5222222222218988)</f>
        <v>0.5222222222</v>
      </c>
      <c r="K1039" s="2">
        <f>IFERROR(__xludf.DUMMYFUNCTION("""COMPUTED_VALUE"""),12.0)</f>
        <v>12</v>
      </c>
      <c r="L1039" s="2">
        <f>IFERROR(__xludf.DUMMYFUNCTION("""COMPUTED_VALUE"""),8.85)</f>
        <v>8.85</v>
      </c>
    </row>
    <row r="1040">
      <c r="A1040" s="2">
        <f>IFERROR(__xludf.DUMMYFUNCTION("""COMPUTED_VALUE"""),489548.0)</f>
        <v>489548</v>
      </c>
      <c r="B1040" s="2" t="str">
        <f>IFERROR(__xludf.DUMMYFUNCTION("""COMPUTED_VALUE"""),"21115")</f>
        <v>21115</v>
      </c>
      <c r="C1040" s="2" t="str">
        <f>IFERROR(__xludf.DUMMYFUNCTION("""COMPUTED_VALUE"""),"ROSE CARAVAN DOORSTOP")</f>
        <v>ROSE CARAVAN DOORSTOP</v>
      </c>
      <c r="D1040" s="2">
        <f>IFERROR(__xludf.DUMMYFUNCTION("""COMPUTED_VALUE"""),1.0)</f>
        <v>1</v>
      </c>
      <c r="E1040" s="6">
        <f>IFERROR(__xludf.DUMMYFUNCTION("""COMPUTED_VALUE"""),40148.52222222222)</f>
        <v>40148.52222</v>
      </c>
      <c r="F1040" s="2">
        <f>IFERROR(__xludf.DUMMYFUNCTION("""COMPUTED_VALUE"""),6.75)</f>
        <v>6.75</v>
      </c>
      <c r="G1040" s="2"/>
      <c r="H1040" s="2" t="str">
        <f>IFERROR(__xludf.DUMMYFUNCTION("""COMPUTED_VALUE"""),"United Kingdom")</f>
        <v>United Kingdom</v>
      </c>
      <c r="I1040" s="7">
        <f>IFERROR(__xludf.DUMMYFUNCTION("""COMPUTED_VALUE"""),40148.0)</f>
        <v>40148</v>
      </c>
      <c r="J1040" s="8">
        <f>IFERROR(__xludf.DUMMYFUNCTION("""COMPUTED_VALUE"""),0.5222222222218988)</f>
        <v>0.5222222222</v>
      </c>
      <c r="K1040" s="2">
        <f>IFERROR(__xludf.DUMMYFUNCTION("""COMPUTED_VALUE"""),12.0)</f>
        <v>12</v>
      </c>
      <c r="L1040" s="2">
        <f>IFERROR(__xludf.DUMMYFUNCTION("""COMPUTED_VALUE"""),6.75)</f>
        <v>6.75</v>
      </c>
    </row>
    <row r="1041">
      <c r="A1041" s="2">
        <f>IFERROR(__xludf.DUMMYFUNCTION("""COMPUTED_VALUE"""),489548.0)</f>
        <v>489548</v>
      </c>
      <c r="B1041" s="2" t="str">
        <f>IFERROR(__xludf.DUMMYFUNCTION("""COMPUTED_VALUE"""),"21067")</f>
        <v>21067</v>
      </c>
      <c r="C1041" s="2" t="str">
        <f>IFERROR(__xludf.DUMMYFUNCTION("""COMPUTED_VALUE"""),"VINTAGE RED TEATIME MUG")</f>
        <v>VINTAGE RED TEATIME MUG</v>
      </c>
      <c r="D1041" s="2">
        <f>IFERROR(__xludf.DUMMYFUNCTION("""COMPUTED_VALUE"""),6.0)</f>
        <v>6</v>
      </c>
      <c r="E1041" s="6">
        <f>IFERROR(__xludf.DUMMYFUNCTION("""COMPUTED_VALUE"""),40148.52222222222)</f>
        <v>40148.52222</v>
      </c>
      <c r="F1041" s="2">
        <f>IFERROR(__xludf.DUMMYFUNCTION("""COMPUTED_VALUE"""),1.25)</f>
        <v>1.25</v>
      </c>
      <c r="G1041" s="2"/>
      <c r="H1041" s="2" t="str">
        <f>IFERROR(__xludf.DUMMYFUNCTION("""COMPUTED_VALUE"""),"United Kingdom")</f>
        <v>United Kingdom</v>
      </c>
      <c r="I1041" s="7">
        <f>IFERROR(__xludf.DUMMYFUNCTION("""COMPUTED_VALUE"""),40148.0)</f>
        <v>40148</v>
      </c>
      <c r="J1041" s="8">
        <f>IFERROR(__xludf.DUMMYFUNCTION("""COMPUTED_VALUE"""),0.5222222222218988)</f>
        <v>0.5222222222</v>
      </c>
      <c r="K1041" s="2">
        <f>IFERROR(__xludf.DUMMYFUNCTION("""COMPUTED_VALUE"""),12.0)</f>
        <v>12</v>
      </c>
      <c r="L1041" s="2">
        <f>IFERROR(__xludf.DUMMYFUNCTION("""COMPUTED_VALUE"""),7.5)</f>
        <v>7.5</v>
      </c>
    </row>
    <row r="1042">
      <c r="A1042" s="2">
        <f>IFERROR(__xludf.DUMMYFUNCTION("""COMPUTED_VALUE"""),489548.0)</f>
        <v>489548</v>
      </c>
      <c r="B1042" s="2" t="str">
        <f>IFERROR(__xludf.DUMMYFUNCTION("""COMPUTED_VALUE"""),"22134")</f>
        <v>22134</v>
      </c>
      <c r="C1042" s="2" t="str">
        <f>IFERROR(__xludf.DUMMYFUNCTION("""COMPUTED_VALUE"""),"LADLE LOVE HEART RED")</f>
        <v>LADLE LOVE HEART RED</v>
      </c>
      <c r="D1042" s="2">
        <f>IFERROR(__xludf.DUMMYFUNCTION("""COMPUTED_VALUE"""),12.0)</f>
        <v>12</v>
      </c>
      <c r="E1042" s="6">
        <f>IFERROR(__xludf.DUMMYFUNCTION("""COMPUTED_VALUE"""),40148.52222222222)</f>
        <v>40148.52222</v>
      </c>
      <c r="F1042" s="2">
        <f>IFERROR(__xludf.DUMMYFUNCTION("""COMPUTED_VALUE"""),0.42)</f>
        <v>0.42</v>
      </c>
      <c r="G1042" s="2"/>
      <c r="H1042" s="2" t="str">
        <f>IFERROR(__xludf.DUMMYFUNCTION("""COMPUTED_VALUE"""),"United Kingdom")</f>
        <v>United Kingdom</v>
      </c>
      <c r="I1042" s="7">
        <f>IFERROR(__xludf.DUMMYFUNCTION("""COMPUTED_VALUE"""),40148.0)</f>
        <v>40148</v>
      </c>
      <c r="J1042" s="8">
        <f>IFERROR(__xludf.DUMMYFUNCTION("""COMPUTED_VALUE"""),0.5222222222218988)</f>
        <v>0.5222222222</v>
      </c>
      <c r="K1042" s="2">
        <f>IFERROR(__xludf.DUMMYFUNCTION("""COMPUTED_VALUE"""),12.0)</f>
        <v>12</v>
      </c>
      <c r="L1042" s="2">
        <f>IFERROR(__xludf.DUMMYFUNCTION("""COMPUTED_VALUE"""),5.04)</f>
        <v>5.04</v>
      </c>
    </row>
    <row r="1043">
      <c r="A1043" s="2">
        <f>IFERROR(__xludf.DUMMYFUNCTION("""COMPUTED_VALUE"""),489548.0)</f>
        <v>489548</v>
      </c>
      <c r="B1043" s="2" t="str">
        <f>IFERROR(__xludf.DUMMYFUNCTION("""COMPUTED_VALUE"""),"22132")</f>
        <v>22132</v>
      </c>
      <c r="C1043" s="2" t="str">
        <f>IFERROR(__xludf.DUMMYFUNCTION("""COMPUTED_VALUE"""),"RED LOVE HEART SHAPE CUP")</f>
        <v>RED LOVE HEART SHAPE CUP</v>
      </c>
      <c r="D1043" s="2">
        <f>IFERROR(__xludf.DUMMYFUNCTION("""COMPUTED_VALUE"""),12.0)</f>
        <v>12</v>
      </c>
      <c r="E1043" s="6">
        <f>IFERROR(__xludf.DUMMYFUNCTION("""COMPUTED_VALUE"""),40148.52222222222)</f>
        <v>40148.52222</v>
      </c>
      <c r="F1043" s="2">
        <f>IFERROR(__xludf.DUMMYFUNCTION("""COMPUTED_VALUE"""),0.85)</f>
        <v>0.85</v>
      </c>
      <c r="G1043" s="2"/>
      <c r="H1043" s="2" t="str">
        <f>IFERROR(__xludf.DUMMYFUNCTION("""COMPUTED_VALUE"""),"United Kingdom")</f>
        <v>United Kingdom</v>
      </c>
      <c r="I1043" s="7">
        <f>IFERROR(__xludf.DUMMYFUNCTION("""COMPUTED_VALUE"""),40148.0)</f>
        <v>40148</v>
      </c>
      <c r="J1043" s="8">
        <f>IFERROR(__xludf.DUMMYFUNCTION("""COMPUTED_VALUE"""),0.5222222222218988)</f>
        <v>0.5222222222</v>
      </c>
      <c r="K1043" s="2">
        <f>IFERROR(__xludf.DUMMYFUNCTION("""COMPUTED_VALUE"""),12.0)</f>
        <v>12</v>
      </c>
      <c r="L1043" s="2">
        <f>IFERROR(__xludf.DUMMYFUNCTION("""COMPUTED_VALUE"""),10.2)</f>
        <v>10.2</v>
      </c>
    </row>
    <row r="1044">
      <c r="A1044" s="2">
        <f>IFERROR(__xludf.DUMMYFUNCTION("""COMPUTED_VALUE"""),489548.0)</f>
        <v>489548</v>
      </c>
      <c r="B1044" s="2" t="str">
        <f>IFERROR(__xludf.DUMMYFUNCTION("""COMPUTED_VALUE"""),"22196")</f>
        <v>22196</v>
      </c>
      <c r="C1044" s="2" t="str">
        <f>IFERROR(__xludf.DUMMYFUNCTION("""COMPUTED_VALUE"""),"SMALL HEART MEASURING SPOONS")</f>
        <v>SMALL HEART MEASURING SPOONS</v>
      </c>
      <c r="D1044" s="2">
        <f>IFERROR(__xludf.DUMMYFUNCTION("""COMPUTED_VALUE"""),1.0)</f>
        <v>1</v>
      </c>
      <c r="E1044" s="6">
        <f>IFERROR(__xludf.DUMMYFUNCTION("""COMPUTED_VALUE"""),40148.52222222222)</f>
        <v>40148.52222</v>
      </c>
      <c r="F1044" s="2">
        <f>IFERROR(__xludf.DUMMYFUNCTION("""COMPUTED_VALUE"""),0.85)</f>
        <v>0.85</v>
      </c>
      <c r="G1044" s="2"/>
      <c r="H1044" s="2" t="str">
        <f>IFERROR(__xludf.DUMMYFUNCTION("""COMPUTED_VALUE"""),"United Kingdom")</f>
        <v>United Kingdom</v>
      </c>
      <c r="I1044" s="7">
        <f>IFERROR(__xludf.DUMMYFUNCTION("""COMPUTED_VALUE"""),40148.0)</f>
        <v>40148</v>
      </c>
      <c r="J1044" s="8">
        <f>IFERROR(__xludf.DUMMYFUNCTION("""COMPUTED_VALUE"""),0.5222222222218988)</f>
        <v>0.5222222222</v>
      </c>
      <c r="K1044" s="2">
        <f>IFERROR(__xludf.DUMMYFUNCTION("""COMPUTED_VALUE"""),12.0)</f>
        <v>12</v>
      </c>
      <c r="L1044" s="2">
        <f>IFERROR(__xludf.DUMMYFUNCTION("""COMPUTED_VALUE"""),0.85)</f>
        <v>0.85</v>
      </c>
    </row>
    <row r="1045">
      <c r="A1045" s="2">
        <f>IFERROR(__xludf.DUMMYFUNCTION("""COMPUTED_VALUE"""),489548.0)</f>
        <v>489548</v>
      </c>
      <c r="B1045" s="2" t="str">
        <f>IFERROR(__xludf.DUMMYFUNCTION("""COMPUTED_VALUE"""),"22195")</f>
        <v>22195</v>
      </c>
      <c r="C1045" s="2" t="str">
        <f>IFERROR(__xludf.DUMMYFUNCTION("""COMPUTED_VALUE"""),"LARGE HEART MEASURING SPOONS")</f>
        <v>LARGE HEART MEASURING SPOONS</v>
      </c>
      <c r="D1045" s="2">
        <f>IFERROR(__xludf.DUMMYFUNCTION("""COMPUTED_VALUE"""),5.0)</f>
        <v>5</v>
      </c>
      <c r="E1045" s="6">
        <f>IFERROR(__xludf.DUMMYFUNCTION("""COMPUTED_VALUE"""),40148.52222222222)</f>
        <v>40148.52222</v>
      </c>
      <c r="F1045" s="2">
        <f>IFERROR(__xludf.DUMMYFUNCTION("""COMPUTED_VALUE"""),1.65)</f>
        <v>1.65</v>
      </c>
      <c r="G1045" s="2"/>
      <c r="H1045" s="2" t="str">
        <f>IFERROR(__xludf.DUMMYFUNCTION("""COMPUTED_VALUE"""),"United Kingdom")</f>
        <v>United Kingdom</v>
      </c>
      <c r="I1045" s="7">
        <f>IFERROR(__xludf.DUMMYFUNCTION("""COMPUTED_VALUE"""),40148.0)</f>
        <v>40148</v>
      </c>
      <c r="J1045" s="8">
        <f>IFERROR(__xludf.DUMMYFUNCTION("""COMPUTED_VALUE"""),0.5222222222218988)</f>
        <v>0.5222222222</v>
      </c>
      <c r="K1045" s="2">
        <f>IFERROR(__xludf.DUMMYFUNCTION("""COMPUTED_VALUE"""),12.0)</f>
        <v>12</v>
      </c>
      <c r="L1045" s="2">
        <f>IFERROR(__xludf.DUMMYFUNCTION("""COMPUTED_VALUE"""),8.25)</f>
        <v>8.25</v>
      </c>
    </row>
    <row r="1046">
      <c r="A1046" s="2">
        <f>IFERROR(__xludf.DUMMYFUNCTION("""COMPUTED_VALUE"""),489548.0)</f>
        <v>489548</v>
      </c>
      <c r="B1046" s="2" t="str">
        <f>IFERROR(__xludf.DUMMYFUNCTION("""COMPUTED_VALUE"""),"21086")</f>
        <v>21086</v>
      </c>
      <c r="C1046" s="2" t="str">
        <f>IFERROR(__xludf.DUMMYFUNCTION("""COMPUTED_VALUE"""),"SET/6 RED SPOTTY PAPER CUPS")</f>
        <v>SET/6 RED SPOTTY PAPER CUPS</v>
      </c>
      <c r="D1046" s="2">
        <f>IFERROR(__xludf.DUMMYFUNCTION("""COMPUTED_VALUE"""),25.0)</f>
        <v>25</v>
      </c>
      <c r="E1046" s="6">
        <f>IFERROR(__xludf.DUMMYFUNCTION("""COMPUTED_VALUE"""),40148.52222222222)</f>
        <v>40148.52222</v>
      </c>
      <c r="F1046" s="2">
        <f>IFERROR(__xludf.DUMMYFUNCTION("""COMPUTED_VALUE"""),0.65)</f>
        <v>0.65</v>
      </c>
      <c r="G1046" s="2"/>
      <c r="H1046" s="2" t="str">
        <f>IFERROR(__xludf.DUMMYFUNCTION("""COMPUTED_VALUE"""),"United Kingdom")</f>
        <v>United Kingdom</v>
      </c>
      <c r="I1046" s="7">
        <f>IFERROR(__xludf.DUMMYFUNCTION("""COMPUTED_VALUE"""),40148.0)</f>
        <v>40148</v>
      </c>
      <c r="J1046" s="8">
        <f>IFERROR(__xludf.DUMMYFUNCTION("""COMPUTED_VALUE"""),0.5222222222218988)</f>
        <v>0.5222222222</v>
      </c>
      <c r="K1046" s="2">
        <f>IFERROR(__xludf.DUMMYFUNCTION("""COMPUTED_VALUE"""),12.0)</f>
        <v>12</v>
      </c>
      <c r="L1046" s="2">
        <f>IFERROR(__xludf.DUMMYFUNCTION("""COMPUTED_VALUE"""),16.25)</f>
        <v>16.25</v>
      </c>
    </row>
    <row r="1047">
      <c r="A1047" s="2">
        <f>IFERROR(__xludf.DUMMYFUNCTION("""COMPUTED_VALUE"""),489548.0)</f>
        <v>489548</v>
      </c>
      <c r="B1047" s="2" t="str">
        <f>IFERROR(__xludf.DUMMYFUNCTION("""COMPUTED_VALUE"""),"20963")</f>
        <v>20963</v>
      </c>
      <c r="C1047" s="2" t="str">
        <f>IFERROR(__xludf.DUMMYFUNCTION("""COMPUTED_VALUE"""),"APPLE BATH SPONGE")</f>
        <v>APPLE BATH SPONGE</v>
      </c>
      <c r="D1047" s="2">
        <f>IFERROR(__xludf.DUMMYFUNCTION("""COMPUTED_VALUE"""),10.0)</f>
        <v>10</v>
      </c>
      <c r="E1047" s="6">
        <f>IFERROR(__xludf.DUMMYFUNCTION("""COMPUTED_VALUE"""),40148.52222222222)</f>
        <v>40148.52222</v>
      </c>
      <c r="F1047" s="2">
        <f>IFERROR(__xludf.DUMMYFUNCTION("""COMPUTED_VALUE"""),1.25)</f>
        <v>1.25</v>
      </c>
      <c r="G1047" s="2"/>
      <c r="H1047" s="2" t="str">
        <f>IFERROR(__xludf.DUMMYFUNCTION("""COMPUTED_VALUE"""),"United Kingdom")</f>
        <v>United Kingdom</v>
      </c>
      <c r="I1047" s="7">
        <f>IFERROR(__xludf.DUMMYFUNCTION("""COMPUTED_VALUE"""),40148.0)</f>
        <v>40148</v>
      </c>
      <c r="J1047" s="8">
        <f>IFERROR(__xludf.DUMMYFUNCTION("""COMPUTED_VALUE"""),0.5222222222218988)</f>
        <v>0.5222222222</v>
      </c>
      <c r="K1047" s="2">
        <f>IFERROR(__xludf.DUMMYFUNCTION("""COMPUTED_VALUE"""),12.0)</f>
        <v>12</v>
      </c>
      <c r="L1047" s="2">
        <f>IFERROR(__xludf.DUMMYFUNCTION("""COMPUTED_VALUE"""),12.5)</f>
        <v>12.5</v>
      </c>
    </row>
    <row r="1048">
      <c r="A1048" s="2">
        <f>IFERROR(__xludf.DUMMYFUNCTION("""COMPUTED_VALUE"""),489548.0)</f>
        <v>489548</v>
      </c>
      <c r="B1048" s="2" t="str">
        <f>IFERROR(__xludf.DUMMYFUNCTION("""COMPUTED_VALUE"""),"85053")</f>
        <v>85053</v>
      </c>
      <c r="C1048" s="2" t="str">
        <f>IFERROR(__xludf.DUMMYFUNCTION("""COMPUTED_VALUE"""),"FRENCH ENAMEL CANDLEHOLDER")</f>
        <v>FRENCH ENAMEL CANDLEHOLDER</v>
      </c>
      <c r="D1048" s="2">
        <f>IFERROR(__xludf.DUMMYFUNCTION("""COMPUTED_VALUE"""),1.0)</f>
        <v>1</v>
      </c>
      <c r="E1048" s="6">
        <f>IFERROR(__xludf.DUMMYFUNCTION("""COMPUTED_VALUE"""),40148.52222222222)</f>
        <v>40148.52222</v>
      </c>
      <c r="F1048" s="2">
        <f>IFERROR(__xludf.DUMMYFUNCTION("""COMPUTED_VALUE"""),2.1)</f>
        <v>2.1</v>
      </c>
      <c r="G1048" s="2"/>
      <c r="H1048" s="2" t="str">
        <f>IFERROR(__xludf.DUMMYFUNCTION("""COMPUTED_VALUE"""),"United Kingdom")</f>
        <v>United Kingdom</v>
      </c>
      <c r="I1048" s="7">
        <f>IFERROR(__xludf.DUMMYFUNCTION("""COMPUTED_VALUE"""),40148.0)</f>
        <v>40148</v>
      </c>
      <c r="J1048" s="8">
        <f>IFERROR(__xludf.DUMMYFUNCTION("""COMPUTED_VALUE"""),0.5222222222218988)</f>
        <v>0.5222222222</v>
      </c>
      <c r="K1048" s="2">
        <f>IFERROR(__xludf.DUMMYFUNCTION("""COMPUTED_VALUE"""),12.0)</f>
        <v>12</v>
      </c>
      <c r="L1048" s="2">
        <f>IFERROR(__xludf.DUMMYFUNCTION("""COMPUTED_VALUE"""),2.1)</f>
        <v>2.1</v>
      </c>
    </row>
    <row r="1049">
      <c r="A1049" s="2">
        <f>IFERROR(__xludf.DUMMYFUNCTION("""COMPUTED_VALUE"""),489548.0)</f>
        <v>489548</v>
      </c>
      <c r="B1049" s="2" t="str">
        <f>IFERROR(__xludf.DUMMYFUNCTION("""COMPUTED_VALUE"""),"84670")</f>
        <v>84670</v>
      </c>
      <c r="C1049" s="2" t="str">
        <f>IFERROR(__xludf.DUMMYFUNCTION("""COMPUTED_VALUE"""),"JAPANESE CROCHETED ANIMAL")</f>
        <v>JAPANESE CROCHETED ANIMAL</v>
      </c>
      <c r="D1049" s="2">
        <f>IFERROR(__xludf.DUMMYFUNCTION("""COMPUTED_VALUE"""),12.0)</f>
        <v>12</v>
      </c>
      <c r="E1049" s="6">
        <f>IFERROR(__xludf.DUMMYFUNCTION("""COMPUTED_VALUE"""),40148.52222222222)</f>
        <v>40148.52222</v>
      </c>
      <c r="F1049" s="2">
        <f>IFERROR(__xludf.DUMMYFUNCTION("""COMPUTED_VALUE"""),0.42)</f>
        <v>0.42</v>
      </c>
      <c r="G1049" s="2"/>
      <c r="H1049" s="2" t="str">
        <f>IFERROR(__xludf.DUMMYFUNCTION("""COMPUTED_VALUE"""),"United Kingdom")</f>
        <v>United Kingdom</v>
      </c>
      <c r="I1049" s="7">
        <f>IFERROR(__xludf.DUMMYFUNCTION("""COMPUTED_VALUE"""),40148.0)</f>
        <v>40148</v>
      </c>
      <c r="J1049" s="8">
        <f>IFERROR(__xludf.DUMMYFUNCTION("""COMPUTED_VALUE"""),0.5222222222218988)</f>
        <v>0.5222222222</v>
      </c>
      <c r="K1049" s="2">
        <f>IFERROR(__xludf.DUMMYFUNCTION("""COMPUTED_VALUE"""),12.0)</f>
        <v>12</v>
      </c>
      <c r="L1049" s="2">
        <f>IFERROR(__xludf.DUMMYFUNCTION("""COMPUTED_VALUE"""),5.04)</f>
        <v>5.04</v>
      </c>
    </row>
    <row r="1050">
      <c r="A1050" s="2">
        <f>IFERROR(__xludf.DUMMYFUNCTION("""COMPUTED_VALUE"""),489548.0)</f>
        <v>489548</v>
      </c>
      <c r="B1050" s="2" t="str">
        <f>IFERROR(__xludf.DUMMYFUNCTION("""COMPUTED_VALUE"""),"21559")</f>
        <v>21559</v>
      </c>
      <c r="C1050" s="2" t="str">
        <f>IFERROR(__xludf.DUMMYFUNCTION("""COMPUTED_VALUE"""),"STRAWBERRY LUNCHBOX WITH CUTLERY")</f>
        <v>STRAWBERRY LUNCHBOX WITH CUTLERY</v>
      </c>
      <c r="D1050" s="2">
        <f>IFERROR(__xludf.DUMMYFUNCTION("""COMPUTED_VALUE"""),2.0)</f>
        <v>2</v>
      </c>
      <c r="E1050" s="6">
        <f>IFERROR(__xludf.DUMMYFUNCTION("""COMPUTED_VALUE"""),40148.52222222222)</f>
        <v>40148.52222</v>
      </c>
      <c r="F1050" s="2">
        <f>IFERROR(__xludf.DUMMYFUNCTION("""COMPUTED_VALUE"""),2.55)</f>
        <v>2.55</v>
      </c>
      <c r="G1050" s="2"/>
      <c r="H1050" s="2" t="str">
        <f>IFERROR(__xludf.DUMMYFUNCTION("""COMPUTED_VALUE"""),"United Kingdom")</f>
        <v>United Kingdom</v>
      </c>
      <c r="I1050" s="7">
        <f>IFERROR(__xludf.DUMMYFUNCTION("""COMPUTED_VALUE"""),40148.0)</f>
        <v>40148</v>
      </c>
      <c r="J1050" s="8">
        <f>IFERROR(__xludf.DUMMYFUNCTION("""COMPUTED_VALUE"""),0.5222222222218988)</f>
        <v>0.5222222222</v>
      </c>
      <c r="K1050" s="2">
        <f>IFERROR(__xludf.DUMMYFUNCTION("""COMPUTED_VALUE"""),12.0)</f>
        <v>12</v>
      </c>
      <c r="L1050" s="2">
        <f>IFERROR(__xludf.DUMMYFUNCTION("""COMPUTED_VALUE"""),5.1)</f>
        <v>5.1</v>
      </c>
    </row>
    <row r="1051">
      <c r="A1051" s="2">
        <f>IFERROR(__xludf.DUMMYFUNCTION("""COMPUTED_VALUE"""),489548.0)</f>
        <v>489548</v>
      </c>
      <c r="B1051" s="2" t="str">
        <f>IFERROR(__xludf.DUMMYFUNCTION("""COMPUTED_VALUE"""),"21558")</f>
        <v>21558</v>
      </c>
      <c r="C1051" s="2" t="str">
        <f>IFERROR(__xludf.DUMMYFUNCTION("""COMPUTED_VALUE"""),"SKULL LUNCHBOX WITH CUTLERY")</f>
        <v>SKULL LUNCHBOX WITH CUTLERY</v>
      </c>
      <c r="D1051" s="2">
        <f>IFERROR(__xludf.DUMMYFUNCTION("""COMPUTED_VALUE"""),3.0)</f>
        <v>3</v>
      </c>
      <c r="E1051" s="6">
        <f>IFERROR(__xludf.DUMMYFUNCTION("""COMPUTED_VALUE"""),40148.52222222222)</f>
        <v>40148.52222</v>
      </c>
      <c r="F1051" s="2">
        <f>IFERROR(__xludf.DUMMYFUNCTION("""COMPUTED_VALUE"""),2.55)</f>
        <v>2.55</v>
      </c>
      <c r="G1051" s="2"/>
      <c r="H1051" s="2" t="str">
        <f>IFERROR(__xludf.DUMMYFUNCTION("""COMPUTED_VALUE"""),"United Kingdom")</f>
        <v>United Kingdom</v>
      </c>
      <c r="I1051" s="7">
        <f>IFERROR(__xludf.DUMMYFUNCTION("""COMPUTED_VALUE"""),40148.0)</f>
        <v>40148</v>
      </c>
      <c r="J1051" s="8">
        <f>IFERROR(__xludf.DUMMYFUNCTION("""COMPUTED_VALUE"""),0.5222222222218988)</f>
        <v>0.5222222222</v>
      </c>
      <c r="K1051" s="2">
        <f>IFERROR(__xludf.DUMMYFUNCTION("""COMPUTED_VALUE"""),12.0)</f>
        <v>12</v>
      </c>
      <c r="L1051" s="2">
        <f>IFERROR(__xludf.DUMMYFUNCTION("""COMPUTED_VALUE"""),7.64999999999999)</f>
        <v>7.65</v>
      </c>
    </row>
    <row r="1052">
      <c r="A1052" s="2">
        <f>IFERROR(__xludf.DUMMYFUNCTION("""COMPUTED_VALUE"""),489548.0)</f>
        <v>489548</v>
      </c>
      <c r="B1052" s="2" t="str">
        <f>IFERROR(__xludf.DUMMYFUNCTION("""COMPUTED_VALUE"""),"22352")</f>
        <v>22352</v>
      </c>
      <c r="C1052" s="2" t="str">
        <f>IFERROR(__xludf.DUMMYFUNCTION("""COMPUTED_VALUE"""),"LUNCHBOX WITH CUTLERY RETROSPOT")</f>
        <v>LUNCHBOX WITH CUTLERY RETROSPOT</v>
      </c>
      <c r="D1052" s="2">
        <f>IFERROR(__xludf.DUMMYFUNCTION("""COMPUTED_VALUE"""),1.0)</f>
        <v>1</v>
      </c>
      <c r="E1052" s="6">
        <f>IFERROR(__xludf.DUMMYFUNCTION("""COMPUTED_VALUE"""),40148.52222222222)</f>
        <v>40148.52222</v>
      </c>
      <c r="F1052" s="2">
        <f>IFERROR(__xludf.DUMMYFUNCTION("""COMPUTED_VALUE"""),2.55)</f>
        <v>2.55</v>
      </c>
      <c r="G1052" s="2"/>
      <c r="H1052" s="2" t="str">
        <f>IFERROR(__xludf.DUMMYFUNCTION("""COMPUTED_VALUE"""),"United Kingdom")</f>
        <v>United Kingdom</v>
      </c>
      <c r="I1052" s="7">
        <f>IFERROR(__xludf.DUMMYFUNCTION("""COMPUTED_VALUE"""),40148.0)</f>
        <v>40148</v>
      </c>
      <c r="J1052" s="8">
        <f>IFERROR(__xludf.DUMMYFUNCTION("""COMPUTED_VALUE"""),0.5222222222218988)</f>
        <v>0.5222222222</v>
      </c>
      <c r="K1052" s="2">
        <f>IFERROR(__xludf.DUMMYFUNCTION("""COMPUTED_VALUE"""),12.0)</f>
        <v>12</v>
      </c>
      <c r="L1052" s="2">
        <f>IFERROR(__xludf.DUMMYFUNCTION("""COMPUTED_VALUE"""),2.55)</f>
        <v>2.55</v>
      </c>
    </row>
    <row r="1053">
      <c r="A1053" s="2">
        <f>IFERROR(__xludf.DUMMYFUNCTION("""COMPUTED_VALUE"""),489548.0)</f>
        <v>489548</v>
      </c>
      <c r="B1053" s="2" t="str">
        <f>IFERROR(__xludf.DUMMYFUNCTION("""COMPUTED_VALUE"""),"21004")</f>
        <v>21004</v>
      </c>
      <c r="C1053" s="2" t="str">
        <f>IFERROR(__xludf.DUMMYFUNCTION("""COMPUTED_VALUE"""),"ROSE DU SUD CHILDS APRON")</f>
        <v>ROSE DU SUD CHILDS APRON</v>
      </c>
      <c r="D1053" s="2">
        <f>IFERROR(__xludf.DUMMYFUNCTION("""COMPUTED_VALUE"""),3.0)</f>
        <v>3</v>
      </c>
      <c r="E1053" s="6">
        <f>IFERROR(__xludf.DUMMYFUNCTION("""COMPUTED_VALUE"""),40148.52222222222)</f>
        <v>40148.52222</v>
      </c>
      <c r="F1053" s="2">
        <f>IFERROR(__xludf.DUMMYFUNCTION("""COMPUTED_VALUE"""),4.25)</f>
        <v>4.25</v>
      </c>
      <c r="G1053" s="2"/>
      <c r="H1053" s="2" t="str">
        <f>IFERROR(__xludf.DUMMYFUNCTION("""COMPUTED_VALUE"""),"United Kingdom")</f>
        <v>United Kingdom</v>
      </c>
      <c r="I1053" s="7">
        <f>IFERROR(__xludf.DUMMYFUNCTION("""COMPUTED_VALUE"""),40148.0)</f>
        <v>40148</v>
      </c>
      <c r="J1053" s="8">
        <f>IFERROR(__xludf.DUMMYFUNCTION("""COMPUTED_VALUE"""),0.5222222222218988)</f>
        <v>0.5222222222</v>
      </c>
      <c r="K1053" s="2">
        <f>IFERROR(__xludf.DUMMYFUNCTION("""COMPUTED_VALUE"""),12.0)</f>
        <v>12</v>
      </c>
      <c r="L1053" s="2">
        <f>IFERROR(__xludf.DUMMYFUNCTION("""COMPUTED_VALUE"""),12.75)</f>
        <v>12.75</v>
      </c>
    </row>
    <row r="1054">
      <c r="A1054" s="2">
        <f>IFERROR(__xludf.DUMMYFUNCTION("""COMPUTED_VALUE"""),489548.0)</f>
        <v>489548</v>
      </c>
      <c r="B1054" s="2" t="str">
        <f>IFERROR(__xludf.DUMMYFUNCTION("""COMPUTED_VALUE"""),"21431")</f>
        <v>21431</v>
      </c>
      <c r="C1054" s="2" t="str">
        <f>IFERROR(__xludf.DUMMYFUNCTION("""COMPUTED_VALUE"""),"GREEN GINGHAM FLOWER JEWELLERY BOX")</f>
        <v>GREEN GINGHAM FLOWER JEWELLERY BOX</v>
      </c>
      <c r="D1054" s="2">
        <f>IFERROR(__xludf.DUMMYFUNCTION("""COMPUTED_VALUE"""),1.0)</f>
        <v>1</v>
      </c>
      <c r="E1054" s="6">
        <f>IFERROR(__xludf.DUMMYFUNCTION("""COMPUTED_VALUE"""),40148.52222222222)</f>
        <v>40148.52222</v>
      </c>
      <c r="F1054" s="2">
        <f>IFERROR(__xludf.DUMMYFUNCTION("""COMPUTED_VALUE"""),1.65)</f>
        <v>1.65</v>
      </c>
      <c r="G1054" s="2"/>
      <c r="H1054" s="2" t="str">
        <f>IFERROR(__xludf.DUMMYFUNCTION("""COMPUTED_VALUE"""),"United Kingdom")</f>
        <v>United Kingdom</v>
      </c>
      <c r="I1054" s="7">
        <f>IFERROR(__xludf.DUMMYFUNCTION("""COMPUTED_VALUE"""),40148.0)</f>
        <v>40148</v>
      </c>
      <c r="J1054" s="8">
        <f>IFERROR(__xludf.DUMMYFUNCTION("""COMPUTED_VALUE"""),0.5222222222218988)</f>
        <v>0.5222222222</v>
      </c>
      <c r="K1054" s="2">
        <f>IFERROR(__xludf.DUMMYFUNCTION("""COMPUTED_VALUE"""),12.0)</f>
        <v>12</v>
      </c>
      <c r="L1054" s="2">
        <f>IFERROR(__xludf.DUMMYFUNCTION("""COMPUTED_VALUE"""),1.65)</f>
        <v>1.65</v>
      </c>
    </row>
    <row r="1055">
      <c r="A1055" s="2">
        <f>IFERROR(__xludf.DUMMYFUNCTION("""COMPUTED_VALUE"""),489548.0)</f>
        <v>489548</v>
      </c>
      <c r="B1055" s="2" t="str">
        <f>IFERROR(__xludf.DUMMYFUNCTION("""COMPUTED_VALUE"""),"21980")</f>
        <v>21980</v>
      </c>
      <c r="C1055" s="2" t="str">
        <f>IFERROR(__xludf.DUMMYFUNCTION("""COMPUTED_VALUE"""),"PACK OF 12 RED SPOTTY TISSUES")</f>
        <v>PACK OF 12 RED SPOTTY TISSUES</v>
      </c>
      <c r="D1055" s="2">
        <f>IFERROR(__xludf.DUMMYFUNCTION("""COMPUTED_VALUE"""),12.0)</f>
        <v>12</v>
      </c>
      <c r="E1055" s="6">
        <f>IFERROR(__xludf.DUMMYFUNCTION("""COMPUTED_VALUE"""),40148.52222222222)</f>
        <v>40148.52222</v>
      </c>
      <c r="F1055" s="2">
        <f>IFERROR(__xludf.DUMMYFUNCTION("""COMPUTED_VALUE"""),0.29)</f>
        <v>0.29</v>
      </c>
      <c r="G1055" s="2"/>
      <c r="H1055" s="2" t="str">
        <f>IFERROR(__xludf.DUMMYFUNCTION("""COMPUTED_VALUE"""),"United Kingdom")</f>
        <v>United Kingdom</v>
      </c>
      <c r="I1055" s="7">
        <f>IFERROR(__xludf.DUMMYFUNCTION("""COMPUTED_VALUE"""),40148.0)</f>
        <v>40148</v>
      </c>
      <c r="J1055" s="8">
        <f>IFERROR(__xludf.DUMMYFUNCTION("""COMPUTED_VALUE"""),0.5222222222218988)</f>
        <v>0.5222222222</v>
      </c>
      <c r="K1055" s="2">
        <f>IFERROR(__xludf.DUMMYFUNCTION("""COMPUTED_VALUE"""),12.0)</f>
        <v>12</v>
      </c>
      <c r="L1055" s="2">
        <f>IFERROR(__xludf.DUMMYFUNCTION("""COMPUTED_VALUE"""),3.47999999999999)</f>
        <v>3.48</v>
      </c>
    </row>
    <row r="1056">
      <c r="A1056" s="2">
        <f>IFERROR(__xludf.DUMMYFUNCTION("""COMPUTED_VALUE"""),489548.0)</f>
        <v>489548</v>
      </c>
      <c r="B1056" s="2" t="str">
        <f>IFERROR(__xludf.DUMMYFUNCTION("""COMPUTED_VALUE"""),"35004P")</f>
        <v>35004P</v>
      </c>
      <c r="C1056" s="2" t="str">
        <f>IFERROR(__xludf.DUMMYFUNCTION("""COMPUTED_VALUE"""),"SET OF 3 PINK FLYING DUCKS")</f>
        <v>SET OF 3 PINK FLYING DUCKS</v>
      </c>
      <c r="D1056" s="2">
        <f>IFERROR(__xludf.DUMMYFUNCTION("""COMPUTED_VALUE"""),1.0)</f>
        <v>1</v>
      </c>
      <c r="E1056" s="6">
        <f>IFERROR(__xludf.DUMMYFUNCTION("""COMPUTED_VALUE"""),40148.52222222222)</f>
        <v>40148.52222</v>
      </c>
      <c r="F1056" s="2">
        <f>IFERROR(__xludf.DUMMYFUNCTION("""COMPUTED_VALUE"""),5.45)</f>
        <v>5.45</v>
      </c>
      <c r="G1056" s="2"/>
      <c r="H1056" s="2" t="str">
        <f>IFERROR(__xludf.DUMMYFUNCTION("""COMPUTED_VALUE"""),"United Kingdom")</f>
        <v>United Kingdom</v>
      </c>
      <c r="I1056" s="7">
        <f>IFERROR(__xludf.DUMMYFUNCTION("""COMPUTED_VALUE"""),40148.0)</f>
        <v>40148</v>
      </c>
      <c r="J1056" s="8">
        <f>IFERROR(__xludf.DUMMYFUNCTION("""COMPUTED_VALUE"""),0.5222222222218988)</f>
        <v>0.5222222222</v>
      </c>
      <c r="K1056" s="2">
        <f>IFERROR(__xludf.DUMMYFUNCTION("""COMPUTED_VALUE"""),12.0)</f>
        <v>12</v>
      </c>
      <c r="L1056" s="2">
        <f>IFERROR(__xludf.DUMMYFUNCTION("""COMPUTED_VALUE"""),5.45)</f>
        <v>5.45</v>
      </c>
    </row>
    <row r="1057">
      <c r="A1057" s="2">
        <f>IFERROR(__xludf.DUMMYFUNCTION("""COMPUTED_VALUE"""),489548.0)</f>
        <v>489548</v>
      </c>
      <c r="B1057" s="2" t="str">
        <f>IFERROR(__xludf.DUMMYFUNCTION("""COMPUTED_VALUE"""),"21321")</f>
        <v>21321</v>
      </c>
      <c r="C1057" s="2" t="str">
        <f>IFERROR(__xludf.DUMMYFUNCTION("""COMPUTED_VALUE"""),"GLASS CHALICE BLUE LARGE")</f>
        <v>GLASS CHALICE BLUE LARGE</v>
      </c>
      <c r="D1057" s="2">
        <f>IFERROR(__xludf.DUMMYFUNCTION("""COMPUTED_VALUE"""),6.0)</f>
        <v>6</v>
      </c>
      <c r="E1057" s="6">
        <f>IFERROR(__xludf.DUMMYFUNCTION("""COMPUTED_VALUE"""),40148.52222222222)</f>
        <v>40148.52222</v>
      </c>
      <c r="F1057" s="2">
        <f>IFERROR(__xludf.DUMMYFUNCTION("""COMPUTED_VALUE"""),2.55)</f>
        <v>2.55</v>
      </c>
      <c r="G1057" s="2"/>
      <c r="H1057" s="2" t="str">
        <f>IFERROR(__xludf.DUMMYFUNCTION("""COMPUTED_VALUE"""),"United Kingdom")</f>
        <v>United Kingdom</v>
      </c>
      <c r="I1057" s="7">
        <f>IFERROR(__xludf.DUMMYFUNCTION("""COMPUTED_VALUE"""),40148.0)</f>
        <v>40148</v>
      </c>
      <c r="J1057" s="8">
        <f>IFERROR(__xludf.DUMMYFUNCTION("""COMPUTED_VALUE"""),0.5222222222218988)</f>
        <v>0.5222222222</v>
      </c>
      <c r="K1057" s="2">
        <f>IFERROR(__xludf.DUMMYFUNCTION("""COMPUTED_VALUE"""),12.0)</f>
        <v>12</v>
      </c>
      <c r="L1057" s="2">
        <f>IFERROR(__xludf.DUMMYFUNCTION("""COMPUTED_VALUE"""),15.2999999999999)</f>
        <v>15.3</v>
      </c>
    </row>
    <row r="1058">
      <c r="A1058" s="2">
        <f>IFERROR(__xludf.DUMMYFUNCTION("""COMPUTED_VALUE"""),489548.0)</f>
        <v>489548</v>
      </c>
      <c r="B1058" s="2" t="str">
        <f>IFERROR(__xludf.DUMMYFUNCTION("""COMPUTED_VALUE"""),"22275")</f>
        <v>22275</v>
      </c>
      <c r="C1058" s="2" t="str">
        <f>IFERROR(__xludf.DUMMYFUNCTION("""COMPUTED_VALUE"""),"WEEKEND BAG VINTAGE ROSE PAISLEY")</f>
        <v>WEEKEND BAG VINTAGE ROSE PAISLEY</v>
      </c>
      <c r="D1058" s="2">
        <f>IFERROR(__xludf.DUMMYFUNCTION("""COMPUTED_VALUE"""),1.0)</f>
        <v>1</v>
      </c>
      <c r="E1058" s="6">
        <f>IFERROR(__xludf.DUMMYFUNCTION("""COMPUTED_VALUE"""),40148.52222222222)</f>
        <v>40148.52222</v>
      </c>
      <c r="F1058" s="2">
        <f>IFERROR(__xludf.DUMMYFUNCTION("""COMPUTED_VALUE"""),8.5)</f>
        <v>8.5</v>
      </c>
      <c r="G1058" s="2"/>
      <c r="H1058" s="2" t="str">
        <f>IFERROR(__xludf.DUMMYFUNCTION("""COMPUTED_VALUE"""),"United Kingdom")</f>
        <v>United Kingdom</v>
      </c>
      <c r="I1058" s="7">
        <f>IFERROR(__xludf.DUMMYFUNCTION("""COMPUTED_VALUE"""),40148.0)</f>
        <v>40148</v>
      </c>
      <c r="J1058" s="8">
        <f>IFERROR(__xludf.DUMMYFUNCTION("""COMPUTED_VALUE"""),0.5222222222218988)</f>
        <v>0.5222222222</v>
      </c>
      <c r="K1058" s="2">
        <f>IFERROR(__xludf.DUMMYFUNCTION("""COMPUTED_VALUE"""),12.0)</f>
        <v>12</v>
      </c>
      <c r="L1058" s="2">
        <f>IFERROR(__xludf.DUMMYFUNCTION("""COMPUTED_VALUE"""),8.5)</f>
        <v>8.5</v>
      </c>
    </row>
    <row r="1059">
      <c r="A1059" s="2">
        <f>IFERROR(__xludf.DUMMYFUNCTION("""COMPUTED_VALUE"""),489548.0)</f>
        <v>489548</v>
      </c>
      <c r="B1059" s="2" t="str">
        <f>IFERROR(__xludf.DUMMYFUNCTION("""COMPUTED_VALUE"""),"22276")</f>
        <v>22276</v>
      </c>
      <c r="C1059" s="2" t="str">
        <f>IFERROR(__xludf.DUMMYFUNCTION("""COMPUTED_VALUE"""),"WASH BAG VINTAGE ROSE PAISLEY")</f>
        <v>WASH BAG VINTAGE ROSE PAISLEY</v>
      </c>
      <c r="D1059" s="2">
        <f>IFERROR(__xludf.DUMMYFUNCTION("""COMPUTED_VALUE"""),1.0)</f>
        <v>1</v>
      </c>
      <c r="E1059" s="6">
        <f>IFERROR(__xludf.DUMMYFUNCTION("""COMPUTED_VALUE"""),40148.52222222222)</f>
        <v>40148.52222</v>
      </c>
      <c r="F1059" s="2">
        <f>IFERROR(__xludf.DUMMYFUNCTION("""COMPUTED_VALUE"""),2.55)</f>
        <v>2.55</v>
      </c>
      <c r="G1059" s="2"/>
      <c r="H1059" s="2" t="str">
        <f>IFERROR(__xludf.DUMMYFUNCTION("""COMPUTED_VALUE"""),"United Kingdom")</f>
        <v>United Kingdom</v>
      </c>
      <c r="I1059" s="7">
        <f>IFERROR(__xludf.DUMMYFUNCTION("""COMPUTED_VALUE"""),40148.0)</f>
        <v>40148</v>
      </c>
      <c r="J1059" s="8">
        <f>IFERROR(__xludf.DUMMYFUNCTION("""COMPUTED_VALUE"""),0.5222222222218988)</f>
        <v>0.5222222222</v>
      </c>
      <c r="K1059" s="2">
        <f>IFERROR(__xludf.DUMMYFUNCTION("""COMPUTED_VALUE"""),12.0)</f>
        <v>12</v>
      </c>
      <c r="L1059" s="2">
        <f>IFERROR(__xludf.DUMMYFUNCTION("""COMPUTED_VALUE"""),2.55)</f>
        <v>2.55</v>
      </c>
    </row>
    <row r="1060">
      <c r="A1060" s="2">
        <f>IFERROR(__xludf.DUMMYFUNCTION("""COMPUTED_VALUE"""),489548.0)</f>
        <v>489548</v>
      </c>
      <c r="B1060" s="2" t="str">
        <f>IFERROR(__xludf.DUMMYFUNCTION("""COMPUTED_VALUE"""),"21094")</f>
        <v>21094</v>
      </c>
      <c r="C1060" s="2" t="str">
        <f>IFERROR(__xludf.DUMMYFUNCTION("""COMPUTED_VALUE"""),"SET/6 RED SPOTTY PAPER PLATES")</f>
        <v>SET/6 RED SPOTTY PAPER PLATES</v>
      </c>
      <c r="D1060" s="2">
        <f>IFERROR(__xludf.DUMMYFUNCTION("""COMPUTED_VALUE"""),22.0)</f>
        <v>22</v>
      </c>
      <c r="E1060" s="6">
        <f>IFERROR(__xludf.DUMMYFUNCTION("""COMPUTED_VALUE"""),40148.52222222222)</f>
        <v>40148.52222</v>
      </c>
      <c r="F1060" s="2">
        <f>IFERROR(__xludf.DUMMYFUNCTION("""COMPUTED_VALUE"""),0.85)</f>
        <v>0.85</v>
      </c>
      <c r="G1060" s="2"/>
      <c r="H1060" s="2" t="str">
        <f>IFERROR(__xludf.DUMMYFUNCTION("""COMPUTED_VALUE"""),"United Kingdom")</f>
        <v>United Kingdom</v>
      </c>
      <c r="I1060" s="7">
        <f>IFERROR(__xludf.DUMMYFUNCTION("""COMPUTED_VALUE"""),40148.0)</f>
        <v>40148</v>
      </c>
      <c r="J1060" s="8">
        <f>IFERROR(__xludf.DUMMYFUNCTION("""COMPUTED_VALUE"""),0.5222222222218988)</f>
        <v>0.5222222222</v>
      </c>
      <c r="K1060" s="2">
        <f>IFERROR(__xludf.DUMMYFUNCTION("""COMPUTED_VALUE"""),12.0)</f>
        <v>12</v>
      </c>
      <c r="L1060" s="2">
        <f>IFERROR(__xludf.DUMMYFUNCTION("""COMPUTED_VALUE"""),18.7)</f>
        <v>18.7</v>
      </c>
    </row>
    <row r="1061">
      <c r="A1061" s="2">
        <f>IFERROR(__xludf.DUMMYFUNCTION("""COMPUTED_VALUE"""),489548.0)</f>
        <v>489548</v>
      </c>
      <c r="B1061" s="2" t="str">
        <f>IFERROR(__xludf.DUMMYFUNCTION("""COMPUTED_VALUE"""),"20753")</f>
        <v>20753</v>
      </c>
      <c r="C1061" s="2" t="str">
        <f>IFERROR(__xludf.DUMMYFUNCTION("""COMPUTED_VALUE"""),"RETRO PINK SPOT WASHING UP GLOVES")</f>
        <v>RETRO PINK SPOT WASHING UP GLOVES</v>
      </c>
      <c r="D1061" s="2">
        <f>IFERROR(__xludf.DUMMYFUNCTION("""COMPUTED_VALUE"""),1.0)</f>
        <v>1</v>
      </c>
      <c r="E1061" s="6">
        <f>IFERROR(__xludf.DUMMYFUNCTION("""COMPUTED_VALUE"""),40148.52222222222)</f>
        <v>40148.52222</v>
      </c>
      <c r="F1061" s="2">
        <f>IFERROR(__xludf.DUMMYFUNCTION("""COMPUTED_VALUE"""),2.1)</f>
        <v>2.1</v>
      </c>
      <c r="G1061" s="2"/>
      <c r="H1061" s="2" t="str">
        <f>IFERROR(__xludf.DUMMYFUNCTION("""COMPUTED_VALUE"""),"United Kingdom")</f>
        <v>United Kingdom</v>
      </c>
      <c r="I1061" s="7">
        <f>IFERROR(__xludf.DUMMYFUNCTION("""COMPUTED_VALUE"""),40148.0)</f>
        <v>40148</v>
      </c>
      <c r="J1061" s="8">
        <f>IFERROR(__xludf.DUMMYFUNCTION("""COMPUTED_VALUE"""),0.5222222222218988)</f>
        <v>0.5222222222</v>
      </c>
      <c r="K1061" s="2">
        <f>IFERROR(__xludf.DUMMYFUNCTION("""COMPUTED_VALUE"""),12.0)</f>
        <v>12</v>
      </c>
      <c r="L1061" s="2">
        <f>IFERROR(__xludf.DUMMYFUNCTION("""COMPUTED_VALUE"""),2.1)</f>
        <v>2.1</v>
      </c>
    </row>
    <row r="1062">
      <c r="A1062" s="2">
        <f>IFERROR(__xludf.DUMMYFUNCTION("""COMPUTED_VALUE"""),489548.0)</f>
        <v>489548</v>
      </c>
      <c r="B1062" s="2" t="str">
        <f>IFERROR(__xludf.DUMMYFUNCTION("""COMPUTED_VALUE"""),"20754")</f>
        <v>20754</v>
      </c>
      <c r="C1062" s="2" t="str">
        <f>IFERROR(__xludf.DUMMYFUNCTION("""COMPUTED_VALUE"""),"RETRO RED SPOTTY WASHING UP GLOVES")</f>
        <v>RETRO RED SPOTTY WASHING UP GLOVES</v>
      </c>
      <c r="D1062" s="2">
        <f>IFERROR(__xludf.DUMMYFUNCTION("""COMPUTED_VALUE"""),2.0)</f>
        <v>2</v>
      </c>
      <c r="E1062" s="6">
        <f>IFERROR(__xludf.DUMMYFUNCTION("""COMPUTED_VALUE"""),40148.52222222222)</f>
        <v>40148.52222</v>
      </c>
      <c r="F1062" s="2">
        <f>IFERROR(__xludf.DUMMYFUNCTION("""COMPUTED_VALUE"""),2.1)</f>
        <v>2.1</v>
      </c>
      <c r="G1062" s="2"/>
      <c r="H1062" s="2" t="str">
        <f>IFERROR(__xludf.DUMMYFUNCTION("""COMPUTED_VALUE"""),"United Kingdom")</f>
        <v>United Kingdom</v>
      </c>
      <c r="I1062" s="7">
        <f>IFERROR(__xludf.DUMMYFUNCTION("""COMPUTED_VALUE"""),40148.0)</f>
        <v>40148</v>
      </c>
      <c r="J1062" s="8">
        <f>IFERROR(__xludf.DUMMYFUNCTION("""COMPUTED_VALUE"""),0.5222222222218988)</f>
        <v>0.5222222222</v>
      </c>
      <c r="K1062" s="2">
        <f>IFERROR(__xludf.DUMMYFUNCTION("""COMPUTED_VALUE"""),12.0)</f>
        <v>12</v>
      </c>
      <c r="L1062" s="2">
        <f>IFERROR(__xludf.DUMMYFUNCTION("""COMPUTED_VALUE"""),4.2)</f>
        <v>4.2</v>
      </c>
    </row>
    <row r="1063">
      <c r="A1063" s="2">
        <f>IFERROR(__xludf.DUMMYFUNCTION("""COMPUTED_VALUE"""),489548.0)</f>
        <v>489548</v>
      </c>
      <c r="B1063" s="2" t="str">
        <f>IFERROR(__xludf.DUMMYFUNCTION("""COMPUTED_VALUE"""),"20752")</f>
        <v>20752</v>
      </c>
      <c r="C1063" s="2" t="str">
        <f>IFERROR(__xludf.DUMMYFUNCTION("""COMPUTED_VALUE"""),"RETRO BLUE SPOTTY WASHING UP GLOVES")</f>
        <v>RETRO BLUE SPOTTY WASHING UP GLOVES</v>
      </c>
      <c r="D1063" s="2">
        <f>IFERROR(__xludf.DUMMYFUNCTION("""COMPUTED_VALUE"""),3.0)</f>
        <v>3</v>
      </c>
      <c r="E1063" s="6">
        <f>IFERROR(__xludf.DUMMYFUNCTION("""COMPUTED_VALUE"""),40148.52222222222)</f>
        <v>40148.52222</v>
      </c>
      <c r="F1063" s="2">
        <f>IFERROR(__xludf.DUMMYFUNCTION("""COMPUTED_VALUE"""),2.1)</f>
        <v>2.1</v>
      </c>
      <c r="G1063" s="2"/>
      <c r="H1063" s="2" t="str">
        <f>IFERROR(__xludf.DUMMYFUNCTION("""COMPUTED_VALUE"""),"United Kingdom")</f>
        <v>United Kingdom</v>
      </c>
      <c r="I1063" s="7">
        <f>IFERROR(__xludf.DUMMYFUNCTION("""COMPUTED_VALUE"""),40148.0)</f>
        <v>40148</v>
      </c>
      <c r="J1063" s="8">
        <f>IFERROR(__xludf.DUMMYFUNCTION("""COMPUTED_VALUE"""),0.5222222222218988)</f>
        <v>0.5222222222</v>
      </c>
      <c r="K1063" s="2">
        <f>IFERROR(__xludf.DUMMYFUNCTION("""COMPUTED_VALUE"""),12.0)</f>
        <v>12</v>
      </c>
      <c r="L1063" s="2">
        <f>IFERROR(__xludf.DUMMYFUNCTION("""COMPUTED_VALUE"""),6.3)</f>
        <v>6.3</v>
      </c>
    </row>
    <row r="1064">
      <c r="A1064" s="2">
        <f>IFERROR(__xludf.DUMMYFUNCTION("""COMPUTED_VALUE"""),489548.0)</f>
        <v>489548</v>
      </c>
      <c r="B1064" s="2" t="str">
        <f>IFERROR(__xludf.DUMMYFUNCTION("""COMPUTED_VALUE"""),"21489")</f>
        <v>21489</v>
      </c>
      <c r="C1064" s="2" t="str">
        <f>IFERROR(__xludf.DUMMYFUNCTION("""COMPUTED_VALUE"""),"BLUE WHITE SCARF HOT WATER BOTTLE")</f>
        <v>BLUE WHITE SCARF HOT WATER BOTTLE</v>
      </c>
      <c r="D1064" s="2">
        <f>IFERROR(__xludf.DUMMYFUNCTION("""COMPUTED_VALUE"""),1.0)</f>
        <v>1</v>
      </c>
      <c r="E1064" s="6">
        <f>IFERROR(__xludf.DUMMYFUNCTION("""COMPUTED_VALUE"""),40148.52222222222)</f>
        <v>40148.52222</v>
      </c>
      <c r="F1064" s="2">
        <f>IFERROR(__xludf.DUMMYFUNCTION("""COMPUTED_VALUE"""),3.95)</f>
        <v>3.95</v>
      </c>
      <c r="G1064" s="2"/>
      <c r="H1064" s="2" t="str">
        <f>IFERROR(__xludf.DUMMYFUNCTION("""COMPUTED_VALUE"""),"United Kingdom")</f>
        <v>United Kingdom</v>
      </c>
      <c r="I1064" s="7">
        <f>IFERROR(__xludf.DUMMYFUNCTION("""COMPUTED_VALUE"""),40148.0)</f>
        <v>40148</v>
      </c>
      <c r="J1064" s="8">
        <f>IFERROR(__xludf.DUMMYFUNCTION("""COMPUTED_VALUE"""),0.5222222222218988)</f>
        <v>0.5222222222</v>
      </c>
      <c r="K1064" s="2">
        <f>IFERROR(__xludf.DUMMYFUNCTION("""COMPUTED_VALUE"""),12.0)</f>
        <v>12</v>
      </c>
      <c r="L1064" s="2">
        <f>IFERROR(__xludf.DUMMYFUNCTION("""COMPUTED_VALUE"""),3.95)</f>
        <v>3.95</v>
      </c>
    </row>
    <row r="1065">
      <c r="A1065" s="2">
        <f>IFERROR(__xludf.DUMMYFUNCTION("""COMPUTED_VALUE"""),489548.0)</f>
        <v>489548</v>
      </c>
      <c r="B1065" s="2" t="str">
        <f>IFERROR(__xludf.DUMMYFUNCTION("""COMPUTED_VALUE"""),"21488")</f>
        <v>21488</v>
      </c>
      <c r="C1065" s="2" t="str">
        <f>IFERROR(__xludf.DUMMYFUNCTION("""COMPUTED_VALUE"""),"RED WHITE SCARF HOT WATER BOTTLE")</f>
        <v>RED WHITE SCARF HOT WATER BOTTLE</v>
      </c>
      <c r="D1065" s="2">
        <f>IFERROR(__xludf.DUMMYFUNCTION("""COMPUTED_VALUE"""),1.0)</f>
        <v>1</v>
      </c>
      <c r="E1065" s="6">
        <f>IFERROR(__xludf.DUMMYFUNCTION("""COMPUTED_VALUE"""),40148.52222222222)</f>
        <v>40148.52222</v>
      </c>
      <c r="F1065" s="2">
        <f>IFERROR(__xludf.DUMMYFUNCTION("""COMPUTED_VALUE"""),3.95)</f>
        <v>3.95</v>
      </c>
      <c r="G1065" s="2"/>
      <c r="H1065" s="2" t="str">
        <f>IFERROR(__xludf.DUMMYFUNCTION("""COMPUTED_VALUE"""),"United Kingdom")</f>
        <v>United Kingdom</v>
      </c>
      <c r="I1065" s="7">
        <f>IFERROR(__xludf.DUMMYFUNCTION("""COMPUTED_VALUE"""),40148.0)</f>
        <v>40148</v>
      </c>
      <c r="J1065" s="8">
        <f>IFERROR(__xludf.DUMMYFUNCTION("""COMPUTED_VALUE"""),0.5222222222218988)</f>
        <v>0.5222222222</v>
      </c>
      <c r="K1065" s="2">
        <f>IFERROR(__xludf.DUMMYFUNCTION("""COMPUTED_VALUE"""),12.0)</f>
        <v>12</v>
      </c>
      <c r="L1065" s="2">
        <f>IFERROR(__xludf.DUMMYFUNCTION("""COMPUTED_VALUE"""),3.95)</f>
        <v>3.95</v>
      </c>
    </row>
    <row r="1066">
      <c r="A1066" s="2">
        <f>IFERROR(__xludf.DUMMYFUNCTION("""COMPUTED_VALUE"""),489548.0)</f>
        <v>489548</v>
      </c>
      <c r="B1066" s="2" t="str">
        <f>IFERROR(__xludf.DUMMYFUNCTION("""COMPUTED_VALUE"""),"22281")</f>
        <v>22281</v>
      </c>
      <c r="C1066" s="2" t="str">
        <f>IFERROR(__xludf.DUMMYFUNCTION("""COMPUTED_VALUE"""),"EASTER TREE YELLOW BIRDS")</f>
        <v>EASTER TREE YELLOW BIRDS</v>
      </c>
      <c r="D1066" s="2">
        <f>IFERROR(__xludf.DUMMYFUNCTION("""COMPUTED_VALUE"""),2.0)</f>
        <v>2</v>
      </c>
      <c r="E1066" s="6">
        <f>IFERROR(__xludf.DUMMYFUNCTION("""COMPUTED_VALUE"""),40148.52222222222)</f>
        <v>40148.52222</v>
      </c>
      <c r="F1066" s="2">
        <f>IFERROR(__xludf.DUMMYFUNCTION("""COMPUTED_VALUE"""),5.95)</f>
        <v>5.95</v>
      </c>
      <c r="G1066" s="2"/>
      <c r="H1066" s="2" t="str">
        <f>IFERROR(__xludf.DUMMYFUNCTION("""COMPUTED_VALUE"""),"United Kingdom")</f>
        <v>United Kingdom</v>
      </c>
      <c r="I1066" s="7">
        <f>IFERROR(__xludf.DUMMYFUNCTION("""COMPUTED_VALUE"""),40148.0)</f>
        <v>40148</v>
      </c>
      <c r="J1066" s="8">
        <f>IFERROR(__xludf.DUMMYFUNCTION("""COMPUTED_VALUE"""),0.5222222222218988)</f>
        <v>0.5222222222</v>
      </c>
      <c r="K1066" s="2">
        <f>IFERROR(__xludf.DUMMYFUNCTION("""COMPUTED_VALUE"""),12.0)</f>
        <v>12</v>
      </c>
      <c r="L1066" s="2">
        <f>IFERROR(__xludf.DUMMYFUNCTION("""COMPUTED_VALUE"""),11.9)</f>
        <v>11.9</v>
      </c>
    </row>
    <row r="1067">
      <c r="A1067" s="2">
        <f>IFERROR(__xludf.DUMMYFUNCTION("""COMPUTED_VALUE"""),489548.0)</f>
        <v>489548</v>
      </c>
      <c r="B1067" s="2" t="str">
        <f>IFERROR(__xludf.DUMMYFUNCTION("""COMPUTED_VALUE"""),"21320")</f>
        <v>21320</v>
      </c>
      <c r="C1067" s="2" t="str">
        <f>IFERROR(__xludf.DUMMYFUNCTION("""COMPUTED_VALUE"""),"GLASS CHALICE GREEN LARGE")</f>
        <v>GLASS CHALICE GREEN LARGE</v>
      </c>
      <c r="D1067" s="2">
        <f>IFERROR(__xludf.DUMMYFUNCTION("""COMPUTED_VALUE"""),6.0)</f>
        <v>6</v>
      </c>
      <c r="E1067" s="6">
        <f>IFERROR(__xludf.DUMMYFUNCTION("""COMPUTED_VALUE"""),40148.52222222222)</f>
        <v>40148.52222</v>
      </c>
      <c r="F1067" s="2">
        <f>IFERROR(__xludf.DUMMYFUNCTION("""COMPUTED_VALUE"""),2.55)</f>
        <v>2.55</v>
      </c>
      <c r="G1067" s="2"/>
      <c r="H1067" s="2" t="str">
        <f>IFERROR(__xludf.DUMMYFUNCTION("""COMPUTED_VALUE"""),"United Kingdom")</f>
        <v>United Kingdom</v>
      </c>
      <c r="I1067" s="7">
        <f>IFERROR(__xludf.DUMMYFUNCTION("""COMPUTED_VALUE"""),40148.0)</f>
        <v>40148</v>
      </c>
      <c r="J1067" s="8">
        <f>IFERROR(__xludf.DUMMYFUNCTION("""COMPUTED_VALUE"""),0.5222222222218988)</f>
        <v>0.5222222222</v>
      </c>
      <c r="K1067" s="2">
        <f>IFERROR(__xludf.DUMMYFUNCTION("""COMPUTED_VALUE"""),12.0)</f>
        <v>12</v>
      </c>
      <c r="L1067" s="2">
        <f>IFERROR(__xludf.DUMMYFUNCTION("""COMPUTED_VALUE"""),15.2999999999999)</f>
        <v>15.3</v>
      </c>
    </row>
    <row r="1068">
      <c r="A1068" s="2">
        <f>IFERROR(__xludf.DUMMYFUNCTION("""COMPUTED_VALUE"""),489548.0)</f>
        <v>489548</v>
      </c>
      <c r="B1068" s="2" t="str">
        <f>IFERROR(__xludf.DUMMYFUNCTION("""COMPUTED_VALUE"""),"22302")</f>
        <v>22302</v>
      </c>
      <c r="C1068" s="2" t="str">
        <f>IFERROR(__xludf.DUMMYFUNCTION("""COMPUTED_VALUE"""),"COFFEE MUG PEARS DESIGN")</f>
        <v>COFFEE MUG PEARS DESIGN</v>
      </c>
      <c r="D1068" s="2">
        <f>IFERROR(__xludf.DUMMYFUNCTION("""COMPUTED_VALUE"""),6.0)</f>
        <v>6</v>
      </c>
      <c r="E1068" s="6">
        <f>IFERROR(__xludf.DUMMYFUNCTION("""COMPUTED_VALUE"""),40148.52222222222)</f>
        <v>40148.52222</v>
      </c>
      <c r="F1068" s="2">
        <f>IFERROR(__xludf.DUMMYFUNCTION("""COMPUTED_VALUE"""),2.55)</f>
        <v>2.55</v>
      </c>
      <c r="G1068" s="2"/>
      <c r="H1068" s="2" t="str">
        <f>IFERROR(__xludf.DUMMYFUNCTION("""COMPUTED_VALUE"""),"United Kingdom")</f>
        <v>United Kingdom</v>
      </c>
      <c r="I1068" s="7">
        <f>IFERROR(__xludf.DUMMYFUNCTION("""COMPUTED_VALUE"""),40148.0)</f>
        <v>40148</v>
      </c>
      <c r="J1068" s="8">
        <f>IFERROR(__xludf.DUMMYFUNCTION("""COMPUTED_VALUE"""),0.5222222222218988)</f>
        <v>0.5222222222</v>
      </c>
      <c r="K1068" s="2">
        <f>IFERROR(__xludf.DUMMYFUNCTION("""COMPUTED_VALUE"""),12.0)</f>
        <v>12</v>
      </c>
      <c r="L1068" s="2">
        <f>IFERROR(__xludf.DUMMYFUNCTION("""COMPUTED_VALUE"""),15.2999999999999)</f>
        <v>15.3</v>
      </c>
    </row>
    <row r="1069">
      <c r="A1069" s="2">
        <f>IFERROR(__xludf.DUMMYFUNCTION("""COMPUTED_VALUE"""),489548.0)</f>
        <v>489548</v>
      </c>
      <c r="B1069" s="2" t="str">
        <f>IFERROR(__xludf.DUMMYFUNCTION("""COMPUTED_VALUE"""),"22303")</f>
        <v>22303</v>
      </c>
      <c r="C1069" s="2" t="str">
        <f>IFERROR(__xludf.DUMMYFUNCTION("""COMPUTED_VALUE"""),"COFFEE MUG APPLES DESIGN")</f>
        <v>COFFEE MUG APPLES DESIGN</v>
      </c>
      <c r="D1069" s="2">
        <f>IFERROR(__xludf.DUMMYFUNCTION("""COMPUTED_VALUE"""),6.0)</f>
        <v>6</v>
      </c>
      <c r="E1069" s="6">
        <f>IFERROR(__xludf.DUMMYFUNCTION("""COMPUTED_VALUE"""),40148.52222222222)</f>
        <v>40148.52222</v>
      </c>
      <c r="F1069" s="2">
        <f>IFERROR(__xludf.DUMMYFUNCTION("""COMPUTED_VALUE"""),2.55)</f>
        <v>2.55</v>
      </c>
      <c r="G1069" s="2"/>
      <c r="H1069" s="2" t="str">
        <f>IFERROR(__xludf.DUMMYFUNCTION("""COMPUTED_VALUE"""),"United Kingdom")</f>
        <v>United Kingdom</v>
      </c>
      <c r="I1069" s="7">
        <f>IFERROR(__xludf.DUMMYFUNCTION("""COMPUTED_VALUE"""),40148.0)</f>
        <v>40148</v>
      </c>
      <c r="J1069" s="8">
        <f>IFERROR(__xludf.DUMMYFUNCTION("""COMPUTED_VALUE"""),0.5222222222218988)</f>
        <v>0.5222222222</v>
      </c>
      <c r="K1069" s="2">
        <f>IFERROR(__xludf.DUMMYFUNCTION("""COMPUTED_VALUE"""),12.0)</f>
        <v>12</v>
      </c>
      <c r="L1069" s="2">
        <f>IFERROR(__xludf.DUMMYFUNCTION("""COMPUTED_VALUE"""),15.2999999999999)</f>
        <v>15.3</v>
      </c>
    </row>
    <row r="1070">
      <c r="A1070" s="2">
        <f>IFERROR(__xludf.DUMMYFUNCTION("""COMPUTED_VALUE"""),489548.0)</f>
        <v>489548</v>
      </c>
      <c r="B1070" s="2" t="str">
        <f>IFERROR(__xludf.DUMMYFUNCTION("""COMPUTED_VALUE"""),"21034")</f>
        <v>21034</v>
      </c>
      <c r="C1070" s="2" t="str">
        <f>IFERROR(__xludf.DUMMYFUNCTION("""COMPUTED_VALUE"""),"REX CASH+CARRY JUMBO SHOPPER")</f>
        <v>REX CASH+CARRY JUMBO SHOPPER</v>
      </c>
      <c r="D1070" s="2">
        <f>IFERROR(__xludf.DUMMYFUNCTION("""COMPUTED_VALUE"""),3.0)</f>
        <v>3</v>
      </c>
      <c r="E1070" s="6">
        <f>IFERROR(__xludf.DUMMYFUNCTION("""COMPUTED_VALUE"""),40148.52222222222)</f>
        <v>40148.52222</v>
      </c>
      <c r="F1070" s="2">
        <f>IFERROR(__xludf.DUMMYFUNCTION("""COMPUTED_VALUE"""),0.95)</f>
        <v>0.95</v>
      </c>
      <c r="G1070" s="2"/>
      <c r="H1070" s="2" t="str">
        <f>IFERROR(__xludf.DUMMYFUNCTION("""COMPUTED_VALUE"""),"United Kingdom")</f>
        <v>United Kingdom</v>
      </c>
      <c r="I1070" s="7">
        <f>IFERROR(__xludf.DUMMYFUNCTION("""COMPUTED_VALUE"""),40148.0)</f>
        <v>40148</v>
      </c>
      <c r="J1070" s="8">
        <f>IFERROR(__xludf.DUMMYFUNCTION("""COMPUTED_VALUE"""),0.5222222222218988)</f>
        <v>0.5222222222</v>
      </c>
      <c r="K1070" s="2">
        <f>IFERROR(__xludf.DUMMYFUNCTION("""COMPUTED_VALUE"""),12.0)</f>
        <v>12</v>
      </c>
      <c r="L1070" s="2">
        <f>IFERROR(__xludf.DUMMYFUNCTION("""COMPUTED_VALUE"""),2.84999999999999)</f>
        <v>2.85</v>
      </c>
    </row>
    <row r="1071">
      <c r="A1071" s="2">
        <f>IFERROR(__xludf.DUMMYFUNCTION("""COMPUTED_VALUE"""),489548.0)</f>
        <v>489548</v>
      </c>
      <c r="B1071" s="2" t="str">
        <f>IFERROR(__xludf.DUMMYFUNCTION("""COMPUTED_VALUE"""),"21187")</f>
        <v>21187</v>
      </c>
      <c r="C1071" s="2" t="str">
        <f>IFERROR(__xludf.DUMMYFUNCTION("""COMPUTED_VALUE"""),"WHITE BELL HONEYCOMB PAPER GARLAND")</f>
        <v>WHITE BELL HONEYCOMB PAPER GARLAND</v>
      </c>
      <c r="D1071" s="2">
        <f>IFERROR(__xludf.DUMMYFUNCTION("""COMPUTED_VALUE"""),2.0)</f>
        <v>2</v>
      </c>
      <c r="E1071" s="6">
        <f>IFERROR(__xludf.DUMMYFUNCTION("""COMPUTED_VALUE"""),40148.52222222222)</f>
        <v>40148.52222</v>
      </c>
      <c r="F1071" s="2">
        <f>IFERROR(__xludf.DUMMYFUNCTION("""COMPUTED_VALUE"""),1.65)</f>
        <v>1.65</v>
      </c>
      <c r="G1071" s="2"/>
      <c r="H1071" s="2" t="str">
        <f>IFERROR(__xludf.DUMMYFUNCTION("""COMPUTED_VALUE"""),"United Kingdom")</f>
        <v>United Kingdom</v>
      </c>
      <c r="I1071" s="7">
        <f>IFERROR(__xludf.DUMMYFUNCTION("""COMPUTED_VALUE"""),40148.0)</f>
        <v>40148</v>
      </c>
      <c r="J1071" s="8">
        <f>IFERROR(__xludf.DUMMYFUNCTION("""COMPUTED_VALUE"""),0.5222222222218988)</f>
        <v>0.5222222222</v>
      </c>
      <c r="K1071" s="2">
        <f>IFERROR(__xludf.DUMMYFUNCTION("""COMPUTED_VALUE"""),12.0)</f>
        <v>12</v>
      </c>
      <c r="L1071" s="2">
        <f>IFERROR(__xludf.DUMMYFUNCTION("""COMPUTED_VALUE"""),3.3)</f>
        <v>3.3</v>
      </c>
    </row>
    <row r="1072">
      <c r="A1072" s="2">
        <f>IFERROR(__xludf.DUMMYFUNCTION("""COMPUTED_VALUE"""),489548.0)</f>
        <v>489548</v>
      </c>
      <c r="B1072" s="2" t="str">
        <f>IFERROR(__xludf.DUMMYFUNCTION("""COMPUTED_VALUE"""),"21186")</f>
        <v>21186</v>
      </c>
      <c r="C1072" s="2" t="str">
        <f>IFERROR(__xludf.DUMMYFUNCTION("""COMPUTED_VALUE"""),"WHITE DOVE HONEYCOMB PAPER GARLAND")</f>
        <v>WHITE DOVE HONEYCOMB PAPER GARLAND</v>
      </c>
      <c r="D1072" s="2">
        <f>IFERROR(__xludf.DUMMYFUNCTION("""COMPUTED_VALUE"""),6.0)</f>
        <v>6</v>
      </c>
      <c r="E1072" s="6">
        <f>IFERROR(__xludf.DUMMYFUNCTION("""COMPUTED_VALUE"""),40148.52222222222)</f>
        <v>40148.52222</v>
      </c>
      <c r="F1072" s="2">
        <f>IFERROR(__xludf.DUMMYFUNCTION("""COMPUTED_VALUE"""),1.65)</f>
        <v>1.65</v>
      </c>
      <c r="G1072" s="2"/>
      <c r="H1072" s="2" t="str">
        <f>IFERROR(__xludf.DUMMYFUNCTION("""COMPUTED_VALUE"""),"United Kingdom")</f>
        <v>United Kingdom</v>
      </c>
      <c r="I1072" s="7">
        <f>IFERROR(__xludf.DUMMYFUNCTION("""COMPUTED_VALUE"""),40148.0)</f>
        <v>40148</v>
      </c>
      <c r="J1072" s="8">
        <f>IFERROR(__xludf.DUMMYFUNCTION("""COMPUTED_VALUE"""),0.5222222222218988)</f>
        <v>0.5222222222</v>
      </c>
      <c r="K1072" s="2">
        <f>IFERROR(__xludf.DUMMYFUNCTION("""COMPUTED_VALUE"""),12.0)</f>
        <v>12</v>
      </c>
      <c r="L1072" s="2">
        <f>IFERROR(__xludf.DUMMYFUNCTION("""COMPUTED_VALUE"""),9.89999999999999)</f>
        <v>9.9</v>
      </c>
    </row>
    <row r="1073">
      <c r="A1073" s="2">
        <f>IFERROR(__xludf.DUMMYFUNCTION("""COMPUTED_VALUE"""),489548.0)</f>
        <v>489548</v>
      </c>
      <c r="B1073" s="2" t="str">
        <f>IFERROR(__xludf.DUMMYFUNCTION("""COMPUTED_VALUE"""),"22083")</f>
        <v>22083</v>
      </c>
      <c r="C1073" s="2" t="str">
        <f>IFERROR(__xludf.DUMMYFUNCTION("""COMPUTED_VALUE"""),"PAPER CHAIN KIT RETRO SPOT")</f>
        <v>PAPER CHAIN KIT RETRO SPOT</v>
      </c>
      <c r="D1073" s="2">
        <f>IFERROR(__xludf.DUMMYFUNCTION("""COMPUTED_VALUE"""),3.0)</f>
        <v>3</v>
      </c>
      <c r="E1073" s="6">
        <f>IFERROR(__xludf.DUMMYFUNCTION("""COMPUTED_VALUE"""),40148.52222222222)</f>
        <v>40148.52222</v>
      </c>
      <c r="F1073" s="2">
        <f>IFERROR(__xludf.DUMMYFUNCTION("""COMPUTED_VALUE"""),2.95)</f>
        <v>2.95</v>
      </c>
      <c r="G1073" s="2"/>
      <c r="H1073" s="2" t="str">
        <f>IFERROR(__xludf.DUMMYFUNCTION("""COMPUTED_VALUE"""),"United Kingdom")</f>
        <v>United Kingdom</v>
      </c>
      <c r="I1073" s="7">
        <f>IFERROR(__xludf.DUMMYFUNCTION("""COMPUTED_VALUE"""),40148.0)</f>
        <v>40148</v>
      </c>
      <c r="J1073" s="8">
        <f>IFERROR(__xludf.DUMMYFUNCTION("""COMPUTED_VALUE"""),0.5222222222218988)</f>
        <v>0.5222222222</v>
      </c>
      <c r="K1073" s="2">
        <f>IFERROR(__xludf.DUMMYFUNCTION("""COMPUTED_VALUE"""),12.0)</f>
        <v>12</v>
      </c>
      <c r="L1073" s="2">
        <f>IFERROR(__xludf.DUMMYFUNCTION("""COMPUTED_VALUE"""),8.85)</f>
        <v>8.85</v>
      </c>
    </row>
    <row r="1074">
      <c r="A1074" s="2">
        <f>IFERROR(__xludf.DUMMYFUNCTION("""COMPUTED_VALUE"""),489548.0)</f>
        <v>489548</v>
      </c>
      <c r="B1074" s="2" t="str">
        <f>IFERROR(__xludf.DUMMYFUNCTION("""COMPUTED_VALUE"""),"79000")</f>
        <v>79000</v>
      </c>
      <c r="C1074" s="2" t="str">
        <f>IFERROR(__xludf.DUMMYFUNCTION("""COMPUTED_VALUE"""),"MOROCCAN TEA GLASS")</f>
        <v>MOROCCAN TEA GLASS</v>
      </c>
      <c r="D1074" s="2">
        <f>IFERROR(__xludf.DUMMYFUNCTION("""COMPUTED_VALUE"""),12.0)</f>
        <v>12</v>
      </c>
      <c r="E1074" s="6">
        <f>IFERROR(__xludf.DUMMYFUNCTION("""COMPUTED_VALUE"""),40148.52222222222)</f>
        <v>40148.52222</v>
      </c>
      <c r="F1074" s="2">
        <f>IFERROR(__xludf.DUMMYFUNCTION("""COMPUTED_VALUE"""),0.85)</f>
        <v>0.85</v>
      </c>
      <c r="G1074" s="2"/>
      <c r="H1074" s="2" t="str">
        <f>IFERROR(__xludf.DUMMYFUNCTION("""COMPUTED_VALUE"""),"United Kingdom")</f>
        <v>United Kingdom</v>
      </c>
      <c r="I1074" s="7">
        <f>IFERROR(__xludf.DUMMYFUNCTION("""COMPUTED_VALUE"""),40148.0)</f>
        <v>40148</v>
      </c>
      <c r="J1074" s="8">
        <f>IFERROR(__xludf.DUMMYFUNCTION("""COMPUTED_VALUE"""),0.5222222222218988)</f>
        <v>0.5222222222</v>
      </c>
      <c r="K1074" s="2">
        <f>IFERROR(__xludf.DUMMYFUNCTION("""COMPUTED_VALUE"""),12.0)</f>
        <v>12</v>
      </c>
      <c r="L1074" s="2">
        <f>IFERROR(__xludf.DUMMYFUNCTION("""COMPUTED_VALUE"""),10.2)</f>
        <v>10.2</v>
      </c>
    </row>
    <row r="1075">
      <c r="A1075" s="2">
        <f>IFERROR(__xludf.DUMMYFUNCTION("""COMPUTED_VALUE"""),489548.0)</f>
        <v>489548</v>
      </c>
      <c r="B1075" s="2" t="str">
        <f>IFERROR(__xludf.DUMMYFUNCTION("""COMPUTED_VALUE"""),"22080")</f>
        <v>22080</v>
      </c>
      <c r="C1075" s="2" t="str">
        <f>IFERROR(__xludf.DUMMYFUNCTION("""COMPUTED_VALUE"""),"RIBBON REEL SPOTS DESIGN")</f>
        <v>RIBBON REEL SPOTS DESIGN</v>
      </c>
      <c r="D1075" s="2">
        <f>IFERROR(__xludf.DUMMYFUNCTION("""COMPUTED_VALUE"""),5.0)</f>
        <v>5</v>
      </c>
      <c r="E1075" s="6">
        <f>IFERROR(__xludf.DUMMYFUNCTION("""COMPUTED_VALUE"""),40148.52222222222)</f>
        <v>40148.52222</v>
      </c>
      <c r="F1075" s="2">
        <f>IFERROR(__xludf.DUMMYFUNCTION("""COMPUTED_VALUE"""),1.65)</f>
        <v>1.65</v>
      </c>
      <c r="G1075" s="2"/>
      <c r="H1075" s="2" t="str">
        <f>IFERROR(__xludf.DUMMYFUNCTION("""COMPUTED_VALUE"""),"United Kingdom")</f>
        <v>United Kingdom</v>
      </c>
      <c r="I1075" s="7">
        <f>IFERROR(__xludf.DUMMYFUNCTION("""COMPUTED_VALUE"""),40148.0)</f>
        <v>40148</v>
      </c>
      <c r="J1075" s="8">
        <f>IFERROR(__xludf.DUMMYFUNCTION("""COMPUTED_VALUE"""),0.5222222222218988)</f>
        <v>0.5222222222</v>
      </c>
      <c r="K1075" s="2">
        <f>IFERROR(__xludf.DUMMYFUNCTION("""COMPUTED_VALUE"""),12.0)</f>
        <v>12</v>
      </c>
      <c r="L1075" s="2">
        <f>IFERROR(__xludf.DUMMYFUNCTION("""COMPUTED_VALUE"""),8.25)</f>
        <v>8.25</v>
      </c>
    </row>
    <row r="1076">
      <c r="A1076" s="2">
        <f>IFERROR(__xludf.DUMMYFUNCTION("""COMPUTED_VALUE"""),489548.0)</f>
        <v>489548</v>
      </c>
      <c r="B1076" s="2" t="str">
        <f>IFERROR(__xludf.DUMMYFUNCTION("""COMPUTED_VALUE"""),"84706F")</f>
        <v>84706F</v>
      </c>
      <c r="C1076" s="2" t="str">
        <f>IFERROR(__xludf.DUMMYFUNCTION("""COMPUTED_VALUE"""),"RED PEONY TABLE CLOCK")</f>
        <v>RED PEONY TABLE CLOCK</v>
      </c>
      <c r="D1076" s="2">
        <f>IFERROR(__xludf.DUMMYFUNCTION("""COMPUTED_VALUE"""),1.0)</f>
        <v>1</v>
      </c>
      <c r="E1076" s="6">
        <f>IFERROR(__xludf.DUMMYFUNCTION("""COMPUTED_VALUE"""),40148.52222222222)</f>
        <v>40148.52222</v>
      </c>
      <c r="F1076" s="2">
        <f>IFERROR(__xludf.DUMMYFUNCTION("""COMPUTED_VALUE"""),8.95)</f>
        <v>8.95</v>
      </c>
      <c r="G1076" s="2"/>
      <c r="H1076" s="2" t="str">
        <f>IFERROR(__xludf.DUMMYFUNCTION("""COMPUTED_VALUE"""),"United Kingdom")</f>
        <v>United Kingdom</v>
      </c>
      <c r="I1076" s="7">
        <f>IFERROR(__xludf.DUMMYFUNCTION("""COMPUTED_VALUE"""),40148.0)</f>
        <v>40148</v>
      </c>
      <c r="J1076" s="8">
        <f>IFERROR(__xludf.DUMMYFUNCTION("""COMPUTED_VALUE"""),0.5222222222218988)</f>
        <v>0.5222222222</v>
      </c>
      <c r="K1076" s="2">
        <f>IFERROR(__xludf.DUMMYFUNCTION("""COMPUTED_VALUE"""),12.0)</f>
        <v>12</v>
      </c>
      <c r="L1076" s="2">
        <f>IFERROR(__xludf.DUMMYFUNCTION("""COMPUTED_VALUE"""),8.95)</f>
        <v>8.95</v>
      </c>
    </row>
    <row r="1077">
      <c r="A1077" s="2">
        <f>IFERROR(__xludf.DUMMYFUNCTION("""COMPUTED_VALUE"""),489548.0)</f>
        <v>489548</v>
      </c>
      <c r="B1077" s="2" t="str">
        <f>IFERROR(__xludf.DUMMYFUNCTION("""COMPUTED_VALUE"""),"22274")</f>
        <v>22274</v>
      </c>
      <c r="C1077" s="2" t="str">
        <f>IFERROR(__xludf.DUMMYFUNCTION("""COMPUTED_VALUE"""),"FELTCRAFT DOLL EMILY")</f>
        <v>FELTCRAFT DOLL EMILY</v>
      </c>
      <c r="D1077" s="2">
        <f>IFERROR(__xludf.DUMMYFUNCTION("""COMPUTED_VALUE"""),1.0)</f>
        <v>1</v>
      </c>
      <c r="E1077" s="6">
        <f>IFERROR(__xludf.DUMMYFUNCTION("""COMPUTED_VALUE"""),40148.52222222222)</f>
        <v>40148.52222</v>
      </c>
      <c r="F1077" s="2">
        <f>IFERROR(__xludf.DUMMYFUNCTION("""COMPUTED_VALUE"""),2.95)</f>
        <v>2.95</v>
      </c>
      <c r="G1077" s="2"/>
      <c r="H1077" s="2" t="str">
        <f>IFERROR(__xludf.DUMMYFUNCTION("""COMPUTED_VALUE"""),"United Kingdom")</f>
        <v>United Kingdom</v>
      </c>
      <c r="I1077" s="7">
        <f>IFERROR(__xludf.DUMMYFUNCTION("""COMPUTED_VALUE"""),40148.0)</f>
        <v>40148</v>
      </c>
      <c r="J1077" s="8">
        <f>IFERROR(__xludf.DUMMYFUNCTION("""COMPUTED_VALUE"""),0.5222222222218988)</f>
        <v>0.5222222222</v>
      </c>
      <c r="K1077" s="2">
        <f>IFERROR(__xludf.DUMMYFUNCTION("""COMPUTED_VALUE"""),12.0)</f>
        <v>12</v>
      </c>
      <c r="L1077" s="2">
        <f>IFERROR(__xludf.DUMMYFUNCTION("""COMPUTED_VALUE"""),2.95)</f>
        <v>2.95</v>
      </c>
    </row>
    <row r="1078">
      <c r="A1078" s="2"/>
      <c r="B1078" s="2" t="str">
        <f>IFERROR(__xludf.DUMMYFUNCTION("""COMPUTED_VALUE"""),"35400")</f>
        <v>35400</v>
      </c>
      <c r="C1078" s="2" t="str">
        <f>IFERROR(__xludf.DUMMYFUNCTION("""COMPUTED_VALUE"""),"WOODEN BOX ADVENT CALENDAR")</f>
        <v>WOODEN BOX ADVENT CALENDAR</v>
      </c>
      <c r="D1078" s="2">
        <f>IFERROR(__xludf.DUMMYFUNCTION("""COMPUTED_VALUE"""),-2.0)</f>
        <v>-2</v>
      </c>
      <c r="E1078" s="6">
        <f>IFERROR(__xludf.DUMMYFUNCTION("""COMPUTED_VALUE"""),40148.52291666667)</f>
        <v>40148.52292</v>
      </c>
      <c r="F1078" s="2">
        <f>IFERROR(__xludf.DUMMYFUNCTION("""COMPUTED_VALUE"""),7.95)</f>
        <v>7.95</v>
      </c>
      <c r="G1078" s="2">
        <f>IFERROR(__xludf.DUMMYFUNCTION("""COMPUTED_VALUE"""),13768.0)</f>
        <v>13768</v>
      </c>
      <c r="H1078" s="2" t="str">
        <f>IFERROR(__xludf.DUMMYFUNCTION("""COMPUTED_VALUE"""),"United Kingdom")</f>
        <v>United Kingdom</v>
      </c>
      <c r="I1078" s="7">
        <f>IFERROR(__xludf.DUMMYFUNCTION("""COMPUTED_VALUE"""),40148.0)</f>
        <v>40148</v>
      </c>
      <c r="J1078" s="8">
        <f>IFERROR(__xludf.DUMMYFUNCTION("""COMPUTED_VALUE"""),0.5229166666649689)</f>
        <v>0.5229166667</v>
      </c>
      <c r="K1078" s="2">
        <f>IFERROR(__xludf.DUMMYFUNCTION("""COMPUTED_VALUE"""),12.0)</f>
        <v>12</v>
      </c>
      <c r="L1078" s="2">
        <f>IFERROR(__xludf.DUMMYFUNCTION("""COMPUTED_VALUE"""),-15.9)</f>
        <v>-15.9</v>
      </c>
    </row>
    <row r="1079">
      <c r="A1079" s="2">
        <f>IFERROR(__xludf.DUMMYFUNCTION("""COMPUTED_VALUE"""),489550.0)</f>
        <v>489550</v>
      </c>
      <c r="B1079" s="2" t="str">
        <f>IFERROR(__xludf.DUMMYFUNCTION("""COMPUTED_VALUE"""),"48187")</f>
        <v>48187</v>
      </c>
      <c r="C1079" s="2" t="str">
        <f>IFERROR(__xludf.DUMMYFUNCTION("""COMPUTED_VALUE"""),"DOOR MAT NEW ENGLAND")</f>
        <v>DOOR MAT NEW ENGLAND</v>
      </c>
      <c r="D1079" s="2">
        <f>IFERROR(__xludf.DUMMYFUNCTION("""COMPUTED_VALUE"""),2.0)</f>
        <v>2</v>
      </c>
      <c r="E1079" s="6">
        <f>IFERROR(__xludf.DUMMYFUNCTION("""COMPUTED_VALUE"""),40148.52291666667)</f>
        <v>40148.52292</v>
      </c>
      <c r="F1079" s="2">
        <f>IFERROR(__xludf.DUMMYFUNCTION("""COMPUTED_VALUE"""),6.75)</f>
        <v>6.75</v>
      </c>
      <c r="G1079" s="2">
        <f>IFERROR(__xludf.DUMMYFUNCTION("""COMPUTED_VALUE"""),14156.0)</f>
        <v>14156</v>
      </c>
      <c r="H1079" s="2" t="str">
        <f>IFERROR(__xludf.DUMMYFUNCTION("""COMPUTED_VALUE"""),"EIRE")</f>
        <v>EIRE</v>
      </c>
      <c r="I1079" s="7">
        <f>IFERROR(__xludf.DUMMYFUNCTION("""COMPUTED_VALUE"""),40148.0)</f>
        <v>40148</v>
      </c>
      <c r="J1079" s="8">
        <f>IFERROR(__xludf.DUMMYFUNCTION("""COMPUTED_VALUE"""),0.5229166666649689)</f>
        <v>0.5229166667</v>
      </c>
      <c r="K1079" s="2">
        <f>IFERROR(__xludf.DUMMYFUNCTION("""COMPUTED_VALUE"""),12.0)</f>
        <v>12</v>
      </c>
      <c r="L1079" s="2">
        <f>IFERROR(__xludf.DUMMYFUNCTION("""COMPUTED_VALUE"""),13.5)</f>
        <v>13.5</v>
      </c>
    </row>
    <row r="1080">
      <c r="A1080" s="2">
        <f>IFERROR(__xludf.DUMMYFUNCTION("""COMPUTED_VALUE"""),489550.0)</f>
        <v>489550</v>
      </c>
      <c r="B1080" s="2" t="str">
        <f>IFERROR(__xludf.DUMMYFUNCTION("""COMPUTED_VALUE"""),"21523")</f>
        <v>21523</v>
      </c>
      <c r="C1080" s="2" t="str">
        <f>IFERROR(__xludf.DUMMYFUNCTION("""COMPUTED_VALUE"""),"FANCY FONT HOME SWEET HOME DOORMAT")</f>
        <v>FANCY FONT HOME SWEET HOME DOORMAT</v>
      </c>
      <c r="D1080" s="2">
        <f>IFERROR(__xludf.DUMMYFUNCTION("""COMPUTED_VALUE"""),2.0)</f>
        <v>2</v>
      </c>
      <c r="E1080" s="6">
        <f>IFERROR(__xludf.DUMMYFUNCTION("""COMPUTED_VALUE"""),40148.52291666667)</f>
        <v>40148.52292</v>
      </c>
      <c r="F1080" s="2">
        <f>IFERROR(__xludf.DUMMYFUNCTION("""COMPUTED_VALUE"""),6.75)</f>
        <v>6.75</v>
      </c>
      <c r="G1080" s="2">
        <f>IFERROR(__xludf.DUMMYFUNCTION("""COMPUTED_VALUE"""),14156.0)</f>
        <v>14156</v>
      </c>
      <c r="H1080" s="2" t="str">
        <f>IFERROR(__xludf.DUMMYFUNCTION("""COMPUTED_VALUE"""),"EIRE")</f>
        <v>EIRE</v>
      </c>
      <c r="I1080" s="7">
        <f>IFERROR(__xludf.DUMMYFUNCTION("""COMPUTED_VALUE"""),40148.0)</f>
        <v>40148</v>
      </c>
      <c r="J1080" s="8">
        <f>IFERROR(__xludf.DUMMYFUNCTION("""COMPUTED_VALUE"""),0.5229166666649689)</f>
        <v>0.5229166667</v>
      </c>
      <c r="K1080" s="2">
        <f>IFERROR(__xludf.DUMMYFUNCTION("""COMPUTED_VALUE"""),12.0)</f>
        <v>12</v>
      </c>
      <c r="L1080" s="2">
        <f>IFERROR(__xludf.DUMMYFUNCTION("""COMPUTED_VALUE"""),13.5)</f>
        <v>13.5</v>
      </c>
    </row>
    <row r="1081">
      <c r="A1081" s="2">
        <f>IFERROR(__xludf.DUMMYFUNCTION("""COMPUTED_VALUE"""),489550.0)</f>
        <v>489550</v>
      </c>
      <c r="B1081" s="2" t="str">
        <f>IFERROR(__xludf.DUMMYFUNCTION("""COMPUTED_VALUE"""),"84968C")</f>
        <v>84968C</v>
      </c>
      <c r="C1081" s="2" t="str">
        <f>IFERROR(__xludf.DUMMYFUNCTION("""COMPUTED_VALUE"""),"S/16 VINTAGE PISTACHIO CUTLERY")</f>
        <v>S/16 VINTAGE PISTACHIO CUTLERY</v>
      </c>
      <c r="D1081" s="2">
        <f>IFERROR(__xludf.DUMMYFUNCTION("""COMPUTED_VALUE"""),4.0)</f>
        <v>4</v>
      </c>
      <c r="E1081" s="6">
        <f>IFERROR(__xludf.DUMMYFUNCTION("""COMPUTED_VALUE"""),40148.52291666667)</f>
        <v>40148.52292</v>
      </c>
      <c r="F1081" s="2">
        <f>IFERROR(__xludf.DUMMYFUNCTION("""COMPUTED_VALUE"""),12.75)</f>
        <v>12.75</v>
      </c>
      <c r="G1081" s="2">
        <f>IFERROR(__xludf.DUMMYFUNCTION("""COMPUTED_VALUE"""),14156.0)</f>
        <v>14156</v>
      </c>
      <c r="H1081" s="2" t="str">
        <f>IFERROR(__xludf.DUMMYFUNCTION("""COMPUTED_VALUE"""),"EIRE")</f>
        <v>EIRE</v>
      </c>
      <c r="I1081" s="7">
        <f>IFERROR(__xludf.DUMMYFUNCTION("""COMPUTED_VALUE"""),40148.0)</f>
        <v>40148</v>
      </c>
      <c r="J1081" s="8">
        <f>IFERROR(__xludf.DUMMYFUNCTION("""COMPUTED_VALUE"""),0.5229166666649689)</f>
        <v>0.5229166667</v>
      </c>
      <c r="K1081" s="2">
        <f>IFERROR(__xludf.DUMMYFUNCTION("""COMPUTED_VALUE"""),12.0)</f>
        <v>12</v>
      </c>
      <c r="L1081" s="2">
        <f>IFERROR(__xludf.DUMMYFUNCTION("""COMPUTED_VALUE"""),51.0)</f>
        <v>51</v>
      </c>
    </row>
    <row r="1082">
      <c r="A1082" s="2">
        <f>IFERROR(__xludf.DUMMYFUNCTION("""COMPUTED_VALUE"""),489550.0)</f>
        <v>489550</v>
      </c>
      <c r="B1082" s="2" t="str">
        <f>IFERROR(__xludf.DUMMYFUNCTION("""COMPUTED_VALUE"""),"84968F")</f>
        <v>84968F</v>
      </c>
      <c r="C1082" s="2" t="str">
        <f>IFERROR(__xludf.DUMMYFUNCTION("""COMPUTED_VALUE"""),"S/16 VINTAGE SKY BLUE CUTLERY")</f>
        <v>S/16 VINTAGE SKY BLUE CUTLERY</v>
      </c>
      <c r="D1082" s="2">
        <f>IFERROR(__xludf.DUMMYFUNCTION("""COMPUTED_VALUE"""),2.0)</f>
        <v>2</v>
      </c>
      <c r="E1082" s="6">
        <f>IFERROR(__xludf.DUMMYFUNCTION("""COMPUTED_VALUE"""),40148.52291666667)</f>
        <v>40148.52292</v>
      </c>
      <c r="F1082" s="2">
        <f>IFERROR(__xludf.DUMMYFUNCTION("""COMPUTED_VALUE"""),12.75)</f>
        <v>12.75</v>
      </c>
      <c r="G1082" s="2">
        <f>IFERROR(__xludf.DUMMYFUNCTION("""COMPUTED_VALUE"""),14156.0)</f>
        <v>14156</v>
      </c>
      <c r="H1082" s="2" t="str">
        <f>IFERROR(__xludf.DUMMYFUNCTION("""COMPUTED_VALUE"""),"EIRE")</f>
        <v>EIRE</v>
      </c>
      <c r="I1082" s="7">
        <f>IFERROR(__xludf.DUMMYFUNCTION("""COMPUTED_VALUE"""),40148.0)</f>
        <v>40148</v>
      </c>
      <c r="J1082" s="8">
        <f>IFERROR(__xludf.DUMMYFUNCTION("""COMPUTED_VALUE"""),0.5229166666649689)</f>
        <v>0.5229166667</v>
      </c>
      <c r="K1082" s="2">
        <f>IFERROR(__xludf.DUMMYFUNCTION("""COMPUTED_VALUE"""),12.0)</f>
        <v>12</v>
      </c>
      <c r="L1082" s="2">
        <f>IFERROR(__xludf.DUMMYFUNCTION("""COMPUTED_VALUE"""),25.5)</f>
        <v>25.5</v>
      </c>
    </row>
    <row r="1083">
      <c r="A1083" s="2">
        <f>IFERROR(__xludf.DUMMYFUNCTION("""COMPUTED_VALUE"""),489550.0)</f>
        <v>489550</v>
      </c>
      <c r="B1083" s="2" t="str">
        <f>IFERROR(__xludf.DUMMYFUNCTION("""COMPUTED_VALUE"""),"84968B")</f>
        <v>84968B</v>
      </c>
      <c r="C1083" s="2" t="str">
        <f>IFERROR(__xludf.DUMMYFUNCTION("""COMPUTED_VALUE"""),"S/16 VINTAGE IVORY CUTLERY")</f>
        <v>S/16 VINTAGE IVORY CUTLERY</v>
      </c>
      <c r="D1083" s="2">
        <f>IFERROR(__xludf.DUMMYFUNCTION("""COMPUTED_VALUE"""),2.0)</f>
        <v>2</v>
      </c>
      <c r="E1083" s="6">
        <f>IFERROR(__xludf.DUMMYFUNCTION("""COMPUTED_VALUE"""),40148.52291666667)</f>
        <v>40148.52292</v>
      </c>
      <c r="F1083" s="2">
        <f>IFERROR(__xludf.DUMMYFUNCTION("""COMPUTED_VALUE"""),12.75)</f>
        <v>12.75</v>
      </c>
      <c r="G1083" s="2">
        <f>IFERROR(__xludf.DUMMYFUNCTION("""COMPUTED_VALUE"""),14156.0)</f>
        <v>14156</v>
      </c>
      <c r="H1083" s="2" t="str">
        <f>IFERROR(__xludf.DUMMYFUNCTION("""COMPUTED_VALUE"""),"EIRE")</f>
        <v>EIRE</v>
      </c>
      <c r="I1083" s="7">
        <f>IFERROR(__xludf.DUMMYFUNCTION("""COMPUTED_VALUE"""),40148.0)</f>
        <v>40148</v>
      </c>
      <c r="J1083" s="8">
        <f>IFERROR(__xludf.DUMMYFUNCTION("""COMPUTED_VALUE"""),0.5229166666649689)</f>
        <v>0.5229166667</v>
      </c>
      <c r="K1083" s="2">
        <f>IFERROR(__xludf.DUMMYFUNCTION("""COMPUTED_VALUE"""),12.0)</f>
        <v>12</v>
      </c>
      <c r="L1083" s="2">
        <f>IFERROR(__xludf.DUMMYFUNCTION("""COMPUTED_VALUE"""),25.5)</f>
        <v>25.5</v>
      </c>
    </row>
    <row r="1084">
      <c r="A1084" s="2">
        <f>IFERROR(__xludf.DUMMYFUNCTION("""COMPUTED_VALUE"""),489550.0)</f>
        <v>489550</v>
      </c>
      <c r="B1084" s="2" t="str">
        <f>IFERROR(__xludf.DUMMYFUNCTION("""COMPUTED_VALUE"""),"21977")</f>
        <v>21977</v>
      </c>
      <c r="C1084" s="2" t="str">
        <f>IFERROR(__xludf.DUMMYFUNCTION("""COMPUTED_VALUE"""),"PACK OF 60 PINK PAISLEY CAKE CASES")</f>
        <v>PACK OF 60 PINK PAISLEY CAKE CASES</v>
      </c>
      <c r="D1084" s="2">
        <f>IFERROR(__xludf.DUMMYFUNCTION("""COMPUTED_VALUE"""),48.0)</f>
        <v>48</v>
      </c>
      <c r="E1084" s="6">
        <f>IFERROR(__xludf.DUMMYFUNCTION("""COMPUTED_VALUE"""),40148.52291666667)</f>
        <v>40148.52292</v>
      </c>
      <c r="F1084" s="2">
        <f>IFERROR(__xludf.DUMMYFUNCTION("""COMPUTED_VALUE"""),0.55)</f>
        <v>0.55</v>
      </c>
      <c r="G1084" s="2">
        <f>IFERROR(__xludf.DUMMYFUNCTION("""COMPUTED_VALUE"""),14156.0)</f>
        <v>14156</v>
      </c>
      <c r="H1084" s="2" t="str">
        <f>IFERROR(__xludf.DUMMYFUNCTION("""COMPUTED_VALUE"""),"EIRE")</f>
        <v>EIRE</v>
      </c>
      <c r="I1084" s="7">
        <f>IFERROR(__xludf.DUMMYFUNCTION("""COMPUTED_VALUE"""),40148.0)</f>
        <v>40148</v>
      </c>
      <c r="J1084" s="8">
        <f>IFERROR(__xludf.DUMMYFUNCTION("""COMPUTED_VALUE"""),0.5229166666649689)</f>
        <v>0.5229166667</v>
      </c>
      <c r="K1084" s="2">
        <f>IFERROR(__xludf.DUMMYFUNCTION("""COMPUTED_VALUE"""),12.0)</f>
        <v>12</v>
      </c>
      <c r="L1084" s="2">
        <f>IFERROR(__xludf.DUMMYFUNCTION("""COMPUTED_VALUE"""),26.4)</f>
        <v>26.4</v>
      </c>
    </row>
    <row r="1085">
      <c r="A1085" s="2">
        <f>IFERROR(__xludf.DUMMYFUNCTION("""COMPUTED_VALUE"""),489550.0)</f>
        <v>489550</v>
      </c>
      <c r="B1085" s="2" t="str">
        <f>IFERROR(__xludf.DUMMYFUNCTION("""COMPUTED_VALUE"""),"22276")</f>
        <v>22276</v>
      </c>
      <c r="C1085" s="2" t="str">
        <f>IFERROR(__xludf.DUMMYFUNCTION("""COMPUTED_VALUE"""),"WASH BAG VINTAGE ROSE PAISLEY")</f>
        <v>WASH BAG VINTAGE ROSE PAISLEY</v>
      </c>
      <c r="D1085" s="2">
        <f>IFERROR(__xludf.DUMMYFUNCTION("""COMPUTED_VALUE"""),6.0)</f>
        <v>6</v>
      </c>
      <c r="E1085" s="6">
        <f>IFERROR(__xludf.DUMMYFUNCTION("""COMPUTED_VALUE"""),40148.52291666667)</f>
        <v>40148.52292</v>
      </c>
      <c r="F1085" s="2">
        <f>IFERROR(__xludf.DUMMYFUNCTION("""COMPUTED_VALUE"""),2.55)</f>
        <v>2.55</v>
      </c>
      <c r="G1085" s="2">
        <f>IFERROR(__xludf.DUMMYFUNCTION("""COMPUTED_VALUE"""),14156.0)</f>
        <v>14156</v>
      </c>
      <c r="H1085" s="2" t="str">
        <f>IFERROR(__xludf.DUMMYFUNCTION("""COMPUTED_VALUE"""),"EIRE")</f>
        <v>EIRE</v>
      </c>
      <c r="I1085" s="7">
        <f>IFERROR(__xludf.DUMMYFUNCTION("""COMPUTED_VALUE"""),40148.0)</f>
        <v>40148</v>
      </c>
      <c r="J1085" s="8">
        <f>IFERROR(__xludf.DUMMYFUNCTION("""COMPUTED_VALUE"""),0.5229166666649689)</f>
        <v>0.5229166667</v>
      </c>
      <c r="K1085" s="2">
        <f>IFERROR(__xludf.DUMMYFUNCTION("""COMPUTED_VALUE"""),12.0)</f>
        <v>12</v>
      </c>
      <c r="L1085" s="2">
        <f>IFERROR(__xludf.DUMMYFUNCTION("""COMPUTED_VALUE"""),15.2999999999999)</f>
        <v>15.3</v>
      </c>
    </row>
    <row r="1086">
      <c r="A1086" s="2">
        <f>IFERROR(__xludf.DUMMYFUNCTION("""COMPUTED_VALUE"""),489550.0)</f>
        <v>489550</v>
      </c>
      <c r="B1086" s="2" t="str">
        <f>IFERROR(__xludf.DUMMYFUNCTION("""COMPUTED_VALUE"""),"72760B")</f>
        <v>72760B</v>
      </c>
      <c r="C1086" s="2" t="str">
        <f>IFERROR(__xludf.DUMMYFUNCTION("""COMPUTED_VALUE"""),"VINTAGE CREAM 3 BASKET CAKE STAND")</f>
        <v>VINTAGE CREAM 3 BASKET CAKE STAND</v>
      </c>
      <c r="D1086" s="2">
        <f>IFERROR(__xludf.DUMMYFUNCTION("""COMPUTED_VALUE"""),4.0)</f>
        <v>4</v>
      </c>
      <c r="E1086" s="6">
        <f>IFERROR(__xludf.DUMMYFUNCTION("""COMPUTED_VALUE"""),40148.52291666667)</f>
        <v>40148.52292</v>
      </c>
      <c r="F1086" s="2">
        <f>IFERROR(__xludf.DUMMYFUNCTION("""COMPUTED_VALUE"""),9.95)</f>
        <v>9.95</v>
      </c>
      <c r="G1086" s="2">
        <f>IFERROR(__xludf.DUMMYFUNCTION("""COMPUTED_VALUE"""),14156.0)</f>
        <v>14156</v>
      </c>
      <c r="H1086" s="2" t="str">
        <f>IFERROR(__xludf.DUMMYFUNCTION("""COMPUTED_VALUE"""),"EIRE")</f>
        <v>EIRE</v>
      </c>
      <c r="I1086" s="7">
        <f>IFERROR(__xludf.DUMMYFUNCTION("""COMPUTED_VALUE"""),40148.0)</f>
        <v>40148</v>
      </c>
      <c r="J1086" s="8">
        <f>IFERROR(__xludf.DUMMYFUNCTION("""COMPUTED_VALUE"""),0.5229166666649689)</f>
        <v>0.5229166667</v>
      </c>
      <c r="K1086" s="2">
        <f>IFERROR(__xludf.DUMMYFUNCTION("""COMPUTED_VALUE"""),12.0)</f>
        <v>12</v>
      </c>
      <c r="L1086" s="2">
        <f>IFERROR(__xludf.DUMMYFUNCTION("""COMPUTED_VALUE"""),39.8)</f>
        <v>39.8</v>
      </c>
    </row>
    <row r="1087">
      <c r="A1087" s="2">
        <f>IFERROR(__xludf.DUMMYFUNCTION("""COMPUTED_VALUE"""),489550.0)</f>
        <v>489550</v>
      </c>
      <c r="B1087" s="2" t="str">
        <f>IFERROR(__xludf.DUMMYFUNCTION("""COMPUTED_VALUE"""),"85231L")</f>
        <v>85231L</v>
      </c>
      <c r="C1087" s="2" t="str">
        <f>IFERROR(__xludf.DUMMYFUNCTION("""COMPUTED_VALUE"""),"LAVENDER SCENTED SET/9 T-LIGHTS")</f>
        <v>LAVENDER SCENTED SET/9 T-LIGHTS</v>
      </c>
      <c r="D1087" s="2">
        <f>IFERROR(__xludf.DUMMYFUNCTION("""COMPUTED_VALUE"""),12.0)</f>
        <v>12</v>
      </c>
      <c r="E1087" s="6">
        <f>IFERROR(__xludf.DUMMYFUNCTION("""COMPUTED_VALUE"""),40148.52291666667)</f>
        <v>40148.52292</v>
      </c>
      <c r="F1087" s="2">
        <f>IFERROR(__xludf.DUMMYFUNCTION("""COMPUTED_VALUE"""),0.85)</f>
        <v>0.85</v>
      </c>
      <c r="G1087" s="2">
        <f>IFERROR(__xludf.DUMMYFUNCTION("""COMPUTED_VALUE"""),14156.0)</f>
        <v>14156</v>
      </c>
      <c r="H1087" s="2" t="str">
        <f>IFERROR(__xludf.DUMMYFUNCTION("""COMPUTED_VALUE"""),"EIRE")</f>
        <v>EIRE</v>
      </c>
      <c r="I1087" s="7">
        <f>IFERROR(__xludf.DUMMYFUNCTION("""COMPUTED_VALUE"""),40148.0)</f>
        <v>40148</v>
      </c>
      <c r="J1087" s="8">
        <f>IFERROR(__xludf.DUMMYFUNCTION("""COMPUTED_VALUE"""),0.5229166666649689)</f>
        <v>0.5229166667</v>
      </c>
      <c r="K1087" s="2">
        <f>IFERROR(__xludf.DUMMYFUNCTION("""COMPUTED_VALUE"""),12.0)</f>
        <v>12</v>
      </c>
      <c r="L1087" s="2">
        <f>IFERROR(__xludf.DUMMYFUNCTION("""COMPUTED_VALUE"""),10.2)</f>
        <v>10.2</v>
      </c>
    </row>
    <row r="1088">
      <c r="A1088" s="2">
        <f>IFERROR(__xludf.DUMMYFUNCTION("""COMPUTED_VALUE"""),489550.0)</f>
        <v>489550</v>
      </c>
      <c r="B1088" s="2" t="str">
        <f>IFERROR(__xludf.DUMMYFUNCTION("""COMPUTED_VALUE"""),"85231G")</f>
        <v>85231G</v>
      </c>
      <c r="C1088" s="2" t="str">
        <f>IFERROR(__xludf.DUMMYFUNCTION("""COMPUTED_VALUE"""),"ORANGE SCENTED SET/9 T-LIGHTS")</f>
        <v>ORANGE SCENTED SET/9 T-LIGHTS</v>
      </c>
      <c r="D1088" s="2">
        <f>IFERROR(__xludf.DUMMYFUNCTION("""COMPUTED_VALUE"""),12.0)</f>
        <v>12</v>
      </c>
      <c r="E1088" s="6">
        <f>IFERROR(__xludf.DUMMYFUNCTION("""COMPUTED_VALUE"""),40148.52291666667)</f>
        <v>40148.52292</v>
      </c>
      <c r="F1088" s="2">
        <f>IFERROR(__xludf.DUMMYFUNCTION("""COMPUTED_VALUE"""),0.85)</f>
        <v>0.85</v>
      </c>
      <c r="G1088" s="2">
        <f>IFERROR(__xludf.DUMMYFUNCTION("""COMPUTED_VALUE"""),14156.0)</f>
        <v>14156</v>
      </c>
      <c r="H1088" s="2" t="str">
        <f>IFERROR(__xludf.DUMMYFUNCTION("""COMPUTED_VALUE"""),"EIRE")</f>
        <v>EIRE</v>
      </c>
      <c r="I1088" s="7">
        <f>IFERROR(__xludf.DUMMYFUNCTION("""COMPUTED_VALUE"""),40148.0)</f>
        <v>40148</v>
      </c>
      <c r="J1088" s="8">
        <f>IFERROR(__xludf.DUMMYFUNCTION("""COMPUTED_VALUE"""),0.5229166666649689)</f>
        <v>0.5229166667</v>
      </c>
      <c r="K1088" s="2">
        <f>IFERROR(__xludf.DUMMYFUNCTION("""COMPUTED_VALUE"""),12.0)</f>
        <v>12</v>
      </c>
      <c r="L1088" s="2">
        <f>IFERROR(__xludf.DUMMYFUNCTION("""COMPUTED_VALUE"""),10.2)</f>
        <v>10.2</v>
      </c>
    </row>
    <row r="1089">
      <c r="A1089" s="2">
        <f>IFERROR(__xludf.DUMMYFUNCTION("""COMPUTED_VALUE"""),489550.0)</f>
        <v>489550</v>
      </c>
      <c r="B1089" s="2" t="str">
        <f>IFERROR(__xludf.DUMMYFUNCTION("""COMPUTED_VALUE"""),"21618")</f>
        <v>21618</v>
      </c>
      <c r="C1089" s="2" t="str">
        <f>IFERROR(__xludf.DUMMYFUNCTION("""COMPUTED_VALUE"""),"4 WILDFLOWER BOTANICAL CANDLES")</f>
        <v>4 WILDFLOWER BOTANICAL CANDLES</v>
      </c>
      <c r="D1089" s="2">
        <f>IFERROR(__xludf.DUMMYFUNCTION("""COMPUTED_VALUE"""),6.0)</f>
        <v>6</v>
      </c>
      <c r="E1089" s="6">
        <f>IFERROR(__xludf.DUMMYFUNCTION("""COMPUTED_VALUE"""),40148.52291666667)</f>
        <v>40148.52292</v>
      </c>
      <c r="F1089" s="2">
        <f>IFERROR(__xludf.DUMMYFUNCTION("""COMPUTED_VALUE"""),3.75)</f>
        <v>3.75</v>
      </c>
      <c r="G1089" s="2">
        <f>IFERROR(__xludf.DUMMYFUNCTION("""COMPUTED_VALUE"""),14156.0)</f>
        <v>14156</v>
      </c>
      <c r="H1089" s="2" t="str">
        <f>IFERROR(__xludf.DUMMYFUNCTION("""COMPUTED_VALUE"""),"EIRE")</f>
        <v>EIRE</v>
      </c>
      <c r="I1089" s="7">
        <f>IFERROR(__xludf.DUMMYFUNCTION("""COMPUTED_VALUE"""),40148.0)</f>
        <v>40148</v>
      </c>
      <c r="J1089" s="8">
        <f>IFERROR(__xludf.DUMMYFUNCTION("""COMPUTED_VALUE"""),0.5229166666649689)</f>
        <v>0.5229166667</v>
      </c>
      <c r="K1089" s="2">
        <f>IFERROR(__xludf.DUMMYFUNCTION("""COMPUTED_VALUE"""),12.0)</f>
        <v>12</v>
      </c>
      <c r="L1089" s="2">
        <f>IFERROR(__xludf.DUMMYFUNCTION("""COMPUTED_VALUE"""),22.5)</f>
        <v>22.5</v>
      </c>
    </row>
    <row r="1090">
      <c r="A1090" s="2">
        <f>IFERROR(__xludf.DUMMYFUNCTION("""COMPUTED_VALUE"""),489550.0)</f>
        <v>489550</v>
      </c>
      <c r="B1090" s="2" t="str">
        <f>IFERROR(__xludf.DUMMYFUNCTION("""COMPUTED_VALUE"""),"21615")</f>
        <v>21615</v>
      </c>
      <c r="C1090" s="2" t="str">
        <f>IFERROR(__xludf.DUMMYFUNCTION("""COMPUTED_VALUE"""),"4 LAVENDER BOTANICAL DINNER CANDLES")</f>
        <v>4 LAVENDER BOTANICAL DINNER CANDLES</v>
      </c>
      <c r="D1090" s="2">
        <f>IFERROR(__xludf.DUMMYFUNCTION("""COMPUTED_VALUE"""),6.0)</f>
        <v>6</v>
      </c>
      <c r="E1090" s="6">
        <f>IFERROR(__xludf.DUMMYFUNCTION("""COMPUTED_VALUE"""),40148.52291666667)</f>
        <v>40148.52292</v>
      </c>
      <c r="F1090" s="2">
        <f>IFERROR(__xludf.DUMMYFUNCTION("""COMPUTED_VALUE"""),3.75)</f>
        <v>3.75</v>
      </c>
      <c r="G1090" s="2">
        <f>IFERROR(__xludf.DUMMYFUNCTION("""COMPUTED_VALUE"""),14156.0)</f>
        <v>14156</v>
      </c>
      <c r="H1090" s="2" t="str">
        <f>IFERROR(__xludf.DUMMYFUNCTION("""COMPUTED_VALUE"""),"EIRE")</f>
        <v>EIRE</v>
      </c>
      <c r="I1090" s="7">
        <f>IFERROR(__xludf.DUMMYFUNCTION("""COMPUTED_VALUE"""),40148.0)</f>
        <v>40148</v>
      </c>
      <c r="J1090" s="8">
        <f>IFERROR(__xludf.DUMMYFUNCTION("""COMPUTED_VALUE"""),0.5229166666649689)</f>
        <v>0.5229166667</v>
      </c>
      <c r="K1090" s="2">
        <f>IFERROR(__xludf.DUMMYFUNCTION("""COMPUTED_VALUE"""),12.0)</f>
        <v>12</v>
      </c>
      <c r="L1090" s="2">
        <f>IFERROR(__xludf.DUMMYFUNCTION("""COMPUTED_VALUE"""),22.5)</f>
        <v>22.5</v>
      </c>
    </row>
    <row r="1091">
      <c r="A1091" s="2">
        <f>IFERROR(__xludf.DUMMYFUNCTION("""COMPUTED_VALUE"""),489550.0)</f>
        <v>489550</v>
      </c>
      <c r="B1091" s="2" t="str">
        <f>IFERROR(__xludf.DUMMYFUNCTION("""COMPUTED_VALUE"""),"21619")</f>
        <v>21619</v>
      </c>
      <c r="C1091" s="2" t="str">
        <f>IFERROR(__xludf.DUMMYFUNCTION("""COMPUTED_VALUE"""),"4 VANILLA BOTANICAL CANDLES")</f>
        <v>4 VANILLA BOTANICAL CANDLES</v>
      </c>
      <c r="D1091" s="2">
        <f>IFERROR(__xludf.DUMMYFUNCTION("""COMPUTED_VALUE"""),6.0)</f>
        <v>6</v>
      </c>
      <c r="E1091" s="6">
        <f>IFERROR(__xludf.DUMMYFUNCTION("""COMPUTED_VALUE"""),40148.52291666667)</f>
        <v>40148.52292</v>
      </c>
      <c r="F1091" s="2">
        <f>IFERROR(__xludf.DUMMYFUNCTION("""COMPUTED_VALUE"""),3.75)</f>
        <v>3.75</v>
      </c>
      <c r="G1091" s="2">
        <f>IFERROR(__xludf.DUMMYFUNCTION("""COMPUTED_VALUE"""),14156.0)</f>
        <v>14156</v>
      </c>
      <c r="H1091" s="2" t="str">
        <f>IFERROR(__xludf.DUMMYFUNCTION("""COMPUTED_VALUE"""),"EIRE")</f>
        <v>EIRE</v>
      </c>
      <c r="I1091" s="7">
        <f>IFERROR(__xludf.DUMMYFUNCTION("""COMPUTED_VALUE"""),40148.0)</f>
        <v>40148</v>
      </c>
      <c r="J1091" s="8">
        <f>IFERROR(__xludf.DUMMYFUNCTION("""COMPUTED_VALUE"""),0.5229166666649689)</f>
        <v>0.5229166667</v>
      </c>
      <c r="K1091" s="2">
        <f>IFERROR(__xludf.DUMMYFUNCTION("""COMPUTED_VALUE"""),12.0)</f>
        <v>12</v>
      </c>
      <c r="L1091" s="2">
        <f>IFERROR(__xludf.DUMMYFUNCTION("""COMPUTED_VALUE"""),22.5)</f>
        <v>22.5</v>
      </c>
    </row>
    <row r="1092">
      <c r="A1092" s="2">
        <f>IFERROR(__xludf.DUMMYFUNCTION("""COMPUTED_VALUE"""),489550.0)</f>
        <v>489550</v>
      </c>
      <c r="B1092" s="2" t="str">
        <f>IFERROR(__xludf.DUMMYFUNCTION("""COMPUTED_VALUE"""),"21612")</f>
        <v>21612</v>
      </c>
      <c r="C1092" s="2" t="str">
        <f>IFERROR(__xludf.DUMMYFUNCTION("""COMPUTED_VALUE"""),"SET 12 WILDFLOWER BOTANICAL T-LIGHT")</f>
        <v>SET 12 WILDFLOWER BOTANICAL T-LIGHT</v>
      </c>
      <c r="D1092" s="2">
        <f>IFERROR(__xludf.DUMMYFUNCTION("""COMPUTED_VALUE"""),6.0)</f>
        <v>6</v>
      </c>
      <c r="E1092" s="6">
        <f>IFERROR(__xludf.DUMMYFUNCTION("""COMPUTED_VALUE"""),40148.52291666667)</f>
        <v>40148.52292</v>
      </c>
      <c r="F1092" s="2">
        <f>IFERROR(__xludf.DUMMYFUNCTION("""COMPUTED_VALUE"""),2.95)</f>
        <v>2.95</v>
      </c>
      <c r="G1092" s="2">
        <f>IFERROR(__xludf.DUMMYFUNCTION("""COMPUTED_VALUE"""),14156.0)</f>
        <v>14156</v>
      </c>
      <c r="H1092" s="2" t="str">
        <f>IFERROR(__xludf.DUMMYFUNCTION("""COMPUTED_VALUE"""),"EIRE")</f>
        <v>EIRE</v>
      </c>
      <c r="I1092" s="7">
        <f>IFERROR(__xludf.DUMMYFUNCTION("""COMPUTED_VALUE"""),40148.0)</f>
        <v>40148</v>
      </c>
      <c r="J1092" s="8">
        <f>IFERROR(__xludf.DUMMYFUNCTION("""COMPUTED_VALUE"""),0.5229166666649689)</f>
        <v>0.5229166667</v>
      </c>
      <c r="K1092" s="2">
        <f>IFERROR(__xludf.DUMMYFUNCTION("""COMPUTED_VALUE"""),12.0)</f>
        <v>12</v>
      </c>
      <c r="L1092" s="2">
        <f>IFERROR(__xludf.DUMMYFUNCTION("""COMPUTED_VALUE"""),17.7)</f>
        <v>17.7</v>
      </c>
    </row>
    <row r="1093">
      <c r="A1093" s="2">
        <f>IFERROR(__xludf.DUMMYFUNCTION("""COMPUTED_VALUE"""),489550.0)</f>
        <v>489550</v>
      </c>
      <c r="B1093" s="2" t="str">
        <f>IFERROR(__xludf.DUMMYFUNCTION("""COMPUTED_VALUE"""),"85049A")</f>
        <v>85049A</v>
      </c>
      <c r="C1093" s="2" t="str">
        <f>IFERROR(__xludf.DUMMYFUNCTION("""COMPUTED_VALUE"""),"TRADITIONAL CHRISTMAS RIBBONS")</f>
        <v>TRADITIONAL CHRISTMAS RIBBONS</v>
      </c>
      <c r="D1093" s="2">
        <f>IFERROR(__xludf.DUMMYFUNCTION("""COMPUTED_VALUE"""),12.0)</f>
        <v>12</v>
      </c>
      <c r="E1093" s="6">
        <f>IFERROR(__xludf.DUMMYFUNCTION("""COMPUTED_VALUE"""),40148.52291666667)</f>
        <v>40148.52292</v>
      </c>
      <c r="F1093" s="2">
        <f>IFERROR(__xludf.DUMMYFUNCTION("""COMPUTED_VALUE"""),1.25)</f>
        <v>1.25</v>
      </c>
      <c r="G1093" s="2">
        <f>IFERROR(__xludf.DUMMYFUNCTION("""COMPUTED_VALUE"""),14156.0)</f>
        <v>14156</v>
      </c>
      <c r="H1093" s="2" t="str">
        <f>IFERROR(__xludf.DUMMYFUNCTION("""COMPUTED_VALUE"""),"EIRE")</f>
        <v>EIRE</v>
      </c>
      <c r="I1093" s="7">
        <f>IFERROR(__xludf.DUMMYFUNCTION("""COMPUTED_VALUE"""),40148.0)</f>
        <v>40148</v>
      </c>
      <c r="J1093" s="8">
        <f>IFERROR(__xludf.DUMMYFUNCTION("""COMPUTED_VALUE"""),0.5229166666649689)</f>
        <v>0.5229166667</v>
      </c>
      <c r="K1093" s="2">
        <f>IFERROR(__xludf.DUMMYFUNCTION("""COMPUTED_VALUE"""),12.0)</f>
        <v>12</v>
      </c>
      <c r="L1093" s="2">
        <f>IFERROR(__xludf.DUMMYFUNCTION("""COMPUTED_VALUE"""),15.0)</f>
        <v>15</v>
      </c>
    </row>
    <row r="1094">
      <c r="A1094" s="2">
        <f>IFERROR(__xludf.DUMMYFUNCTION("""COMPUTED_VALUE"""),489550.0)</f>
        <v>489550</v>
      </c>
      <c r="B1094" s="2" t="str">
        <f>IFERROR(__xludf.DUMMYFUNCTION("""COMPUTED_VALUE"""),"85049B")</f>
        <v>85049B</v>
      </c>
      <c r="C1094" s="2" t="str">
        <f>IFERROR(__xludf.DUMMYFUNCTION("""COMPUTED_VALUE"""),"LUSH GREENS RIBBONS")</f>
        <v>LUSH GREENS RIBBONS</v>
      </c>
      <c r="D1094" s="2">
        <f>IFERROR(__xludf.DUMMYFUNCTION("""COMPUTED_VALUE"""),12.0)</f>
        <v>12</v>
      </c>
      <c r="E1094" s="6">
        <f>IFERROR(__xludf.DUMMYFUNCTION("""COMPUTED_VALUE"""),40148.52291666667)</f>
        <v>40148.52292</v>
      </c>
      <c r="F1094" s="2">
        <f>IFERROR(__xludf.DUMMYFUNCTION("""COMPUTED_VALUE"""),1.25)</f>
        <v>1.25</v>
      </c>
      <c r="G1094" s="2">
        <f>IFERROR(__xludf.DUMMYFUNCTION("""COMPUTED_VALUE"""),14156.0)</f>
        <v>14156</v>
      </c>
      <c r="H1094" s="2" t="str">
        <f>IFERROR(__xludf.DUMMYFUNCTION("""COMPUTED_VALUE"""),"EIRE")</f>
        <v>EIRE</v>
      </c>
      <c r="I1094" s="7">
        <f>IFERROR(__xludf.DUMMYFUNCTION("""COMPUTED_VALUE"""),40148.0)</f>
        <v>40148</v>
      </c>
      <c r="J1094" s="8">
        <f>IFERROR(__xludf.DUMMYFUNCTION("""COMPUTED_VALUE"""),0.5229166666649689)</f>
        <v>0.5229166667</v>
      </c>
      <c r="K1094" s="2">
        <f>IFERROR(__xludf.DUMMYFUNCTION("""COMPUTED_VALUE"""),12.0)</f>
        <v>12</v>
      </c>
      <c r="L1094" s="2">
        <f>IFERROR(__xludf.DUMMYFUNCTION("""COMPUTED_VALUE"""),15.0)</f>
        <v>15</v>
      </c>
    </row>
    <row r="1095">
      <c r="A1095" s="2">
        <f>IFERROR(__xludf.DUMMYFUNCTION("""COMPUTED_VALUE"""),489550.0)</f>
        <v>489550</v>
      </c>
      <c r="B1095" s="2" t="str">
        <f>IFERROR(__xludf.DUMMYFUNCTION("""COMPUTED_VALUE"""),"85049G")</f>
        <v>85049G</v>
      </c>
      <c r="C1095" s="2" t="str">
        <f>IFERROR(__xludf.DUMMYFUNCTION("""COMPUTED_VALUE"""),"CHOCOLATE BOX RIBBONS")</f>
        <v>CHOCOLATE BOX RIBBONS</v>
      </c>
      <c r="D1095" s="2">
        <f>IFERROR(__xludf.DUMMYFUNCTION("""COMPUTED_VALUE"""),12.0)</f>
        <v>12</v>
      </c>
      <c r="E1095" s="6">
        <f>IFERROR(__xludf.DUMMYFUNCTION("""COMPUTED_VALUE"""),40148.52291666667)</f>
        <v>40148.52292</v>
      </c>
      <c r="F1095" s="2">
        <f>IFERROR(__xludf.DUMMYFUNCTION("""COMPUTED_VALUE"""),1.25)</f>
        <v>1.25</v>
      </c>
      <c r="G1095" s="2">
        <f>IFERROR(__xludf.DUMMYFUNCTION("""COMPUTED_VALUE"""),14156.0)</f>
        <v>14156</v>
      </c>
      <c r="H1095" s="2" t="str">
        <f>IFERROR(__xludf.DUMMYFUNCTION("""COMPUTED_VALUE"""),"EIRE")</f>
        <v>EIRE</v>
      </c>
      <c r="I1095" s="7">
        <f>IFERROR(__xludf.DUMMYFUNCTION("""COMPUTED_VALUE"""),40148.0)</f>
        <v>40148</v>
      </c>
      <c r="J1095" s="8">
        <f>IFERROR(__xludf.DUMMYFUNCTION("""COMPUTED_VALUE"""),0.5229166666649689)</f>
        <v>0.5229166667</v>
      </c>
      <c r="K1095" s="2">
        <f>IFERROR(__xludf.DUMMYFUNCTION("""COMPUTED_VALUE"""),12.0)</f>
        <v>12</v>
      </c>
      <c r="L1095" s="2">
        <f>IFERROR(__xludf.DUMMYFUNCTION("""COMPUTED_VALUE"""),15.0)</f>
        <v>15</v>
      </c>
    </row>
    <row r="1096">
      <c r="A1096" s="2">
        <f>IFERROR(__xludf.DUMMYFUNCTION("""COMPUTED_VALUE"""),489550.0)</f>
        <v>489550</v>
      </c>
      <c r="B1096" s="2" t="str">
        <f>IFERROR(__xludf.DUMMYFUNCTION("""COMPUTED_VALUE"""),"21175")</f>
        <v>21175</v>
      </c>
      <c r="C1096" s="2" t="str">
        <f>IFERROR(__xludf.DUMMYFUNCTION("""COMPUTED_VALUE"""),"GIN + TONIC DIET METAL SIGN")</f>
        <v>GIN + TONIC DIET METAL SIGN</v>
      </c>
      <c r="D1096" s="2">
        <f>IFERROR(__xludf.DUMMYFUNCTION("""COMPUTED_VALUE"""),6.0)</f>
        <v>6</v>
      </c>
      <c r="E1096" s="6">
        <f>IFERROR(__xludf.DUMMYFUNCTION("""COMPUTED_VALUE"""),40148.52291666667)</f>
        <v>40148.52292</v>
      </c>
      <c r="F1096" s="2">
        <f>IFERROR(__xludf.DUMMYFUNCTION("""COMPUTED_VALUE"""),2.1)</f>
        <v>2.1</v>
      </c>
      <c r="G1096" s="2">
        <f>IFERROR(__xludf.DUMMYFUNCTION("""COMPUTED_VALUE"""),14156.0)</f>
        <v>14156</v>
      </c>
      <c r="H1096" s="2" t="str">
        <f>IFERROR(__xludf.DUMMYFUNCTION("""COMPUTED_VALUE"""),"EIRE")</f>
        <v>EIRE</v>
      </c>
      <c r="I1096" s="7">
        <f>IFERROR(__xludf.DUMMYFUNCTION("""COMPUTED_VALUE"""),40148.0)</f>
        <v>40148</v>
      </c>
      <c r="J1096" s="8">
        <f>IFERROR(__xludf.DUMMYFUNCTION("""COMPUTED_VALUE"""),0.5229166666649689)</f>
        <v>0.5229166667</v>
      </c>
      <c r="K1096" s="2">
        <f>IFERROR(__xludf.DUMMYFUNCTION("""COMPUTED_VALUE"""),12.0)</f>
        <v>12</v>
      </c>
      <c r="L1096" s="2">
        <f>IFERROR(__xludf.DUMMYFUNCTION("""COMPUTED_VALUE"""),12.6)</f>
        <v>12.6</v>
      </c>
    </row>
    <row r="1097">
      <c r="A1097" s="2">
        <f>IFERROR(__xludf.DUMMYFUNCTION("""COMPUTED_VALUE"""),489550.0)</f>
        <v>489550</v>
      </c>
      <c r="B1097" s="2" t="str">
        <f>IFERROR(__xludf.DUMMYFUNCTION("""COMPUTED_VALUE"""),"21770")</f>
        <v>21770</v>
      </c>
      <c r="C1097" s="2" t="str">
        <f>IFERROR(__xludf.DUMMYFUNCTION("""COMPUTED_VALUE"""),"OPEN CLOSED METAL SIGN")</f>
        <v>OPEN CLOSED METAL SIGN</v>
      </c>
      <c r="D1097" s="2">
        <f>IFERROR(__xludf.DUMMYFUNCTION("""COMPUTED_VALUE"""),2.0)</f>
        <v>2</v>
      </c>
      <c r="E1097" s="6">
        <f>IFERROR(__xludf.DUMMYFUNCTION("""COMPUTED_VALUE"""),40148.52291666667)</f>
        <v>40148.52292</v>
      </c>
      <c r="F1097" s="2">
        <f>IFERROR(__xludf.DUMMYFUNCTION("""COMPUTED_VALUE"""),4.95)</f>
        <v>4.95</v>
      </c>
      <c r="G1097" s="2">
        <f>IFERROR(__xludf.DUMMYFUNCTION("""COMPUTED_VALUE"""),14156.0)</f>
        <v>14156</v>
      </c>
      <c r="H1097" s="2" t="str">
        <f>IFERROR(__xludf.DUMMYFUNCTION("""COMPUTED_VALUE"""),"EIRE")</f>
        <v>EIRE</v>
      </c>
      <c r="I1097" s="7">
        <f>IFERROR(__xludf.DUMMYFUNCTION("""COMPUTED_VALUE"""),40148.0)</f>
        <v>40148</v>
      </c>
      <c r="J1097" s="8">
        <f>IFERROR(__xludf.DUMMYFUNCTION("""COMPUTED_VALUE"""),0.5229166666649689)</f>
        <v>0.5229166667</v>
      </c>
      <c r="K1097" s="2">
        <f>IFERROR(__xludf.DUMMYFUNCTION("""COMPUTED_VALUE"""),12.0)</f>
        <v>12</v>
      </c>
      <c r="L1097" s="2">
        <f>IFERROR(__xludf.DUMMYFUNCTION("""COMPUTED_VALUE"""),9.9)</f>
        <v>9.9</v>
      </c>
    </row>
    <row r="1098">
      <c r="A1098" s="2">
        <f>IFERROR(__xludf.DUMMYFUNCTION("""COMPUTED_VALUE"""),489550.0)</f>
        <v>489550</v>
      </c>
      <c r="B1098" s="2" t="str">
        <f>IFERROR(__xludf.DUMMYFUNCTION("""COMPUTED_VALUE"""),"20747")</f>
        <v>20747</v>
      </c>
      <c r="C1098" s="2" t="str">
        <f>IFERROR(__xludf.DUMMYFUNCTION("""COMPUTED_VALUE"""),"PICCADILLY TEA SET")</f>
        <v>PICCADILLY TEA SET</v>
      </c>
      <c r="D1098" s="2">
        <f>IFERROR(__xludf.DUMMYFUNCTION("""COMPUTED_VALUE"""),2.0)</f>
        <v>2</v>
      </c>
      <c r="E1098" s="6">
        <f>IFERROR(__xludf.DUMMYFUNCTION("""COMPUTED_VALUE"""),40148.52291666667)</f>
        <v>40148.52292</v>
      </c>
      <c r="F1098" s="2">
        <f>IFERROR(__xludf.DUMMYFUNCTION("""COMPUTED_VALUE"""),14.95)</f>
        <v>14.95</v>
      </c>
      <c r="G1098" s="2">
        <f>IFERROR(__xludf.DUMMYFUNCTION("""COMPUTED_VALUE"""),14156.0)</f>
        <v>14156</v>
      </c>
      <c r="H1098" s="2" t="str">
        <f>IFERROR(__xludf.DUMMYFUNCTION("""COMPUTED_VALUE"""),"EIRE")</f>
        <v>EIRE</v>
      </c>
      <c r="I1098" s="7">
        <f>IFERROR(__xludf.DUMMYFUNCTION("""COMPUTED_VALUE"""),40148.0)</f>
        <v>40148</v>
      </c>
      <c r="J1098" s="8">
        <f>IFERROR(__xludf.DUMMYFUNCTION("""COMPUTED_VALUE"""),0.5229166666649689)</f>
        <v>0.5229166667</v>
      </c>
      <c r="K1098" s="2">
        <f>IFERROR(__xludf.DUMMYFUNCTION("""COMPUTED_VALUE"""),12.0)</f>
        <v>12</v>
      </c>
      <c r="L1098" s="2">
        <f>IFERROR(__xludf.DUMMYFUNCTION("""COMPUTED_VALUE"""),29.9)</f>
        <v>29.9</v>
      </c>
    </row>
    <row r="1099">
      <c r="A1099" s="2">
        <f>IFERROR(__xludf.DUMMYFUNCTION("""COMPUTED_VALUE"""),489550.0)</f>
        <v>489550</v>
      </c>
      <c r="B1099" s="2" t="str">
        <f>IFERROR(__xludf.DUMMYFUNCTION("""COMPUTED_VALUE"""),"37500")</f>
        <v>37500</v>
      </c>
      <c r="C1099" s="2" t="str">
        <f>IFERROR(__xludf.DUMMYFUNCTION("""COMPUTED_VALUE"""),"TEA TIME TEAPOT IN GIFT BOX")</f>
        <v>TEA TIME TEAPOT IN GIFT BOX</v>
      </c>
      <c r="D1099" s="2">
        <f>IFERROR(__xludf.DUMMYFUNCTION("""COMPUTED_VALUE"""),2.0)</f>
        <v>2</v>
      </c>
      <c r="E1099" s="6">
        <f>IFERROR(__xludf.DUMMYFUNCTION("""COMPUTED_VALUE"""),40148.52291666667)</f>
        <v>40148.52292</v>
      </c>
      <c r="F1099" s="2">
        <f>IFERROR(__xludf.DUMMYFUNCTION("""COMPUTED_VALUE"""),9.95)</f>
        <v>9.95</v>
      </c>
      <c r="G1099" s="2">
        <f>IFERROR(__xludf.DUMMYFUNCTION("""COMPUTED_VALUE"""),14156.0)</f>
        <v>14156</v>
      </c>
      <c r="H1099" s="2" t="str">
        <f>IFERROR(__xludf.DUMMYFUNCTION("""COMPUTED_VALUE"""),"EIRE")</f>
        <v>EIRE</v>
      </c>
      <c r="I1099" s="7">
        <f>IFERROR(__xludf.DUMMYFUNCTION("""COMPUTED_VALUE"""),40148.0)</f>
        <v>40148</v>
      </c>
      <c r="J1099" s="8">
        <f>IFERROR(__xludf.DUMMYFUNCTION("""COMPUTED_VALUE"""),0.5229166666649689)</f>
        <v>0.5229166667</v>
      </c>
      <c r="K1099" s="2">
        <f>IFERROR(__xludf.DUMMYFUNCTION("""COMPUTED_VALUE"""),12.0)</f>
        <v>12</v>
      </c>
      <c r="L1099" s="2">
        <f>IFERROR(__xludf.DUMMYFUNCTION("""COMPUTED_VALUE"""),19.9)</f>
        <v>19.9</v>
      </c>
    </row>
    <row r="1100">
      <c r="A1100" s="2">
        <f>IFERROR(__xludf.DUMMYFUNCTION("""COMPUTED_VALUE"""),489550.0)</f>
        <v>489550</v>
      </c>
      <c r="B1100" s="2" t="str">
        <f>IFERROR(__xludf.DUMMYFUNCTION("""COMPUTED_VALUE"""),"84991")</f>
        <v>84991</v>
      </c>
      <c r="C1100" s="2" t="str">
        <f>IFERROR(__xludf.DUMMYFUNCTION("""COMPUTED_VALUE"""),"60 TEATIME FAIRY CAKE CASES")</f>
        <v>60 TEATIME FAIRY CAKE CASES</v>
      </c>
      <c r="D1100" s="2">
        <f>IFERROR(__xludf.DUMMYFUNCTION("""COMPUTED_VALUE"""),48.0)</f>
        <v>48</v>
      </c>
      <c r="E1100" s="6">
        <f>IFERROR(__xludf.DUMMYFUNCTION("""COMPUTED_VALUE"""),40148.52291666667)</f>
        <v>40148.52292</v>
      </c>
      <c r="F1100" s="2">
        <f>IFERROR(__xludf.DUMMYFUNCTION("""COMPUTED_VALUE"""),0.55)</f>
        <v>0.55</v>
      </c>
      <c r="G1100" s="2">
        <f>IFERROR(__xludf.DUMMYFUNCTION("""COMPUTED_VALUE"""),14156.0)</f>
        <v>14156</v>
      </c>
      <c r="H1100" s="2" t="str">
        <f>IFERROR(__xludf.DUMMYFUNCTION("""COMPUTED_VALUE"""),"EIRE")</f>
        <v>EIRE</v>
      </c>
      <c r="I1100" s="7">
        <f>IFERROR(__xludf.DUMMYFUNCTION("""COMPUTED_VALUE"""),40148.0)</f>
        <v>40148</v>
      </c>
      <c r="J1100" s="8">
        <f>IFERROR(__xludf.DUMMYFUNCTION("""COMPUTED_VALUE"""),0.5229166666649689)</f>
        <v>0.5229166667</v>
      </c>
      <c r="K1100" s="2">
        <f>IFERROR(__xludf.DUMMYFUNCTION("""COMPUTED_VALUE"""),12.0)</f>
        <v>12</v>
      </c>
      <c r="L1100" s="2">
        <f>IFERROR(__xludf.DUMMYFUNCTION("""COMPUTED_VALUE"""),26.4)</f>
        <v>26.4</v>
      </c>
    </row>
    <row r="1101">
      <c r="A1101" s="2">
        <f>IFERROR(__xludf.DUMMYFUNCTION("""COMPUTED_VALUE"""),489550.0)</f>
        <v>489550</v>
      </c>
      <c r="B1101" s="2" t="str">
        <f>IFERROR(__xludf.DUMMYFUNCTION("""COMPUTED_VALUE"""),"21637")</f>
        <v>21637</v>
      </c>
      <c r="C1101" s="2" t="str">
        <f>IFERROR(__xludf.DUMMYFUNCTION("""COMPUTED_VALUE"""),"ASSORTED SANSKRIT MINI NOTEBOOK")</f>
        <v>ASSORTED SANSKRIT MINI NOTEBOOK</v>
      </c>
      <c r="D1101" s="2">
        <f>IFERROR(__xludf.DUMMYFUNCTION("""COMPUTED_VALUE"""),18.0)</f>
        <v>18</v>
      </c>
      <c r="E1101" s="6">
        <f>IFERROR(__xludf.DUMMYFUNCTION("""COMPUTED_VALUE"""),40148.52291666667)</f>
        <v>40148.52292</v>
      </c>
      <c r="F1101" s="2">
        <f>IFERROR(__xludf.DUMMYFUNCTION("""COMPUTED_VALUE"""),1.25)</f>
        <v>1.25</v>
      </c>
      <c r="G1101" s="2">
        <f>IFERROR(__xludf.DUMMYFUNCTION("""COMPUTED_VALUE"""),14156.0)</f>
        <v>14156</v>
      </c>
      <c r="H1101" s="2" t="str">
        <f>IFERROR(__xludf.DUMMYFUNCTION("""COMPUTED_VALUE"""),"EIRE")</f>
        <v>EIRE</v>
      </c>
      <c r="I1101" s="7">
        <f>IFERROR(__xludf.DUMMYFUNCTION("""COMPUTED_VALUE"""),40148.0)</f>
        <v>40148</v>
      </c>
      <c r="J1101" s="8">
        <f>IFERROR(__xludf.DUMMYFUNCTION("""COMPUTED_VALUE"""),0.5229166666649689)</f>
        <v>0.5229166667</v>
      </c>
      <c r="K1101" s="2">
        <f>IFERROR(__xludf.DUMMYFUNCTION("""COMPUTED_VALUE"""),12.0)</f>
        <v>12</v>
      </c>
      <c r="L1101" s="2">
        <f>IFERROR(__xludf.DUMMYFUNCTION("""COMPUTED_VALUE"""),22.5)</f>
        <v>22.5</v>
      </c>
    </row>
    <row r="1102">
      <c r="A1102" s="2"/>
      <c r="B1102" s="2" t="str">
        <f>IFERROR(__xludf.DUMMYFUNCTION("""COMPUTED_VALUE"""),"85048")</f>
        <v>85048</v>
      </c>
      <c r="C1102" s="2" t="str">
        <f>IFERROR(__xludf.DUMMYFUNCTION("""COMPUTED_VALUE"""),"15CM CHRISTMAS GLASS BALL 20 LIGHTS")</f>
        <v>15CM CHRISTMAS GLASS BALL 20 LIGHTS</v>
      </c>
      <c r="D1102" s="2">
        <f>IFERROR(__xludf.DUMMYFUNCTION("""COMPUTED_VALUE"""),-1.0)</f>
        <v>-1</v>
      </c>
      <c r="E1102" s="6">
        <f>IFERROR(__xludf.DUMMYFUNCTION("""COMPUTED_VALUE"""),40148.524305555555)</f>
        <v>40148.52431</v>
      </c>
      <c r="F1102" s="2">
        <f>IFERROR(__xludf.DUMMYFUNCTION("""COMPUTED_VALUE"""),6.95)</f>
        <v>6.95</v>
      </c>
      <c r="G1102" s="2">
        <f>IFERROR(__xludf.DUMMYFUNCTION("""COMPUTED_VALUE"""),17641.0)</f>
        <v>17641</v>
      </c>
      <c r="H1102" s="2" t="str">
        <f>IFERROR(__xludf.DUMMYFUNCTION("""COMPUTED_VALUE"""),"United Kingdom")</f>
        <v>United Kingdom</v>
      </c>
      <c r="I1102" s="7">
        <f>IFERROR(__xludf.DUMMYFUNCTION("""COMPUTED_VALUE"""),40148.0)</f>
        <v>40148</v>
      </c>
      <c r="J1102" s="8">
        <f>IFERROR(__xludf.DUMMYFUNCTION("""COMPUTED_VALUE"""),0.5243055555547471)</f>
        <v>0.5243055556</v>
      </c>
      <c r="K1102" s="2">
        <f>IFERROR(__xludf.DUMMYFUNCTION("""COMPUTED_VALUE"""),12.0)</f>
        <v>12</v>
      </c>
      <c r="L1102" s="2">
        <f>IFERROR(__xludf.DUMMYFUNCTION("""COMPUTED_VALUE"""),-6.95)</f>
        <v>-6.95</v>
      </c>
    </row>
    <row r="1103">
      <c r="A1103" s="2">
        <f>IFERROR(__xludf.DUMMYFUNCTION("""COMPUTED_VALUE"""),489552.0)</f>
        <v>489552</v>
      </c>
      <c r="B1103" s="2" t="str">
        <f>IFERROR(__xludf.DUMMYFUNCTION("""COMPUTED_VALUE"""),"35400")</f>
        <v>35400</v>
      </c>
      <c r="C1103" s="2" t="str">
        <f>IFERROR(__xludf.DUMMYFUNCTION("""COMPUTED_VALUE"""),"WOODEN BOX ADVENT CALENDAR")</f>
        <v>WOODEN BOX ADVENT CALENDAR</v>
      </c>
      <c r="D1103" s="2">
        <f>IFERROR(__xludf.DUMMYFUNCTION("""COMPUTED_VALUE"""),1.0)</f>
        <v>1</v>
      </c>
      <c r="E1103" s="6">
        <f>IFERROR(__xludf.DUMMYFUNCTION("""COMPUTED_VALUE"""),40148.525)</f>
        <v>40148.525</v>
      </c>
      <c r="F1103" s="2">
        <f>IFERROR(__xludf.DUMMYFUNCTION("""COMPUTED_VALUE"""),8.95)</f>
        <v>8.95</v>
      </c>
      <c r="G1103" s="2">
        <f>IFERROR(__xludf.DUMMYFUNCTION("""COMPUTED_VALUE"""),17063.0)</f>
        <v>17063</v>
      </c>
      <c r="H1103" s="2" t="str">
        <f>IFERROR(__xludf.DUMMYFUNCTION("""COMPUTED_VALUE"""),"United Kingdom")</f>
        <v>United Kingdom</v>
      </c>
      <c r="I1103" s="7">
        <f>IFERROR(__xludf.DUMMYFUNCTION("""COMPUTED_VALUE"""),40148.0)</f>
        <v>40148</v>
      </c>
      <c r="J1103" s="8">
        <f>IFERROR(__xludf.DUMMYFUNCTION("""COMPUTED_VALUE"""),0.5250000000014552)</f>
        <v>0.525</v>
      </c>
      <c r="K1103" s="2">
        <f>IFERROR(__xludf.DUMMYFUNCTION("""COMPUTED_VALUE"""),12.0)</f>
        <v>12</v>
      </c>
      <c r="L1103" s="2">
        <f>IFERROR(__xludf.DUMMYFUNCTION("""COMPUTED_VALUE"""),8.95)</f>
        <v>8.95</v>
      </c>
    </row>
    <row r="1104">
      <c r="A1104" s="2">
        <f>IFERROR(__xludf.DUMMYFUNCTION("""COMPUTED_VALUE"""),489552.0)</f>
        <v>489552</v>
      </c>
      <c r="B1104" s="2" t="str">
        <f>IFERROR(__xludf.DUMMYFUNCTION("""COMPUTED_VALUE"""),"21901")</f>
        <v>21901</v>
      </c>
      <c r="C1104" s="2" t="str">
        <f>IFERROR(__xludf.DUMMYFUNCTION("""COMPUTED_VALUE"""),"KEY FOB , BACK DOOR")</f>
        <v>KEY FOB , BACK DOOR</v>
      </c>
      <c r="D1104" s="2">
        <f>IFERROR(__xludf.DUMMYFUNCTION("""COMPUTED_VALUE"""),10.0)</f>
        <v>10</v>
      </c>
      <c r="E1104" s="6">
        <f>IFERROR(__xludf.DUMMYFUNCTION("""COMPUTED_VALUE"""),40148.525)</f>
        <v>40148.525</v>
      </c>
      <c r="F1104" s="2">
        <f>IFERROR(__xludf.DUMMYFUNCTION("""COMPUTED_VALUE"""),0.65)</f>
        <v>0.65</v>
      </c>
      <c r="G1104" s="2">
        <f>IFERROR(__xludf.DUMMYFUNCTION("""COMPUTED_VALUE"""),17063.0)</f>
        <v>17063</v>
      </c>
      <c r="H1104" s="2" t="str">
        <f>IFERROR(__xludf.DUMMYFUNCTION("""COMPUTED_VALUE"""),"United Kingdom")</f>
        <v>United Kingdom</v>
      </c>
      <c r="I1104" s="7">
        <f>IFERROR(__xludf.DUMMYFUNCTION("""COMPUTED_VALUE"""),40148.0)</f>
        <v>40148</v>
      </c>
      <c r="J1104" s="8">
        <f>IFERROR(__xludf.DUMMYFUNCTION("""COMPUTED_VALUE"""),0.5250000000014552)</f>
        <v>0.525</v>
      </c>
      <c r="K1104" s="2">
        <f>IFERROR(__xludf.DUMMYFUNCTION("""COMPUTED_VALUE"""),12.0)</f>
        <v>12</v>
      </c>
      <c r="L1104" s="2">
        <f>IFERROR(__xludf.DUMMYFUNCTION("""COMPUTED_VALUE"""),6.5)</f>
        <v>6.5</v>
      </c>
    </row>
    <row r="1105">
      <c r="A1105" s="2">
        <f>IFERROR(__xludf.DUMMYFUNCTION("""COMPUTED_VALUE"""),489552.0)</f>
        <v>489552</v>
      </c>
      <c r="B1105" s="2" t="str">
        <f>IFERROR(__xludf.DUMMYFUNCTION("""COMPUTED_VALUE"""),"21900")</f>
        <v>21900</v>
      </c>
      <c r="C1105" s="2" t="str">
        <f>IFERROR(__xludf.DUMMYFUNCTION("""COMPUTED_VALUE"""),"KEY FOB , SHED")</f>
        <v>KEY FOB , SHED</v>
      </c>
      <c r="D1105" s="2">
        <f>IFERROR(__xludf.DUMMYFUNCTION("""COMPUTED_VALUE"""),10.0)</f>
        <v>10</v>
      </c>
      <c r="E1105" s="6">
        <f>IFERROR(__xludf.DUMMYFUNCTION("""COMPUTED_VALUE"""),40148.525)</f>
        <v>40148.525</v>
      </c>
      <c r="F1105" s="2">
        <f>IFERROR(__xludf.DUMMYFUNCTION("""COMPUTED_VALUE"""),0.65)</f>
        <v>0.65</v>
      </c>
      <c r="G1105" s="2">
        <f>IFERROR(__xludf.DUMMYFUNCTION("""COMPUTED_VALUE"""),17063.0)</f>
        <v>17063</v>
      </c>
      <c r="H1105" s="2" t="str">
        <f>IFERROR(__xludf.DUMMYFUNCTION("""COMPUTED_VALUE"""),"United Kingdom")</f>
        <v>United Kingdom</v>
      </c>
      <c r="I1105" s="7">
        <f>IFERROR(__xludf.DUMMYFUNCTION("""COMPUTED_VALUE"""),40148.0)</f>
        <v>40148</v>
      </c>
      <c r="J1105" s="8">
        <f>IFERROR(__xludf.DUMMYFUNCTION("""COMPUTED_VALUE"""),0.5250000000014552)</f>
        <v>0.525</v>
      </c>
      <c r="K1105" s="2">
        <f>IFERROR(__xludf.DUMMYFUNCTION("""COMPUTED_VALUE"""),12.0)</f>
        <v>12</v>
      </c>
      <c r="L1105" s="2">
        <f>IFERROR(__xludf.DUMMYFUNCTION("""COMPUTED_VALUE"""),6.5)</f>
        <v>6.5</v>
      </c>
    </row>
    <row r="1106">
      <c r="A1106" s="2">
        <f>IFERROR(__xludf.DUMMYFUNCTION("""COMPUTED_VALUE"""),489552.0)</f>
        <v>489552</v>
      </c>
      <c r="B1106" s="2" t="str">
        <f>IFERROR(__xludf.DUMMYFUNCTION("""COMPUTED_VALUE"""),"21902")</f>
        <v>21902</v>
      </c>
      <c r="C1106" s="2" t="str">
        <f>IFERROR(__xludf.DUMMYFUNCTION("""COMPUTED_VALUE"""),"KEY FOB , FRONT DOOR")</f>
        <v>KEY FOB , FRONT DOOR</v>
      </c>
      <c r="D1106" s="2">
        <f>IFERROR(__xludf.DUMMYFUNCTION("""COMPUTED_VALUE"""),12.0)</f>
        <v>12</v>
      </c>
      <c r="E1106" s="6">
        <f>IFERROR(__xludf.DUMMYFUNCTION("""COMPUTED_VALUE"""),40148.525)</f>
        <v>40148.525</v>
      </c>
      <c r="F1106" s="2">
        <f>IFERROR(__xludf.DUMMYFUNCTION("""COMPUTED_VALUE"""),0.65)</f>
        <v>0.65</v>
      </c>
      <c r="G1106" s="2">
        <f>IFERROR(__xludf.DUMMYFUNCTION("""COMPUTED_VALUE"""),17063.0)</f>
        <v>17063</v>
      </c>
      <c r="H1106" s="2" t="str">
        <f>IFERROR(__xludf.DUMMYFUNCTION("""COMPUTED_VALUE"""),"United Kingdom")</f>
        <v>United Kingdom</v>
      </c>
      <c r="I1106" s="7">
        <f>IFERROR(__xludf.DUMMYFUNCTION("""COMPUTED_VALUE"""),40148.0)</f>
        <v>40148</v>
      </c>
      <c r="J1106" s="8">
        <f>IFERROR(__xludf.DUMMYFUNCTION("""COMPUTED_VALUE"""),0.5250000000014552)</f>
        <v>0.525</v>
      </c>
      <c r="K1106" s="2">
        <f>IFERROR(__xludf.DUMMYFUNCTION("""COMPUTED_VALUE"""),12.0)</f>
        <v>12</v>
      </c>
      <c r="L1106" s="2">
        <f>IFERROR(__xludf.DUMMYFUNCTION("""COMPUTED_VALUE"""),7.8)</f>
        <v>7.8</v>
      </c>
    </row>
    <row r="1107">
      <c r="A1107" s="2">
        <f>IFERROR(__xludf.DUMMYFUNCTION("""COMPUTED_VALUE"""),489552.0)</f>
        <v>489552</v>
      </c>
      <c r="B1107" s="2" t="str">
        <f>IFERROR(__xludf.DUMMYFUNCTION("""COMPUTED_VALUE"""),"22079")</f>
        <v>22079</v>
      </c>
      <c r="C1107" s="2" t="str">
        <f>IFERROR(__xludf.DUMMYFUNCTION("""COMPUTED_VALUE"""),"RIBBON REEL HEARTS DESIGN")</f>
        <v>RIBBON REEL HEARTS DESIGN</v>
      </c>
      <c r="D1107" s="2">
        <f>IFERROR(__xludf.DUMMYFUNCTION("""COMPUTED_VALUE"""),2.0)</f>
        <v>2</v>
      </c>
      <c r="E1107" s="6">
        <f>IFERROR(__xludf.DUMMYFUNCTION("""COMPUTED_VALUE"""),40148.525)</f>
        <v>40148.525</v>
      </c>
      <c r="F1107" s="2">
        <f>IFERROR(__xludf.DUMMYFUNCTION("""COMPUTED_VALUE"""),1.65)</f>
        <v>1.65</v>
      </c>
      <c r="G1107" s="2">
        <f>IFERROR(__xludf.DUMMYFUNCTION("""COMPUTED_VALUE"""),17063.0)</f>
        <v>17063</v>
      </c>
      <c r="H1107" s="2" t="str">
        <f>IFERROR(__xludf.DUMMYFUNCTION("""COMPUTED_VALUE"""),"United Kingdom")</f>
        <v>United Kingdom</v>
      </c>
      <c r="I1107" s="7">
        <f>IFERROR(__xludf.DUMMYFUNCTION("""COMPUTED_VALUE"""),40148.0)</f>
        <v>40148</v>
      </c>
      <c r="J1107" s="8">
        <f>IFERROR(__xludf.DUMMYFUNCTION("""COMPUTED_VALUE"""),0.5250000000014552)</f>
        <v>0.525</v>
      </c>
      <c r="K1107" s="2">
        <f>IFERROR(__xludf.DUMMYFUNCTION("""COMPUTED_VALUE"""),12.0)</f>
        <v>12</v>
      </c>
      <c r="L1107" s="2">
        <f>IFERROR(__xludf.DUMMYFUNCTION("""COMPUTED_VALUE"""),3.3)</f>
        <v>3.3</v>
      </c>
    </row>
    <row r="1108">
      <c r="A1108" s="2">
        <f>IFERROR(__xludf.DUMMYFUNCTION("""COMPUTED_VALUE"""),489552.0)</f>
        <v>489552</v>
      </c>
      <c r="B1108" s="2" t="str">
        <f>IFERROR(__xludf.DUMMYFUNCTION("""COMPUTED_VALUE"""),"21223")</f>
        <v>21223</v>
      </c>
      <c r="C1108" s="2" t="str">
        <f>IFERROR(__xludf.DUMMYFUNCTION("""COMPUTED_VALUE"""),"SET/4 BADGES WOODLAND ANIMAL")</f>
        <v>SET/4 BADGES WOODLAND ANIMAL</v>
      </c>
      <c r="D1108" s="2">
        <f>IFERROR(__xludf.DUMMYFUNCTION("""COMPUTED_VALUE"""),2.0)</f>
        <v>2</v>
      </c>
      <c r="E1108" s="6">
        <f>IFERROR(__xludf.DUMMYFUNCTION("""COMPUTED_VALUE"""),40148.525)</f>
        <v>40148.525</v>
      </c>
      <c r="F1108" s="2">
        <f>IFERROR(__xludf.DUMMYFUNCTION("""COMPUTED_VALUE"""),1.25)</f>
        <v>1.25</v>
      </c>
      <c r="G1108" s="2">
        <f>IFERROR(__xludf.DUMMYFUNCTION("""COMPUTED_VALUE"""),17063.0)</f>
        <v>17063</v>
      </c>
      <c r="H1108" s="2" t="str">
        <f>IFERROR(__xludf.DUMMYFUNCTION("""COMPUTED_VALUE"""),"United Kingdom")</f>
        <v>United Kingdom</v>
      </c>
      <c r="I1108" s="7">
        <f>IFERROR(__xludf.DUMMYFUNCTION("""COMPUTED_VALUE"""),40148.0)</f>
        <v>40148</v>
      </c>
      <c r="J1108" s="8">
        <f>IFERROR(__xludf.DUMMYFUNCTION("""COMPUTED_VALUE"""),0.5250000000014552)</f>
        <v>0.525</v>
      </c>
      <c r="K1108" s="2">
        <f>IFERROR(__xludf.DUMMYFUNCTION("""COMPUTED_VALUE"""),12.0)</f>
        <v>12</v>
      </c>
      <c r="L1108" s="2">
        <f>IFERROR(__xludf.DUMMYFUNCTION("""COMPUTED_VALUE"""),2.5)</f>
        <v>2.5</v>
      </c>
    </row>
    <row r="1109">
      <c r="A1109" s="2">
        <f>IFERROR(__xludf.DUMMYFUNCTION("""COMPUTED_VALUE"""),489552.0)</f>
        <v>489552</v>
      </c>
      <c r="B1109" s="2" t="str">
        <f>IFERROR(__xludf.DUMMYFUNCTION("""COMPUTED_VALUE"""),"21162")</f>
        <v>21162</v>
      </c>
      <c r="C1109" s="2" t="str">
        <f>IFERROR(__xludf.DUMMYFUNCTION("""COMPUTED_VALUE"""),"TOXIC AREA DOOR HANGER")</f>
        <v>TOXIC AREA DOOR HANGER</v>
      </c>
      <c r="D1109" s="2">
        <f>IFERROR(__xludf.DUMMYFUNCTION("""COMPUTED_VALUE"""),4.0)</f>
        <v>4</v>
      </c>
      <c r="E1109" s="6">
        <f>IFERROR(__xludf.DUMMYFUNCTION("""COMPUTED_VALUE"""),40148.525)</f>
        <v>40148.525</v>
      </c>
      <c r="F1109" s="2">
        <f>IFERROR(__xludf.DUMMYFUNCTION("""COMPUTED_VALUE"""),1.45)</f>
        <v>1.45</v>
      </c>
      <c r="G1109" s="2">
        <f>IFERROR(__xludf.DUMMYFUNCTION("""COMPUTED_VALUE"""),17063.0)</f>
        <v>17063</v>
      </c>
      <c r="H1109" s="2" t="str">
        <f>IFERROR(__xludf.DUMMYFUNCTION("""COMPUTED_VALUE"""),"United Kingdom")</f>
        <v>United Kingdom</v>
      </c>
      <c r="I1109" s="7">
        <f>IFERROR(__xludf.DUMMYFUNCTION("""COMPUTED_VALUE"""),40148.0)</f>
        <v>40148</v>
      </c>
      <c r="J1109" s="8">
        <f>IFERROR(__xludf.DUMMYFUNCTION("""COMPUTED_VALUE"""),0.5250000000014552)</f>
        <v>0.525</v>
      </c>
      <c r="K1109" s="2">
        <f>IFERROR(__xludf.DUMMYFUNCTION("""COMPUTED_VALUE"""),12.0)</f>
        <v>12</v>
      </c>
      <c r="L1109" s="2">
        <f>IFERROR(__xludf.DUMMYFUNCTION("""COMPUTED_VALUE"""),5.8)</f>
        <v>5.8</v>
      </c>
    </row>
    <row r="1110">
      <c r="A1110" s="2">
        <f>IFERROR(__xludf.DUMMYFUNCTION("""COMPUTED_VALUE"""),489552.0)</f>
        <v>489552</v>
      </c>
      <c r="B1110" s="2" t="str">
        <f>IFERROR(__xludf.DUMMYFUNCTION("""COMPUTED_VALUE"""),"85049D")</f>
        <v>85049D</v>
      </c>
      <c r="C1110" s="2" t="str">
        <f>IFERROR(__xludf.DUMMYFUNCTION("""COMPUTED_VALUE"""),"BRIGHT BLUES RIBBONS")</f>
        <v>BRIGHT BLUES RIBBONS</v>
      </c>
      <c r="D1110" s="2">
        <f>IFERROR(__xludf.DUMMYFUNCTION("""COMPUTED_VALUE"""),2.0)</f>
        <v>2</v>
      </c>
      <c r="E1110" s="6">
        <f>IFERROR(__xludf.DUMMYFUNCTION("""COMPUTED_VALUE"""),40148.525)</f>
        <v>40148.525</v>
      </c>
      <c r="F1110" s="2">
        <f>IFERROR(__xludf.DUMMYFUNCTION("""COMPUTED_VALUE"""),1.25)</f>
        <v>1.25</v>
      </c>
      <c r="G1110" s="2">
        <f>IFERROR(__xludf.DUMMYFUNCTION("""COMPUTED_VALUE"""),17063.0)</f>
        <v>17063</v>
      </c>
      <c r="H1110" s="2" t="str">
        <f>IFERROR(__xludf.DUMMYFUNCTION("""COMPUTED_VALUE"""),"United Kingdom")</f>
        <v>United Kingdom</v>
      </c>
      <c r="I1110" s="7">
        <f>IFERROR(__xludf.DUMMYFUNCTION("""COMPUTED_VALUE"""),40148.0)</f>
        <v>40148</v>
      </c>
      <c r="J1110" s="8">
        <f>IFERROR(__xludf.DUMMYFUNCTION("""COMPUTED_VALUE"""),0.5250000000014552)</f>
        <v>0.525</v>
      </c>
      <c r="K1110" s="2">
        <f>IFERROR(__xludf.DUMMYFUNCTION("""COMPUTED_VALUE"""),12.0)</f>
        <v>12</v>
      </c>
      <c r="L1110" s="2">
        <f>IFERROR(__xludf.DUMMYFUNCTION("""COMPUTED_VALUE"""),2.5)</f>
        <v>2.5</v>
      </c>
    </row>
    <row r="1111">
      <c r="A1111" s="2">
        <f>IFERROR(__xludf.DUMMYFUNCTION("""COMPUTED_VALUE"""),489552.0)</f>
        <v>489552</v>
      </c>
      <c r="B1111" s="2" t="str">
        <f>IFERROR(__xludf.DUMMYFUNCTION("""COMPUTED_VALUE"""),"85049H")</f>
        <v>85049H</v>
      </c>
      <c r="C1111" s="2" t="str">
        <f>IFERROR(__xludf.DUMMYFUNCTION("""COMPUTED_VALUE"""),"URBAN BLACK RIBBONS")</f>
        <v>URBAN BLACK RIBBONS</v>
      </c>
      <c r="D1111" s="2">
        <f>IFERROR(__xludf.DUMMYFUNCTION("""COMPUTED_VALUE"""),1.0)</f>
        <v>1</v>
      </c>
      <c r="E1111" s="6">
        <f>IFERROR(__xludf.DUMMYFUNCTION("""COMPUTED_VALUE"""),40148.525)</f>
        <v>40148.525</v>
      </c>
      <c r="F1111" s="2">
        <f>IFERROR(__xludf.DUMMYFUNCTION("""COMPUTED_VALUE"""),1.25)</f>
        <v>1.25</v>
      </c>
      <c r="G1111" s="2">
        <f>IFERROR(__xludf.DUMMYFUNCTION("""COMPUTED_VALUE"""),17063.0)</f>
        <v>17063</v>
      </c>
      <c r="H1111" s="2" t="str">
        <f>IFERROR(__xludf.DUMMYFUNCTION("""COMPUTED_VALUE"""),"United Kingdom")</f>
        <v>United Kingdom</v>
      </c>
      <c r="I1111" s="7">
        <f>IFERROR(__xludf.DUMMYFUNCTION("""COMPUTED_VALUE"""),40148.0)</f>
        <v>40148</v>
      </c>
      <c r="J1111" s="8">
        <f>IFERROR(__xludf.DUMMYFUNCTION("""COMPUTED_VALUE"""),0.5250000000014552)</f>
        <v>0.525</v>
      </c>
      <c r="K1111" s="2">
        <f>IFERROR(__xludf.DUMMYFUNCTION("""COMPUTED_VALUE"""),12.0)</f>
        <v>12</v>
      </c>
      <c r="L1111" s="2">
        <f>IFERROR(__xludf.DUMMYFUNCTION("""COMPUTED_VALUE"""),1.25)</f>
        <v>1.25</v>
      </c>
    </row>
    <row r="1112">
      <c r="A1112" s="2">
        <f>IFERROR(__xludf.DUMMYFUNCTION("""COMPUTED_VALUE"""),489552.0)</f>
        <v>489552</v>
      </c>
      <c r="B1112" s="2" t="str">
        <f>IFERROR(__xludf.DUMMYFUNCTION("""COMPUTED_VALUE"""),"85049G")</f>
        <v>85049G</v>
      </c>
      <c r="C1112" s="2" t="str">
        <f>IFERROR(__xludf.DUMMYFUNCTION("""COMPUTED_VALUE"""),"CHOCOLATE BOX RIBBONS")</f>
        <v>CHOCOLATE BOX RIBBONS</v>
      </c>
      <c r="D1112" s="2">
        <f>IFERROR(__xludf.DUMMYFUNCTION("""COMPUTED_VALUE"""),3.0)</f>
        <v>3</v>
      </c>
      <c r="E1112" s="6">
        <f>IFERROR(__xludf.DUMMYFUNCTION("""COMPUTED_VALUE"""),40148.525)</f>
        <v>40148.525</v>
      </c>
      <c r="F1112" s="2">
        <f>IFERROR(__xludf.DUMMYFUNCTION("""COMPUTED_VALUE"""),1.25)</f>
        <v>1.25</v>
      </c>
      <c r="G1112" s="2">
        <f>IFERROR(__xludf.DUMMYFUNCTION("""COMPUTED_VALUE"""),17063.0)</f>
        <v>17063</v>
      </c>
      <c r="H1112" s="2" t="str">
        <f>IFERROR(__xludf.DUMMYFUNCTION("""COMPUTED_VALUE"""),"United Kingdom")</f>
        <v>United Kingdom</v>
      </c>
      <c r="I1112" s="7">
        <f>IFERROR(__xludf.DUMMYFUNCTION("""COMPUTED_VALUE"""),40148.0)</f>
        <v>40148</v>
      </c>
      <c r="J1112" s="8">
        <f>IFERROR(__xludf.DUMMYFUNCTION("""COMPUTED_VALUE"""),0.5250000000014552)</f>
        <v>0.525</v>
      </c>
      <c r="K1112" s="2">
        <f>IFERROR(__xludf.DUMMYFUNCTION("""COMPUTED_VALUE"""),12.0)</f>
        <v>12</v>
      </c>
      <c r="L1112" s="2">
        <f>IFERROR(__xludf.DUMMYFUNCTION("""COMPUTED_VALUE"""),3.75)</f>
        <v>3.75</v>
      </c>
    </row>
    <row r="1113">
      <c r="A1113" s="2">
        <f>IFERROR(__xludf.DUMMYFUNCTION("""COMPUTED_VALUE"""),489552.0)</f>
        <v>489552</v>
      </c>
      <c r="B1113" s="2" t="str">
        <f>IFERROR(__xludf.DUMMYFUNCTION("""COMPUTED_VALUE"""),"22086")</f>
        <v>22086</v>
      </c>
      <c r="C1113" s="2" t="str">
        <f>IFERROR(__xludf.DUMMYFUNCTION("""COMPUTED_VALUE"""),"PAPER CHAIN KIT 50'S CHRISTMAS")</f>
        <v>PAPER CHAIN KIT 50'S CHRISTMAS</v>
      </c>
      <c r="D1113" s="2">
        <f>IFERROR(__xludf.DUMMYFUNCTION("""COMPUTED_VALUE"""),2.0)</f>
        <v>2</v>
      </c>
      <c r="E1113" s="6">
        <f>IFERROR(__xludf.DUMMYFUNCTION("""COMPUTED_VALUE"""),40148.525)</f>
        <v>40148.525</v>
      </c>
      <c r="F1113" s="2">
        <f>IFERROR(__xludf.DUMMYFUNCTION("""COMPUTED_VALUE"""),2.95)</f>
        <v>2.95</v>
      </c>
      <c r="G1113" s="2">
        <f>IFERROR(__xludf.DUMMYFUNCTION("""COMPUTED_VALUE"""),17063.0)</f>
        <v>17063</v>
      </c>
      <c r="H1113" s="2" t="str">
        <f>IFERROR(__xludf.DUMMYFUNCTION("""COMPUTED_VALUE"""),"United Kingdom")</f>
        <v>United Kingdom</v>
      </c>
      <c r="I1113" s="7">
        <f>IFERROR(__xludf.DUMMYFUNCTION("""COMPUTED_VALUE"""),40148.0)</f>
        <v>40148</v>
      </c>
      <c r="J1113" s="8">
        <f>IFERROR(__xludf.DUMMYFUNCTION("""COMPUTED_VALUE"""),0.5250000000014552)</f>
        <v>0.525</v>
      </c>
      <c r="K1113" s="2">
        <f>IFERROR(__xludf.DUMMYFUNCTION("""COMPUTED_VALUE"""),12.0)</f>
        <v>12</v>
      </c>
      <c r="L1113" s="2">
        <f>IFERROR(__xludf.DUMMYFUNCTION("""COMPUTED_VALUE"""),5.9)</f>
        <v>5.9</v>
      </c>
    </row>
    <row r="1114">
      <c r="A1114" s="2">
        <f>IFERROR(__xludf.DUMMYFUNCTION("""COMPUTED_VALUE"""),489552.0)</f>
        <v>489552</v>
      </c>
      <c r="B1114" s="2" t="str">
        <f>IFERROR(__xludf.DUMMYFUNCTION("""COMPUTED_VALUE"""),"22130")</f>
        <v>22130</v>
      </c>
      <c r="C1114" s="2" t="str">
        <f>IFERROR(__xludf.DUMMYFUNCTION("""COMPUTED_VALUE"""),"PARTY CONE CHRISTMAS DECORATION")</f>
        <v>PARTY CONE CHRISTMAS DECORATION</v>
      </c>
      <c r="D1114" s="2">
        <f>IFERROR(__xludf.DUMMYFUNCTION("""COMPUTED_VALUE"""),18.0)</f>
        <v>18</v>
      </c>
      <c r="E1114" s="6">
        <f>IFERROR(__xludf.DUMMYFUNCTION("""COMPUTED_VALUE"""),40148.525)</f>
        <v>40148.525</v>
      </c>
      <c r="F1114" s="2">
        <f>IFERROR(__xludf.DUMMYFUNCTION("""COMPUTED_VALUE"""),0.85)</f>
        <v>0.85</v>
      </c>
      <c r="G1114" s="2">
        <f>IFERROR(__xludf.DUMMYFUNCTION("""COMPUTED_VALUE"""),17063.0)</f>
        <v>17063</v>
      </c>
      <c r="H1114" s="2" t="str">
        <f>IFERROR(__xludf.DUMMYFUNCTION("""COMPUTED_VALUE"""),"United Kingdom")</f>
        <v>United Kingdom</v>
      </c>
      <c r="I1114" s="7">
        <f>IFERROR(__xludf.DUMMYFUNCTION("""COMPUTED_VALUE"""),40148.0)</f>
        <v>40148</v>
      </c>
      <c r="J1114" s="8">
        <f>IFERROR(__xludf.DUMMYFUNCTION("""COMPUTED_VALUE"""),0.5250000000014552)</f>
        <v>0.525</v>
      </c>
      <c r="K1114" s="2">
        <f>IFERROR(__xludf.DUMMYFUNCTION("""COMPUTED_VALUE"""),12.0)</f>
        <v>12</v>
      </c>
      <c r="L1114" s="2">
        <f>IFERROR(__xludf.DUMMYFUNCTION("""COMPUTED_VALUE"""),15.2999999999999)</f>
        <v>15.3</v>
      </c>
    </row>
    <row r="1115">
      <c r="A1115" s="2">
        <f>IFERROR(__xludf.DUMMYFUNCTION("""COMPUTED_VALUE"""),489552.0)</f>
        <v>489552</v>
      </c>
      <c r="B1115" s="2" t="str">
        <f>IFERROR(__xludf.DUMMYFUNCTION("""COMPUTED_VALUE"""),"72756")</f>
        <v>72756</v>
      </c>
      <c r="C1115" s="2" t="str">
        <f>IFERROR(__xludf.DUMMYFUNCTION("""COMPUTED_VALUE"""),"FAIRY CAKE CANDLES")</f>
        <v>FAIRY CAKE CANDLES</v>
      </c>
      <c r="D1115" s="2">
        <f>IFERROR(__xludf.DUMMYFUNCTION("""COMPUTED_VALUE"""),9.0)</f>
        <v>9</v>
      </c>
      <c r="E1115" s="6">
        <f>IFERROR(__xludf.DUMMYFUNCTION("""COMPUTED_VALUE"""),40148.525)</f>
        <v>40148.525</v>
      </c>
      <c r="F1115" s="2">
        <f>IFERROR(__xludf.DUMMYFUNCTION("""COMPUTED_VALUE"""),1.49)</f>
        <v>1.49</v>
      </c>
      <c r="G1115" s="2">
        <f>IFERROR(__xludf.DUMMYFUNCTION("""COMPUTED_VALUE"""),17063.0)</f>
        <v>17063</v>
      </c>
      <c r="H1115" s="2" t="str">
        <f>IFERROR(__xludf.DUMMYFUNCTION("""COMPUTED_VALUE"""),"United Kingdom")</f>
        <v>United Kingdom</v>
      </c>
      <c r="I1115" s="7">
        <f>IFERROR(__xludf.DUMMYFUNCTION("""COMPUTED_VALUE"""),40148.0)</f>
        <v>40148</v>
      </c>
      <c r="J1115" s="8">
        <f>IFERROR(__xludf.DUMMYFUNCTION("""COMPUTED_VALUE"""),0.5250000000014552)</f>
        <v>0.525</v>
      </c>
      <c r="K1115" s="2">
        <f>IFERROR(__xludf.DUMMYFUNCTION("""COMPUTED_VALUE"""),12.0)</f>
        <v>12</v>
      </c>
      <c r="L1115" s="2">
        <f>IFERROR(__xludf.DUMMYFUNCTION("""COMPUTED_VALUE"""),13.41)</f>
        <v>13.41</v>
      </c>
    </row>
    <row r="1116">
      <c r="A1116" s="2">
        <f>IFERROR(__xludf.DUMMYFUNCTION("""COMPUTED_VALUE"""),489552.0)</f>
        <v>489552</v>
      </c>
      <c r="B1116" s="2" t="str">
        <f>IFERROR(__xludf.DUMMYFUNCTION("""COMPUTED_VALUE"""),"84997A")</f>
        <v>84997A</v>
      </c>
      <c r="C1116" s="2" t="str">
        <f>IFERROR(__xludf.DUMMYFUNCTION("""COMPUTED_VALUE"""),"GREEN 3 PIECE MINI DOTS CUTLERY SET")</f>
        <v>GREEN 3 PIECE MINI DOTS CUTLERY SET</v>
      </c>
      <c r="D1116" s="2">
        <f>IFERROR(__xludf.DUMMYFUNCTION("""COMPUTED_VALUE"""),6.0)</f>
        <v>6</v>
      </c>
      <c r="E1116" s="6">
        <f>IFERROR(__xludf.DUMMYFUNCTION("""COMPUTED_VALUE"""),40148.525)</f>
        <v>40148.525</v>
      </c>
      <c r="F1116" s="2">
        <f>IFERROR(__xludf.DUMMYFUNCTION("""COMPUTED_VALUE"""),3.75)</f>
        <v>3.75</v>
      </c>
      <c r="G1116" s="2">
        <f>IFERROR(__xludf.DUMMYFUNCTION("""COMPUTED_VALUE"""),17063.0)</f>
        <v>17063</v>
      </c>
      <c r="H1116" s="2" t="str">
        <f>IFERROR(__xludf.DUMMYFUNCTION("""COMPUTED_VALUE"""),"United Kingdom")</f>
        <v>United Kingdom</v>
      </c>
      <c r="I1116" s="7">
        <f>IFERROR(__xludf.DUMMYFUNCTION("""COMPUTED_VALUE"""),40148.0)</f>
        <v>40148</v>
      </c>
      <c r="J1116" s="8">
        <f>IFERROR(__xludf.DUMMYFUNCTION("""COMPUTED_VALUE"""),0.5250000000014552)</f>
        <v>0.525</v>
      </c>
      <c r="K1116" s="2">
        <f>IFERROR(__xludf.DUMMYFUNCTION("""COMPUTED_VALUE"""),12.0)</f>
        <v>12</v>
      </c>
      <c r="L1116" s="2">
        <f>IFERROR(__xludf.DUMMYFUNCTION("""COMPUTED_VALUE"""),22.5)</f>
        <v>22.5</v>
      </c>
    </row>
    <row r="1117">
      <c r="A1117" s="2">
        <f>IFERROR(__xludf.DUMMYFUNCTION("""COMPUTED_VALUE"""),489552.0)</f>
        <v>489552</v>
      </c>
      <c r="B1117" s="2" t="str">
        <f>IFERROR(__xludf.DUMMYFUNCTION("""COMPUTED_VALUE"""),"84997D")</f>
        <v>84997D</v>
      </c>
      <c r="C1117" s="2" t="str">
        <f>IFERROR(__xludf.DUMMYFUNCTION("""COMPUTED_VALUE"""),"PINK 3 PIECE MINI DOTS CUTLERY SET")</f>
        <v>PINK 3 PIECE MINI DOTS CUTLERY SET</v>
      </c>
      <c r="D1117" s="2">
        <f>IFERROR(__xludf.DUMMYFUNCTION("""COMPUTED_VALUE"""),6.0)</f>
        <v>6</v>
      </c>
      <c r="E1117" s="6">
        <f>IFERROR(__xludf.DUMMYFUNCTION("""COMPUTED_VALUE"""),40148.525)</f>
        <v>40148.525</v>
      </c>
      <c r="F1117" s="2">
        <f>IFERROR(__xludf.DUMMYFUNCTION("""COMPUTED_VALUE"""),3.75)</f>
        <v>3.75</v>
      </c>
      <c r="G1117" s="2">
        <f>IFERROR(__xludf.DUMMYFUNCTION("""COMPUTED_VALUE"""),17063.0)</f>
        <v>17063</v>
      </c>
      <c r="H1117" s="2" t="str">
        <f>IFERROR(__xludf.DUMMYFUNCTION("""COMPUTED_VALUE"""),"United Kingdom")</f>
        <v>United Kingdom</v>
      </c>
      <c r="I1117" s="7">
        <f>IFERROR(__xludf.DUMMYFUNCTION("""COMPUTED_VALUE"""),40148.0)</f>
        <v>40148</v>
      </c>
      <c r="J1117" s="8">
        <f>IFERROR(__xludf.DUMMYFUNCTION("""COMPUTED_VALUE"""),0.5250000000014552)</f>
        <v>0.525</v>
      </c>
      <c r="K1117" s="2">
        <f>IFERROR(__xludf.DUMMYFUNCTION("""COMPUTED_VALUE"""),12.0)</f>
        <v>12</v>
      </c>
      <c r="L1117" s="2">
        <f>IFERROR(__xludf.DUMMYFUNCTION("""COMPUTED_VALUE"""),22.5)</f>
        <v>22.5</v>
      </c>
    </row>
    <row r="1118">
      <c r="A1118" s="2">
        <f>IFERROR(__xludf.DUMMYFUNCTION("""COMPUTED_VALUE"""),489552.0)</f>
        <v>489552</v>
      </c>
      <c r="B1118" s="2" t="str">
        <f>IFERROR(__xludf.DUMMYFUNCTION("""COMPUTED_VALUE"""),"84997B")</f>
        <v>84997B</v>
      </c>
      <c r="C1118" s="2" t="str">
        <f>IFERROR(__xludf.DUMMYFUNCTION("""COMPUTED_VALUE"""),"RED 3 PIECE MINI DOTS CUTLERY SET")</f>
        <v>RED 3 PIECE MINI DOTS CUTLERY SET</v>
      </c>
      <c r="D1118" s="2">
        <f>IFERROR(__xludf.DUMMYFUNCTION("""COMPUTED_VALUE"""),6.0)</f>
        <v>6</v>
      </c>
      <c r="E1118" s="6">
        <f>IFERROR(__xludf.DUMMYFUNCTION("""COMPUTED_VALUE"""),40148.525)</f>
        <v>40148.525</v>
      </c>
      <c r="F1118" s="2">
        <f>IFERROR(__xludf.DUMMYFUNCTION("""COMPUTED_VALUE"""),3.75)</f>
        <v>3.75</v>
      </c>
      <c r="G1118" s="2">
        <f>IFERROR(__xludf.DUMMYFUNCTION("""COMPUTED_VALUE"""),17063.0)</f>
        <v>17063</v>
      </c>
      <c r="H1118" s="2" t="str">
        <f>IFERROR(__xludf.DUMMYFUNCTION("""COMPUTED_VALUE"""),"United Kingdom")</f>
        <v>United Kingdom</v>
      </c>
      <c r="I1118" s="7">
        <f>IFERROR(__xludf.DUMMYFUNCTION("""COMPUTED_VALUE"""),40148.0)</f>
        <v>40148</v>
      </c>
      <c r="J1118" s="8">
        <f>IFERROR(__xludf.DUMMYFUNCTION("""COMPUTED_VALUE"""),0.5250000000014552)</f>
        <v>0.525</v>
      </c>
      <c r="K1118" s="2">
        <f>IFERROR(__xludf.DUMMYFUNCTION("""COMPUTED_VALUE"""),12.0)</f>
        <v>12</v>
      </c>
      <c r="L1118" s="2">
        <f>IFERROR(__xludf.DUMMYFUNCTION("""COMPUTED_VALUE"""),22.5)</f>
        <v>22.5</v>
      </c>
    </row>
    <row r="1119">
      <c r="A1119" s="2">
        <f>IFERROR(__xludf.DUMMYFUNCTION("""COMPUTED_VALUE"""),489552.0)</f>
        <v>489552</v>
      </c>
      <c r="B1119" s="2" t="str">
        <f>IFERROR(__xludf.DUMMYFUNCTION("""COMPUTED_VALUE"""),"84997C")</f>
        <v>84997C</v>
      </c>
      <c r="C1119" s="2" t="str">
        <f>IFERROR(__xludf.DUMMYFUNCTION("""COMPUTED_VALUE"""),"BLUE 3 PIECE MINI DOTS CUTLERY SET")</f>
        <v>BLUE 3 PIECE MINI DOTS CUTLERY SET</v>
      </c>
      <c r="D1119" s="2">
        <f>IFERROR(__xludf.DUMMYFUNCTION("""COMPUTED_VALUE"""),6.0)</f>
        <v>6</v>
      </c>
      <c r="E1119" s="6">
        <f>IFERROR(__xludf.DUMMYFUNCTION("""COMPUTED_VALUE"""),40148.525)</f>
        <v>40148.525</v>
      </c>
      <c r="F1119" s="2">
        <f>IFERROR(__xludf.DUMMYFUNCTION("""COMPUTED_VALUE"""),3.75)</f>
        <v>3.75</v>
      </c>
      <c r="G1119" s="2">
        <f>IFERROR(__xludf.DUMMYFUNCTION("""COMPUTED_VALUE"""),17063.0)</f>
        <v>17063</v>
      </c>
      <c r="H1119" s="2" t="str">
        <f>IFERROR(__xludf.DUMMYFUNCTION("""COMPUTED_VALUE"""),"United Kingdom")</f>
        <v>United Kingdom</v>
      </c>
      <c r="I1119" s="7">
        <f>IFERROR(__xludf.DUMMYFUNCTION("""COMPUTED_VALUE"""),40148.0)</f>
        <v>40148</v>
      </c>
      <c r="J1119" s="8">
        <f>IFERROR(__xludf.DUMMYFUNCTION("""COMPUTED_VALUE"""),0.5250000000014552)</f>
        <v>0.525</v>
      </c>
      <c r="K1119" s="2">
        <f>IFERROR(__xludf.DUMMYFUNCTION("""COMPUTED_VALUE"""),12.0)</f>
        <v>12</v>
      </c>
      <c r="L1119" s="2">
        <f>IFERROR(__xludf.DUMMYFUNCTION("""COMPUTED_VALUE"""),22.5)</f>
        <v>22.5</v>
      </c>
    </row>
    <row r="1120">
      <c r="A1120" s="2">
        <f>IFERROR(__xludf.DUMMYFUNCTION("""COMPUTED_VALUE"""),489552.0)</f>
        <v>489552</v>
      </c>
      <c r="B1120" s="2" t="str">
        <f>IFERROR(__xludf.DUMMYFUNCTION("""COMPUTED_VALUE"""),"21576")</f>
        <v>21576</v>
      </c>
      <c r="C1120" s="2" t="str">
        <f>IFERROR(__xludf.DUMMYFUNCTION("""COMPUTED_VALUE"""),"LETS GO SHOPPING COTTON TOTE BAG")</f>
        <v>LETS GO SHOPPING COTTON TOTE BAG</v>
      </c>
      <c r="D1120" s="2">
        <f>IFERROR(__xludf.DUMMYFUNCTION("""COMPUTED_VALUE"""),1.0)</f>
        <v>1</v>
      </c>
      <c r="E1120" s="6">
        <f>IFERROR(__xludf.DUMMYFUNCTION("""COMPUTED_VALUE"""),40148.525)</f>
        <v>40148.525</v>
      </c>
      <c r="F1120" s="2">
        <f>IFERROR(__xludf.DUMMYFUNCTION("""COMPUTED_VALUE"""),2.25)</f>
        <v>2.25</v>
      </c>
      <c r="G1120" s="2">
        <f>IFERROR(__xludf.DUMMYFUNCTION("""COMPUTED_VALUE"""),17063.0)</f>
        <v>17063</v>
      </c>
      <c r="H1120" s="2" t="str">
        <f>IFERROR(__xludf.DUMMYFUNCTION("""COMPUTED_VALUE"""),"United Kingdom")</f>
        <v>United Kingdom</v>
      </c>
      <c r="I1120" s="7">
        <f>IFERROR(__xludf.DUMMYFUNCTION("""COMPUTED_VALUE"""),40148.0)</f>
        <v>40148</v>
      </c>
      <c r="J1120" s="8">
        <f>IFERROR(__xludf.DUMMYFUNCTION("""COMPUTED_VALUE"""),0.5250000000014552)</f>
        <v>0.525</v>
      </c>
      <c r="K1120" s="2">
        <f>IFERROR(__xludf.DUMMYFUNCTION("""COMPUTED_VALUE"""),12.0)</f>
        <v>12</v>
      </c>
      <c r="L1120" s="2">
        <f>IFERROR(__xludf.DUMMYFUNCTION("""COMPUTED_VALUE"""),2.25)</f>
        <v>2.25</v>
      </c>
    </row>
    <row r="1121">
      <c r="A1121" s="2">
        <f>IFERROR(__xludf.DUMMYFUNCTION("""COMPUTED_VALUE"""),489552.0)</f>
        <v>489552</v>
      </c>
      <c r="B1121" s="2" t="str">
        <f>IFERROR(__xludf.DUMMYFUNCTION("""COMPUTED_VALUE"""),"21580")</f>
        <v>21580</v>
      </c>
      <c r="C1121" s="2" t="str">
        <f>IFERROR(__xludf.DUMMYFUNCTION("""COMPUTED_VALUE"""),"RABBIT DESIGN COTTON TOTE BAG")</f>
        <v>RABBIT DESIGN COTTON TOTE BAG</v>
      </c>
      <c r="D1121" s="2">
        <f>IFERROR(__xludf.DUMMYFUNCTION("""COMPUTED_VALUE"""),1.0)</f>
        <v>1</v>
      </c>
      <c r="E1121" s="6">
        <f>IFERROR(__xludf.DUMMYFUNCTION("""COMPUTED_VALUE"""),40148.525)</f>
        <v>40148.525</v>
      </c>
      <c r="F1121" s="2">
        <f>IFERROR(__xludf.DUMMYFUNCTION("""COMPUTED_VALUE"""),2.25)</f>
        <v>2.25</v>
      </c>
      <c r="G1121" s="2">
        <f>IFERROR(__xludf.DUMMYFUNCTION("""COMPUTED_VALUE"""),17063.0)</f>
        <v>17063</v>
      </c>
      <c r="H1121" s="2" t="str">
        <f>IFERROR(__xludf.DUMMYFUNCTION("""COMPUTED_VALUE"""),"United Kingdom")</f>
        <v>United Kingdom</v>
      </c>
      <c r="I1121" s="7">
        <f>IFERROR(__xludf.DUMMYFUNCTION("""COMPUTED_VALUE"""),40148.0)</f>
        <v>40148</v>
      </c>
      <c r="J1121" s="8">
        <f>IFERROR(__xludf.DUMMYFUNCTION("""COMPUTED_VALUE"""),0.5250000000014552)</f>
        <v>0.525</v>
      </c>
      <c r="K1121" s="2">
        <f>IFERROR(__xludf.DUMMYFUNCTION("""COMPUTED_VALUE"""),12.0)</f>
        <v>12</v>
      </c>
      <c r="L1121" s="2">
        <f>IFERROR(__xludf.DUMMYFUNCTION("""COMPUTED_VALUE"""),2.25)</f>
        <v>2.25</v>
      </c>
    </row>
    <row r="1122">
      <c r="A1122" s="2">
        <f>IFERROR(__xludf.DUMMYFUNCTION("""COMPUTED_VALUE"""),489552.0)</f>
        <v>489552</v>
      </c>
      <c r="B1122" s="2" t="str">
        <f>IFERROR(__xludf.DUMMYFUNCTION("""COMPUTED_VALUE"""),"22111")</f>
        <v>22111</v>
      </c>
      <c r="C1122" s="2" t="str">
        <f>IFERROR(__xludf.DUMMYFUNCTION("""COMPUTED_VALUE"""),"SCOTTIE DOG HOT WATER BOTTLE")</f>
        <v>SCOTTIE DOG HOT WATER BOTTLE</v>
      </c>
      <c r="D1122" s="2">
        <f>IFERROR(__xludf.DUMMYFUNCTION("""COMPUTED_VALUE"""),8.0)</f>
        <v>8</v>
      </c>
      <c r="E1122" s="6">
        <f>IFERROR(__xludf.DUMMYFUNCTION("""COMPUTED_VALUE"""),40148.525)</f>
        <v>40148.525</v>
      </c>
      <c r="F1122" s="2">
        <f>IFERROR(__xludf.DUMMYFUNCTION("""COMPUTED_VALUE"""),4.95)</f>
        <v>4.95</v>
      </c>
      <c r="G1122" s="2">
        <f>IFERROR(__xludf.DUMMYFUNCTION("""COMPUTED_VALUE"""),17063.0)</f>
        <v>17063</v>
      </c>
      <c r="H1122" s="2" t="str">
        <f>IFERROR(__xludf.DUMMYFUNCTION("""COMPUTED_VALUE"""),"United Kingdom")</f>
        <v>United Kingdom</v>
      </c>
      <c r="I1122" s="7">
        <f>IFERROR(__xludf.DUMMYFUNCTION("""COMPUTED_VALUE"""),40148.0)</f>
        <v>40148</v>
      </c>
      <c r="J1122" s="8">
        <f>IFERROR(__xludf.DUMMYFUNCTION("""COMPUTED_VALUE"""),0.5250000000014552)</f>
        <v>0.525</v>
      </c>
      <c r="K1122" s="2">
        <f>IFERROR(__xludf.DUMMYFUNCTION("""COMPUTED_VALUE"""),12.0)</f>
        <v>12</v>
      </c>
      <c r="L1122" s="2">
        <f>IFERROR(__xludf.DUMMYFUNCTION("""COMPUTED_VALUE"""),39.6)</f>
        <v>39.6</v>
      </c>
    </row>
    <row r="1123">
      <c r="A1123" s="2">
        <f>IFERROR(__xludf.DUMMYFUNCTION("""COMPUTED_VALUE"""),489552.0)</f>
        <v>489552</v>
      </c>
      <c r="B1123" s="2" t="str">
        <f>IFERROR(__xludf.DUMMYFUNCTION("""COMPUTED_VALUE"""),"21479")</f>
        <v>21479</v>
      </c>
      <c r="C1123" s="2" t="str">
        <f>IFERROR(__xludf.DUMMYFUNCTION("""COMPUTED_VALUE"""),"WHITE SKULL HOT WATER BOTTLE")</f>
        <v>WHITE SKULL HOT WATER BOTTLE</v>
      </c>
      <c r="D1123" s="2">
        <f>IFERROR(__xludf.DUMMYFUNCTION("""COMPUTED_VALUE"""),10.0)</f>
        <v>10</v>
      </c>
      <c r="E1123" s="6">
        <f>IFERROR(__xludf.DUMMYFUNCTION("""COMPUTED_VALUE"""),40148.525)</f>
        <v>40148.525</v>
      </c>
      <c r="F1123" s="2">
        <f>IFERROR(__xludf.DUMMYFUNCTION("""COMPUTED_VALUE"""),3.75)</f>
        <v>3.75</v>
      </c>
      <c r="G1123" s="2">
        <f>IFERROR(__xludf.DUMMYFUNCTION("""COMPUTED_VALUE"""),17063.0)</f>
        <v>17063</v>
      </c>
      <c r="H1123" s="2" t="str">
        <f>IFERROR(__xludf.DUMMYFUNCTION("""COMPUTED_VALUE"""),"United Kingdom")</f>
        <v>United Kingdom</v>
      </c>
      <c r="I1123" s="7">
        <f>IFERROR(__xludf.DUMMYFUNCTION("""COMPUTED_VALUE"""),40148.0)</f>
        <v>40148</v>
      </c>
      <c r="J1123" s="8">
        <f>IFERROR(__xludf.DUMMYFUNCTION("""COMPUTED_VALUE"""),0.5250000000014552)</f>
        <v>0.525</v>
      </c>
      <c r="K1123" s="2">
        <f>IFERROR(__xludf.DUMMYFUNCTION("""COMPUTED_VALUE"""),12.0)</f>
        <v>12</v>
      </c>
      <c r="L1123" s="2">
        <f>IFERROR(__xludf.DUMMYFUNCTION("""COMPUTED_VALUE"""),37.5)</f>
        <v>37.5</v>
      </c>
    </row>
    <row r="1124">
      <c r="A1124" s="2">
        <f>IFERROR(__xludf.DUMMYFUNCTION("""COMPUTED_VALUE"""),489552.0)</f>
        <v>489552</v>
      </c>
      <c r="B1124" s="2" t="str">
        <f>IFERROR(__xludf.DUMMYFUNCTION("""COMPUTED_VALUE"""),"21490")</f>
        <v>21490</v>
      </c>
      <c r="C1124" s="2" t="str">
        <f>IFERROR(__xludf.DUMMYFUNCTION("""COMPUTED_VALUE"""),"SET OF THREE 50'S GIFT WRAPS")</f>
        <v>SET OF THREE 50'S GIFT WRAPS</v>
      </c>
      <c r="D1124" s="2">
        <f>IFERROR(__xludf.DUMMYFUNCTION("""COMPUTED_VALUE"""),3.0)</f>
        <v>3</v>
      </c>
      <c r="E1124" s="6">
        <f>IFERROR(__xludf.DUMMYFUNCTION("""COMPUTED_VALUE"""),40148.525)</f>
        <v>40148.525</v>
      </c>
      <c r="F1124" s="2">
        <f>IFERROR(__xludf.DUMMYFUNCTION("""COMPUTED_VALUE"""),1.95)</f>
        <v>1.95</v>
      </c>
      <c r="G1124" s="2">
        <f>IFERROR(__xludf.DUMMYFUNCTION("""COMPUTED_VALUE"""),17063.0)</f>
        <v>17063</v>
      </c>
      <c r="H1124" s="2" t="str">
        <f>IFERROR(__xludf.DUMMYFUNCTION("""COMPUTED_VALUE"""),"United Kingdom")</f>
        <v>United Kingdom</v>
      </c>
      <c r="I1124" s="7">
        <f>IFERROR(__xludf.DUMMYFUNCTION("""COMPUTED_VALUE"""),40148.0)</f>
        <v>40148</v>
      </c>
      <c r="J1124" s="8">
        <f>IFERROR(__xludf.DUMMYFUNCTION("""COMPUTED_VALUE"""),0.5250000000014552)</f>
        <v>0.525</v>
      </c>
      <c r="K1124" s="2">
        <f>IFERROR(__xludf.DUMMYFUNCTION("""COMPUTED_VALUE"""),12.0)</f>
        <v>12</v>
      </c>
      <c r="L1124" s="2">
        <f>IFERROR(__xludf.DUMMYFUNCTION("""COMPUTED_VALUE"""),5.85)</f>
        <v>5.85</v>
      </c>
    </row>
    <row r="1125">
      <c r="A1125" s="2">
        <f>IFERROR(__xludf.DUMMYFUNCTION("""COMPUTED_VALUE"""),489552.0)</f>
        <v>489552</v>
      </c>
      <c r="B1125" s="2" t="str">
        <f>IFERROR(__xludf.DUMMYFUNCTION("""COMPUTED_VALUE"""),"22271")</f>
        <v>22271</v>
      </c>
      <c r="C1125" s="2" t="str">
        <f>IFERROR(__xludf.DUMMYFUNCTION("""COMPUTED_VALUE"""),"FELTCRAFT DOLL ROSIE")</f>
        <v>FELTCRAFT DOLL ROSIE</v>
      </c>
      <c r="D1125" s="2">
        <f>IFERROR(__xludf.DUMMYFUNCTION("""COMPUTED_VALUE"""),2.0)</f>
        <v>2</v>
      </c>
      <c r="E1125" s="6">
        <f>IFERROR(__xludf.DUMMYFUNCTION("""COMPUTED_VALUE"""),40148.525)</f>
        <v>40148.525</v>
      </c>
      <c r="F1125" s="2">
        <f>IFERROR(__xludf.DUMMYFUNCTION("""COMPUTED_VALUE"""),2.95)</f>
        <v>2.95</v>
      </c>
      <c r="G1125" s="2">
        <f>IFERROR(__xludf.DUMMYFUNCTION("""COMPUTED_VALUE"""),17063.0)</f>
        <v>17063</v>
      </c>
      <c r="H1125" s="2" t="str">
        <f>IFERROR(__xludf.DUMMYFUNCTION("""COMPUTED_VALUE"""),"United Kingdom")</f>
        <v>United Kingdom</v>
      </c>
      <c r="I1125" s="7">
        <f>IFERROR(__xludf.DUMMYFUNCTION("""COMPUTED_VALUE"""),40148.0)</f>
        <v>40148</v>
      </c>
      <c r="J1125" s="8">
        <f>IFERROR(__xludf.DUMMYFUNCTION("""COMPUTED_VALUE"""),0.5250000000014552)</f>
        <v>0.525</v>
      </c>
      <c r="K1125" s="2">
        <f>IFERROR(__xludf.DUMMYFUNCTION("""COMPUTED_VALUE"""),12.0)</f>
        <v>12</v>
      </c>
      <c r="L1125" s="2">
        <f>IFERROR(__xludf.DUMMYFUNCTION("""COMPUTED_VALUE"""),5.9)</f>
        <v>5.9</v>
      </c>
    </row>
    <row r="1126">
      <c r="A1126" s="2">
        <f>IFERROR(__xludf.DUMMYFUNCTION("""COMPUTED_VALUE"""),489552.0)</f>
        <v>489552</v>
      </c>
      <c r="B1126" s="2" t="str">
        <f>IFERROR(__xludf.DUMMYFUNCTION("""COMPUTED_VALUE"""),"22273")</f>
        <v>22273</v>
      </c>
      <c r="C1126" s="2" t="str">
        <f>IFERROR(__xludf.DUMMYFUNCTION("""COMPUTED_VALUE"""),"FELTCRAFT DOLL MOLLY")</f>
        <v>FELTCRAFT DOLL MOLLY</v>
      </c>
      <c r="D1126" s="2">
        <f>IFERROR(__xludf.DUMMYFUNCTION("""COMPUTED_VALUE"""),2.0)</f>
        <v>2</v>
      </c>
      <c r="E1126" s="6">
        <f>IFERROR(__xludf.DUMMYFUNCTION("""COMPUTED_VALUE"""),40148.525)</f>
        <v>40148.525</v>
      </c>
      <c r="F1126" s="2">
        <f>IFERROR(__xludf.DUMMYFUNCTION("""COMPUTED_VALUE"""),2.95)</f>
        <v>2.95</v>
      </c>
      <c r="G1126" s="2">
        <f>IFERROR(__xludf.DUMMYFUNCTION("""COMPUTED_VALUE"""),17063.0)</f>
        <v>17063</v>
      </c>
      <c r="H1126" s="2" t="str">
        <f>IFERROR(__xludf.DUMMYFUNCTION("""COMPUTED_VALUE"""),"United Kingdom")</f>
        <v>United Kingdom</v>
      </c>
      <c r="I1126" s="7">
        <f>IFERROR(__xludf.DUMMYFUNCTION("""COMPUTED_VALUE"""),40148.0)</f>
        <v>40148</v>
      </c>
      <c r="J1126" s="8">
        <f>IFERROR(__xludf.DUMMYFUNCTION("""COMPUTED_VALUE"""),0.5250000000014552)</f>
        <v>0.525</v>
      </c>
      <c r="K1126" s="2">
        <f>IFERROR(__xludf.DUMMYFUNCTION("""COMPUTED_VALUE"""),12.0)</f>
        <v>12</v>
      </c>
      <c r="L1126" s="2">
        <f>IFERROR(__xludf.DUMMYFUNCTION("""COMPUTED_VALUE"""),5.9)</f>
        <v>5.9</v>
      </c>
    </row>
    <row r="1127">
      <c r="A1127" s="2">
        <f>IFERROR(__xludf.DUMMYFUNCTION("""COMPUTED_VALUE"""),489552.0)</f>
        <v>489552</v>
      </c>
      <c r="B1127" s="2" t="str">
        <f>IFERROR(__xludf.DUMMYFUNCTION("""COMPUTED_VALUE"""),"22272")</f>
        <v>22272</v>
      </c>
      <c r="C1127" s="2" t="str">
        <f>IFERROR(__xludf.DUMMYFUNCTION("""COMPUTED_VALUE"""),"FELTCRAFT DOLL MARIA")</f>
        <v>FELTCRAFT DOLL MARIA</v>
      </c>
      <c r="D1127" s="2">
        <f>IFERROR(__xludf.DUMMYFUNCTION("""COMPUTED_VALUE"""),2.0)</f>
        <v>2</v>
      </c>
      <c r="E1127" s="6">
        <f>IFERROR(__xludf.DUMMYFUNCTION("""COMPUTED_VALUE"""),40148.525)</f>
        <v>40148.525</v>
      </c>
      <c r="F1127" s="2">
        <f>IFERROR(__xludf.DUMMYFUNCTION("""COMPUTED_VALUE"""),2.95)</f>
        <v>2.95</v>
      </c>
      <c r="G1127" s="2">
        <f>IFERROR(__xludf.DUMMYFUNCTION("""COMPUTED_VALUE"""),17063.0)</f>
        <v>17063</v>
      </c>
      <c r="H1127" s="2" t="str">
        <f>IFERROR(__xludf.DUMMYFUNCTION("""COMPUTED_VALUE"""),"United Kingdom")</f>
        <v>United Kingdom</v>
      </c>
      <c r="I1127" s="7">
        <f>IFERROR(__xludf.DUMMYFUNCTION("""COMPUTED_VALUE"""),40148.0)</f>
        <v>40148</v>
      </c>
      <c r="J1127" s="8">
        <f>IFERROR(__xludf.DUMMYFUNCTION("""COMPUTED_VALUE"""),0.5250000000014552)</f>
        <v>0.525</v>
      </c>
      <c r="K1127" s="2">
        <f>IFERROR(__xludf.DUMMYFUNCTION("""COMPUTED_VALUE"""),12.0)</f>
        <v>12</v>
      </c>
      <c r="L1127" s="2">
        <f>IFERROR(__xludf.DUMMYFUNCTION("""COMPUTED_VALUE"""),5.9)</f>
        <v>5.9</v>
      </c>
    </row>
    <row r="1128">
      <c r="A1128" s="2"/>
      <c r="B1128" s="2" t="str">
        <f>IFERROR(__xludf.DUMMYFUNCTION("""COMPUTED_VALUE"""),"35004S")</f>
        <v>35004S</v>
      </c>
      <c r="C1128" s="2" t="str">
        <f>IFERROR(__xludf.DUMMYFUNCTION("""COMPUTED_VALUE"""),"SET OF 3 SILVER FLYING DUCKS")</f>
        <v>SET OF 3 SILVER FLYING DUCKS</v>
      </c>
      <c r="D1128" s="2">
        <f>IFERROR(__xludf.DUMMYFUNCTION("""COMPUTED_VALUE"""),-1.0)</f>
        <v>-1</v>
      </c>
      <c r="E1128" s="6">
        <f>IFERROR(__xludf.DUMMYFUNCTION("""COMPUTED_VALUE"""),40148.52847222222)</f>
        <v>40148.52847</v>
      </c>
      <c r="F1128" s="2">
        <f>IFERROR(__xludf.DUMMYFUNCTION("""COMPUTED_VALUE"""),6.35)</f>
        <v>6.35</v>
      </c>
      <c r="G1128" s="2">
        <f>IFERROR(__xludf.DUMMYFUNCTION("""COMPUTED_VALUE"""),13545.0)</f>
        <v>13545</v>
      </c>
      <c r="H1128" s="2" t="str">
        <f>IFERROR(__xludf.DUMMYFUNCTION("""COMPUTED_VALUE"""),"United Kingdom")</f>
        <v>United Kingdom</v>
      </c>
      <c r="I1128" s="7">
        <f>IFERROR(__xludf.DUMMYFUNCTION("""COMPUTED_VALUE"""),40148.0)</f>
        <v>40148</v>
      </c>
      <c r="J1128" s="8">
        <f>IFERROR(__xludf.DUMMYFUNCTION("""COMPUTED_VALUE"""),0.5284722222204437)</f>
        <v>0.5284722222</v>
      </c>
      <c r="K1128" s="2">
        <f>IFERROR(__xludf.DUMMYFUNCTION("""COMPUTED_VALUE"""),12.0)</f>
        <v>12</v>
      </c>
      <c r="L1128" s="2">
        <f>IFERROR(__xludf.DUMMYFUNCTION("""COMPUTED_VALUE"""),-6.35)</f>
        <v>-6.35</v>
      </c>
    </row>
    <row r="1129">
      <c r="A1129" s="2"/>
      <c r="B1129" s="2" t="str">
        <f>IFERROR(__xludf.DUMMYFUNCTION("""COMPUTED_VALUE"""),"35001W")</f>
        <v>35001W</v>
      </c>
      <c r="C1129" s="2" t="str">
        <f>IFERROR(__xludf.DUMMYFUNCTION("""COMPUTED_VALUE"""),"HAND OPEN SHAPE DECO.WHITE")</f>
        <v>HAND OPEN SHAPE DECO.WHITE</v>
      </c>
      <c r="D1129" s="2">
        <f>IFERROR(__xludf.DUMMYFUNCTION("""COMPUTED_VALUE"""),-6.0)</f>
        <v>-6</v>
      </c>
      <c r="E1129" s="6">
        <f>IFERROR(__xludf.DUMMYFUNCTION("""COMPUTED_VALUE"""),40148.52847222222)</f>
        <v>40148.52847</v>
      </c>
      <c r="F1129" s="2">
        <f>IFERROR(__xludf.DUMMYFUNCTION("""COMPUTED_VALUE"""),3.49)</f>
        <v>3.49</v>
      </c>
      <c r="G1129" s="2">
        <f>IFERROR(__xludf.DUMMYFUNCTION("""COMPUTED_VALUE"""),13545.0)</f>
        <v>13545</v>
      </c>
      <c r="H1129" s="2" t="str">
        <f>IFERROR(__xludf.DUMMYFUNCTION("""COMPUTED_VALUE"""),"United Kingdom")</f>
        <v>United Kingdom</v>
      </c>
      <c r="I1129" s="7">
        <f>IFERROR(__xludf.DUMMYFUNCTION("""COMPUTED_VALUE"""),40148.0)</f>
        <v>40148</v>
      </c>
      <c r="J1129" s="8">
        <f>IFERROR(__xludf.DUMMYFUNCTION("""COMPUTED_VALUE"""),0.5284722222204437)</f>
        <v>0.5284722222</v>
      </c>
      <c r="K1129" s="2">
        <f>IFERROR(__xludf.DUMMYFUNCTION("""COMPUTED_VALUE"""),12.0)</f>
        <v>12</v>
      </c>
      <c r="L1129" s="2">
        <f>IFERROR(__xludf.DUMMYFUNCTION("""COMPUTED_VALUE"""),-20.94)</f>
        <v>-20.94</v>
      </c>
    </row>
    <row r="1130">
      <c r="A1130" s="2"/>
      <c r="B1130" s="2" t="str">
        <f>IFERROR(__xludf.DUMMYFUNCTION("""COMPUTED_VALUE"""),"85042")</f>
        <v>85042</v>
      </c>
      <c r="C1130" s="2" t="str">
        <f>IFERROR(__xludf.DUMMYFUNCTION("""COMPUTED_VALUE"""),"ANTIQUE LILY FAIRY LIGHTS")</f>
        <v>ANTIQUE LILY FAIRY LIGHTS</v>
      </c>
      <c r="D1130" s="2">
        <f>IFERROR(__xludf.DUMMYFUNCTION("""COMPUTED_VALUE"""),-3.0)</f>
        <v>-3</v>
      </c>
      <c r="E1130" s="6">
        <f>IFERROR(__xludf.DUMMYFUNCTION("""COMPUTED_VALUE"""),40148.52986111111)</f>
        <v>40148.52986</v>
      </c>
      <c r="F1130" s="2">
        <f>IFERROR(__xludf.DUMMYFUNCTION("""COMPUTED_VALUE"""),4.25)</f>
        <v>4.25</v>
      </c>
      <c r="G1130" s="2">
        <f>IFERROR(__xludf.DUMMYFUNCTION("""COMPUTED_VALUE"""),13767.0)</f>
        <v>13767</v>
      </c>
      <c r="H1130" s="2" t="str">
        <f>IFERROR(__xludf.DUMMYFUNCTION("""COMPUTED_VALUE"""),"United Kingdom")</f>
        <v>United Kingdom</v>
      </c>
      <c r="I1130" s="7">
        <f>IFERROR(__xludf.DUMMYFUNCTION("""COMPUTED_VALUE"""),40148.0)</f>
        <v>40148</v>
      </c>
      <c r="J1130" s="8">
        <f>IFERROR(__xludf.DUMMYFUNCTION("""COMPUTED_VALUE"""),0.5298611111102218)</f>
        <v>0.5298611111</v>
      </c>
      <c r="K1130" s="2">
        <f>IFERROR(__xludf.DUMMYFUNCTION("""COMPUTED_VALUE"""),12.0)</f>
        <v>12</v>
      </c>
      <c r="L1130" s="2">
        <f>IFERROR(__xludf.DUMMYFUNCTION("""COMPUTED_VALUE"""),-12.75)</f>
        <v>-12.75</v>
      </c>
    </row>
    <row r="1131">
      <c r="A1131" s="2"/>
      <c r="B1131" s="2" t="str">
        <f>IFERROR(__xludf.DUMMYFUNCTION("""COMPUTED_VALUE"""),"35001B")</f>
        <v>35001B</v>
      </c>
      <c r="C1131" s="2" t="str">
        <f>IFERROR(__xludf.DUMMYFUNCTION("""COMPUTED_VALUE"""),"HAND OPEN SHAPE BLACK")</f>
        <v>HAND OPEN SHAPE BLACK</v>
      </c>
      <c r="D1131" s="2">
        <f>IFERROR(__xludf.DUMMYFUNCTION("""COMPUTED_VALUE"""),-2.0)</f>
        <v>-2</v>
      </c>
      <c r="E1131" s="6">
        <f>IFERROR(__xludf.DUMMYFUNCTION("""COMPUTED_VALUE"""),40148.52986111111)</f>
        <v>40148.52986</v>
      </c>
      <c r="F1131" s="2">
        <f>IFERROR(__xludf.DUMMYFUNCTION("""COMPUTED_VALUE"""),2.95)</f>
        <v>2.95</v>
      </c>
      <c r="G1131" s="2">
        <f>IFERROR(__xludf.DUMMYFUNCTION("""COMPUTED_VALUE"""),13767.0)</f>
        <v>13767</v>
      </c>
      <c r="H1131" s="2" t="str">
        <f>IFERROR(__xludf.DUMMYFUNCTION("""COMPUTED_VALUE"""),"United Kingdom")</f>
        <v>United Kingdom</v>
      </c>
      <c r="I1131" s="7">
        <f>IFERROR(__xludf.DUMMYFUNCTION("""COMPUTED_VALUE"""),40148.0)</f>
        <v>40148</v>
      </c>
      <c r="J1131" s="8">
        <f>IFERROR(__xludf.DUMMYFUNCTION("""COMPUTED_VALUE"""),0.5298611111102218)</f>
        <v>0.5298611111</v>
      </c>
      <c r="K1131" s="2">
        <f>IFERROR(__xludf.DUMMYFUNCTION("""COMPUTED_VALUE"""),12.0)</f>
        <v>12</v>
      </c>
      <c r="L1131" s="2">
        <f>IFERROR(__xludf.DUMMYFUNCTION("""COMPUTED_VALUE"""),-5.9)</f>
        <v>-5.9</v>
      </c>
    </row>
    <row r="1132">
      <c r="A1132" s="2"/>
      <c r="B1132" s="2" t="str">
        <f>IFERROR(__xludf.DUMMYFUNCTION("""COMPUTED_VALUE"""),"21260")</f>
        <v>21260</v>
      </c>
      <c r="C1132" s="2" t="str">
        <f>IFERROR(__xludf.DUMMYFUNCTION("""COMPUTED_VALUE"""),"FIRST AID TIN")</f>
        <v>FIRST AID TIN</v>
      </c>
      <c r="D1132" s="2">
        <f>IFERROR(__xludf.DUMMYFUNCTION("""COMPUTED_VALUE"""),-6.0)</f>
        <v>-6</v>
      </c>
      <c r="E1132" s="6">
        <f>IFERROR(__xludf.DUMMYFUNCTION("""COMPUTED_VALUE"""),40148.53055555555)</f>
        <v>40148.53056</v>
      </c>
      <c r="F1132" s="2">
        <f>IFERROR(__xludf.DUMMYFUNCTION("""COMPUTED_VALUE"""),3.25)</f>
        <v>3.25</v>
      </c>
      <c r="G1132" s="2">
        <f>IFERROR(__xludf.DUMMYFUNCTION("""COMPUTED_VALUE"""),16955.0)</f>
        <v>16955</v>
      </c>
      <c r="H1132" s="2" t="str">
        <f>IFERROR(__xludf.DUMMYFUNCTION("""COMPUTED_VALUE"""),"United Kingdom")</f>
        <v>United Kingdom</v>
      </c>
      <c r="I1132" s="7">
        <f>IFERROR(__xludf.DUMMYFUNCTION("""COMPUTED_VALUE"""),40148.0)</f>
        <v>40148</v>
      </c>
      <c r="J1132" s="8">
        <f>IFERROR(__xludf.DUMMYFUNCTION("""COMPUTED_VALUE"""),0.5305555555569299)</f>
        <v>0.5305555556</v>
      </c>
      <c r="K1132" s="2">
        <f>IFERROR(__xludf.DUMMYFUNCTION("""COMPUTED_VALUE"""),12.0)</f>
        <v>12</v>
      </c>
      <c r="L1132" s="2">
        <f>IFERROR(__xludf.DUMMYFUNCTION("""COMPUTED_VALUE"""),-19.5)</f>
        <v>-19.5</v>
      </c>
    </row>
    <row r="1133">
      <c r="A1133" s="2">
        <f>IFERROR(__xludf.DUMMYFUNCTION("""COMPUTED_VALUE"""),489556.0)</f>
        <v>489556</v>
      </c>
      <c r="B1133" s="2" t="str">
        <f>IFERROR(__xludf.DUMMYFUNCTION("""COMPUTED_VALUE"""),"20866")</f>
        <v>20866</v>
      </c>
      <c r="C1133" s="2" t="str">
        <f>IFERROR(__xludf.DUMMYFUNCTION("""COMPUTED_VALUE"""),"BLUE ROSE FABRIC MIRROR")</f>
        <v>BLUE ROSE FABRIC MIRROR</v>
      </c>
      <c r="D1133" s="2">
        <f>IFERROR(__xludf.DUMMYFUNCTION("""COMPUTED_VALUE"""),2.0)</f>
        <v>2</v>
      </c>
      <c r="E1133" s="6">
        <f>IFERROR(__xludf.DUMMYFUNCTION("""COMPUTED_VALUE"""),40148.53263888889)</f>
        <v>40148.53264</v>
      </c>
      <c r="F1133" s="2">
        <f>IFERROR(__xludf.DUMMYFUNCTION("""COMPUTED_VALUE"""),1.25)</f>
        <v>1.25</v>
      </c>
      <c r="G1133" s="2">
        <f>IFERROR(__xludf.DUMMYFUNCTION("""COMPUTED_VALUE"""),15719.0)</f>
        <v>15719</v>
      </c>
      <c r="H1133" s="2" t="str">
        <f>IFERROR(__xludf.DUMMYFUNCTION("""COMPUTED_VALUE"""),"United Kingdom")</f>
        <v>United Kingdom</v>
      </c>
      <c r="I1133" s="7">
        <f>IFERROR(__xludf.DUMMYFUNCTION("""COMPUTED_VALUE"""),40148.0)</f>
        <v>40148</v>
      </c>
      <c r="J1133" s="8">
        <f>IFERROR(__xludf.DUMMYFUNCTION("""COMPUTED_VALUE"""),0.5326388888897782)</f>
        <v>0.5326388889</v>
      </c>
      <c r="K1133" s="2">
        <f>IFERROR(__xludf.DUMMYFUNCTION("""COMPUTED_VALUE"""),12.0)</f>
        <v>12</v>
      </c>
      <c r="L1133" s="2">
        <f>IFERROR(__xludf.DUMMYFUNCTION("""COMPUTED_VALUE"""),2.5)</f>
        <v>2.5</v>
      </c>
    </row>
    <row r="1134">
      <c r="A1134" s="2">
        <f>IFERROR(__xludf.DUMMYFUNCTION("""COMPUTED_VALUE"""),489556.0)</f>
        <v>489556</v>
      </c>
      <c r="B1134" s="2" t="str">
        <f>IFERROR(__xludf.DUMMYFUNCTION("""COMPUTED_VALUE"""),"20867")</f>
        <v>20867</v>
      </c>
      <c r="C1134" s="2" t="str">
        <f>IFERROR(__xludf.DUMMYFUNCTION("""COMPUTED_VALUE"""),"PINK ROSE FABRIC MIRROR")</f>
        <v>PINK ROSE FABRIC MIRROR</v>
      </c>
      <c r="D1134" s="2">
        <f>IFERROR(__xludf.DUMMYFUNCTION("""COMPUTED_VALUE"""),2.0)</f>
        <v>2</v>
      </c>
      <c r="E1134" s="6">
        <f>IFERROR(__xludf.DUMMYFUNCTION("""COMPUTED_VALUE"""),40148.53263888889)</f>
        <v>40148.53264</v>
      </c>
      <c r="F1134" s="2">
        <f>IFERROR(__xludf.DUMMYFUNCTION("""COMPUTED_VALUE"""),1.25)</f>
        <v>1.25</v>
      </c>
      <c r="G1134" s="2">
        <f>IFERROR(__xludf.DUMMYFUNCTION("""COMPUTED_VALUE"""),15719.0)</f>
        <v>15719</v>
      </c>
      <c r="H1134" s="2" t="str">
        <f>IFERROR(__xludf.DUMMYFUNCTION("""COMPUTED_VALUE"""),"United Kingdom")</f>
        <v>United Kingdom</v>
      </c>
      <c r="I1134" s="7">
        <f>IFERROR(__xludf.DUMMYFUNCTION("""COMPUTED_VALUE"""),40148.0)</f>
        <v>40148</v>
      </c>
      <c r="J1134" s="8">
        <f>IFERROR(__xludf.DUMMYFUNCTION("""COMPUTED_VALUE"""),0.5326388888897782)</f>
        <v>0.5326388889</v>
      </c>
      <c r="K1134" s="2">
        <f>IFERROR(__xludf.DUMMYFUNCTION("""COMPUTED_VALUE"""),12.0)</f>
        <v>12</v>
      </c>
      <c r="L1134" s="2">
        <f>IFERROR(__xludf.DUMMYFUNCTION("""COMPUTED_VALUE"""),2.5)</f>
        <v>2.5</v>
      </c>
    </row>
    <row r="1135">
      <c r="A1135" s="2">
        <f>IFERROR(__xludf.DUMMYFUNCTION("""COMPUTED_VALUE"""),489556.0)</f>
        <v>489556</v>
      </c>
      <c r="B1135" s="2" t="str">
        <f>IFERROR(__xludf.DUMMYFUNCTION("""COMPUTED_VALUE"""),"20979")</f>
        <v>20979</v>
      </c>
      <c r="C1135" s="2" t="str">
        <f>IFERROR(__xludf.DUMMYFUNCTION("""COMPUTED_VALUE"""),"36 PENCILS TUBE RED SPOTTY")</f>
        <v>36 PENCILS TUBE RED SPOTTY</v>
      </c>
      <c r="D1135" s="2">
        <f>IFERROR(__xludf.DUMMYFUNCTION("""COMPUTED_VALUE"""),4.0)</f>
        <v>4</v>
      </c>
      <c r="E1135" s="6">
        <f>IFERROR(__xludf.DUMMYFUNCTION("""COMPUTED_VALUE"""),40148.53263888889)</f>
        <v>40148.53264</v>
      </c>
      <c r="F1135" s="2">
        <f>IFERROR(__xludf.DUMMYFUNCTION("""COMPUTED_VALUE"""),1.25)</f>
        <v>1.25</v>
      </c>
      <c r="G1135" s="2">
        <f>IFERROR(__xludf.DUMMYFUNCTION("""COMPUTED_VALUE"""),15719.0)</f>
        <v>15719</v>
      </c>
      <c r="H1135" s="2" t="str">
        <f>IFERROR(__xludf.DUMMYFUNCTION("""COMPUTED_VALUE"""),"United Kingdom")</f>
        <v>United Kingdom</v>
      </c>
      <c r="I1135" s="7">
        <f>IFERROR(__xludf.DUMMYFUNCTION("""COMPUTED_VALUE"""),40148.0)</f>
        <v>40148</v>
      </c>
      <c r="J1135" s="8">
        <f>IFERROR(__xludf.DUMMYFUNCTION("""COMPUTED_VALUE"""),0.5326388888897782)</f>
        <v>0.5326388889</v>
      </c>
      <c r="K1135" s="2">
        <f>IFERROR(__xludf.DUMMYFUNCTION("""COMPUTED_VALUE"""),12.0)</f>
        <v>12</v>
      </c>
      <c r="L1135" s="2">
        <f>IFERROR(__xludf.DUMMYFUNCTION("""COMPUTED_VALUE"""),5.0)</f>
        <v>5</v>
      </c>
    </row>
    <row r="1136">
      <c r="A1136" s="2">
        <f>IFERROR(__xludf.DUMMYFUNCTION("""COMPUTED_VALUE"""),489556.0)</f>
        <v>489556</v>
      </c>
      <c r="B1136" s="2" t="str">
        <f>IFERROR(__xludf.DUMMYFUNCTION("""COMPUTED_VALUE"""),"20983")</f>
        <v>20983</v>
      </c>
      <c r="C1136" s="2" t="str">
        <f>IFERROR(__xludf.DUMMYFUNCTION("""COMPUTED_VALUE"""),"12 PENCILS TALL TUBE RED SPOTTY")</f>
        <v>12 PENCILS TALL TUBE RED SPOTTY</v>
      </c>
      <c r="D1136" s="2">
        <f>IFERROR(__xludf.DUMMYFUNCTION("""COMPUTED_VALUE"""),2.0)</f>
        <v>2</v>
      </c>
      <c r="E1136" s="6">
        <f>IFERROR(__xludf.DUMMYFUNCTION("""COMPUTED_VALUE"""),40148.53263888889)</f>
        <v>40148.53264</v>
      </c>
      <c r="F1136" s="2">
        <f>IFERROR(__xludf.DUMMYFUNCTION("""COMPUTED_VALUE"""),0.85)</f>
        <v>0.85</v>
      </c>
      <c r="G1136" s="2">
        <f>IFERROR(__xludf.DUMMYFUNCTION("""COMPUTED_VALUE"""),15719.0)</f>
        <v>15719</v>
      </c>
      <c r="H1136" s="2" t="str">
        <f>IFERROR(__xludf.DUMMYFUNCTION("""COMPUTED_VALUE"""),"United Kingdom")</f>
        <v>United Kingdom</v>
      </c>
      <c r="I1136" s="7">
        <f>IFERROR(__xludf.DUMMYFUNCTION("""COMPUTED_VALUE"""),40148.0)</f>
        <v>40148</v>
      </c>
      <c r="J1136" s="8">
        <f>IFERROR(__xludf.DUMMYFUNCTION("""COMPUTED_VALUE"""),0.5326388888897782)</f>
        <v>0.5326388889</v>
      </c>
      <c r="K1136" s="2">
        <f>IFERROR(__xludf.DUMMYFUNCTION("""COMPUTED_VALUE"""),12.0)</f>
        <v>12</v>
      </c>
      <c r="L1136" s="2">
        <f>IFERROR(__xludf.DUMMYFUNCTION("""COMPUTED_VALUE"""),1.7)</f>
        <v>1.7</v>
      </c>
    </row>
    <row r="1137">
      <c r="A1137" s="2">
        <f>IFERROR(__xludf.DUMMYFUNCTION("""COMPUTED_VALUE"""),489556.0)</f>
        <v>489556</v>
      </c>
      <c r="B1137" s="2" t="str">
        <f>IFERROR(__xludf.DUMMYFUNCTION("""COMPUTED_VALUE"""),"20981")</f>
        <v>20981</v>
      </c>
      <c r="C1137" s="2" t="str">
        <f>IFERROR(__xludf.DUMMYFUNCTION("""COMPUTED_VALUE"""),"12 PENCILS TALL TUBE WOODLAND")</f>
        <v>12 PENCILS TALL TUBE WOODLAND</v>
      </c>
      <c r="D1137" s="2">
        <f>IFERROR(__xludf.DUMMYFUNCTION("""COMPUTED_VALUE"""),1.0)</f>
        <v>1</v>
      </c>
      <c r="E1137" s="6">
        <f>IFERROR(__xludf.DUMMYFUNCTION("""COMPUTED_VALUE"""),40148.53263888889)</f>
        <v>40148.53264</v>
      </c>
      <c r="F1137" s="2">
        <f>IFERROR(__xludf.DUMMYFUNCTION("""COMPUTED_VALUE"""),0.85)</f>
        <v>0.85</v>
      </c>
      <c r="G1137" s="2">
        <f>IFERROR(__xludf.DUMMYFUNCTION("""COMPUTED_VALUE"""),15719.0)</f>
        <v>15719</v>
      </c>
      <c r="H1137" s="2" t="str">
        <f>IFERROR(__xludf.DUMMYFUNCTION("""COMPUTED_VALUE"""),"United Kingdom")</f>
        <v>United Kingdom</v>
      </c>
      <c r="I1137" s="7">
        <f>IFERROR(__xludf.DUMMYFUNCTION("""COMPUTED_VALUE"""),40148.0)</f>
        <v>40148</v>
      </c>
      <c r="J1137" s="8">
        <f>IFERROR(__xludf.DUMMYFUNCTION("""COMPUTED_VALUE"""),0.5326388888897782)</f>
        <v>0.5326388889</v>
      </c>
      <c r="K1137" s="2">
        <f>IFERROR(__xludf.DUMMYFUNCTION("""COMPUTED_VALUE"""),12.0)</f>
        <v>12</v>
      </c>
      <c r="L1137" s="2">
        <f>IFERROR(__xludf.DUMMYFUNCTION("""COMPUTED_VALUE"""),0.85)</f>
        <v>0.85</v>
      </c>
    </row>
    <row r="1138">
      <c r="A1138" s="2">
        <f>IFERROR(__xludf.DUMMYFUNCTION("""COMPUTED_VALUE"""),489556.0)</f>
        <v>489556</v>
      </c>
      <c r="B1138" s="2" t="str">
        <f>IFERROR(__xludf.DUMMYFUNCTION("""COMPUTED_VALUE"""),"10135")</f>
        <v>10135</v>
      </c>
      <c r="C1138" s="2" t="str">
        <f>IFERROR(__xludf.DUMMYFUNCTION("""COMPUTED_VALUE"""),"COLOURING PENCILS BROWN TUBE")</f>
        <v>COLOURING PENCILS BROWN TUBE</v>
      </c>
      <c r="D1138" s="2">
        <f>IFERROR(__xludf.DUMMYFUNCTION("""COMPUTED_VALUE"""),1.0)</f>
        <v>1</v>
      </c>
      <c r="E1138" s="6">
        <f>IFERROR(__xludf.DUMMYFUNCTION("""COMPUTED_VALUE"""),40148.53263888889)</f>
        <v>40148.53264</v>
      </c>
      <c r="F1138" s="2">
        <f>IFERROR(__xludf.DUMMYFUNCTION("""COMPUTED_VALUE"""),1.25)</f>
        <v>1.25</v>
      </c>
      <c r="G1138" s="2">
        <f>IFERROR(__xludf.DUMMYFUNCTION("""COMPUTED_VALUE"""),15719.0)</f>
        <v>15719</v>
      </c>
      <c r="H1138" s="2" t="str">
        <f>IFERROR(__xludf.DUMMYFUNCTION("""COMPUTED_VALUE"""),"United Kingdom")</f>
        <v>United Kingdom</v>
      </c>
      <c r="I1138" s="7">
        <f>IFERROR(__xludf.DUMMYFUNCTION("""COMPUTED_VALUE"""),40148.0)</f>
        <v>40148</v>
      </c>
      <c r="J1138" s="8">
        <f>IFERROR(__xludf.DUMMYFUNCTION("""COMPUTED_VALUE"""),0.5326388888897782)</f>
        <v>0.5326388889</v>
      </c>
      <c r="K1138" s="2">
        <f>IFERROR(__xludf.DUMMYFUNCTION("""COMPUTED_VALUE"""),12.0)</f>
        <v>12</v>
      </c>
      <c r="L1138" s="2">
        <f>IFERROR(__xludf.DUMMYFUNCTION("""COMPUTED_VALUE"""),1.25)</f>
        <v>1.25</v>
      </c>
    </row>
    <row r="1139">
      <c r="A1139" s="2">
        <f>IFERROR(__xludf.DUMMYFUNCTION("""COMPUTED_VALUE"""),489556.0)</f>
        <v>489556</v>
      </c>
      <c r="B1139" s="2" t="str">
        <f>IFERROR(__xludf.DUMMYFUNCTION("""COMPUTED_VALUE"""),"20975")</f>
        <v>20975</v>
      </c>
      <c r="C1139" s="2" t="str">
        <f>IFERROR(__xludf.DUMMYFUNCTION("""COMPUTED_VALUE"""),"12 PENCILS SMALL TUBE RED SPOTTY")</f>
        <v>12 PENCILS SMALL TUBE RED SPOTTY</v>
      </c>
      <c r="D1139" s="2">
        <f>IFERROR(__xludf.DUMMYFUNCTION("""COMPUTED_VALUE"""),8.0)</f>
        <v>8</v>
      </c>
      <c r="E1139" s="6">
        <f>IFERROR(__xludf.DUMMYFUNCTION("""COMPUTED_VALUE"""),40148.53263888889)</f>
        <v>40148.53264</v>
      </c>
      <c r="F1139" s="2">
        <f>IFERROR(__xludf.DUMMYFUNCTION("""COMPUTED_VALUE"""),0.65)</f>
        <v>0.65</v>
      </c>
      <c r="G1139" s="2">
        <f>IFERROR(__xludf.DUMMYFUNCTION("""COMPUTED_VALUE"""),15719.0)</f>
        <v>15719</v>
      </c>
      <c r="H1139" s="2" t="str">
        <f>IFERROR(__xludf.DUMMYFUNCTION("""COMPUTED_VALUE"""),"United Kingdom")</f>
        <v>United Kingdom</v>
      </c>
      <c r="I1139" s="7">
        <f>IFERROR(__xludf.DUMMYFUNCTION("""COMPUTED_VALUE"""),40148.0)</f>
        <v>40148</v>
      </c>
      <c r="J1139" s="8">
        <f>IFERROR(__xludf.DUMMYFUNCTION("""COMPUTED_VALUE"""),0.5326388888897782)</f>
        <v>0.5326388889</v>
      </c>
      <c r="K1139" s="2">
        <f>IFERROR(__xludf.DUMMYFUNCTION("""COMPUTED_VALUE"""),12.0)</f>
        <v>12</v>
      </c>
      <c r="L1139" s="2">
        <f>IFERROR(__xludf.DUMMYFUNCTION("""COMPUTED_VALUE"""),5.2)</f>
        <v>5.2</v>
      </c>
    </row>
    <row r="1140">
      <c r="A1140" s="2">
        <f>IFERROR(__xludf.DUMMYFUNCTION("""COMPUTED_VALUE"""),489556.0)</f>
        <v>489556</v>
      </c>
      <c r="B1140" s="2" t="str">
        <f>IFERROR(__xludf.DUMMYFUNCTION("""COMPUTED_VALUE"""),"20977")</f>
        <v>20977</v>
      </c>
      <c r="C1140" s="2" t="str">
        <f>IFERROR(__xludf.DUMMYFUNCTION("""COMPUTED_VALUE"""),"36 PENCILS TUBE WOODLAND")</f>
        <v>36 PENCILS TUBE WOODLAND</v>
      </c>
      <c r="D1140" s="2">
        <f>IFERROR(__xludf.DUMMYFUNCTION("""COMPUTED_VALUE"""),2.0)</f>
        <v>2</v>
      </c>
      <c r="E1140" s="6">
        <f>IFERROR(__xludf.DUMMYFUNCTION("""COMPUTED_VALUE"""),40148.53263888889)</f>
        <v>40148.53264</v>
      </c>
      <c r="F1140" s="2">
        <f>IFERROR(__xludf.DUMMYFUNCTION("""COMPUTED_VALUE"""),1.25)</f>
        <v>1.25</v>
      </c>
      <c r="G1140" s="2">
        <f>IFERROR(__xludf.DUMMYFUNCTION("""COMPUTED_VALUE"""),15719.0)</f>
        <v>15719</v>
      </c>
      <c r="H1140" s="2" t="str">
        <f>IFERROR(__xludf.DUMMYFUNCTION("""COMPUTED_VALUE"""),"United Kingdom")</f>
        <v>United Kingdom</v>
      </c>
      <c r="I1140" s="7">
        <f>IFERROR(__xludf.DUMMYFUNCTION("""COMPUTED_VALUE"""),40148.0)</f>
        <v>40148</v>
      </c>
      <c r="J1140" s="8">
        <f>IFERROR(__xludf.DUMMYFUNCTION("""COMPUTED_VALUE"""),0.5326388888897782)</f>
        <v>0.5326388889</v>
      </c>
      <c r="K1140" s="2">
        <f>IFERROR(__xludf.DUMMYFUNCTION("""COMPUTED_VALUE"""),12.0)</f>
        <v>12</v>
      </c>
      <c r="L1140" s="2">
        <f>IFERROR(__xludf.DUMMYFUNCTION("""COMPUTED_VALUE"""),2.5)</f>
        <v>2.5</v>
      </c>
    </row>
    <row r="1141">
      <c r="A1141" s="2">
        <f>IFERROR(__xludf.DUMMYFUNCTION("""COMPUTED_VALUE"""),489556.0)</f>
        <v>489556</v>
      </c>
      <c r="B1141" s="2" t="str">
        <f>IFERROR(__xludf.DUMMYFUNCTION("""COMPUTED_VALUE"""),"20974")</f>
        <v>20974</v>
      </c>
      <c r="C1141" s="2" t="str">
        <f>IFERROR(__xludf.DUMMYFUNCTION("""COMPUTED_VALUE"""),"12 PENCILS SMALL TUBE SKULL")</f>
        <v>12 PENCILS SMALL TUBE SKULL</v>
      </c>
      <c r="D1141" s="2">
        <f>IFERROR(__xludf.DUMMYFUNCTION("""COMPUTED_VALUE"""),3.0)</f>
        <v>3</v>
      </c>
      <c r="E1141" s="6">
        <f>IFERROR(__xludf.DUMMYFUNCTION("""COMPUTED_VALUE"""),40148.53263888889)</f>
        <v>40148.53264</v>
      </c>
      <c r="F1141" s="2">
        <f>IFERROR(__xludf.DUMMYFUNCTION("""COMPUTED_VALUE"""),0.65)</f>
        <v>0.65</v>
      </c>
      <c r="G1141" s="2">
        <f>IFERROR(__xludf.DUMMYFUNCTION("""COMPUTED_VALUE"""),15719.0)</f>
        <v>15719</v>
      </c>
      <c r="H1141" s="2" t="str">
        <f>IFERROR(__xludf.DUMMYFUNCTION("""COMPUTED_VALUE"""),"United Kingdom")</f>
        <v>United Kingdom</v>
      </c>
      <c r="I1141" s="7">
        <f>IFERROR(__xludf.DUMMYFUNCTION("""COMPUTED_VALUE"""),40148.0)</f>
        <v>40148</v>
      </c>
      <c r="J1141" s="8">
        <f>IFERROR(__xludf.DUMMYFUNCTION("""COMPUTED_VALUE"""),0.5326388888897782)</f>
        <v>0.5326388889</v>
      </c>
      <c r="K1141" s="2">
        <f>IFERROR(__xludf.DUMMYFUNCTION("""COMPUTED_VALUE"""),12.0)</f>
        <v>12</v>
      </c>
      <c r="L1141" s="2">
        <f>IFERROR(__xludf.DUMMYFUNCTION("""COMPUTED_VALUE"""),1.95)</f>
        <v>1.95</v>
      </c>
    </row>
    <row r="1142">
      <c r="A1142" s="2">
        <f>IFERROR(__xludf.DUMMYFUNCTION("""COMPUTED_VALUE"""),489556.0)</f>
        <v>489556</v>
      </c>
      <c r="B1142" s="2" t="str">
        <f>IFERROR(__xludf.DUMMYFUNCTION("""COMPUTED_VALUE"""),"21114")</f>
        <v>21114</v>
      </c>
      <c r="C1142" s="2" t="str">
        <f>IFERROR(__xludf.DUMMYFUNCTION("""COMPUTED_VALUE"""),"LAVENDER SCENTED FABRIC HEART")</f>
        <v>LAVENDER SCENTED FABRIC HEART</v>
      </c>
      <c r="D1142" s="2">
        <f>IFERROR(__xludf.DUMMYFUNCTION("""COMPUTED_VALUE"""),15.0)</f>
        <v>15</v>
      </c>
      <c r="E1142" s="6">
        <f>IFERROR(__xludf.DUMMYFUNCTION("""COMPUTED_VALUE"""),40148.53263888889)</f>
        <v>40148.53264</v>
      </c>
      <c r="F1142" s="2">
        <f>IFERROR(__xludf.DUMMYFUNCTION("""COMPUTED_VALUE"""),1.25)</f>
        <v>1.25</v>
      </c>
      <c r="G1142" s="2">
        <f>IFERROR(__xludf.DUMMYFUNCTION("""COMPUTED_VALUE"""),15719.0)</f>
        <v>15719</v>
      </c>
      <c r="H1142" s="2" t="str">
        <f>IFERROR(__xludf.DUMMYFUNCTION("""COMPUTED_VALUE"""),"United Kingdom")</f>
        <v>United Kingdom</v>
      </c>
      <c r="I1142" s="7">
        <f>IFERROR(__xludf.DUMMYFUNCTION("""COMPUTED_VALUE"""),40148.0)</f>
        <v>40148</v>
      </c>
      <c r="J1142" s="8">
        <f>IFERROR(__xludf.DUMMYFUNCTION("""COMPUTED_VALUE"""),0.5326388888897782)</f>
        <v>0.5326388889</v>
      </c>
      <c r="K1142" s="2">
        <f>IFERROR(__xludf.DUMMYFUNCTION("""COMPUTED_VALUE"""),12.0)</f>
        <v>12</v>
      </c>
      <c r="L1142" s="2">
        <f>IFERROR(__xludf.DUMMYFUNCTION("""COMPUTED_VALUE"""),18.75)</f>
        <v>18.75</v>
      </c>
    </row>
    <row r="1143">
      <c r="A1143" s="2">
        <f>IFERROR(__xludf.DUMMYFUNCTION("""COMPUTED_VALUE"""),489556.0)</f>
        <v>489556</v>
      </c>
      <c r="B1143" s="2" t="str">
        <f>IFERROR(__xludf.DUMMYFUNCTION("""COMPUTED_VALUE"""),"85123A")</f>
        <v>85123A</v>
      </c>
      <c r="C1143" s="2" t="str">
        <f>IFERROR(__xludf.DUMMYFUNCTION("""COMPUTED_VALUE"""),"WHITE HANGING HEART T-LIGHT HOLDER")</f>
        <v>WHITE HANGING HEART T-LIGHT HOLDER</v>
      </c>
      <c r="D1143" s="2">
        <f>IFERROR(__xludf.DUMMYFUNCTION("""COMPUTED_VALUE"""),3.0)</f>
        <v>3</v>
      </c>
      <c r="E1143" s="6">
        <f>IFERROR(__xludf.DUMMYFUNCTION("""COMPUTED_VALUE"""),40148.53263888889)</f>
        <v>40148.53264</v>
      </c>
      <c r="F1143" s="2">
        <f>IFERROR(__xludf.DUMMYFUNCTION("""COMPUTED_VALUE"""),2.95)</f>
        <v>2.95</v>
      </c>
      <c r="G1143" s="2">
        <f>IFERROR(__xludf.DUMMYFUNCTION("""COMPUTED_VALUE"""),15719.0)</f>
        <v>15719</v>
      </c>
      <c r="H1143" s="2" t="str">
        <f>IFERROR(__xludf.DUMMYFUNCTION("""COMPUTED_VALUE"""),"United Kingdom")</f>
        <v>United Kingdom</v>
      </c>
      <c r="I1143" s="7">
        <f>IFERROR(__xludf.DUMMYFUNCTION("""COMPUTED_VALUE"""),40148.0)</f>
        <v>40148</v>
      </c>
      <c r="J1143" s="8">
        <f>IFERROR(__xludf.DUMMYFUNCTION("""COMPUTED_VALUE"""),0.5326388888897782)</f>
        <v>0.5326388889</v>
      </c>
      <c r="K1143" s="2">
        <f>IFERROR(__xludf.DUMMYFUNCTION("""COMPUTED_VALUE"""),12.0)</f>
        <v>12</v>
      </c>
      <c r="L1143" s="2">
        <f>IFERROR(__xludf.DUMMYFUNCTION("""COMPUTED_VALUE"""),8.85)</f>
        <v>8.85</v>
      </c>
    </row>
    <row r="1144">
      <c r="A1144" s="2">
        <f>IFERROR(__xludf.DUMMYFUNCTION("""COMPUTED_VALUE"""),489556.0)</f>
        <v>489556</v>
      </c>
      <c r="B1144" s="2" t="str">
        <f>IFERROR(__xludf.DUMMYFUNCTION("""COMPUTED_VALUE"""),"72760B")</f>
        <v>72760B</v>
      </c>
      <c r="C1144" s="2" t="str">
        <f>IFERROR(__xludf.DUMMYFUNCTION("""COMPUTED_VALUE"""),"VINTAGE CREAM 3 BASKET CAKE STAND")</f>
        <v>VINTAGE CREAM 3 BASKET CAKE STAND</v>
      </c>
      <c r="D1144" s="2">
        <f>IFERROR(__xludf.DUMMYFUNCTION("""COMPUTED_VALUE"""),2.0)</f>
        <v>2</v>
      </c>
      <c r="E1144" s="6">
        <f>IFERROR(__xludf.DUMMYFUNCTION("""COMPUTED_VALUE"""),40148.53263888889)</f>
        <v>40148.53264</v>
      </c>
      <c r="F1144" s="2">
        <f>IFERROR(__xludf.DUMMYFUNCTION("""COMPUTED_VALUE"""),9.95)</f>
        <v>9.95</v>
      </c>
      <c r="G1144" s="2">
        <f>IFERROR(__xludf.DUMMYFUNCTION("""COMPUTED_VALUE"""),15719.0)</f>
        <v>15719</v>
      </c>
      <c r="H1144" s="2" t="str">
        <f>IFERROR(__xludf.DUMMYFUNCTION("""COMPUTED_VALUE"""),"United Kingdom")</f>
        <v>United Kingdom</v>
      </c>
      <c r="I1144" s="7">
        <f>IFERROR(__xludf.DUMMYFUNCTION("""COMPUTED_VALUE"""),40148.0)</f>
        <v>40148</v>
      </c>
      <c r="J1144" s="8">
        <f>IFERROR(__xludf.DUMMYFUNCTION("""COMPUTED_VALUE"""),0.5326388888897782)</f>
        <v>0.5326388889</v>
      </c>
      <c r="K1144" s="2">
        <f>IFERROR(__xludf.DUMMYFUNCTION("""COMPUTED_VALUE"""),12.0)</f>
        <v>12</v>
      </c>
      <c r="L1144" s="2">
        <f>IFERROR(__xludf.DUMMYFUNCTION("""COMPUTED_VALUE"""),19.9)</f>
        <v>19.9</v>
      </c>
    </row>
    <row r="1145">
      <c r="A1145" s="2">
        <f>IFERROR(__xludf.DUMMYFUNCTION("""COMPUTED_VALUE"""),489556.0)</f>
        <v>489556</v>
      </c>
      <c r="B1145" s="2" t="str">
        <f>IFERROR(__xludf.DUMMYFUNCTION("""COMPUTED_VALUE"""),"85232A")</f>
        <v>85232A</v>
      </c>
      <c r="C1145" s="2" t="str">
        <f>IFERROR(__xludf.DUMMYFUNCTION("""COMPUTED_VALUE"""),"SET/3 POLKA DOT STACKING TINS")</f>
        <v>SET/3 POLKA DOT STACKING TINS</v>
      </c>
      <c r="D1145" s="2">
        <f>IFERROR(__xludf.DUMMYFUNCTION("""COMPUTED_VALUE"""),1.0)</f>
        <v>1</v>
      </c>
      <c r="E1145" s="6">
        <f>IFERROR(__xludf.DUMMYFUNCTION("""COMPUTED_VALUE"""),40148.53263888889)</f>
        <v>40148.53264</v>
      </c>
      <c r="F1145" s="2">
        <f>IFERROR(__xludf.DUMMYFUNCTION("""COMPUTED_VALUE"""),4.95)</f>
        <v>4.95</v>
      </c>
      <c r="G1145" s="2">
        <f>IFERROR(__xludf.DUMMYFUNCTION("""COMPUTED_VALUE"""),15719.0)</f>
        <v>15719</v>
      </c>
      <c r="H1145" s="2" t="str">
        <f>IFERROR(__xludf.DUMMYFUNCTION("""COMPUTED_VALUE"""),"United Kingdom")</f>
        <v>United Kingdom</v>
      </c>
      <c r="I1145" s="7">
        <f>IFERROR(__xludf.DUMMYFUNCTION("""COMPUTED_VALUE"""),40148.0)</f>
        <v>40148</v>
      </c>
      <c r="J1145" s="8">
        <f>IFERROR(__xludf.DUMMYFUNCTION("""COMPUTED_VALUE"""),0.5326388888897782)</f>
        <v>0.5326388889</v>
      </c>
      <c r="K1145" s="2">
        <f>IFERROR(__xludf.DUMMYFUNCTION("""COMPUTED_VALUE"""),12.0)</f>
        <v>12</v>
      </c>
      <c r="L1145" s="2">
        <f>IFERROR(__xludf.DUMMYFUNCTION("""COMPUTED_VALUE"""),4.95)</f>
        <v>4.95</v>
      </c>
    </row>
    <row r="1146">
      <c r="A1146" s="2">
        <f>IFERROR(__xludf.DUMMYFUNCTION("""COMPUTED_VALUE"""),489556.0)</f>
        <v>489556</v>
      </c>
      <c r="B1146" s="2" t="str">
        <f>IFERROR(__xludf.DUMMYFUNCTION("""COMPUTED_VALUE"""),"21876")</f>
        <v>21876</v>
      </c>
      <c r="C1146" s="2" t="str">
        <f>IFERROR(__xludf.DUMMYFUNCTION("""COMPUTED_VALUE"""),"POTTERING MUG")</f>
        <v>POTTERING MUG</v>
      </c>
      <c r="D1146" s="2">
        <f>IFERROR(__xludf.DUMMYFUNCTION("""COMPUTED_VALUE"""),6.0)</f>
        <v>6</v>
      </c>
      <c r="E1146" s="6">
        <f>IFERROR(__xludf.DUMMYFUNCTION("""COMPUTED_VALUE"""),40148.53263888889)</f>
        <v>40148.53264</v>
      </c>
      <c r="F1146" s="2">
        <f>IFERROR(__xludf.DUMMYFUNCTION("""COMPUTED_VALUE"""),1.25)</f>
        <v>1.25</v>
      </c>
      <c r="G1146" s="2">
        <f>IFERROR(__xludf.DUMMYFUNCTION("""COMPUTED_VALUE"""),15719.0)</f>
        <v>15719</v>
      </c>
      <c r="H1146" s="2" t="str">
        <f>IFERROR(__xludf.DUMMYFUNCTION("""COMPUTED_VALUE"""),"United Kingdom")</f>
        <v>United Kingdom</v>
      </c>
      <c r="I1146" s="7">
        <f>IFERROR(__xludf.DUMMYFUNCTION("""COMPUTED_VALUE"""),40148.0)</f>
        <v>40148</v>
      </c>
      <c r="J1146" s="8">
        <f>IFERROR(__xludf.DUMMYFUNCTION("""COMPUTED_VALUE"""),0.5326388888897782)</f>
        <v>0.5326388889</v>
      </c>
      <c r="K1146" s="2">
        <f>IFERROR(__xludf.DUMMYFUNCTION("""COMPUTED_VALUE"""),12.0)</f>
        <v>12</v>
      </c>
      <c r="L1146" s="2">
        <f>IFERROR(__xludf.DUMMYFUNCTION("""COMPUTED_VALUE"""),7.5)</f>
        <v>7.5</v>
      </c>
    </row>
    <row r="1147">
      <c r="A1147" s="2">
        <f>IFERROR(__xludf.DUMMYFUNCTION("""COMPUTED_VALUE"""),489556.0)</f>
        <v>489556</v>
      </c>
      <c r="B1147" s="2" t="str">
        <f>IFERROR(__xludf.DUMMYFUNCTION("""COMPUTED_VALUE"""),"21212")</f>
        <v>21212</v>
      </c>
      <c r="C1147" s="2" t="str">
        <f>IFERROR(__xludf.DUMMYFUNCTION("""COMPUTED_VALUE"""),"PACK OF 72 RETRO SPOT CAKE CASES")</f>
        <v>PACK OF 72 RETRO SPOT CAKE CASES</v>
      </c>
      <c r="D1147" s="2">
        <f>IFERROR(__xludf.DUMMYFUNCTION("""COMPUTED_VALUE"""),24.0)</f>
        <v>24</v>
      </c>
      <c r="E1147" s="6">
        <f>IFERROR(__xludf.DUMMYFUNCTION("""COMPUTED_VALUE"""),40148.53263888889)</f>
        <v>40148.53264</v>
      </c>
      <c r="F1147" s="2">
        <f>IFERROR(__xludf.DUMMYFUNCTION("""COMPUTED_VALUE"""),0.55)</f>
        <v>0.55</v>
      </c>
      <c r="G1147" s="2">
        <f>IFERROR(__xludf.DUMMYFUNCTION("""COMPUTED_VALUE"""),15719.0)</f>
        <v>15719</v>
      </c>
      <c r="H1147" s="2" t="str">
        <f>IFERROR(__xludf.DUMMYFUNCTION("""COMPUTED_VALUE"""),"United Kingdom")</f>
        <v>United Kingdom</v>
      </c>
      <c r="I1147" s="7">
        <f>IFERROR(__xludf.DUMMYFUNCTION("""COMPUTED_VALUE"""),40148.0)</f>
        <v>40148</v>
      </c>
      <c r="J1147" s="8">
        <f>IFERROR(__xludf.DUMMYFUNCTION("""COMPUTED_VALUE"""),0.5326388888897782)</f>
        <v>0.5326388889</v>
      </c>
      <c r="K1147" s="2">
        <f>IFERROR(__xludf.DUMMYFUNCTION("""COMPUTED_VALUE"""),12.0)</f>
        <v>12</v>
      </c>
      <c r="L1147" s="2">
        <f>IFERROR(__xludf.DUMMYFUNCTION("""COMPUTED_VALUE"""),13.2)</f>
        <v>13.2</v>
      </c>
    </row>
    <row r="1148">
      <c r="A1148" s="2">
        <f>IFERROR(__xludf.DUMMYFUNCTION("""COMPUTED_VALUE"""),489556.0)</f>
        <v>489556</v>
      </c>
      <c r="B1148" s="2" t="str">
        <f>IFERROR(__xludf.DUMMYFUNCTION("""COMPUTED_VALUE"""),"22189")</f>
        <v>22189</v>
      </c>
      <c r="C1148" s="2" t="str">
        <f>IFERROR(__xludf.DUMMYFUNCTION("""COMPUTED_VALUE"""),"CREAM HEART CARD HOLDER")</f>
        <v>CREAM HEART CARD HOLDER</v>
      </c>
      <c r="D1148" s="2">
        <f>IFERROR(__xludf.DUMMYFUNCTION("""COMPUTED_VALUE"""),2.0)</f>
        <v>2</v>
      </c>
      <c r="E1148" s="6">
        <f>IFERROR(__xludf.DUMMYFUNCTION("""COMPUTED_VALUE"""),40148.53263888889)</f>
        <v>40148.53264</v>
      </c>
      <c r="F1148" s="2">
        <f>IFERROR(__xludf.DUMMYFUNCTION("""COMPUTED_VALUE"""),3.95)</f>
        <v>3.95</v>
      </c>
      <c r="G1148" s="2">
        <f>IFERROR(__xludf.DUMMYFUNCTION("""COMPUTED_VALUE"""),15719.0)</f>
        <v>15719</v>
      </c>
      <c r="H1148" s="2" t="str">
        <f>IFERROR(__xludf.DUMMYFUNCTION("""COMPUTED_VALUE"""),"United Kingdom")</f>
        <v>United Kingdom</v>
      </c>
      <c r="I1148" s="7">
        <f>IFERROR(__xludf.DUMMYFUNCTION("""COMPUTED_VALUE"""),40148.0)</f>
        <v>40148</v>
      </c>
      <c r="J1148" s="8">
        <f>IFERROR(__xludf.DUMMYFUNCTION("""COMPUTED_VALUE"""),0.5326388888897782)</f>
        <v>0.5326388889</v>
      </c>
      <c r="K1148" s="2">
        <f>IFERROR(__xludf.DUMMYFUNCTION("""COMPUTED_VALUE"""),12.0)</f>
        <v>12</v>
      </c>
      <c r="L1148" s="2">
        <f>IFERROR(__xludf.DUMMYFUNCTION("""COMPUTED_VALUE"""),7.9)</f>
        <v>7.9</v>
      </c>
    </row>
    <row r="1149">
      <c r="A1149" s="2">
        <f>IFERROR(__xludf.DUMMYFUNCTION("""COMPUTED_VALUE"""),489556.0)</f>
        <v>489556</v>
      </c>
      <c r="B1149" s="2" t="str">
        <f>IFERROR(__xludf.DUMMYFUNCTION("""COMPUTED_VALUE"""),"21217")</f>
        <v>21217</v>
      </c>
      <c r="C1149" s="2" t="str">
        <f>IFERROR(__xludf.DUMMYFUNCTION("""COMPUTED_VALUE"""),"RED SPOTTY ROUND CAKE TINS")</f>
        <v>RED SPOTTY ROUND CAKE TINS</v>
      </c>
      <c r="D1149" s="2">
        <f>IFERROR(__xludf.DUMMYFUNCTION("""COMPUTED_VALUE"""),2.0)</f>
        <v>2</v>
      </c>
      <c r="E1149" s="6">
        <f>IFERROR(__xludf.DUMMYFUNCTION("""COMPUTED_VALUE"""),40148.53263888889)</f>
        <v>40148.53264</v>
      </c>
      <c r="F1149" s="2">
        <f>IFERROR(__xludf.DUMMYFUNCTION("""COMPUTED_VALUE"""),9.95)</f>
        <v>9.95</v>
      </c>
      <c r="G1149" s="2">
        <f>IFERROR(__xludf.DUMMYFUNCTION("""COMPUTED_VALUE"""),15719.0)</f>
        <v>15719</v>
      </c>
      <c r="H1149" s="2" t="str">
        <f>IFERROR(__xludf.DUMMYFUNCTION("""COMPUTED_VALUE"""),"United Kingdom")</f>
        <v>United Kingdom</v>
      </c>
      <c r="I1149" s="7">
        <f>IFERROR(__xludf.DUMMYFUNCTION("""COMPUTED_VALUE"""),40148.0)</f>
        <v>40148</v>
      </c>
      <c r="J1149" s="8">
        <f>IFERROR(__xludf.DUMMYFUNCTION("""COMPUTED_VALUE"""),0.5326388888897782)</f>
        <v>0.5326388889</v>
      </c>
      <c r="K1149" s="2">
        <f>IFERROR(__xludf.DUMMYFUNCTION("""COMPUTED_VALUE"""),12.0)</f>
        <v>12</v>
      </c>
      <c r="L1149" s="2">
        <f>IFERROR(__xludf.DUMMYFUNCTION("""COMPUTED_VALUE"""),19.9)</f>
        <v>19.9</v>
      </c>
    </row>
    <row r="1150">
      <c r="A1150" s="2">
        <f>IFERROR(__xludf.DUMMYFUNCTION("""COMPUTED_VALUE"""),489556.0)</f>
        <v>489556</v>
      </c>
      <c r="B1150" s="2" t="str">
        <f>IFERROR(__xludf.DUMMYFUNCTION("""COMPUTED_VALUE"""),"21875")</f>
        <v>21875</v>
      </c>
      <c r="C1150" s="2" t="str">
        <f>IFERROR(__xludf.DUMMYFUNCTION("""COMPUTED_VALUE"""),"KINGS CHOICE MUG")</f>
        <v>KINGS CHOICE MUG</v>
      </c>
      <c r="D1150" s="2">
        <f>IFERROR(__xludf.DUMMYFUNCTION("""COMPUTED_VALUE"""),2.0)</f>
        <v>2</v>
      </c>
      <c r="E1150" s="6">
        <f>IFERROR(__xludf.DUMMYFUNCTION("""COMPUTED_VALUE"""),40148.53263888889)</f>
        <v>40148.53264</v>
      </c>
      <c r="F1150" s="2">
        <f>IFERROR(__xludf.DUMMYFUNCTION("""COMPUTED_VALUE"""),1.25)</f>
        <v>1.25</v>
      </c>
      <c r="G1150" s="2">
        <f>IFERROR(__xludf.DUMMYFUNCTION("""COMPUTED_VALUE"""),15719.0)</f>
        <v>15719</v>
      </c>
      <c r="H1150" s="2" t="str">
        <f>IFERROR(__xludf.DUMMYFUNCTION("""COMPUTED_VALUE"""),"United Kingdom")</f>
        <v>United Kingdom</v>
      </c>
      <c r="I1150" s="7">
        <f>IFERROR(__xludf.DUMMYFUNCTION("""COMPUTED_VALUE"""),40148.0)</f>
        <v>40148</v>
      </c>
      <c r="J1150" s="8">
        <f>IFERROR(__xludf.DUMMYFUNCTION("""COMPUTED_VALUE"""),0.5326388888897782)</f>
        <v>0.5326388889</v>
      </c>
      <c r="K1150" s="2">
        <f>IFERROR(__xludf.DUMMYFUNCTION("""COMPUTED_VALUE"""),12.0)</f>
        <v>12</v>
      </c>
      <c r="L1150" s="2">
        <f>IFERROR(__xludf.DUMMYFUNCTION("""COMPUTED_VALUE"""),2.5)</f>
        <v>2.5</v>
      </c>
    </row>
    <row r="1151">
      <c r="A1151" s="2">
        <f>IFERROR(__xludf.DUMMYFUNCTION("""COMPUTED_VALUE"""),489556.0)</f>
        <v>489556</v>
      </c>
      <c r="B1151" s="2" t="str">
        <f>IFERROR(__xludf.DUMMYFUNCTION("""COMPUTED_VALUE"""),"20972")</f>
        <v>20972</v>
      </c>
      <c r="C1151" s="2" t="str">
        <f>IFERROR(__xludf.DUMMYFUNCTION("""COMPUTED_VALUE"""),"PINK CREAM FELT CRAFT TRINKET BOX")</f>
        <v>PINK CREAM FELT CRAFT TRINKET BOX</v>
      </c>
      <c r="D1151" s="2">
        <f>IFERROR(__xludf.DUMMYFUNCTION("""COMPUTED_VALUE"""),1.0)</f>
        <v>1</v>
      </c>
      <c r="E1151" s="6">
        <f>IFERROR(__xludf.DUMMYFUNCTION("""COMPUTED_VALUE"""),40148.53263888889)</f>
        <v>40148.53264</v>
      </c>
      <c r="F1151" s="2">
        <f>IFERROR(__xludf.DUMMYFUNCTION("""COMPUTED_VALUE"""),1.25)</f>
        <v>1.25</v>
      </c>
      <c r="G1151" s="2">
        <f>IFERROR(__xludf.DUMMYFUNCTION("""COMPUTED_VALUE"""),15719.0)</f>
        <v>15719</v>
      </c>
      <c r="H1151" s="2" t="str">
        <f>IFERROR(__xludf.DUMMYFUNCTION("""COMPUTED_VALUE"""),"United Kingdom")</f>
        <v>United Kingdom</v>
      </c>
      <c r="I1151" s="7">
        <f>IFERROR(__xludf.DUMMYFUNCTION("""COMPUTED_VALUE"""),40148.0)</f>
        <v>40148</v>
      </c>
      <c r="J1151" s="8">
        <f>IFERROR(__xludf.DUMMYFUNCTION("""COMPUTED_VALUE"""),0.5326388888897782)</f>
        <v>0.5326388889</v>
      </c>
      <c r="K1151" s="2">
        <f>IFERROR(__xludf.DUMMYFUNCTION("""COMPUTED_VALUE"""),12.0)</f>
        <v>12</v>
      </c>
      <c r="L1151" s="2">
        <f>IFERROR(__xludf.DUMMYFUNCTION("""COMPUTED_VALUE"""),1.25)</f>
        <v>1.25</v>
      </c>
    </row>
    <row r="1152">
      <c r="A1152" s="2">
        <f>IFERROR(__xludf.DUMMYFUNCTION("""COMPUTED_VALUE"""),489556.0)</f>
        <v>489556</v>
      </c>
      <c r="B1152" s="2" t="str">
        <f>IFERROR(__xludf.DUMMYFUNCTION("""COMPUTED_VALUE"""),"35971")</f>
        <v>35971</v>
      </c>
      <c r="C1152" s="2" t="str">
        <f>IFERROR(__xludf.DUMMYFUNCTION("""COMPUTED_VALUE"""),"ROSE FOLKART HEART DECORATIONS")</f>
        <v>ROSE FOLKART HEART DECORATIONS</v>
      </c>
      <c r="D1152" s="2">
        <f>IFERROR(__xludf.DUMMYFUNCTION("""COMPUTED_VALUE"""),2.0)</f>
        <v>2</v>
      </c>
      <c r="E1152" s="6">
        <f>IFERROR(__xludf.DUMMYFUNCTION("""COMPUTED_VALUE"""),40148.53263888889)</f>
        <v>40148.53264</v>
      </c>
      <c r="F1152" s="2">
        <f>IFERROR(__xludf.DUMMYFUNCTION("""COMPUTED_VALUE"""),1.25)</f>
        <v>1.25</v>
      </c>
      <c r="G1152" s="2">
        <f>IFERROR(__xludf.DUMMYFUNCTION("""COMPUTED_VALUE"""),15719.0)</f>
        <v>15719</v>
      </c>
      <c r="H1152" s="2" t="str">
        <f>IFERROR(__xludf.DUMMYFUNCTION("""COMPUTED_VALUE"""),"United Kingdom")</f>
        <v>United Kingdom</v>
      </c>
      <c r="I1152" s="7">
        <f>IFERROR(__xludf.DUMMYFUNCTION("""COMPUTED_VALUE"""),40148.0)</f>
        <v>40148</v>
      </c>
      <c r="J1152" s="8">
        <f>IFERROR(__xludf.DUMMYFUNCTION("""COMPUTED_VALUE"""),0.5326388888897782)</f>
        <v>0.5326388889</v>
      </c>
      <c r="K1152" s="2">
        <f>IFERROR(__xludf.DUMMYFUNCTION("""COMPUTED_VALUE"""),12.0)</f>
        <v>12</v>
      </c>
      <c r="L1152" s="2">
        <f>IFERROR(__xludf.DUMMYFUNCTION("""COMPUTED_VALUE"""),2.5)</f>
        <v>2.5</v>
      </c>
    </row>
    <row r="1153">
      <c r="A1153" s="2">
        <f>IFERROR(__xludf.DUMMYFUNCTION("""COMPUTED_VALUE"""),489556.0)</f>
        <v>489556</v>
      </c>
      <c r="B1153" s="2" t="str">
        <f>IFERROR(__xludf.DUMMYFUNCTION("""COMPUTED_VALUE"""),"22138")</f>
        <v>22138</v>
      </c>
      <c r="C1153" s="2" t="str">
        <f>IFERROR(__xludf.DUMMYFUNCTION("""COMPUTED_VALUE"""),"BAKING SET 9 PIECE RETROSPOT")</f>
        <v>BAKING SET 9 PIECE RETROSPOT</v>
      </c>
      <c r="D1153" s="2">
        <f>IFERROR(__xludf.DUMMYFUNCTION("""COMPUTED_VALUE"""),1.0)</f>
        <v>1</v>
      </c>
      <c r="E1153" s="6">
        <f>IFERROR(__xludf.DUMMYFUNCTION("""COMPUTED_VALUE"""),40148.53263888889)</f>
        <v>40148.53264</v>
      </c>
      <c r="F1153" s="2">
        <f>IFERROR(__xludf.DUMMYFUNCTION("""COMPUTED_VALUE"""),4.95)</f>
        <v>4.95</v>
      </c>
      <c r="G1153" s="2">
        <f>IFERROR(__xludf.DUMMYFUNCTION("""COMPUTED_VALUE"""),15719.0)</f>
        <v>15719</v>
      </c>
      <c r="H1153" s="2" t="str">
        <f>IFERROR(__xludf.DUMMYFUNCTION("""COMPUTED_VALUE"""),"United Kingdom")</f>
        <v>United Kingdom</v>
      </c>
      <c r="I1153" s="7">
        <f>IFERROR(__xludf.DUMMYFUNCTION("""COMPUTED_VALUE"""),40148.0)</f>
        <v>40148</v>
      </c>
      <c r="J1153" s="8">
        <f>IFERROR(__xludf.DUMMYFUNCTION("""COMPUTED_VALUE"""),0.5326388888897782)</f>
        <v>0.5326388889</v>
      </c>
      <c r="K1153" s="2">
        <f>IFERROR(__xludf.DUMMYFUNCTION("""COMPUTED_VALUE"""),12.0)</f>
        <v>12</v>
      </c>
      <c r="L1153" s="2">
        <f>IFERROR(__xludf.DUMMYFUNCTION("""COMPUTED_VALUE"""),4.95)</f>
        <v>4.95</v>
      </c>
    </row>
    <row r="1154">
      <c r="A1154" s="2">
        <f>IFERROR(__xludf.DUMMYFUNCTION("""COMPUTED_VALUE"""),489556.0)</f>
        <v>489556</v>
      </c>
      <c r="B1154" s="2" t="str">
        <f>IFERROR(__xludf.DUMMYFUNCTION("""COMPUTED_VALUE"""),"22143")</f>
        <v>22143</v>
      </c>
      <c r="C1154" s="2" t="str">
        <f>IFERROR(__xludf.DUMMYFUNCTION("""COMPUTED_VALUE"""),"CHRISTMAS CRAFT HEART DECORATIONS")</f>
        <v>CHRISTMAS CRAFT HEART DECORATIONS</v>
      </c>
      <c r="D1154" s="2">
        <f>IFERROR(__xludf.DUMMYFUNCTION("""COMPUTED_VALUE"""),2.0)</f>
        <v>2</v>
      </c>
      <c r="E1154" s="6">
        <f>IFERROR(__xludf.DUMMYFUNCTION("""COMPUTED_VALUE"""),40148.53263888889)</f>
        <v>40148.53264</v>
      </c>
      <c r="F1154" s="2">
        <f>IFERROR(__xludf.DUMMYFUNCTION("""COMPUTED_VALUE"""),2.1)</f>
        <v>2.1</v>
      </c>
      <c r="G1154" s="2">
        <f>IFERROR(__xludf.DUMMYFUNCTION("""COMPUTED_VALUE"""),15719.0)</f>
        <v>15719</v>
      </c>
      <c r="H1154" s="2" t="str">
        <f>IFERROR(__xludf.DUMMYFUNCTION("""COMPUTED_VALUE"""),"United Kingdom")</f>
        <v>United Kingdom</v>
      </c>
      <c r="I1154" s="7">
        <f>IFERROR(__xludf.DUMMYFUNCTION("""COMPUTED_VALUE"""),40148.0)</f>
        <v>40148</v>
      </c>
      <c r="J1154" s="8">
        <f>IFERROR(__xludf.DUMMYFUNCTION("""COMPUTED_VALUE"""),0.5326388888897782)</f>
        <v>0.5326388889</v>
      </c>
      <c r="K1154" s="2">
        <f>IFERROR(__xludf.DUMMYFUNCTION("""COMPUTED_VALUE"""),12.0)</f>
        <v>12</v>
      </c>
      <c r="L1154" s="2">
        <f>IFERROR(__xludf.DUMMYFUNCTION("""COMPUTED_VALUE"""),4.2)</f>
        <v>4.2</v>
      </c>
    </row>
    <row r="1155">
      <c r="A1155" s="2">
        <f>IFERROR(__xludf.DUMMYFUNCTION("""COMPUTED_VALUE"""),489556.0)</f>
        <v>489556</v>
      </c>
      <c r="B1155" s="2" t="str">
        <f>IFERROR(__xludf.DUMMYFUNCTION("""COMPUTED_VALUE"""),"21486")</f>
        <v>21486</v>
      </c>
      <c r="C1155" s="2" t="str">
        <f>IFERROR(__xludf.DUMMYFUNCTION("""COMPUTED_VALUE"""),"PINK HEART DOTS HOT WATER BOTTLE")</f>
        <v>PINK HEART DOTS HOT WATER BOTTLE</v>
      </c>
      <c r="D1155" s="2">
        <f>IFERROR(__xludf.DUMMYFUNCTION("""COMPUTED_VALUE"""),1.0)</f>
        <v>1</v>
      </c>
      <c r="E1155" s="6">
        <f>IFERROR(__xludf.DUMMYFUNCTION("""COMPUTED_VALUE"""),40148.53263888889)</f>
        <v>40148.53264</v>
      </c>
      <c r="F1155" s="2">
        <f>IFERROR(__xludf.DUMMYFUNCTION("""COMPUTED_VALUE"""),3.75)</f>
        <v>3.75</v>
      </c>
      <c r="G1155" s="2">
        <f>IFERROR(__xludf.DUMMYFUNCTION("""COMPUTED_VALUE"""),15719.0)</f>
        <v>15719</v>
      </c>
      <c r="H1155" s="2" t="str">
        <f>IFERROR(__xludf.DUMMYFUNCTION("""COMPUTED_VALUE"""),"United Kingdom")</f>
        <v>United Kingdom</v>
      </c>
      <c r="I1155" s="7">
        <f>IFERROR(__xludf.DUMMYFUNCTION("""COMPUTED_VALUE"""),40148.0)</f>
        <v>40148</v>
      </c>
      <c r="J1155" s="8">
        <f>IFERROR(__xludf.DUMMYFUNCTION("""COMPUTED_VALUE"""),0.5326388888897782)</f>
        <v>0.5326388889</v>
      </c>
      <c r="K1155" s="2">
        <f>IFERROR(__xludf.DUMMYFUNCTION("""COMPUTED_VALUE"""),12.0)</f>
        <v>12</v>
      </c>
      <c r="L1155" s="2">
        <f>IFERROR(__xludf.DUMMYFUNCTION("""COMPUTED_VALUE"""),3.75)</f>
        <v>3.75</v>
      </c>
    </row>
    <row r="1156">
      <c r="A1156" s="2">
        <f>IFERROR(__xludf.DUMMYFUNCTION("""COMPUTED_VALUE"""),489556.0)</f>
        <v>489556</v>
      </c>
      <c r="B1156" s="2" t="str">
        <f>IFERROR(__xludf.DUMMYFUNCTION("""COMPUTED_VALUE"""),"21485")</f>
        <v>21485</v>
      </c>
      <c r="C1156" s="2" t="str">
        <f>IFERROR(__xludf.DUMMYFUNCTION("""COMPUTED_VALUE"""),"RED SPOT HEART HOT WATER BOTTLE")</f>
        <v>RED SPOT HEART HOT WATER BOTTLE</v>
      </c>
      <c r="D1156" s="2">
        <f>IFERROR(__xludf.DUMMYFUNCTION("""COMPUTED_VALUE"""),1.0)</f>
        <v>1</v>
      </c>
      <c r="E1156" s="6">
        <f>IFERROR(__xludf.DUMMYFUNCTION("""COMPUTED_VALUE"""),40148.53263888889)</f>
        <v>40148.53264</v>
      </c>
      <c r="F1156" s="2">
        <f>IFERROR(__xludf.DUMMYFUNCTION("""COMPUTED_VALUE"""),4.95)</f>
        <v>4.95</v>
      </c>
      <c r="G1156" s="2">
        <f>IFERROR(__xludf.DUMMYFUNCTION("""COMPUTED_VALUE"""),15719.0)</f>
        <v>15719</v>
      </c>
      <c r="H1156" s="2" t="str">
        <f>IFERROR(__xludf.DUMMYFUNCTION("""COMPUTED_VALUE"""),"United Kingdom")</f>
        <v>United Kingdom</v>
      </c>
      <c r="I1156" s="7">
        <f>IFERROR(__xludf.DUMMYFUNCTION("""COMPUTED_VALUE"""),40148.0)</f>
        <v>40148</v>
      </c>
      <c r="J1156" s="8">
        <f>IFERROR(__xludf.DUMMYFUNCTION("""COMPUTED_VALUE"""),0.5326388888897782)</f>
        <v>0.5326388889</v>
      </c>
      <c r="K1156" s="2">
        <f>IFERROR(__xludf.DUMMYFUNCTION("""COMPUTED_VALUE"""),12.0)</f>
        <v>12</v>
      </c>
      <c r="L1156" s="2">
        <f>IFERROR(__xludf.DUMMYFUNCTION("""COMPUTED_VALUE"""),4.95)</f>
        <v>4.95</v>
      </c>
    </row>
    <row r="1157">
      <c r="A1157" s="2">
        <f>IFERROR(__xludf.DUMMYFUNCTION("""COMPUTED_VALUE"""),489556.0)</f>
        <v>489556</v>
      </c>
      <c r="B1157" s="2" t="str">
        <f>IFERROR(__xludf.DUMMYFUNCTION("""COMPUTED_VALUE"""),"22125")</f>
        <v>22125</v>
      </c>
      <c r="C1157" s="2" t="str">
        <f>IFERROR(__xludf.DUMMYFUNCTION("""COMPUTED_VALUE"""),"UNION JACK HOT WATER BOTTLE")</f>
        <v>UNION JACK HOT WATER BOTTLE</v>
      </c>
      <c r="D1157" s="2">
        <f>IFERROR(__xludf.DUMMYFUNCTION("""COMPUTED_VALUE"""),1.0)</f>
        <v>1</v>
      </c>
      <c r="E1157" s="6">
        <f>IFERROR(__xludf.DUMMYFUNCTION("""COMPUTED_VALUE"""),40148.53263888889)</f>
        <v>40148.53264</v>
      </c>
      <c r="F1157" s="2">
        <f>IFERROR(__xludf.DUMMYFUNCTION("""COMPUTED_VALUE"""),5.95)</f>
        <v>5.95</v>
      </c>
      <c r="G1157" s="2">
        <f>IFERROR(__xludf.DUMMYFUNCTION("""COMPUTED_VALUE"""),15719.0)</f>
        <v>15719</v>
      </c>
      <c r="H1157" s="2" t="str">
        <f>IFERROR(__xludf.DUMMYFUNCTION("""COMPUTED_VALUE"""),"United Kingdom")</f>
        <v>United Kingdom</v>
      </c>
      <c r="I1157" s="7">
        <f>IFERROR(__xludf.DUMMYFUNCTION("""COMPUTED_VALUE"""),40148.0)</f>
        <v>40148</v>
      </c>
      <c r="J1157" s="8">
        <f>IFERROR(__xludf.DUMMYFUNCTION("""COMPUTED_VALUE"""),0.5326388888897782)</f>
        <v>0.5326388889</v>
      </c>
      <c r="K1157" s="2">
        <f>IFERROR(__xludf.DUMMYFUNCTION("""COMPUTED_VALUE"""),12.0)</f>
        <v>12</v>
      </c>
      <c r="L1157" s="2">
        <f>IFERROR(__xludf.DUMMYFUNCTION("""COMPUTED_VALUE"""),5.95)</f>
        <v>5.95</v>
      </c>
    </row>
    <row r="1158">
      <c r="A1158" s="2">
        <f>IFERROR(__xludf.DUMMYFUNCTION("""COMPUTED_VALUE"""),489556.0)</f>
        <v>489556</v>
      </c>
      <c r="B1158" s="2" t="str">
        <f>IFERROR(__xludf.DUMMYFUNCTION("""COMPUTED_VALUE"""),"21479")</f>
        <v>21479</v>
      </c>
      <c r="C1158" s="2" t="str">
        <f>IFERROR(__xludf.DUMMYFUNCTION("""COMPUTED_VALUE"""),"WHITE SKULL HOT WATER BOTTLE")</f>
        <v>WHITE SKULL HOT WATER BOTTLE</v>
      </c>
      <c r="D1158" s="2">
        <f>IFERROR(__xludf.DUMMYFUNCTION("""COMPUTED_VALUE"""),1.0)</f>
        <v>1</v>
      </c>
      <c r="E1158" s="6">
        <f>IFERROR(__xludf.DUMMYFUNCTION("""COMPUTED_VALUE"""),40148.53263888889)</f>
        <v>40148.53264</v>
      </c>
      <c r="F1158" s="2">
        <f>IFERROR(__xludf.DUMMYFUNCTION("""COMPUTED_VALUE"""),3.75)</f>
        <v>3.75</v>
      </c>
      <c r="G1158" s="2">
        <f>IFERROR(__xludf.DUMMYFUNCTION("""COMPUTED_VALUE"""),15719.0)</f>
        <v>15719</v>
      </c>
      <c r="H1158" s="2" t="str">
        <f>IFERROR(__xludf.DUMMYFUNCTION("""COMPUTED_VALUE"""),"United Kingdom")</f>
        <v>United Kingdom</v>
      </c>
      <c r="I1158" s="7">
        <f>IFERROR(__xludf.DUMMYFUNCTION("""COMPUTED_VALUE"""),40148.0)</f>
        <v>40148</v>
      </c>
      <c r="J1158" s="8">
        <f>IFERROR(__xludf.DUMMYFUNCTION("""COMPUTED_VALUE"""),0.5326388888897782)</f>
        <v>0.5326388889</v>
      </c>
      <c r="K1158" s="2">
        <f>IFERROR(__xludf.DUMMYFUNCTION("""COMPUTED_VALUE"""),12.0)</f>
        <v>12</v>
      </c>
      <c r="L1158" s="2">
        <f>IFERROR(__xludf.DUMMYFUNCTION("""COMPUTED_VALUE"""),3.75)</f>
        <v>3.75</v>
      </c>
    </row>
    <row r="1159">
      <c r="A1159" s="2">
        <f>IFERROR(__xludf.DUMMYFUNCTION("""COMPUTED_VALUE"""),489556.0)</f>
        <v>489556</v>
      </c>
      <c r="B1159" s="2" t="str">
        <f>IFERROR(__xludf.DUMMYFUNCTION("""COMPUTED_VALUE"""),"21740")</f>
        <v>21740</v>
      </c>
      <c r="C1159" s="2" t="str">
        <f>IFERROR(__xludf.DUMMYFUNCTION("""COMPUTED_VALUE"""),"COSY SLIPPER SHOES LARGE RED")</f>
        <v>COSY SLIPPER SHOES LARGE RED</v>
      </c>
      <c r="D1159" s="2">
        <f>IFERROR(__xludf.DUMMYFUNCTION("""COMPUTED_VALUE"""),2.0)</f>
        <v>2</v>
      </c>
      <c r="E1159" s="6">
        <f>IFERROR(__xludf.DUMMYFUNCTION("""COMPUTED_VALUE"""),40148.53263888889)</f>
        <v>40148.53264</v>
      </c>
      <c r="F1159" s="2">
        <f>IFERROR(__xludf.DUMMYFUNCTION("""COMPUTED_VALUE"""),2.95)</f>
        <v>2.95</v>
      </c>
      <c r="G1159" s="2">
        <f>IFERROR(__xludf.DUMMYFUNCTION("""COMPUTED_VALUE"""),15719.0)</f>
        <v>15719</v>
      </c>
      <c r="H1159" s="2" t="str">
        <f>IFERROR(__xludf.DUMMYFUNCTION("""COMPUTED_VALUE"""),"United Kingdom")</f>
        <v>United Kingdom</v>
      </c>
      <c r="I1159" s="7">
        <f>IFERROR(__xludf.DUMMYFUNCTION("""COMPUTED_VALUE"""),40148.0)</f>
        <v>40148</v>
      </c>
      <c r="J1159" s="8">
        <f>IFERROR(__xludf.DUMMYFUNCTION("""COMPUTED_VALUE"""),0.5326388888897782)</f>
        <v>0.5326388889</v>
      </c>
      <c r="K1159" s="2">
        <f>IFERROR(__xludf.DUMMYFUNCTION("""COMPUTED_VALUE"""),12.0)</f>
        <v>12</v>
      </c>
      <c r="L1159" s="2">
        <f>IFERROR(__xludf.DUMMYFUNCTION("""COMPUTED_VALUE"""),5.9)</f>
        <v>5.9</v>
      </c>
    </row>
    <row r="1160">
      <c r="A1160" s="2">
        <f>IFERROR(__xludf.DUMMYFUNCTION("""COMPUTED_VALUE"""),489556.0)</f>
        <v>489556</v>
      </c>
      <c r="B1160" s="2" t="str">
        <f>IFERROR(__xludf.DUMMYFUNCTION("""COMPUTED_VALUE"""),"22082")</f>
        <v>22082</v>
      </c>
      <c r="C1160" s="2" t="str">
        <f>IFERROR(__xludf.DUMMYFUNCTION("""COMPUTED_VALUE"""),"RIBBON REEL STRIPES DESIGN")</f>
        <v>RIBBON REEL STRIPES DESIGN</v>
      </c>
      <c r="D1160" s="2">
        <f>IFERROR(__xludf.DUMMYFUNCTION("""COMPUTED_VALUE"""),5.0)</f>
        <v>5</v>
      </c>
      <c r="E1160" s="6">
        <f>IFERROR(__xludf.DUMMYFUNCTION("""COMPUTED_VALUE"""),40148.53263888889)</f>
        <v>40148.53264</v>
      </c>
      <c r="F1160" s="2">
        <f>IFERROR(__xludf.DUMMYFUNCTION("""COMPUTED_VALUE"""),1.65)</f>
        <v>1.65</v>
      </c>
      <c r="G1160" s="2">
        <f>IFERROR(__xludf.DUMMYFUNCTION("""COMPUTED_VALUE"""),15719.0)</f>
        <v>15719</v>
      </c>
      <c r="H1160" s="2" t="str">
        <f>IFERROR(__xludf.DUMMYFUNCTION("""COMPUTED_VALUE"""),"United Kingdom")</f>
        <v>United Kingdom</v>
      </c>
      <c r="I1160" s="7">
        <f>IFERROR(__xludf.DUMMYFUNCTION("""COMPUTED_VALUE"""),40148.0)</f>
        <v>40148</v>
      </c>
      <c r="J1160" s="8">
        <f>IFERROR(__xludf.DUMMYFUNCTION("""COMPUTED_VALUE"""),0.5326388888897782)</f>
        <v>0.5326388889</v>
      </c>
      <c r="K1160" s="2">
        <f>IFERROR(__xludf.DUMMYFUNCTION("""COMPUTED_VALUE"""),12.0)</f>
        <v>12</v>
      </c>
      <c r="L1160" s="2">
        <f>IFERROR(__xludf.DUMMYFUNCTION("""COMPUTED_VALUE"""),8.25)</f>
        <v>8.25</v>
      </c>
    </row>
    <row r="1161">
      <c r="A1161" s="2">
        <f>IFERROR(__xludf.DUMMYFUNCTION("""COMPUTED_VALUE"""),489556.0)</f>
        <v>489556</v>
      </c>
      <c r="B1161" s="2" t="str">
        <f>IFERROR(__xludf.DUMMYFUNCTION("""COMPUTED_VALUE"""),"22195")</f>
        <v>22195</v>
      </c>
      <c r="C1161" s="2" t="str">
        <f>IFERROR(__xludf.DUMMYFUNCTION("""COMPUTED_VALUE"""),"LARGE HEART MEASURING SPOONS")</f>
        <v>LARGE HEART MEASURING SPOONS</v>
      </c>
      <c r="D1161" s="2">
        <f>IFERROR(__xludf.DUMMYFUNCTION("""COMPUTED_VALUE"""),2.0)</f>
        <v>2</v>
      </c>
      <c r="E1161" s="6">
        <f>IFERROR(__xludf.DUMMYFUNCTION("""COMPUTED_VALUE"""),40148.53263888889)</f>
        <v>40148.53264</v>
      </c>
      <c r="F1161" s="2">
        <f>IFERROR(__xludf.DUMMYFUNCTION("""COMPUTED_VALUE"""),1.65)</f>
        <v>1.65</v>
      </c>
      <c r="G1161" s="2">
        <f>IFERROR(__xludf.DUMMYFUNCTION("""COMPUTED_VALUE"""),15719.0)</f>
        <v>15719</v>
      </c>
      <c r="H1161" s="2" t="str">
        <f>IFERROR(__xludf.DUMMYFUNCTION("""COMPUTED_VALUE"""),"United Kingdom")</f>
        <v>United Kingdom</v>
      </c>
      <c r="I1161" s="7">
        <f>IFERROR(__xludf.DUMMYFUNCTION("""COMPUTED_VALUE"""),40148.0)</f>
        <v>40148</v>
      </c>
      <c r="J1161" s="8">
        <f>IFERROR(__xludf.DUMMYFUNCTION("""COMPUTED_VALUE"""),0.5326388888897782)</f>
        <v>0.5326388889</v>
      </c>
      <c r="K1161" s="2">
        <f>IFERROR(__xludf.DUMMYFUNCTION("""COMPUTED_VALUE"""),12.0)</f>
        <v>12</v>
      </c>
      <c r="L1161" s="2">
        <f>IFERROR(__xludf.DUMMYFUNCTION("""COMPUTED_VALUE"""),3.3)</f>
        <v>3.3</v>
      </c>
    </row>
    <row r="1162">
      <c r="A1162" s="2">
        <f>IFERROR(__xludf.DUMMYFUNCTION("""COMPUTED_VALUE"""),489556.0)</f>
        <v>489556</v>
      </c>
      <c r="B1162" s="2" t="str">
        <f>IFERROR(__xludf.DUMMYFUNCTION("""COMPUTED_VALUE"""),"21624")</f>
        <v>21624</v>
      </c>
      <c r="C1162" s="2" t="str">
        <f>IFERROR(__xludf.DUMMYFUNCTION("""COMPUTED_VALUE"""),"VINTAGE UNION JACK DOORSTOP")</f>
        <v>VINTAGE UNION JACK DOORSTOP</v>
      </c>
      <c r="D1162" s="2">
        <f>IFERROR(__xludf.DUMMYFUNCTION("""COMPUTED_VALUE"""),1.0)</f>
        <v>1</v>
      </c>
      <c r="E1162" s="6">
        <f>IFERROR(__xludf.DUMMYFUNCTION("""COMPUTED_VALUE"""),40148.53263888889)</f>
        <v>40148.53264</v>
      </c>
      <c r="F1162" s="2">
        <f>IFERROR(__xludf.DUMMYFUNCTION("""COMPUTED_VALUE"""),5.95)</f>
        <v>5.95</v>
      </c>
      <c r="G1162" s="2">
        <f>IFERROR(__xludf.DUMMYFUNCTION("""COMPUTED_VALUE"""),15719.0)</f>
        <v>15719</v>
      </c>
      <c r="H1162" s="2" t="str">
        <f>IFERROR(__xludf.DUMMYFUNCTION("""COMPUTED_VALUE"""),"United Kingdom")</f>
        <v>United Kingdom</v>
      </c>
      <c r="I1162" s="7">
        <f>IFERROR(__xludf.DUMMYFUNCTION("""COMPUTED_VALUE"""),40148.0)</f>
        <v>40148</v>
      </c>
      <c r="J1162" s="8">
        <f>IFERROR(__xludf.DUMMYFUNCTION("""COMPUTED_VALUE"""),0.5326388888897782)</f>
        <v>0.5326388889</v>
      </c>
      <c r="K1162" s="2">
        <f>IFERROR(__xludf.DUMMYFUNCTION("""COMPUTED_VALUE"""),12.0)</f>
        <v>12</v>
      </c>
      <c r="L1162" s="2">
        <f>IFERROR(__xludf.DUMMYFUNCTION("""COMPUTED_VALUE"""),5.95)</f>
        <v>5.95</v>
      </c>
    </row>
    <row r="1163">
      <c r="A1163" s="2">
        <f>IFERROR(__xludf.DUMMYFUNCTION("""COMPUTED_VALUE"""),489556.0)</f>
        <v>489556</v>
      </c>
      <c r="B1163" s="2" t="str">
        <f>IFERROR(__xludf.DUMMYFUNCTION("""COMPUTED_VALUE"""),"21738")</f>
        <v>21738</v>
      </c>
      <c r="C1163" s="2" t="str">
        <f>IFERROR(__xludf.DUMMYFUNCTION("""COMPUTED_VALUE"""),"COSY SLIPPER SHOES SMALL RED")</f>
        <v>COSY SLIPPER SHOES SMALL RED</v>
      </c>
      <c r="D1163" s="2">
        <f>IFERROR(__xludf.DUMMYFUNCTION("""COMPUTED_VALUE"""),2.0)</f>
        <v>2</v>
      </c>
      <c r="E1163" s="6">
        <f>IFERROR(__xludf.DUMMYFUNCTION("""COMPUTED_VALUE"""),40148.53263888889)</f>
        <v>40148.53264</v>
      </c>
      <c r="F1163" s="2">
        <f>IFERROR(__xludf.DUMMYFUNCTION("""COMPUTED_VALUE"""),2.95)</f>
        <v>2.95</v>
      </c>
      <c r="G1163" s="2">
        <f>IFERROR(__xludf.DUMMYFUNCTION("""COMPUTED_VALUE"""),15719.0)</f>
        <v>15719</v>
      </c>
      <c r="H1163" s="2" t="str">
        <f>IFERROR(__xludf.DUMMYFUNCTION("""COMPUTED_VALUE"""),"United Kingdom")</f>
        <v>United Kingdom</v>
      </c>
      <c r="I1163" s="7">
        <f>IFERROR(__xludf.DUMMYFUNCTION("""COMPUTED_VALUE"""),40148.0)</f>
        <v>40148</v>
      </c>
      <c r="J1163" s="8">
        <f>IFERROR(__xludf.DUMMYFUNCTION("""COMPUTED_VALUE"""),0.5326388888897782)</f>
        <v>0.5326388889</v>
      </c>
      <c r="K1163" s="2">
        <f>IFERROR(__xludf.DUMMYFUNCTION("""COMPUTED_VALUE"""),12.0)</f>
        <v>12</v>
      </c>
      <c r="L1163" s="2">
        <f>IFERROR(__xludf.DUMMYFUNCTION("""COMPUTED_VALUE"""),5.9)</f>
        <v>5.9</v>
      </c>
    </row>
    <row r="1164">
      <c r="A1164" s="2">
        <f>IFERROR(__xludf.DUMMYFUNCTION("""COMPUTED_VALUE"""),489556.0)</f>
        <v>489556</v>
      </c>
      <c r="B1164" s="2" t="str">
        <f>IFERROR(__xludf.DUMMYFUNCTION("""COMPUTED_VALUE"""),"22280")</f>
        <v>22280</v>
      </c>
      <c r="C1164" s="2" t="str">
        <f>IFERROR(__xludf.DUMMYFUNCTION("""COMPUTED_VALUE"""),"POCKET BAG PINK PAISELY BROWN SPOT")</f>
        <v>POCKET BAG PINK PAISELY BROWN SPOT</v>
      </c>
      <c r="D1164" s="2">
        <f>IFERROR(__xludf.DUMMYFUNCTION("""COMPUTED_VALUE"""),2.0)</f>
        <v>2</v>
      </c>
      <c r="E1164" s="6">
        <f>IFERROR(__xludf.DUMMYFUNCTION("""COMPUTED_VALUE"""),40148.53263888889)</f>
        <v>40148.53264</v>
      </c>
      <c r="F1164" s="2">
        <f>IFERROR(__xludf.DUMMYFUNCTION("""COMPUTED_VALUE"""),2.1)</f>
        <v>2.1</v>
      </c>
      <c r="G1164" s="2">
        <f>IFERROR(__xludf.DUMMYFUNCTION("""COMPUTED_VALUE"""),15719.0)</f>
        <v>15719</v>
      </c>
      <c r="H1164" s="2" t="str">
        <f>IFERROR(__xludf.DUMMYFUNCTION("""COMPUTED_VALUE"""),"United Kingdom")</f>
        <v>United Kingdom</v>
      </c>
      <c r="I1164" s="7">
        <f>IFERROR(__xludf.DUMMYFUNCTION("""COMPUTED_VALUE"""),40148.0)</f>
        <v>40148</v>
      </c>
      <c r="J1164" s="8">
        <f>IFERROR(__xludf.DUMMYFUNCTION("""COMPUTED_VALUE"""),0.5326388888897782)</f>
        <v>0.5326388889</v>
      </c>
      <c r="K1164" s="2">
        <f>IFERROR(__xludf.DUMMYFUNCTION("""COMPUTED_VALUE"""),12.0)</f>
        <v>12</v>
      </c>
      <c r="L1164" s="2">
        <f>IFERROR(__xludf.DUMMYFUNCTION("""COMPUTED_VALUE"""),4.2)</f>
        <v>4.2</v>
      </c>
    </row>
    <row r="1165">
      <c r="A1165" s="2">
        <f>IFERROR(__xludf.DUMMYFUNCTION("""COMPUTED_VALUE"""),489556.0)</f>
        <v>489556</v>
      </c>
      <c r="B1165" s="2" t="str">
        <f>IFERROR(__xludf.DUMMYFUNCTION("""COMPUTED_VALUE"""),"21841")</f>
        <v>21841</v>
      </c>
      <c r="C1165" s="2" t="str">
        <f>IFERROR(__xludf.DUMMYFUNCTION("""COMPUTED_VALUE"""),"BABY MOUSE RED GINGHAM DRESS")</f>
        <v>BABY MOUSE RED GINGHAM DRESS</v>
      </c>
      <c r="D1165" s="2">
        <f>IFERROR(__xludf.DUMMYFUNCTION("""COMPUTED_VALUE"""),2.0)</f>
        <v>2</v>
      </c>
      <c r="E1165" s="6">
        <f>IFERROR(__xludf.DUMMYFUNCTION("""COMPUTED_VALUE"""),40148.53263888889)</f>
        <v>40148.53264</v>
      </c>
      <c r="F1165" s="2">
        <f>IFERROR(__xludf.DUMMYFUNCTION("""COMPUTED_VALUE"""),4.25)</f>
        <v>4.25</v>
      </c>
      <c r="G1165" s="2">
        <f>IFERROR(__xludf.DUMMYFUNCTION("""COMPUTED_VALUE"""),15719.0)</f>
        <v>15719</v>
      </c>
      <c r="H1165" s="2" t="str">
        <f>IFERROR(__xludf.DUMMYFUNCTION("""COMPUTED_VALUE"""),"United Kingdom")</f>
        <v>United Kingdom</v>
      </c>
      <c r="I1165" s="7">
        <f>IFERROR(__xludf.DUMMYFUNCTION("""COMPUTED_VALUE"""),40148.0)</f>
        <v>40148</v>
      </c>
      <c r="J1165" s="8">
        <f>IFERROR(__xludf.DUMMYFUNCTION("""COMPUTED_VALUE"""),0.5326388888897782)</f>
        <v>0.5326388889</v>
      </c>
      <c r="K1165" s="2">
        <f>IFERROR(__xludf.DUMMYFUNCTION("""COMPUTED_VALUE"""),12.0)</f>
        <v>12</v>
      </c>
      <c r="L1165" s="2">
        <f>IFERROR(__xludf.DUMMYFUNCTION("""COMPUTED_VALUE"""),8.5)</f>
        <v>8.5</v>
      </c>
    </row>
    <row r="1166">
      <c r="A1166" s="2">
        <f>IFERROR(__xludf.DUMMYFUNCTION("""COMPUTED_VALUE"""),489556.0)</f>
        <v>489556</v>
      </c>
      <c r="B1166" s="2" t="str">
        <f>IFERROR(__xludf.DUMMYFUNCTION("""COMPUTED_VALUE"""),"84582")</f>
        <v>84582</v>
      </c>
      <c r="C1166" s="2" t="str">
        <f>IFERROR(__xludf.DUMMYFUNCTION("""COMPUTED_VALUE"""),"PINK CROCHET CAT WITH SCARF")</f>
        <v>PINK CROCHET CAT WITH SCARF</v>
      </c>
      <c r="D1166" s="2">
        <f>IFERROR(__xludf.DUMMYFUNCTION("""COMPUTED_VALUE"""),1.0)</f>
        <v>1</v>
      </c>
      <c r="E1166" s="6">
        <f>IFERROR(__xludf.DUMMYFUNCTION("""COMPUTED_VALUE"""),40148.53263888889)</f>
        <v>40148.53264</v>
      </c>
      <c r="F1166" s="2">
        <f>IFERROR(__xludf.DUMMYFUNCTION("""COMPUTED_VALUE"""),4.25)</f>
        <v>4.25</v>
      </c>
      <c r="G1166" s="2">
        <f>IFERROR(__xludf.DUMMYFUNCTION("""COMPUTED_VALUE"""),15719.0)</f>
        <v>15719</v>
      </c>
      <c r="H1166" s="2" t="str">
        <f>IFERROR(__xludf.DUMMYFUNCTION("""COMPUTED_VALUE"""),"United Kingdom")</f>
        <v>United Kingdom</v>
      </c>
      <c r="I1166" s="7">
        <f>IFERROR(__xludf.DUMMYFUNCTION("""COMPUTED_VALUE"""),40148.0)</f>
        <v>40148</v>
      </c>
      <c r="J1166" s="8">
        <f>IFERROR(__xludf.DUMMYFUNCTION("""COMPUTED_VALUE"""),0.5326388888897782)</f>
        <v>0.5326388889</v>
      </c>
      <c r="K1166" s="2">
        <f>IFERROR(__xludf.DUMMYFUNCTION("""COMPUTED_VALUE"""),12.0)</f>
        <v>12</v>
      </c>
      <c r="L1166" s="2">
        <f>IFERROR(__xludf.DUMMYFUNCTION("""COMPUTED_VALUE"""),4.25)</f>
        <v>4.25</v>
      </c>
    </row>
    <row r="1167">
      <c r="A1167" s="2">
        <f>IFERROR(__xludf.DUMMYFUNCTION("""COMPUTED_VALUE"""),489556.0)</f>
        <v>489556</v>
      </c>
      <c r="B1167" s="2" t="str">
        <f>IFERROR(__xludf.DUMMYFUNCTION("""COMPUTED_VALUE"""),"21621")</f>
        <v>21621</v>
      </c>
      <c r="C1167" s="2" t="str">
        <f>IFERROR(__xludf.DUMMYFUNCTION("""COMPUTED_VALUE"""),"VINTAGE UNION JACK BUNTING")</f>
        <v>VINTAGE UNION JACK BUNTING</v>
      </c>
      <c r="D1167" s="2">
        <f>IFERROR(__xludf.DUMMYFUNCTION("""COMPUTED_VALUE"""),1.0)</f>
        <v>1</v>
      </c>
      <c r="E1167" s="6">
        <f>IFERROR(__xludf.DUMMYFUNCTION("""COMPUTED_VALUE"""),40148.53263888889)</f>
        <v>40148.53264</v>
      </c>
      <c r="F1167" s="2">
        <f>IFERROR(__xludf.DUMMYFUNCTION("""COMPUTED_VALUE"""),8.5)</f>
        <v>8.5</v>
      </c>
      <c r="G1167" s="2">
        <f>IFERROR(__xludf.DUMMYFUNCTION("""COMPUTED_VALUE"""),15719.0)</f>
        <v>15719</v>
      </c>
      <c r="H1167" s="2" t="str">
        <f>IFERROR(__xludf.DUMMYFUNCTION("""COMPUTED_VALUE"""),"United Kingdom")</f>
        <v>United Kingdom</v>
      </c>
      <c r="I1167" s="7">
        <f>IFERROR(__xludf.DUMMYFUNCTION("""COMPUTED_VALUE"""),40148.0)</f>
        <v>40148</v>
      </c>
      <c r="J1167" s="8">
        <f>IFERROR(__xludf.DUMMYFUNCTION("""COMPUTED_VALUE"""),0.5326388888897782)</f>
        <v>0.5326388889</v>
      </c>
      <c r="K1167" s="2">
        <f>IFERROR(__xludf.DUMMYFUNCTION("""COMPUTED_VALUE"""),12.0)</f>
        <v>12</v>
      </c>
      <c r="L1167" s="2">
        <f>IFERROR(__xludf.DUMMYFUNCTION("""COMPUTED_VALUE"""),8.5)</f>
        <v>8.5</v>
      </c>
    </row>
    <row r="1168">
      <c r="A1168" s="2">
        <f>IFERROR(__xludf.DUMMYFUNCTION("""COMPUTED_VALUE"""),489556.0)</f>
        <v>489556</v>
      </c>
      <c r="B1168" s="2" t="str">
        <f>IFERROR(__xludf.DUMMYFUNCTION("""COMPUTED_VALUE"""),"21622")</f>
        <v>21622</v>
      </c>
      <c r="C1168" s="2" t="str">
        <f>IFERROR(__xludf.DUMMYFUNCTION("""COMPUTED_VALUE"""),"VINTAGE UNION JACK CUSHION COVER")</f>
        <v>VINTAGE UNION JACK CUSHION COVER</v>
      </c>
      <c r="D1168" s="2">
        <f>IFERROR(__xludf.DUMMYFUNCTION("""COMPUTED_VALUE"""),1.0)</f>
        <v>1</v>
      </c>
      <c r="E1168" s="6">
        <f>IFERROR(__xludf.DUMMYFUNCTION("""COMPUTED_VALUE"""),40148.53263888889)</f>
        <v>40148.53264</v>
      </c>
      <c r="F1168" s="2">
        <f>IFERROR(__xludf.DUMMYFUNCTION("""COMPUTED_VALUE"""),4.95)</f>
        <v>4.95</v>
      </c>
      <c r="G1168" s="2">
        <f>IFERROR(__xludf.DUMMYFUNCTION("""COMPUTED_VALUE"""),15719.0)</f>
        <v>15719</v>
      </c>
      <c r="H1168" s="2" t="str">
        <f>IFERROR(__xludf.DUMMYFUNCTION("""COMPUTED_VALUE"""),"United Kingdom")</f>
        <v>United Kingdom</v>
      </c>
      <c r="I1168" s="7">
        <f>IFERROR(__xludf.DUMMYFUNCTION("""COMPUTED_VALUE"""),40148.0)</f>
        <v>40148</v>
      </c>
      <c r="J1168" s="8">
        <f>IFERROR(__xludf.DUMMYFUNCTION("""COMPUTED_VALUE"""),0.5326388888897782)</f>
        <v>0.5326388889</v>
      </c>
      <c r="K1168" s="2">
        <f>IFERROR(__xludf.DUMMYFUNCTION("""COMPUTED_VALUE"""),12.0)</f>
        <v>12</v>
      </c>
      <c r="L1168" s="2">
        <f>IFERROR(__xludf.DUMMYFUNCTION("""COMPUTED_VALUE"""),4.95)</f>
        <v>4.95</v>
      </c>
    </row>
    <row r="1169">
      <c r="A1169" s="2">
        <f>IFERROR(__xludf.DUMMYFUNCTION("""COMPUTED_VALUE"""),489556.0)</f>
        <v>489556</v>
      </c>
      <c r="B1169" s="2" t="str">
        <f>IFERROR(__xludf.DUMMYFUNCTION("""COMPUTED_VALUE"""),"21004")</f>
        <v>21004</v>
      </c>
      <c r="C1169" s="2" t="str">
        <f>IFERROR(__xludf.DUMMYFUNCTION("""COMPUTED_VALUE"""),"ROSE DU SUD CHILDS APRON")</f>
        <v>ROSE DU SUD CHILDS APRON</v>
      </c>
      <c r="D1169" s="2">
        <f>IFERROR(__xludf.DUMMYFUNCTION("""COMPUTED_VALUE"""),2.0)</f>
        <v>2</v>
      </c>
      <c r="E1169" s="6">
        <f>IFERROR(__xludf.DUMMYFUNCTION("""COMPUTED_VALUE"""),40148.53263888889)</f>
        <v>40148.53264</v>
      </c>
      <c r="F1169" s="2">
        <f>IFERROR(__xludf.DUMMYFUNCTION("""COMPUTED_VALUE"""),4.25)</f>
        <v>4.25</v>
      </c>
      <c r="G1169" s="2">
        <f>IFERROR(__xludf.DUMMYFUNCTION("""COMPUTED_VALUE"""),15719.0)</f>
        <v>15719</v>
      </c>
      <c r="H1169" s="2" t="str">
        <f>IFERROR(__xludf.DUMMYFUNCTION("""COMPUTED_VALUE"""),"United Kingdom")</f>
        <v>United Kingdom</v>
      </c>
      <c r="I1169" s="7">
        <f>IFERROR(__xludf.DUMMYFUNCTION("""COMPUTED_VALUE"""),40148.0)</f>
        <v>40148</v>
      </c>
      <c r="J1169" s="8">
        <f>IFERROR(__xludf.DUMMYFUNCTION("""COMPUTED_VALUE"""),0.5326388888897782)</f>
        <v>0.5326388889</v>
      </c>
      <c r="K1169" s="2">
        <f>IFERROR(__xludf.DUMMYFUNCTION("""COMPUTED_VALUE"""),12.0)</f>
        <v>12</v>
      </c>
      <c r="L1169" s="2">
        <f>IFERROR(__xludf.DUMMYFUNCTION("""COMPUTED_VALUE"""),8.5)</f>
        <v>8.5</v>
      </c>
    </row>
    <row r="1170">
      <c r="A1170" s="2">
        <f>IFERROR(__xludf.DUMMYFUNCTION("""COMPUTED_VALUE"""),489556.0)</f>
        <v>489556</v>
      </c>
      <c r="B1170" s="2" t="str">
        <f>IFERROR(__xludf.DUMMYFUNCTION("""COMPUTED_VALUE"""),"20718")</f>
        <v>20718</v>
      </c>
      <c r="C1170" s="2" t="str">
        <f>IFERROR(__xludf.DUMMYFUNCTION("""COMPUTED_VALUE"""),"RED SPOTTY SHOPPER BAG")</f>
        <v>RED SPOTTY SHOPPER BAG</v>
      </c>
      <c r="D1170" s="2">
        <f>IFERROR(__xludf.DUMMYFUNCTION("""COMPUTED_VALUE"""),3.0)</f>
        <v>3</v>
      </c>
      <c r="E1170" s="6">
        <f>IFERROR(__xludf.DUMMYFUNCTION("""COMPUTED_VALUE"""),40148.53263888889)</f>
        <v>40148.53264</v>
      </c>
      <c r="F1170" s="2">
        <f>IFERROR(__xludf.DUMMYFUNCTION("""COMPUTED_VALUE"""),1.25)</f>
        <v>1.25</v>
      </c>
      <c r="G1170" s="2">
        <f>IFERROR(__xludf.DUMMYFUNCTION("""COMPUTED_VALUE"""),15719.0)</f>
        <v>15719</v>
      </c>
      <c r="H1170" s="2" t="str">
        <f>IFERROR(__xludf.DUMMYFUNCTION("""COMPUTED_VALUE"""),"United Kingdom")</f>
        <v>United Kingdom</v>
      </c>
      <c r="I1170" s="7">
        <f>IFERROR(__xludf.DUMMYFUNCTION("""COMPUTED_VALUE"""),40148.0)</f>
        <v>40148</v>
      </c>
      <c r="J1170" s="8">
        <f>IFERROR(__xludf.DUMMYFUNCTION("""COMPUTED_VALUE"""),0.5326388888897782)</f>
        <v>0.5326388889</v>
      </c>
      <c r="K1170" s="2">
        <f>IFERROR(__xludf.DUMMYFUNCTION("""COMPUTED_VALUE"""),12.0)</f>
        <v>12</v>
      </c>
      <c r="L1170" s="2">
        <f>IFERROR(__xludf.DUMMYFUNCTION("""COMPUTED_VALUE"""),3.75)</f>
        <v>3.75</v>
      </c>
    </row>
    <row r="1171">
      <c r="A1171" s="2">
        <f>IFERROR(__xludf.DUMMYFUNCTION("""COMPUTED_VALUE"""),489556.0)</f>
        <v>489556</v>
      </c>
      <c r="B1171" s="2" t="str">
        <f>IFERROR(__xludf.DUMMYFUNCTION("""COMPUTED_VALUE"""),"21252")</f>
        <v>21252</v>
      </c>
      <c r="C1171" s="2" t="str">
        <f>IFERROR(__xludf.DUMMYFUNCTION("""COMPUTED_VALUE"""),"SET OF MEADOW FLOWER STICKERS")</f>
        <v>SET OF MEADOW FLOWER STICKERS</v>
      </c>
      <c r="D1171" s="2">
        <f>IFERROR(__xludf.DUMMYFUNCTION("""COMPUTED_VALUE"""),2.0)</f>
        <v>2</v>
      </c>
      <c r="E1171" s="6">
        <f>IFERROR(__xludf.DUMMYFUNCTION("""COMPUTED_VALUE"""),40148.53263888889)</f>
        <v>40148.53264</v>
      </c>
      <c r="F1171" s="2">
        <f>IFERROR(__xludf.DUMMYFUNCTION("""COMPUTED_VALUE"""),2.95)</f>
        <v>2.95</v>
      </c>
      <c r="G1171" s="2">
        <f>IFERROR(__xludf.DUMMYFUNCTION("""COMPUTED_VALUE"""),15719.0)</f>
        <v>15719</v>
      </c>
      <c r="H1171" s="2" t="str">
        <f>IFERROR(__xludf.DUMMYFUNCTION("""COMPUTED_VALUE"""),"United Kingdom")</f>
        <v>United Kingdom</v>
      </c>
      <c r="I1171" s="7">
        <f>IFERROR(__xludf.DUMMYFUNCTION("""COMPUTED_VALUE"""),40148.0)</f>
        <v>40148</v>
      </c>
      <c r="J1171" s="8">
        <f>IFERROR(__xludf.DUMMYFUNCTION("""COMPUTED_VALUE"""),0.5326388888897782)</f>
        <v>0.5326388889</v>
      </c>
      <c r="K1171" s="2">
        <f>IFERROR(__xludf.DUMMYFUNCTION("""COMPUTED_VALUE"""),12.0)</f>
        <v>12</v>
      </c>
      <c r="L1171" s="2">
        <f>IFERROR(__xludf.DUMMYFUNCTION("""COMPUTED_VALUE"""),5.9)</f>
        <v>5.9</v>
      </c>
    </row>
    <row r="1172">
      <c r="A1172" s="2">
        <f>IFERROR(__xludf.DUMMYFUNCTION("""COMPUTED_VALUE"""),489556.0)</f>
        <v>489556</v>
      </c>
      <c r="B1172" s="2" t="str">
        <f>IFERROR(__xludf.DUMMYFUNCTION("""COMPUTED_VALUE"""),"84946")</f>
        <v>84946</v>
      </c>
      <c r="C1172" s="2" t="str">
        <f>IFERROR(__xludf.DUMMYFUNCTION("""COMPUTED_VALUE"""),"ANTIQUE SILVER TEA GLASS ETCHED")</f>
        <v>ANTIQUE SILVER TEA GLASS ETCHED</v>
      </c>
      <c r="D1172" s="2">
        <f>IFERROR(__xludf.DUMMYFUNCTION("""COMPUTED_VALUE"""),6.0)</f>
        <v>6</v>
      </c>
      <c r="E1172" s="6">
        <f>IFERROR(__xludf.DUMMYFUNCTION("""COMPUTED_VALUE"""),40148.53263888889)</f>
        <v>40148.53264</v>
      </c>
      <c r="F1172" s="2">
        <f>IFERROR(__xludf.DUMMYFUNCTION("""COMPUTED_VALUE"""),1.25)</f>
        <v>1.25</v>
      </c>
      <c r="G1172" s="2">
        <f>IFERROR(__xludf.DUMMYFUNCTION("""COMPUTED_VALUE"""),15719.0)</f>
        <v>15719</v>
      </c>
      <c r="H1172" s="2" t="str">
        <f>IFERROR(__xludf.DUMMYFUNCTION("""COMPUTED_VALUE"""),"United Kingdom")</f>
        <v>United Kingdom</v>
      </c>
      <c r="I1172" s="7">
        <f>IFERROR(__xludf.DUMMYFUNCTION("""COMPUTED_VALUE"""),40148.0)</f>
        <v>40148</v>
      </c>
      <c r="J1172" s="8">
        <f>IFERROR(__xludf.DUMMYFUNCTION("""COMPUTED_VALUE"""),0.5326388888897782)</f>
        <v>0.5326388889</v>
      </c>
      <c r="K1172" s="2">
        <f>IFERROR(__xludf.DUMMYFUNCTION("""COMPUTED_VALUE"""),12.0)</f>
        <v>12</v>
      </c>
      <c r="L1172" s="2">
        <f>IFERROR(__xludf.DUMMYFUNCTION("""COMPUTED_VALUE"""),7.5)</f>
        <v>7.5</v>
      </c>
    </row>
    <row r="1173">
      <c r="A1173" s="2">
        <f>IFERROR(__xludf.DUMMYFUNCTION("""COMPUTED_VALUE"""),489556.0)</f>
        <v>489556</v>
      </c>
      <c r="B1173" s="2" t="str">
        <f>IFERROR(__xludf.DUMMYFUNCTION("""COMPUTED_VALUE"""),"85231B")</f>
        <v>85231B</v>
      </c>
      <c r="C1173" s="2" t="str">
        <f>IFERROR(__xludf.DUMMYFUNCTION("""COMPUTED_VALUE"""),"CINAMMON SET OF 9 T-LIGHTS")</f>
        <v>CINAMMON SET OF 9 T-LIGHTS</v>
      </c>
      <c r="D1173" s="2">
        <f>IFERROR(__xludf.DUMMYFUNCTION("""COMPUTED_VALUE"""),2.0)</f>
        <v>2</v>
      </c>
      <c r="E1173" s="6">
        <f>IFERROR(__xludf.DUMMYFUNCTION("""COMPUTED_VALUE"""),40148.53263888889)</f>
        <v>40148.53264</v>
      </c>
      <c r="F1173" s="2">
        <f>IFERROR(__xludf.DUMMYFUNCTION("""COMPUTED_VALUE"""),0.85)</f>
        <v>0.85</v>
      </c>
      <c r="G1173" s="2">
        <f>IFERROR(__xludf.DUMMYFUNCTION("""COMPUTED_VALUE"""),15719.0)</f>
        <v>15719</v>
      </c>
      <c r="H1173" s="2" t="str">
        <f>IFERROR(__xludf.DUMMYFUNCTION("""COMPUTED_VALUE"""),"United Kingdom")</f>
        <v>United Kingdom</v>
      </c>
      <c r="I1173" s="7">
        <f>IFERROR(__xludf.DUMMYFUNCTION("""COMPUTED_VALUE"""),40148.0)</f>
        <v>40148</v>
      </c>
      <c r="J1173" s="8">
        <f>IFERROR(__xludf.DUMMYFUNCTION("""COMPUTED_VALUE"""),0.5326388888897782)</f>
        <v>0.5326388889</v>
      </c>
      <c r="K1173" s="2">
        <f>IFERROR(__xludf.DUMMYFUNCTION("""COMPUTED_VALUE"""),12.0)</f>
        <v>12</v>
      </c>
      <c r="L1173" s="2">
        <f>IFERROR(__xludf.DUMMYFUNCTION("""COMPUTED_VALUE"""),1.7)</f>
        <v>1.7</v>
      </c>
    </row>
    <row r="1174">
      <c r="A1174" s="2">
        <f>IFERROR(__xludf.DUMMYFUNCTION("""COMPUTED_VALUE"""),489556.0)</f>
        <v>489556</v>
      </c>
      <c r="B1174" s="2" t="str">
        <f>IFERROR(__xludf.DUMMYFUNCTION("""COMPUTED_VALUE"""),"85231L")</f>
        <v>85231L</v>
      </c>
      <c r="C1174" s="2" t="str">
        <f>IFERROR(__xludf.DUMMYFUNCTION("""COMPUTED_VALUE"""),"LAVENDER SCENTED SET/9 T-LIGHTS")</f>
        <v>LAVENDER SCENTED SET/9 T-LIGHTS</v>
      </c>
      <c r="D1174" s="2">
        <f>IFERROR(__xludf.DUMMYFUNCTION("""COMPUTED_VALUE"""),1.0)</f>
        <v>1</v>
      </c>
      <c r="E1174" s="6">
        <f>IFERROR(__xludf.DUMMYFUNCTION("""COMPUTED_VALUE"""),40148.53263888889)</f>
        <v>40148.53264</v>
      </c>
      <c r="F1174" s="2">
        <f>IFERROR(__xludf.DUMMYFUNCTION("""COMPUTED_VALUE"""),0.85)</f>
        <v>0.85</v>
      </c>
      <c r="G1174" s="2">
        <f>IFERROR(__xludf.DUMMYFUNCTION("""COMPUTED_VALUE"""),15719.0)</f>
        <v>15719</v>
      </c>
      <c r="H1174" s="2" t="str">
        <f>IFERROR(__xludf.DUMMYFUNCTION("""COMPUTED_VALUE"""),"United Kingdom")</f>
        <v>United Kingdom</v>
      </c>
      <c r="I1174" s="7">
        <f>IFERROR(__xludf.DUMMYFUNCTION("""COMPUTED_VALUE"""),40148.0)</f>
        <v>40148</v>
      </c>
      <c r="J1174" s="8">
        <f>IFERROR(__xludf.DUMMYFUNCTION("""COMPUTED_VALUE"""),0.5326388888897782)</f>
        <v>0.5326388889</v>
      </c>
      <c r="K1174" s="2">
        <f>IFERROR(__xludf.DUMMYFUNCTION("""COMPUTED_VALUE"""),12.0)</f>
        <v>12</v>
      </c>
      <c r="L1174" s="2">
        <f>IFERROR(__xludf.DUMMYFUNCTION("""COMPUTED_VALUE"""),0.85)</f>
        <v>0.85</v>
      </c>
    </row>
    <row r="1175">
      <c r="A1175" s="2">
        <f>IFERROR(__xludf.DUMMYFUNCTION("""COMPUTED_VALUE"""),489556.0)</f>
        <v>489556</v>
      </c>
      <c r="B1175" s="2" t="str">
        <f>IFERROR(__xludf.DUMMYFUNCTION("""COMPUTED_VALUE"""),"20750")</f>
        <v>20750</v>
      </c>
      <c r="C1175" s="2" t="str">
        <f>IFERROR(__xludf.DUMMYFUNCTION("""COMPUTED_VALUE"""),"RED/WHITE DOT MINI CASES")</f>
        <v>RED/WHITE DOT MINI CASES</v>
      </c>
      <c r="D1175" s="2">
        <f>IFERROR(__xludf.DUMMYFUNCTION("""COMPUTED_VALUE"""),1.0)</f>
        <v>1</v>
      </c>
      <c r="E1175" s="6">
        <f>IFERROR(__xludf.DUMMYFUNCTION("""COMPUTED_VALUE"""),40148.53263888889)</f>
        <v>40148.53264</v>
      </c>
      <c r="F1175" s="2">
        <f>IFERROR(__xludf.DUMMYFUNCTION("""COMPUTED_VALUE"""),7.95)</f>
        <v>7.95</v>
      </c>
      <c r="G1175" s="2">
        <f>IFERROR(__xludf.DUMMYFUNCTION("""COMPUTED_VALUE"""),15719.0)</f>
        <v>15719</v>
      </c>
      <c r="H1175" s="2" t="str">
        <f>IFERROR(__xludf.DUMMYFUNCTION("""COMPUTED_VALUE"""),"United Kingdom")</f>
        <v>United Kingdom</v>
      </c>
      <c r="I1175" s="7">
        <f>IFERROR(__xludf.DUMMYFUNCTION("""COMPUTED_VALUE"""),40148.0)</f>
        <v>40148</v>
      </c>
      <c r="J1175" s="8">
        <f>IFERROR(__xludf.DUMMYFUNCTION("""COMPUTED_VALUE"""),0.5326388888897782)</f>
        <v>0.5326388889</v>
      </c>
      <c r="K1175" s="2">
        <f>IFERROR(__xludf.DUMMYFUNCTION("""COMPUTED_VALUE"""),12.0)</f>
        <v>12</v>
      </c>
      <c r="L1175" s="2">
        <f>IFERROR(__xludf.DUMMYFUNCTION("""COMPUTED_VALUE"""),7.95)</f>
        <v>7.95</v>
      </c>
    </row>
    <row r="1176">
      <c r="A1176" s="2">
        <f>IFERROR(__xludf.DUMMYFUNCTION("""COMPUTED_VALUE"""),489556.0)</f>
        <v>489556</v>
      </c>
      <c r="B1176" s="2" t="str">
        <f>IFERROR(__xludf.DUMMYFUNCTION("""COMPUTED_VALUE"""),"82482")</f>
        <v>82482</v>
      </c>
      <c r="C1176" s="2" t="str">
        <f>IFERROR(__xludf.DUMMYFUNCTION("""COMPUTED_VALUE"""),"WOODEN PICTURE FRAME WHITE FINISH")</f>
        <v>WOODEN PICTURE FRAME WHITE FINISH</v>
      </c>
      <c r="D1176" s="2">
        <f>IFERROR(__xludf.DUMMYFUNCTION("""COMPUTED_VALUE"""),4.0)</f>
        <v>4</v>
      </c>
      <c r="E1176" s="6">
        <f>IFERROR(__xludf.DUMMYFUNCTION("""COMPUTED_VALUE"""),40148.53263888889)</f>
        <v>40148.53264</v>
      </c>
      <c r="F1176" s="2">
        <f>IFERROR(__xludf.DUMMYFUNCTION("""COMPUTED_VALUE"""),2.55)</f>
        <v>2.55</v>
      </c>
      <c r="G1176" s="2">
        <f>IFERROR(__xludf.DUMMYFUNCTION("""COMPUTED_VALUE"""),15719.0)</f>
        <v>15719</v>
      </c>
      <c r="H1176" s="2" t="str">
        <f>IFERROR(__xludf.DUMMYFUNCTION("""COMPUTED_VALUE"""),"United Kingdom")</f>
        <v>United Kingdom</v>
      </c>
      <c r="I1176" s="7">
        <f>IFERROR(__xludf.DUMMYFUNCTION("""COMPUTED_VALUE"""),40148.0)</f>
        <v>40148</v>
      </c>
      <c r="J1176" s="8">
        <f>IFERROR(__xludf.DUMMYFUNCTION("""COMPUTED_VALUE"""),0.5326388888897782)</f>
        <v>0.5326388889</v>
      </c>
      <c r="K1176" s="2">
        <f>IFERROR(__xludf.DUMMYFUNCTION("""COMPUTED_VALUE"""),12.0)</f>
        <v>12</v>
      </c>
      <c r="L1176" s="2">
        <f>IFERROR(__xludf.DUMMYFUNCTION("""COMPUTED_VALUE"""),10.2)</f>
        <v>10.2</v>
      </c>
    </row>
    <row r="1177">
      <c r="A1177" s="2">
        <f>IFERROR(__xludf.DUMMYFUNCTION("""COMPUTED_VALUE"""),489556.0)</f>
        <v>489556</v>
      </c>
      <c r="B1177" s="2" t="str">
        <f>IFERROR(__xludf.DUMMYFUNCTION("""COMPUTED_VALUE"""),"85152")</f>
        <v>85152</v>
      </c>
      <c r="C1177" s="2" t="str">
        <f>IFERROR(__xludf.DUMMYFUNCTION("""COMPUTED_VALUE"""),"HAND OVER THE CHOCOLATE SIGN")</f>
        <v>HAND OVER THE CHOCOLATE SIGN</v>
      </c>
      <c r="D1177" s="2">
        <f>IFERROR(__xludf.DUMMYFUNCTION("""COMPUTED_VALUE"""),4.0)</f>
        <v>4</v>
      </c>
      <c r="E1177" s="6">
        <f>IFERROR(__xludf.DUMMYFUNCTION("""COMPUTED_VALUE"""),40148.53263888889)</f>
        <v>40148.53264</v>
      </c>
      <c r="F1177" s="2">
        <f>IFERROR(__xludf.DUMMYFUNCTION("""COMPUTED_VALUE"""),2.1)</f>
        <v>2.1</v>
      </c>
      <c r="G1177" s="2">
        <f>IFERROR(__xludf.DUMMYFUNCTION("""COMPUTED_VALUE"""),15719.0)</f>
        <v>15719</v>
      </c>
      <c r="H1177" s="2" t="str">
        <f>IFERROR(__xludf.DUMMYFUNCTION("""COMPUTED_VALUE"""),"United Kingdom")</f>
        <v>United Kingdom</v>
      </c>
      <c r="I1177" s="7">
        <f>IFERROR(__xludf.DUMMYFUNCTION("""COMPUTED_VALUE"""),40148.0)</f>
        <v>40148</v>
      </c>
      <c r="J1177" s="8">
        <f>IFERROR(__xludf.DUMMYFUNCTION("""COMPUTED_VALUE"""),0.5326388888897782)</f>
        <v>0.5326388889</v>
      </c>
      <c r="K1177" s="2">
        <f>IFERROR(__xludf.DUMMYFUNCTION("""COMPUTED_VALUE"""),12.0)</f>
        <v>12</v>
      </c>
      <c r="L1177" s="2">
        <f>IFERROR(__xludf.DUMMYFUNCTION("""COMPUTED_VALUE"""),8.4)</f>
        <v>8.4</v>
      </c>
    </row>
    <row r="1178">
      <c r="A1178" s="2">
        <f>IFERROR(__xludf.DUMMYFUNCTION("""COMPUTED_VALUE"""),489556.0)</f>
        <v>489556</v>
      </c>
      <c r="B1178" s="2" t="str">
        <f>IFERROR(__xludf.DUMMYFUNCTION("""COMPUTED_VALUE"""),"21174")</f>
        <v>21174</v>
      </c>
      <c r="C1178" s="2" t="str">
        <f>IFERROR(__xludf.DUMMYFUNCTION("""COMPUTED_VALUE"""),"POTTERING IN THE SHED METAL SIGN")</f>
        <v>POTTERING IN THE SHED METAL SIGN</v>
      </c>
      <c r="D1178" s="2">
        <f>IFERROR(__xludf.DUMMYFUNCTION("""COMPUTED_VALUE"""),2.0)</f>
        <v>2</v>
      </c>
      <c r="E1178" s="6">
        <f>IFERROR(__xludf.DUMMYFUNCTION("""COMPUTED_VALUE"""),40148.53263888889)</f>
        <v>40148.53264</v>
      </c>
      <c r="F1178" s="2">
        <f>IFERROR(__xludf.DUMMYFUNCTION("""COMPUTED_VALUE"""),1.95)</f>
        <v>1.95</v>
      </c>
      <c r="G1178" s="2">
        <f>IFERROR(__xludf.DUMMYFUNCTION("""COMPUTED_VALUE"""),15719.0)</f>
        <v>15719</v>
      </c>
      <c r="H1178" s="2" t="str">
        <f>IFERROR(__xludf.DUMMYFUNCTION("""COMPUTED_VALUE"""),"United Kingdom")</f>
        <v>United Kingdom</v>
      </c>
      <c r="I1178" s="7">
        <f>IFERROR(__xludf.DUMMYFUNCTION("""COMPUTED_VALUE"""),40148.0)</f>
        <v>40148</v>
      </c>
      <c r="J1178" s="8">
        <f>IFERROR(__xludf.DUMMYFUNCTION("""COMPUTED_VALUE"""),0.5326388888897782)</f>
        <v>0.5326388889</v>
      </c>
      <c r="K1178" s="2">
        <f>IFERROR(__xludf.DUMMYFUNCTION("""COMPUTED_VALUE"""),12.0)</f>
        <v>12</v>
      </c>
      <c r="L1178" s="2">
        <f>IFERROR(__xludf.DUMMYFUNCTION("""COMPUTED_VALUE"""),3.9)</f>
        <v>3.9</v>
      </c>
    </row>
    <row r="1179">
      <c r="A1179" s="2">
        <f>IFERROR(__xludf.DUMMYFUNCTION("""COMPUTED_VALUE"""),489556.0)</f>
        <v>489556</v>
      </c>
      <c r="B1179" s="2" t="str">
        <f>IFERROR(__xludf.DUMMYFUNCTION("""COMPUTED_VALUE"""),"20665")</f>
        <v>20665</v>
      </c>
      <c r="C1179" s="2" t="str">
        <f>IFERROR(__xludf.DUMMYFUNCTION("""COMPUTED_VALUE"""),"RED SPOTTY PURSE")</f>
        <v>RED SPOTTY PURSE</v>
      </c>
      <c r="D1179" s="2">
        <f>IFERROR(__xludf.DUMMYFUNCTION("""COMPUTED_VALUE"""),1.0)</f>
        <v>1</v>
      </c>
      <c r="E1179" s="6">
        <f>IFERROR(__xludf.DUMMYFUNCTION("""COMPUTED_VALUE"""),40148.53263888889)</f>
        <v>40148.53264</v>
      </c>
      <c r="F1179" s="2">
        <f>IFERROR(__xludf.DUMMYFUNCTION("""COMPUTED_VALUE"""),2.95)</f>
        <v>2.95</v>
      </c>
      <c r="G1179" s="2">
        <f>IFERROR(__xludf.DUMMYFUNCTION("""COMPUTED_VALUE"""),15719.0)</f>
        <v>15719</v>
      </c>
      <c r="H1179" s="2" t="str">
        <f>IFERROR(__xludf.DUMMYFUNCTION("""COMPUTED_VALUE"""),"United Kingdom")</f>
        <v>United Kingdom</v>
      </c>
      <c r="I1179" s="7">
        <f>IFERROR(__xludf.DUMMYFUNCTION("""COMPUTED_VALUE"""),40148.0)</f>
        <v>40148</v>
      </c>
      <c r="J1179" s="8">
        <f>IFERROR(__xludf.DUMMYFUNCTION("""COMPUTED_VALUE"""),0.5326388888897782)</f>
        <v>0.5326388889</v>
      </c>
      <c r="K1179" s="2">
        <f>IFERROR(__xludf.DUMMYFUNCTION("""COMPUTED_VALUE"""),12.0)</f>
        <v>12</v>
      </c>
      <c r="L1179" s="2">
        <f>IFERROR(__xludf.DUMMYFUNCTION("""COMPUTED_VALUE"""),2.95)</f>
        <v>2.95</v>
      </c>
    </row>
    <row r="1180">
      <c r="A1180" s="2">
        <f>IFERROR(__xludf.DUMMYFUNCTION("""COMPUTED_VALUE"""),489556.0)</f>
        <v>489556</v>
      </c>
      <c r="B1180" s="2" t="str">
        <f>IFERROR(__xludf.DUMMYFUNCTION("""COMPUTED_VALUE"""),"82486")</f>
        <v>82486</v>
      </c>
      <c r="C1180" s="2" t="str">
        <f>IFERROR(__xludf.DUMMYFUNCTION("""COMPUTED_VALUE"""),"WOOD S/3 CABINET ANT WHITE FINISH")</f>
        <v>WOOD S/3 CABINET ANT WHITE FINISH</v>
      </c>
      <c r="D1180" s="2">
        <f>IFERROR(__xludf.DUMMYFUNCTION("""COMPUTED_VALUE"""),2.0)</f>
        <v>2</v>
      </c>
      <c r="E1180" s="6">
        <f>IFERROR(__xludf.DUMMYFUNCTION("""COMPUTED_VALUE"""),40148.53263888889)</f>
        <v>40148.53264</v>
      </c>
      <c r="F1180" s="2">
        <f>IFERROR(__xludf.DUMMYFUNCTION("""COMPUTED_VALUE"""),7.95)</f>
        <v>7.95</v>
      </c>
      <c r="G1180" s="2">
        <f>IFERROR(__xludf.DUMMYFUNCTION("""COMPUTED_VALUE"""),15719.0)</f>
        <v>15719</v>
      </c>
      <c r="H1180" s="2" t="str">
        <f>IFERROR(__xludf.DUMMYFUNCTION("""COMPUTED_VALUE"""),"United Kingdom")</f>
        <v>United Kingdom</v>
      </c>
      <c r="I1180" s="7">
        <f>IFERROR(__xludf.DUMMYFUNCTION("""COMPUTED_VALUE"""),40148.0)</f>
        <v>40148</v>
      </c>
      <c r="J1180" s="8">
        <f>IFERROR(__xludf.DUMMYFUNCTION("""COMPUTED_VALUE"""),0.5326388888897782)</f>
        <v>0.5326388889</v>
      </c>
      <c r="K1180" s="2">
        <f>IFERROR(__xludf.DUMMYFUNCTION("""COMPUTED_VALUE"""),12.0)</f>
        <v>12</v>
      </c>
      <c r="L1180" s="2">
        <f>IFERROR(__xludf.DUMMYFUNCTION("""COMPUTED_VALUE"""),15.9)</f>
        <v>15.9</v>
      </c>
    </row>
    <row r="1181">
      <c r="A1181" s="2">
        <f>IFERROR(__xludf.DUMMYFUNCTION("""COMPUTED_VALUE"""),489556.0)</f>
        <v>489556</v>
      </c>
      <c r="B1181" s="2" t="str">
        <f>IFERROR(__xludf.DUMMYFUNCTION("""COMPUTED_VALUE"""),"84837")</f>
        <v>84837</v>
      </c>
      <c r="C1181" s="2" t="str">
        <f>IFERROR(__xludf.DUMMYFUNCTION("""COMPUTED_VALUE"""),"WHITE SWEETHEARTS CABINET 4 DRAWERS")</f>
        <v>WHITE SWEETHEARTS CABINET 4 DRAWERS</v>
      </c>
      <c r="D1181" s="2">
        <f>IFERROR(__xludf.DUMMYFUNCTION("""COMPUTED_VALUE"""),1.0)</f>
        <v>1</v>
      </c>
      <c r="E1181" s="6">
        <f>IFERROR(__xludf.DUMMYFUNCTION("""COMPUTED_VALUE"""),40148.53263888889)</f>
        <v>40148.53264</v>
      </c>
      <c r="F1181" s="2">
        <f>IFERROR(__xludf.DUMMYFUNCTION("""COMPUTED_VALUE"""),12.75)</f>
        <v>12.75</v>
      </c>
      <c r="G1181" s="2">
        <f>IFERROR(__xludf.DUMMYFUNCTION("""COMPUTED_VALUE"""),15719.0)</f>
        <v>15719</v>
      </c>
      <c r="H1181" s="2" t="str">
        <f>IFERROR(__xludf.DUMMYFUNCTION("""COMPUTED_VALUE"""),"United Kingdom")</f>
        <v>United Kingdom</v>
      </c>
      <c r="I1181" s="7">
        <f>IFERROR(__xludf.DUMMYFUNCTION("""COMPUTED_VALUE"""),40148.0)</f>
        <v>40148</v>
      </c>
      <c r="J1181" s="8">
        <f>IFERROR(__xludf.DUMMYFUNCTION("""COMPUTED_VALUE"""),0.5326388888897782)</f>
        <v>0.5326388889</v>
      </c>
      <c r="K1181" s="2">
        <f>IFERROR(__xludf.DUMMYFUNCTION("""COMPUTED_VALUE"""),12.0)</f>
        <v>12</v>
      </c>
      <c r="L1181" s="2">
        <f>IFERROR(__xludf.DUMMYFUNCTION("""COMPUTED_VALUE"""),12.75)</f>
        <v>12.75</v>
      </c>
    </row>
    <row r="1182">
      <c r="A1182" s="2">
        <f>IFERROR(__xludf.DUMMYFUNCTION("""COMPUTED_VALUE"""),489556.0)</f>
        <v>489556</v>
      </c>
      <c r="B1182" s="2" t="str">
        <f>IFERROR(__xludf.DUMMYFUNCTION("""COMPUTED_VALUE"""),"20685")</f>
        <v>20685</v>
      </c>
      <c r="C1182" s="2" t="str">
        <f>IFERROR(__xludf.DUMMYFUNCTION("""COMPUTED_VALUE"""),"RED SPOTTY COIR DOORMAT")</f>
        <v>RED SPOTTY COIR DOORMAT</v>
      </c>
      <c r="D1182" s="2">
        <f>IFERROR(__xludf.DUMMYFUNCTION("""COMPUTED_VALUE"""),2.0)</f>
        <v>2</v>
      </c>
      <c r="E1182" s="6">
        <f>IFERROR(__xludf.DUMMYFUNCTION("""COMPUTED_VALUE"""),40148.53263888889)</f>
        <v>40148.53264</v>
      </c>
      <c r="F1182" s="2">
        <f>IFERROR(__xludf.DUMMYFUNCTION("""COMPUTED_VALUE"""),6.75)</f>
        <v>6.75</v>
      </c>
      <c r="G1182" s="2">
        <f>IFERROR(__xludf.DUMMYFUNCTION("""COMPUTED_VALUE"""),15719.0)</f>
        <v>15719</v>
      </c>
      <c r="H1182" s="2" t="str">
        <f>IFERROR(__xludf.DUMMYFUNCTION("""COMPUTED_VALUE"""),"United Kingdom")</f>
        <v>United Kingdom</v>
      </c>
      <c r="I1182" s="7">
        <f>IFERROR(__xludf.DUMMYFUNCTION("""COMPUTED_VALUE"""),40148.0)</f>
        <v>40148</v>
      </c>
      <c r="J1182" s="8">
        <f>IFERROR(__xludf.DUMMYFUNCTION("""COMPUTED_VALUE"""),0.5326388888897782)</f>
        <v>0.5326388889</v>
      </c>
      <c r="K1182" s="2">
        <f>IFERROR(__xludf.DUMMYFUNCTION("""COMPUTED_VALUE"""),12.0)</f>
        <v>12</v>
      </c>
      <c r="L1182" s="2">
        <f>IFERROR(__xludf.DUMMYFUNCTION("""COMPUTED_VALUE"""),13.5)</f>
        <v>13.5</v>
      </c>
    </row>
    <row r="1183">
      <c r="A1183" s="2">
        <f>IFERROR(__xludf.DUMMYFUNCTION("""COMPUTED_VALUE"""),489556.0)</f>
        <v>489556</v>
      </c>
      <c r="B1183" s="2" t="str">
        <f>IFERROR(__xludf.DUMMYFUNCTION("""COMPUTED_VALUE"""),"48187")</f>
        <v>48187</v>
      </c>
      <c r="C1183" s="2" t="str">
        <f>IFERROR(__xludf.DUMMYFUNCTION("""COMPUTED_VALUE"""),"DOOR MAT NEW ENGLAND")</f>
        <v>DOOR MAT NEW ENGLAND</v>
      </c>
      <c r="D1183" s="2">
        <f>IFERROR(__xludf.DUMMYFUNCTION("""COMPUTED_VALUE"""),1.0)</f>
        <v>1</v>
      </c>
      <c r="E1183" s="6">
        <f>IFERROR(__xludf.DUMMYFUNCTION("""COMPUTED_VALUE"""),40148.53263888889)</f>
        <v>40148.53264</v>
      </c>
      <c r="F1183" s="2">
        <f>IFERROR(__xludf.DUMMYFUNCTION("""COMPUTED_VALUE"""),6.75)</f>
        <v>6.75</v>
      </c>
      <c r="G1183" s="2">
        <f>IFERROR(__xludf.DUMMYFUNCTION("""COMPUTED_VALUE"""),15719.0)</f>
        <v>15719</v>
      </c>
      <c r="H1183" s="2" t="str">
        <f>IFERROR(__xludf.DUMMYFUNCTION("""COMPUTED_VALUE"""),"United Kingdom")</f>
        <v>United Kingdom</v>
      </c>
      <c r="I1183" s="7">
        <f>IFERROR(__xludf.DUMMYFUNCTION("""COMPUTED_VALUE"""),40148.0)</f>
        <v>40148</v>
      </c>
      <c r="J1183" s="8">
        <f>IFERROR(__xludf.DUMMYFUNCTION("""COMPUTED_VALUE"""),0.5326388888897782)</f>
        <v>0.5326388889</v>
      </c>
      <c r="K1183" s="2">
        <f>IFERROR(__xludf.DUMMYFUNCTION("""COMPUTED_VALUE"""),12.0)</f>
        <v>12</v>
      </c>
      <c r="L1183" s="2">
        <f>IFERROR(__xludf.DUMMYFUNCTION("""COMPUTED_VALUE"""),6.75)</f>
        <v>6.75</v>
      </c>
    </row>
    <row r="1184">
      <c r="A1184" s="2">
        <f>IFERROR(__xludf.DUMMYFUNCTION("""COMPUTED_VALUE"""),489556.0)</f>
        <v>489556</v>
      </c>
      <c r="B1184" s="2" t="str">
        <f>IFERROR(__xludf.DUMMYFUNCTION("""COMPUTED_VALUE"""),"21490")</f>
        <v>21490</v>
      </c>
      <c r="C1184" s="2" t="str">
        <f>IFERROR(__xludf.DUMMYFUNCTION("""COMPUTED_VALUE"""),"SET OF THREE 50'S GIFT WRAPS")</f>
        <v>SET OF THREE 50'S GIFT WRAPS</v>
      </c>
      <c r="D1184" s="2">
        <f>IFERROR(__xludf.DUMMYFUNCTION("""COMPUTED_VALUE"""),3.0)</f>
        <v>3</v>
      </c>
      <c r="E1184" s="6">
        <f>IFERROR(__xludf.DUMMYFUNCTION("""COMPUTED_VALUE"""),40148.53263888889)</f>
        <v>40148.53264</v>
      </c>
      <c r="F1184" s="2">
        <f>IFERROR(__xludf.DUMMYFUNCTION("""COMPUTED_VALUE"""),1.95)</f>
        <v>1.95</v>
      </c>
      <c r="G1184" s="2">
        <f>IFERROR(__xludf.DUMMYFUNCTION("""COMPUTED_VALUE"""),15719.0)</f>
        <v>15719</v>
      </c>
      <c r="H1184" s="2" t="str">
        <f>IFERROR(__xludf.DUMMYFUNCTION("""COMPUTED_VALUE"""),"United Kingdom")</f>
        <v>United Kingdom</v>
      </c>
      <c r="I1184" s="7">
        <f>IFERROR(__xludf.DUMMYFUNCTION("""COMPUTED_VALUE"""),40148.0)</f>
        <v>40148</v>
      </c>
      <c r="J1184" s="8">
        <f>IFERROR(__xludf.DUMMYFUNCTION("""COMPUTED_VALUE"""),0.5326388888897782)</f>
        <v>0.5326388889</v>
      </c>
      <c r="K1184" s="2">
        <f>IFERROR(__xludf.DUMMYFUNCTION("""COMPUTED_VALUE"""),12.0)</f>
        <v>12</v>
      </c>
      <c r="L1184" s="2">
        <f>IFERROR(__xludf.DUMMYFUNCTION("""COMPUTED_VALUE"""),5.85)</f>
        <v>5.85</v>
      </c>
    </row>
    <row r="1185">
      <c r="A1185" s="2">
        <f>IFERROR(__xludf.DUMMYFUNCTION("""COMPUTED_VALUE"""),489556.0)</f>
        <v>489556</v>
      </c>
      <c r="B1185" s="2" t="str">
        <f>IFERROR(__xludf.DUMMYFUNCTION("""COMPUTED_VALUE"""),"21491")</f>
        <v>21491</v>
      </c>
      <c r="C1185" s="2" t="str">
        <f>IFERROR(__xludf.DUMMYFUNCTION("""COMPUTED_VALUE"""),"SET OF THREE VINTAGE GIFT WRAPS")</f>
        <v>SET OF THREE VINTAGE GIFT WRAPS</v>
      </c>
      <c r="D1185" s="2">
        <f>IFERROR(__xludf.DUMMYFUNCTION("""COMPUTED_VALUE"""),6.0)</f>
        <v>6</v>
      </c>
      <c r="E1185" s="6">
        <f>IFERROR(__xludf.DUMMYFUNCTION("""COMPUTED_VALUE"""),40148.53263888889)</f>
        <v>40148.53264</v>
      </c>
      <c r="F1185" s="2">
        <f>IFERROR(__xludf.DUMMYFUNCTION("""COMPUTED_VALUE"""),1.95)</f>
        <v>1.95</v>
      </c>
      <c r="G1185" s="2">
        <f>IFERROR(__xludf.DUMMYFUNCTION("""COMPUTED_VALUE"""),15719.0)</f>
        <v>15719</v>
      </c>
      <c r="H1185" s="2" t="str">
        <f>IFERROR(__xludf.DUMMYFUNCTION("""COMPUTED_VALUE"""),"United Kingdom")</f>
        <v>United Kingdom</v>
      </c>
      <c r="I1185" s="7">
        <f>IFERROR(__xludf.DUMMYFUNCTION("""COMPUTED_VALUE"""),40148.0)</f>
        <v>40148</v>
      </c>
      <c r="J1185" s="8">
        <f>IFERROR(__xludf.DUMMYFUNCTION("""COMPUTED_VALUE"""),0.5326388888897782)</f>
        <v>0.5326388889</v>
      </c>
      <c r="K1185" s="2">
        <f>IFERROR(__xludf.DUMMYFUNCTION("""COMPUTED_VALUE"""),12.0)</f>
        <v>12</v>
      </c>
      <c r="L1185" s="2">
        <f>IFERROR(__xludf.DUMMYFUNCTION("""COMPUTED_VALUE"""),11.7)</f>
        <v>11.7</v>
      </c>
    </row>
    <row r="1186">
      <c r="A1186" s="2">
        <f>IFERROR(__xludf.DUMMYFUNCTION("""COMPUTED_VALUE"""),489556.0)</f>
        <v>489556</v>
      </c>
      <c r="B1186" s="2" t="str">
        <f>IFERROR(__xludf.DUMMYFUNCTION("""COMPUTED_VALUE"""),"21493")</f>
        <v>21493</v>
      </c>
      <c r="C1186" s="2" t="str">
        <f>IFERROR(__xludf.DUMMYFUNCTION("""COMPUTED_VALUE"""),"VINTAGE DESIGN GIFT TAGS")</f>
        <v>VINTAGE DESIGN GIFT TAGS</v>
      </c>
      <c r="D1186" s="2">
        <f>IFERROR(__xludf.DUMMYFUNCTION("""COMPUTED_VALUE"""),2.0)</f>
        <v>2</v>
      </c>
      <c r="E1186" s="6">
        <f>IFERROR(__xludf.DUMMYFUNCTION("""COMPUTED_VALUE"""),40148.53263888889)</f>
        <v>40148.53264</v>
      </c>
      <c r="F1186" s="2">
        <f>IFERROR(__xludf.DUMMYFUNCTION("""COMPUTED_VALUE"""),0.85)</f>
        <v>0.85</v>
      </c>
      <c r="G1186" s="2">
        <f>IFERROR(__xludf.DUMMYFUNCTION("""COMPUTED_VALUE"""),15719.0)</f>
        <v>15719</v>
      </c>
      <c r="H1186" s="2" t="str">
        <f>IFERROR(__xludf.DUMMYFUNCTION("""COMPUTED_VALUE"""),"United Kingdom")</f>
        <v>United Kingdom</v>
      </c>
      <c r="I1186" s="7">
        <f>IFERROR(__xludf.DUMMYFUNCTION("""COMPUTED_VALUE"""),40148.0)</f>
        <v>40148</v>
      </c>
      <c r="J1186" s="8">
        <f>IFERROR(__xludf.DUMMYFUNCTION("""COMPUTED_VALUE"""),0.5326388888897782)</f>
        <v>0.5326388889</v>
      </c>
      <c r="K1186" s="2">
        <f>IFERROR(__xludf.DUMMYFUNCTION("""COMPUTED_VALUE"""),12.0)</f>
        <v>12</v>
      </c>
      <c r="L1186" s="2">
        <f>IFERROR(__xludf.DUMMYFUNCTION("""COMPUTED_VALUE"""),1.7)</f>
        <v>1.7</v>
      </c>
    </row>
    <row r="1187">
      <c r="A1187" s="2">
        <f>IFERROR(__xludf.DUMMYFUNCTION("""COMPUTED_VALUE"""),489556.0)</f>
        <v>489556</v>
      </c>
      <c r="B1187" s="2" t="str">
        <f>IFERROR(__xludf.DUMMYFUNCTION("""COMPUTED_VALUE"""),"21480")</f>
        <v>21480</v>
      </c>
      <c r="C1187" s="2" t="str">
        <f>IFERROR(__xludf.DUMMYFUNCTION("""COMPUTED_VALUE"""),"PINK STRIPE HOT WATER BOTTLE")</f>
        <v>PINK STRIPE HOT WATER BOTTLE</v>
      </c>
      <c r="D1187" s="2">
        <f>IFERROR(__xludf.DUMMYFUNCTION("""COMPUTED_VALUE"""),4.0)</f>
        <v>4</v>
      </c>
      <c r="E1187" s="6">
        <f>IFERROR(__xludf.DUMMYFUNCTION("""COMPUTED_VALUE"""),40148.53263888889)</f>
        <v>40148.53264</v>
      </c>
      <c r="F1187" s="2">
        <f>IFERROR(__xludf.DUMMYFUNCTION("""COMPUTED_VALUE"""),2.95)</f>
        <v>2.95</v>
      </c>
      <c r="G1187" s="2">
        <f>IFERROR(__xludf.DUMMYFUNCTION("""COMPUTED_VALUE"""),15719.0)</f>
        <v>15719</v>
      </c>
      <c r="H1187" s="2" t="str">
        <f>IFERROR(__xludf.DUMMYFUNCTION("""COMPUTED_VALUE"""),"United Kingdom")</f>
        <v>United Kingdom</v>
      </c>
      <c r="I1187" s="7">
        <f>IFERROR(__xludf.DUMMYFUNCTION("""COMPUTED_VALUE"""),40148.0)</f>
        <v>40148</v>
      </c>
      <c r="J1187" s="8">
        <f>IFERROR(__xludf.DUMMYFUNCTION("""COMPUTED_VALUE"""),0.5326388888897782)</f>
        <v>0.5326388889</v>
      </c>
      <c r="K1187" s="2">
        <f>IFERROR(__xludf.DUMMYFUNCTION("""COMPUTED_VALUE"""),12.0)</f>
        <v>12</v>
      </c>
      <c r="L1187" s="2">
        <f>IFERROR(__xludf.DUMMYFUNCTION("""COMPUTED_VALUE"""),11.8)</f>
        <v>11.8</v>
      </c>
    </row>
    <row r="1188">
      <c r="A1188" s="2">
        <f>IFERROR(__xludf.DUMMYFUNCTION("""COMPUTED_VALUE"""),489556.0)</f>
        <v>489556</v>
      </c>
      <c r="B1188" s="2" t="str">
        <f>IFERROR(__xludf.DUMMYFUNCTION("""COMPUTED_VALUE"""),"21481")</f>
        <v>21481</v>
      </c>
      <c r="C1188" s="2" t="str">
        <f>IFERROR(__xludf.DUMMYFUNCTION("""COMPUTED_VALUE"""),"FAWN BLUE HOT WATER BOTTLE")</f>
        <v>FAWN BLUE HOT WATER BOTTLE</v>
      </c>
      <c r="D1188" s="2">
        <f>IFERROR(__xludf.DUMMYFUNCTION("""COMPUTED_VALUE"""),2.0)</f>
        <v>2</v>
      </c>
      <c r="E1188" s="6">
        <f>IFERROR(__xludf.DUMMYFUNCTION("""COMPUTED_VALUE"""),40148.53263888889)</f>
        <v>40148.53264</v>
      </c>
      <c r="F1188" s="2">
        <f>IFERROR(__xludf.DUMMYFUNCTION("""COMPUTED_VALUE"""),2.95)</f>
        <v>2.95</v>
      </c>
      <c r="G1188" s="2">
        <f>IFERROR(__xludf.DUMMYFUNCTION("""COMPUTED_VALUE"""),15719.0)</f>
        <v>15719</v>
      </c>
      <c r="H1188" s="2" t="str">
        <f>IFERROR(__xludf.DUMMYFUNCTION("""COMPUTED_VALUE"""),"United Kingdom")</f>
        <v>United Kingdom</v>
      </c>
      <c r="I1188" s="7">
        <f>IFERROR(__xludf.DUMMYFUNCTION("""COMPUTED_VALUE"""),40148.0)</f>
        <v>40148</v>
      </c>
      <c r="J1188" s="8">
        <f>IFERROR(__xludf.DUMMYFUNCTION("""COMPUTED_VALUE"""),0.5326388888897782)</f>
        <v>0.5326388889</v>
      </c>
      <c r="K1188" s="2">
        <f>IFERROR(__xludf.DUMMYFUNCTION("""COMPUTED_VALUE"""),12.0)</f>
        <v>12</v>
      </c>
      <c r="L1188" s="2">
        <f>IFERROR(__xludf.DUMMYFUNCTION("""COMPUTED_VALUE"""),5.9)</f>
        <v>5.9</v>
      </c>
    </row>
    <row r="1189">
      <c r="A1189" s="2">
        <f>IFERROR(__xludf.DUMMYFUNCTION("""COMPUTED_VALUE"""),489556.0)</f>
        <v>489556</v>
      </c>
      <c r="B1189" s="2" t="str">
        <f>IFERROR(__xludf.DUMMYFUNCTION("""COMPUTED_VALUE"""),"21493")</f>
        <v>21493</v>
      </c>
      <c r="C1189" s="2" t="str">
        <f>IFERROR(__xludf.DUMMYFUNCTION("""COMPUTED_VALUE"""),"VINTAGE DESIGN GIFT TAGS")</f>
        <v>VINTAGE DESIGN GIFT TAGS</v>
      </c>
      <c r="D1189" s="2">
        <f>IFERROR(__xludf.DUMMYFUNCTION("""COMPUTED_VALUE"""),8.0)</f>
        <v>8</v>
      </c>
      <c r="E1189" s="6">
        <f>IFERROR(__xludf.DUMMYFUNCTION("""COMPUTED_VALUE"""),40148.53263888889)</f>
        <v>40148.53264</v>
      </c>
      <c r="F1189" s="2">
        <f>IFERROR(__xludf.DUMMYFUNCTION("""COMPUTED_VALUE"""),0.85)</f>
        <v>0.85</v>
      </c>
      <c r="G1189" s="2">
        <f>IFERROR(__xludf.DUMMYFUNCTION("""COMPUTED_VALUE"""),15719.0)</f>
        <v>15719</v>
      </c>
      <c r="H1189" s="2" t="str">
        <f>IFERROR(__xludf.DUMMYFUNCTION("""COMPUTED_VALUE"""),"United Kingdom")</f>
        <v>United Kingdom</v>
      </c>
      <c r="I1189" s="7">
        <f>IFERROR(__xludf.DUMMYFUNCTION("""COMPUTED_VALUE"""),40148.0)</f>
        <v>40148</v>
      </c>
      <c r="J1189" s="8">
        <f>IFERROR(__xludf.DUMMYFUNCTION("""COMPUTED_VALUE"""),0.5326388888897782)</f>
        <v>0.5326388889</v>
      </c>
      <c r="K1189" s="2">
        <f>IFERROR(__xludf.DUMMYFUNCTION("""COMPUTED_VALUE"""),12.0)</f>
        <v>12</v>
      </c>
      <c r="L1189" s="2">
        <f>IFERROR(__xludf.DUMMYFUNCTION("""COMPUTED_VALUE"""),6.8)</f>
        <v>6.8</v>
      </c>
    </row>
    <row r="1190">
      <c r="A1190" s="2">
        <f>IFERROR(__xludf.DUMMYFUNCTION("""COMPUTED_VALUE"""),489556.0)</f>
        <v>489556</v>
      </c>
      <c r="B1190" s="2" t="str">
        <f>IFERROR(__xludf.DUMMYFUNCTION("""COMPUTED_VALUE"""),"35971")</f>
        <v>35971</v>
      </c>
      <c r="C1190" s="2" t="str">
        <f>IFERROR(__xludf.DUMMYFUNCTION("""COMPUTED_VALUE"""),"ROSE FOLKART HEART DECORATIONS")</f>
        <v>ROSE FOLKART HEART DECORATIONS</v>
      </c>
      <c r="D1190" s="2">
        <f>IFERROR(__xludf.DUMMYFUNCTION("""COMPUTED_VALUE"""),4.0)</f>
        <v>4</v>
      </c>
      <c r="E1190" s="6">
        <f>IFERROR(__xludf.DUMMYFUNCTION("""COMPUTED_VALUE"""),40148.53263888889)</f>
        <v>40148.53264</v>
      </c>
      <c r="F1190" s="2">
        <f>IFERROR(__xludf.DUMMYFUNCTION("""COMPUTED_VALUE"""),1.25)</f>
        <v>1.25</v>
      </c>
      <c r="G1190" s="2">
        <f>IFERROR(__xludf.DUMMYFUNCTION("""COMPUTED_VALUE"""),15719.0)</f>
        <v>15719</v>
      </c>
      <c r="H1190" s="2" t="str">
        <f>IFERROR(__xludf.DUMMYFUNCTION("""COMPUTED_VALUE"""),"United Kingdom")</f>
        <v>United Kingdom</v>
      </c>
      <c r="I1190" s="7">
        <f>IFERROR(__xludf.DUMMYFUNCTION("""COMPUTED_VALUE"""),40148.0)</f>
        <v>40148</v>
      </c>
      <c r="J1190" s="8">
        <f>IFERROR(__xludf.DUMMYFUNCTION("""COMPUTED_VALUE"""),0.5326388888897782)</f>
        <v>0.5326388889</v>
      </c>
      <c r="K1190" s="2">
        <f>IFERROR(__xludf.DUMMYFUNCTION("""COMPUTED_VALUE"""),12.0)</f>
        <v>12</v>
      </c>
      <c r="L1190" s="2">
        <f>IFERROR(__xludf.DUMMYFUNCTION("""COMPUTED_VALUE"""),5.0)</f>
        <v>5</v>
      </c>
    </row>
    <row r="1191">
      <c r="A1191" s="2">
        <f>IFERROR(__xludf.DUMMYFUNCTION("""COMPUTED_VALUE"""),489557.0)</f>
        <v>489557</v>
      </c>
      <c r="B1191" s="2" t="str">
        <f>IFERROR(__xludf.DUMMYFUNCTION("""COMPUTED_VALUE"""),"21439")</f>
        <v>21439</v>
      </c>
      <c r="C1191" s="2" t="str">
        <f>IFERROR(__xludf.DUMMYFUNCTION("""COMPUTED_VALUE"""),"BASKET OF TOADSTOOLS")</f>
        <v>BASKET OF TOADSTOOLS</v>
      </c>
      <c r="D1191" s="2">
        <f>IFERROR(__xludf.DUMMYFUNCTION("""COMPUTED_VALUE"""),12.0)</f>
        <v>12</v>
      </c>
      <c r="E1191" s="6">
        <f>IFERROR(__xludf.DUMMYFUNCTION("""COMPUTED_VALUE"""),40148.53611111111)</f>
        <v>40148.53611</v>
      </c>
      <c r="F1191" s="2">
        <f>IFERROR(__xludf.DUMMYFUNCTION("""COMPUTED_VALUE"""),1.25)</f>
        <v>1.25</v>
      </c>
      <c r="G1191" s="2">
        <f>IFERROR(__xludf.DUMMYFUNCTION("""COMPUTED_VALUE"""),12490.0)</f>
        <v>12490</v>
      </c>
      <c r="H1191" s="2" t="str">
        <f>IFERROR(__xludf.DUMMYFUNCTION("""COMPUTED_VALUE"""),"France")</f>
        <v>France</v>
      </c>
      <c r="I1191" s="7">
        <f>IFERROR(__xludf.DUMMYFUNCTION("""COMPUTED_VALUE"""),40148.0)</f>
        <v>40148</v>
      </c>
      <c r="J1191" s="8">
        <f>IFERROR(__xludf.DUMMYFUNCTION("""COMPUTED_VALUE"""),0.5361111111124046)</f>
        <v>0.5361111111</v>
      </c>
      <c r="K1191" s="2">
        <f>IFERROR(__xludf.DUMMYFUNCTION("""COMPUTED_VALUE"""),12.0)</f>
        <v>12</v>
      </c>
      <c r="L1191" s="2">
        <f>IFERROR(__xludf.DUMMYFUNCTION("""COMPUTED_VALUE"""),15.0)</f>
        <v>15</v>
      </c>
    </row>
    <row r="1192">
      <c r="A1192" s="2">
        <f>IFERROR(__xludf.DUMMYFUNCTION("""COMPUTED_VALUE"""),489557.0)</f>
        <v>489557</v>
      </c>
      <c r="B1192" s="2" t="str">
        <f>IFERROR(__xludf.DUMMYFUNCTION("""COMPUTED_VALUE"""),"16169D")</f>
        <v>16169D</v>
      </c>
      <c r="C1192" s="2" t="str">
        <f>IFERROR(__xludf.DUMMYFUNCTION("""COMPUTED_VALUE"""),"WRAP WINTER FOREST")</f>
        <v>WRAP WINTER FOREST</v>
      </c>
      <c r="D1192" s="2">
        <f>IFERROR(__xludf.DUMMYFUNCTION("""COMPUTED_VALUE"""),25.0)</f>
        <v>25</v>
      </c>
      <c r="E1192" s="6">
        <f>IFERROR(__xludf.DUMMYFUNCTION("""COMPUTED_VALUE"""),40148.53611111111)</f>
        <v>40148.53611</v>
      </c>
      <c r="F1192" s="2">
        <f>IFERROR(__xludf.DUMMYFUNCTION("""COMPUTED_VALUE"""),0.42)</f>
        <v>0.42</v>
      </c>
      <c r="G1192" s="2">
        <f>IFERROR(__xludf.DUMMYFUNCTION("""COMPUTED_VALUE"""),12490.0)</f>
        <v>12490</v>
      </c>
      <c r="H1192" s="2" t="str">
        <f>IFERROR(__xludf.DUMMYFUNCTION("""COMPUTED_VALUE"""),"France")</f>
        <v>France</v>
      </c>
      <c r="I1192" s="7">
        <f>IFERROR(__xludf.DUMMYFUNCTION("""COMPUTED_VALUE"""),40148.0)</f>
        <v>40148</v>
      </c>
      <c r="J1192" s="8">
        <f>IFERROR(__xludf.DUMMYFUNCTION("""COMPUTED_VALUE"""),0.5361111111124046)</f>
        <v>0.5361111111</v>
      </c>
      <c r="K1192" s="2">
        <f>IFERROR(__xludf.DUMMYFUNCTION("""COMPUTED_VALUE"""),12.0)</f>
        <v>12</v>
      </c>
      <c r="L1192" s="2">
        <f>IFERROR(__xludf.DUMMYFUNCTION("""COMPUTED_VALUE"""),10.5)</f>
        <v>10.5</v>
      </c>
    </row>
    <row r="1193">
      <c r="A1193" s="2">
        <f>IFERROR(__xludf.DUMMYFUNCTION("""COMPUTED_VALUE"""),489557.0)</f>
        <v>489557</v>
      </c>
      <c r="B1193" s="2" t="str">
        <f>IFERROR(__xludf.DUMMYFUNCTION("""COMPUTED_VALUE"""),"16169C")</f>
        <v>16169C</v>
      </c>
      <c r="C1193" s="2" t="str">
        <f>IFERROR(__xludf.DUMMYFUNCTION("""COMPUTED_VALUE"""),"WRAP BLUE REINDEER")</f>
        <v>WRAP BLUE REINDEER</v>
      </c>
      <c r="D1193" s="2">
        <f>IFERROR(__xludf.DUMMYFUNCTION("""COMPUTED_VALUE"""),25.0)</f>
        <v>25</v>
      </c>
      <c r="E1193" s="6">
        <f>IFERROR(__xludf.DUMMYFUNCTION("""COMPUTED_VALUE"""),40148.53611111111)</f>
        <v>40148.53611</v>
      </c>
      <c r="F1193" s="2">
        <f>IFERROR(__xludf.DUMMYFUNCTION("""COMPUTED_VALUE"""),0.42)</f>
        <v>0.42</v>
      </c>
      <c r="G1193" s="2">
        <f>IFERROR(__xludf.DUMMYFUNCTION("""COMPUTED_VALUE"""),12490.0)</f>
        <v>12490</v>
      </c>
      <c r="H1193" s="2" t="str">
        <f>IFERROR(__xludf.DUMMYFUNCTION("""COMPUTED_VALUE"""),"France")</f>
        <v>France</v>
      </c>
      <c r="I1193" s="7">
        <f>IFERROR(__xludf.DUMMYFUNCTION("""COMPUTED_VALUE"""),40148.0)</f>
        <v>40148</v>
      </c>
      <c r="J1193" s="8">
        <f>IFERROR(__xludf.DUMMYFUNCTION("""COMPUTED_VALUE"""),0.5361111111124046)</f>
        <v>0.5361111111</v>
      </c>
      <c r="K1193" s="2">
        <f>IFERROR(__xludf.DUMMYFUNCTION("""COMPUTED_VALUE"""),12.0)</f>
        <v>12</v>
      </c>
      <c r="L1193" s="2">
        <f>IFERROR(__xludf.DUMMYFUNCTION("""COMPUTED_VALUE"""),10.5)</f>
        <v>10.5</v>
      </c>
    </row>
    <row r="1194">
      <c r="A1194" s="2">
        <f>IFERROR(__xludf.DUMMYFUNCTION("""COMPUTED_VALUE"""),489557.0)</f>
        <v>489557</v>
      </c>
      <c r="B1194" s="2" t="str">
        <f>IFERROR(__xludf.DUMMYFUNCTION("""COMPUTED_VALUE"""),"21017")</f>
        <v>21017</v>
      </c>
      <c r="C1194" s="2" t="str">
        <f>IFERROR(__xludf.DUMMYFUNCTION("""COMPUTED_VALUE"""),"RED BIRD HOUSE TREE DECORATION")</f>
        <v>RED BIRD HOUSE TREE DECORATION</v>
      </c>
      <c r="D1194" s="2">
        <f>IFERROR(__xludf.DUMMYFUNCTION("""COMPUTED_VALUE"""),192.0)</f>
        <v>192</v>
      </c>
      <c r="E1194" s="6">
        <f>IFERROR(__xludf.DUMMYFUNCTION("""COMPUTED_VALUE"""),40148.53611111111)</f>
        <v>40148.53611</v>
      </c>
      <c r="F1194" s="2">
        <f>IFERROR(__xludf.DUMMYFUNCTION("""COMPUTED_VALUE"""),0.72)</f>
        <v>0.72</v>
      </c>
      <c r="G1194" s="2">
        <f>IFERROR(__xludf.DUMMYFUNCTION("""COMPUTED_VALUE"""),12490.0)</f>
        <v>12490</v>
      </c>
      <c r="H1194" s="2" t="str">
        <f>IFERROR(__xludf.DUMMYFUNCTION("""COMPUTED_VALUE"""),"France")</f>
        <v>France</v>
      </c>
      <c r="I1194" s="7">
        <f>IFERROR(__xludf.DUMMYFUNCTION("""COMPUTED_VALUE"""),40148.0)</f>
        <v>40148</v>
      </c>
      <c r="J1194" s="8">
        <f>IFERROR(__xludf.DUMMYFUNCTION("""COMPUTED_VALUE"""),0.5361111111124046)</f>
        <v>0.5361111111</v>
      </c>
      <c r="K1194" s="2">
        <f>IFERROR(__xludf.DUMMYFUNCTION("""COMPUTED_VALUE"""),12.0)</f>
        <v>12</v>
      </c>
      <c r="L1194" s="2">
        <f>IFERROR(__xludf.DUMMYFUNCTION("""COMPUTED_VALUE"""),138.24)</f>
        <v>138.24</v>
      </c>
    </row>
    <row r="1195">
      <c r="A1195" s="2">
        <f>IFERROR(__xludf.DUMMYFUNCTION("""COMPUTED_VALUE"""),489557.0)</f>
        <v>489557</v>
      </c>
      <c r="B1195" s="2" t="str">
        <f>IFERROR(__xludf.DUMMYFUNCTION("""COMPUTED_VALUE"""),"21731")</f>
        <v>21731</v>
      </c>
      <c r="C1195" s="2" t="str">
        <f>IFERROR(__xludf.DUMMYFUNCTION("""COMPUTED_VALUE"""),"RED TOADSTOOL LED NIGHT LIGHT")</f>
        <v>RED TOADSTOOL LED NIGHT LIGHT</v>
      </c>
      <c r="D1195" s="2">
        <f>IFERROR(__xludf.DUMMYFUNCTION("""COMPUTED_VALUE"""),24.0)</f>
        <v>24</v>
      </c>
      <c r="E1195" s="6">
        <f>IFERROR(__xludf.DUMMYFUNCTION("""COMPUTED_VALUE"""),40148.53611111111)</f>
        <v>40148.53611</v>
      </c>
      <c r="F1195" s="2">
        <f>IFERROR(__xludf.DUMMYFUNCTION("""COMPUTED_VALUE"""),1.65)</f>
        <v>1.65</v>
      </c>
      <c r="G1195" s="2">
        <f>IFERROR(__xludf.DUMMYFUNCTION("""COMPUTED_VALUE"""),12490.0)</f>
        <v>12490</v>
      </c>
      <c r="H1195" s="2" t="str">
        <f>IFERROR(__xludf.DUMMYFUNCTION("""COMPUTED_VALUE"""),"France")</f>
        <v>France</v>
      </c>
      <c r="I1195" s="7">
        <f>IFERROR(__xludf.DUMMYFUNCTION("""COMPUTED_VALUE"""),40148.0)</f>
        <v>40148</v>
      </c>
      <c r="J1195" s="8">
        <f>IFERROR(__xludf.DUMMYFUNCTION("""COMPUTED_VALUE"""),0.5361111111124046)</f>
        <v>0.5361111111</v>
      </c>
      <c r="K1195" s="2">
        <f>IFERROR(__xludf.DUMMYFUNCTION("""COMPUTED_VALUE"""),12.0)</f>
        <v>12</v>
      </c>
      <c r="L1195" s="2">
        <f>IFERROR(__xludf.DUMMYFUNCTION("""COMPUTED_VALUE"""),39.5999999999999)</f>
        <v>39.6</v>
      </c>
    </row>
    <row r="1196">
      <c r="A1196" s="2">
        <f>IFERROR(__xludf.DUMMYFUNCTION("""COMPUTED_VALUE"""),489557.0)</f>
        <v>489557</v>
      </c>
      <c r="B1196" s="2" t="str">
        <f>IFERROR(__xludf.DUMMYFUNCTION("""COMPUTED_VALUE"""),"22352")</f>
        <v>22352</v>
      </c>
      <c r="C1196" s="2" t="str">
        <f>IFERROR(__xludf.DUMMYFUNCTION("""COMPUTED_VALUE"""),"LUNCHBOX WITH CUTLERY RETROSPOT")</f>
        <v>LUNCHBOX WITH CUTLERY RETROSPOT</v>
      </c>
      <c r="D1196" s="2">
        <f>IFERROR(__xludf.DUMMYFUNCTION("""COMPUTED_VALUE"""),12.0)</f>
        <v>12</v>
      </c>
      <c r="E1196" s="6">
        <f>IFERROR(__xludf.DUMMYFUNCTION("""COMPUTED_VALUE"""),40148.53611111111)</f>
        <v>40148.53611</v>
      </c>
      <c r="F1196" s="2">
        <f>IFERROR(__xludf.DUMMYFUNCTION("""COMPUTED_VALUE"""),2.55)</f>
        <v>2.55</v>
      </c>
      <c r="G1196" s="2">
        <f>IFERROR(__xludf.DUMMYFUNCTION("""COMPUTED_VALUE"""),12490.0)</f>
        <v>12490</v>
      </c>
      <c r="H1196" s="2" t="str">
        <f>IFERROR(__xludf.DUMMYFUNCTION("""COMPUTED_VALUE"""),"France")</f>
        <v>France</v>
      </c>
      <c r="I1196" s="7">
        <f>IFERROR(__xludf.DUMMYFUNCTION("""COMPUTED_VALUE"""),40148.0)</f>
        <v>40148</v>
      </c>
      <c r="J1196" s="8">
        <f>IFERROR(__xludf.DUMMYFUNCTION("""COMPUTED_VALUE"""),0.5361111111124046)</f>
        <v>0.5361111111</v>
      </c>
      <c r="K1196" s="2">
        <f>IFERROR(__xludf.DUMMYFUNCTION("""COMPUTED_VALUE"""),12.0)</f>
        <v>12</v>
      </c>
      <c r="L1196" s="2">
        <f>IFERROR(__xludf.DUMMYFUNCTION("""COMPUTED_VALUE"""),30.5999999999999)</f>
        <v>30.6</v>
      </c>
    </row>
    <row r="1197">
      <c r="A1197" s="2">
        <f>IFERROR(__xludf.DUMMYFUNCTION("""COMPUTED_VALUE"""),489557.0)</f>
        <v>489557</v>
      </c>
      <c r="B1197" s="2" t="str">
        <f>IFERROR(__xludf.DUMMYFUNCTION("""COMPUTED_VALUE"""),"22353")</f>
        <v>22353</v>
      </c>
      <c r="C1197" s="2" t="str">
        <f>IFERROR(__xludf.DUMMYFUNCTION("""COMPUTED_VALUE"""),"LUNCHBOX WITH CUTLERY FAIRY CAKES")</f>
        <v>LUNCHBOX WITH CUTLERY FAIRY CAKES</v>
      </c>
      <c r="D1197" s="2">
        <f>IFERROR(__xludf.DUMMYFUNCTION("""COMPUTED_VALUE"""),6.0)</f>
        <v>6</v>
      </c>
      <c r="E1197" s="6">
        <f>IFERROR(__xludf.DUMMYFUNCTION("""COMPUTED_VALUE"""),40148.53611111111)</f>
        <v>40148.53611</v>
      </c>
      <c r="F1197" s="2">
        <f>IFERROR(__xludf.DUMMYFUNCTION("""COMPUTED_VALUE"""),2.55)</f>
        <v>2.55</v>
      </c>
      <c r="G1197" s="2">
        <f>IFERROR(__xludf.DUMMYFUNCTION("""COMPUTED_VALUE"""),12490.0)</f>
        <v>12490</v>
      </c>
      <c r="H1197" s="2" t="str">
        <f>IFERROR(__xludf.DUMMYFUNCTION("""COMPUTED_VALUE"""),"France")</f>
        <v>France</v>
      </c>
      <c r="I1197" s="7">
        <f>IFERROR(__xludf.DUMMYFUNCTION("""COMPUTED_VALUE"""),40148.0)</f>
        <v>40148</v>
      </c>
      <c r="J1197" s="8">
        <f>IFERROR(__xludf.DUMMYFUNCTION("""COMPUTED_VALUE"""),0.5361111111124046)</f>
        <v>0.5361111111</v>
      </c>
      <c r="K1197" s="2">
        <f>IFERROR(__xludf.DUMMYFUNCTION("""COMPUTED_VALUE"""),12.0)</f>
        <v>12</v>
      </c>
      <c r="L1197" s="2">
        <f>IFERROR(__xludf.DUMMYFUNCTION("""COMPUTED_VALUE"""),15.2999999999999)</f>
        <v>15.3</v>
      </c>
    </row>
    <row r="1198">
      <c r="A1198" s="2">
        <f>IFERROR(__xludf.DUMMYFUNCTION("""COMPUTED_VALUE"""),489557.0)</f>
        <v>489557</v>
      </c>
      <c r="B1198" s="2" t="str">
        <f>IFERROR(__xludf.DUMMYFUNCTION("""COMPUTED_VALUE"""),"20685")</f>
        <v>20685</v>
      </c>
      <c r="C1198" s="2" t="str">
        <f>IFERROR(__xludf.DUMMYFUNCTION("""COMPUTED_VALUE"""),"RED SPOTTY COIR DOORMAT")</f>
        <v>RED SPOTTY COIR DOORMAT</v>
      </c>
      <c r="D1198" s="2">
        <f>IFERROR(__xludf.DUMMYFUNCTION("""COMPUTED_VALUE"""),2.0)</f>
        <v>2</v>
      </c>
      <c r="E1198" s="6">
        <f>IFERROR(__xludf.DUMMYFUNCTION("""COMPUTED_VALUE"""),40148.53611111111)</f>
        <v>40148.53611</v>
      </c>
      <c r="F1198" s="2">
        <f>IFERROR(__xludf.DUMMYFUNCTION("""COMPUTED_VALUE"""),6.75)</f>
        <v>6.75</v>
      </c>
      <c r="G1198" s="2">
        <f>IFERROR(__xludf.DUMMYFUNCTION("""COMPUTED_VALUE"""),12490.0)</f>
        <v>12490</v>
      </c>
      <c r="H1198" s="2" t="str">
        <f>IFERROR(__xludf.DUMMYFUNCTION("""COMPUTED_VALUE"""),"France")</f>
        <v>France</v>
      </c>
      <c r="I1198" s="7">
        <f>IFERROR(__xludf.DUMMYFUNCTION("""COMPUTED_VALUE"""),40148.0)</f>
        <v>40148</v>
      </c>
      <c r="J1198" s="8">
        <f>IFERROR(__xludf.DUMMYFUNCTION("""COMPUTED_VALUE"""),0.5361111111124046)</f>
        <v>0.5361111111</v>
      </c>
      <c r="K1198" s="2">
        <f>IFERROR(__xludf.DUMMYFUNCTION("""COMPUTED_VALUE"""),12.0)</f>
        <v>12</v>
      </c>
      <c r="L1198" s="2">
        <f>IFERROR(__xludf.DUMMYFUNCTION("""COMPUTED_VALUE"""),13.5)</f>
        <v>13.5</v>
      </c>
    </row>
    <row r="1199">
      <c r="A1199" s="2">
        <f>IFERROR(__xludf.DUMMYFUNCTION("""COMPUTED_VALUE"""),489557.0)</f>
        <v>489557</v>
      </c>
      <c r="B1199" s="2" t="str">
        <f>IFERROR(__xludf.DUMMYFUNCTION("""COMPUTED_VALUE"""),"21210")</f>
        <v>21210</v>
      </c>
      <c r="C1199" s="2" t="str">
        <f>IFERROR(__xludf.DUMMYFUNCTION("""COMPUTED_VALUE"""),"SET OF 72 RETRO SPOT PAPER DOILIES")</f>
        <v>SET OF 72 RETRO SPOT PAPER DOILIES</v>
      </c>
      <c r="D1199" s="2">
        <f>IFERROR(__xludf.DUMMYFUNCTION("""COMPUTED_VALUE"""),12.0)</f>
        <v>12</v>
      </c>
      <c r="E1199" s="6">
        <f>IFERROR(__xludf.DUMMYFUNCTION("""COMPUTED_VALUE"""),40148.53611111111)</f>
        <v>40148.53611</v>
      </c>
      <c r="F1199" s="2">
        <f>IFERROR(__xludf.DUMMYFUNCTION("""COMPUTED_VALUE"""),1.45)</f>
        <v>1.45</v>
      </c>
      <c r="G1199" s="2">
        <f>IFERROR(__xludf.DUMMYFUNCTION("""COMPUTED_VALUE"""),12490.0)</f>
        <v>12490</v>
      </c>
      <c r="H1199" s="2" t="str">
        <f>IFERROR(__xludf.DUMMYFUNCTION("""COMPUTED_VALUE"""),"France")</f>
        <v>France</v>
      </c>
      <c r="I1199" s="7">
        <f>IFERROR(__xludf.DUMMYFUNCTION("""COMPUTED_VALUE"""),40148.0)</f>
        <v>40148</v>
      </c>
      <c r="J1199" s="8">
        <f>IFERROR(__xludf.DUMMYFUNCTION("""COMPUTED_VALUE"""),0.5361111111124046)</f>
        <v>0.5361111111</v>
      </c>
      <c r="K1199" s="2">
        <f>IFERROR(__xludf.DUMMYFUNCTION("""COMPUTED_VALUE"""),12.0)</f>
        <v>12</v>
      </c>
      <c r="L1199" s="2">
        <f>IFERROR(__xludf.DUMMYFUNCTION("""COMPUTED_VALUE"""),17.4)</f>
        <v>17.4</v>
      </c>
    </row>
    <row r="1200">
      <c r="A1200" s="2">
        <f>IFERROR(__xludf.DUMMYFUNCTION("""COMPUTED_VALUE"""),489557.0)</f>
        <v>489557</v>
      </c>
      <c r="B1200" s="2" t="str">
        <f>IFERROR(__xludf.DUMMYFUNCTION("""COMPUTED_VALUE"""),"21212")</f>
        <v>21212</v>
      </c>
      <c r="C1200" s="2" t="str">
        <f>IFERROR(__xludf.DUMMYFUNCTION("""COMPUTED_VALUE"""),"PACK OF 72 RETRO SPOT CAKE CASES")</f>
        <v>PACK OF 72 RETRO SPOT CAKE CASES</v>
      </c>
      <c r="D1200" s="2">
        <f>IFERROR(__xludf.DUMMYFUNCTION("""COMPUTED_VALUE"""),24.0)</f>
        <v>24</v>
      </c>
      <c r="E1200" s="6">
        <f>IFERROR(__xludf.DUMMYFUNCTION("""COMPUTED_VALUE"""),40148.53611111111)</f>
        <v>40148.53611</v>
      </c>
      <c r="F1200" s="2">
        <f>IFERROR(__xludf.DUMMYFUNCTION("""COMPUTED_VALUE"""),0.55)</f>
        <v>0.55</v>
      </c>
      <c r="G1200" s="2">
        <f>IFERROR(__xludf.DUMMYFUNCTION("""COMPUTED_VALUE"""),12490.0)</f>
        <v>12490</v>
      </c>
      <c r="H1200" s="2" t="str">
        <f>IFERROR(__xludf.DUMMYFUNCTION("""COMPUTED_VALUE"""),"France")</f>
        <v>France</v>
      </c>
      <c r="I1200" s="7">
        <f>IFERROR(__xludf.DUMMYFUNCTION("""COMPUTED_VALUE"""),40148.0)</f>
        <v>40148</v>
      </c>
      <c r="J1200" s="8">
        <f>IFERROR(__xludf.DUMMYFUNCTION("""COMPUTED_VALUE"""),0.5361111111124046)</f>
        <v>0.5361111111</v>
      </c>
      <c r="K1200" s="2">
        <f>IFERROR(__xludf.DUMMYFUNCTION("""COMPUTED_VALUE"""),12.0)</f>
        <v>12</v>
      </c>
      <c r="L1200" s="2">
        <f>IFERROR(__xludf.DUMMYFUNCTION("""COMPUTED_VALUE"""),13.2)</f>
        <v>13.2</v>
      </c>
    </row>
    <row r="1201">
      <c r="A1201" s="2">
        <f>IFERROR(__xludf.DUMMYFUNCTION("""COMPUTED_VALUE"""),489557.0)</f>
        <v>489557</v>
      </c>
      <c r="B1201" s="2" t="str">
        <f>IFERROR(__xludf.DUMMYFUNCTION("""COMPUTED_VALUE"""),"21238")</f>
        <v>21238</v>
      </c>
      <c r="C1201" s="2" t="str">
        <f>IFERROR(__xludf.DUMMYFUNCTION("""COMPUTED_VALUE"""),"RED SPOTTY CUP")</f>
        <v>RED SPOTTY CUP</v>
      </c>
      <c r="D1201" s="2">
        <f>IFERROR(__xludf.DUMMYFUNCTION("""COMPUTED_VALUE"""),16.0)</f>
        <v>16</v>
      </c>
      <c r="E1201" s="6">
        <f>IFERROR(__xludf.DUMMYFUNCTION("""COMPUTED_VALUE"""),40148.53611111111)</f>
        <v>40148.53611</v>
      </c>
      <c r="F1201" s="2">
        <f>IFERROR(__xludf.DUMMYFUNCTION("""COMPUTED_VALUE"""),0.85)</f>
        <v>0.85</v>
      </c>
      <c r="G1201" s="2">
        <f>IFERROR(__xludf.DUMMYFUNCTION("""COMPUTED_VALUE"""),12490.0)</f>
        <v>12490</v>
      </c>
      <c r="H1201" s="2" t="str">
        <f>IFERROR(__xludf.DUMMYFUNCTION("""COMPUTED_VALUE"""),"France")</f>
        <v>France</v>
      </c>
      <c r="I1201" s="7">
        <f>IFERROR(__xludf.DUMMYFUNCTION("""COMPUTED_VALUE"""),40148.0)</f>
        <v>40148</v>
      </c>
      <c r="J1201" s="8">
        <f>IFERROR(__xludf.DUMMYFUNCTION("""COMPUTED_VALUE"""),0.5361111111124046)</f>
        <v>0.5361111111</v>
      </c>
      <c r="K1201" s="2">
        <f>IFERROR(__xludf.DUMMYFUNCTION("""COMPUTED_VALUE"""),12.0)</f>
        <v>12</v>
      </c>
      <c r="L1201" s="2">
        <f>IFERROR(__xludf.DUMMYFUNCTION("""COMPUTED_VALUE"""),13.6)</f>
        <v>13.6</v>
      </c>
    </row>
    <row r="1202">
      <c r="A1202" s="2">
        <f>IFERROR(__xludf.DUMMYFUNCTION("""COMPUTED_VALUE"""),489557.0)</f>
        <v>489557</v>
      </c>
      <c r="B1202" s="2" t="str">
        <f>IFERROR(__xludf.DUMMYFUNCTION("""COMPUTED_VALUE"""),"85099B")</f>
        <v>85099B</v>
      </c>
      <c r="C1202" s="2" t="str">
        <f>IFERROR(__xludf.DUMMYFUNCTION("""COMPUTED_VALUE"""),"JUMBO BAG RED WHITE SPOTTY")</f>
        <v>JUMBO BAG RED WHITE SPOTTY</v>
      </c>
      <c r="D1202" s="2">
        <f>IFERROR(__xludf.DUMMYFUNCTION("""COMPUTED_VALUE"""),20.0)</f>
        <v>20</v>
      </c>
      <c r="E1202" s="6">
        <f>IFERROR(__xludf.DUMMYFUNCTION("""COMPUTED_VALUE"""),40148.53611111111)</f>
        <v>40148.53611</v>
      </c>
      <c r="F1202" s="2">
        <f>IFERROR(__xludf.DUMMYFUNCTION("""COMPUTED_VALUE"""),1.95)</f>
        <v>1.95</v>
      </c>
      <c r="G1202" s="2">
        <f>IFERROR(__xludf.DUMMYFUNCTION("""COMPUTED_VALUE"""),12490.0)</f>
        <v>12490</v>
      </c>
      <c r="H1202" s="2" t="str">
        <f>IFERROR(__xludf.DUMMYFUNCTION("""COMPUTED_VALUE"""),"France")</f>
        <v>France</v>
      </c>
      <c r="I1202" s="7">
        <f>IFERROR(__xludf.DUMMYFUNCTION("""COMPUTED_VALUE"""),40148.0)</f>
        <v>40148</v>
      </c>
      <c r="J1202" s="8">
        <f>IFERROR(__xludf.DUMMYFUNCTION("""COMPUTED_VALUE"""),0.5361111111124046)</f>
        <v>0.5361111111</v>
      </c>
      <c r="K1202" s="2">
        <f>IFERROR(__xludf.DUMMYFUNCTION("""COMPUTED_VALUE"""),12.0)</f>
        <v>12</v>
      </c>
      <c r="L1202" s="2">
        <f>IFERROR(__xludf.DUMMYFUNCTION("""COMPUTED_VALUE"""),39.0)</f>
        <v>39</v>
      </c>
    </row>
    <row r="1203">
      <c r="A1203" s="2">
        <f>IFERROR(__xludf.DUMMYFUNCTION("""COMPUTED_VALUE"""),489557.0)</f>
        <v>489557</v>
      </c>
      <c r="B1203" s="2" t="str">
        <f>IFERROR(__xludf.DUMMYFUNCTION("""COMPUTED_VALUE"""),"20719")</f>
        <v>20719</v>
      </c>
      <c r="C1203" s="2" t="str">
        <f>IFERROR(__xludf.DUMMYFUNCTION("""COMPUTED_VALUE"""),"WOODLAND CHARLOTTE BAG")</f>
        <v>WOODLAND CHARLOTTE BAG</v>
      </c>
      <c r="D1203" s="2">
        <f>IFERROR(__xludf.DUMMYFUNCTION("""COMPUTED_VALUE"""),10.0)</f>
        <v>10</v>
      </c>
      <c r="E1203" s="6">
        <f>IFERROR(__xludf.DUMMYFUNCTION("""COMPUTED_VALUE"""),40148.53611111111)</f>
        <v>40148.53611</v>
      </c>
      <c r="F1203" s="2">
        <f>IFERROR(__xludf.DUMMYFUNCTION("""COMPUTED_VALUE"""),0.85)</f>
        <v>0.85</v>
      </c>
      <c r="G1203" s="2">
        <f>IFERROR(__xludf.DUMMYFUNCTION("""COMPUTED_VALUE"""),12490.0)</f>
        <v>12490</v>
      </c>
      <c r="H1203" s="2" t="str">
        <f>IFERROR(__xludf.DUMMYFUNCTION("""COMPUTED_VALUE"""),"France")</f>
        <v>France</v>
      </c>
      <c r="I1203" s="7">
        <f>IFERROR(__xludf.DUMMYFUNCTION("""COMPUTED_VALUE"""),40148.0)</f>
        <v>40148</v>
      </c>
      <c r="J1203" s="8">
        <f>IFERROR(__xludf.DUMMYFUNCTION("""COMPUTED_VALUE"""),0.5361111111124046)</f>
        <v>0.5361111111</v>
      </c>
      <c r="K1203" s="2">
        <f>IFERROR(__xludf.DUMMYFUNCTION("""COMPUTED_VALUE"""),12.0)</f>
        <v>12</v>
      </c>
      <c r="L1203" s="2">
        <f>IFERROR(__xludf.DUMMYFUNCTION("""COMPUTED_VALUE"""),8.5)</f>
        <v>8.5</v>
      </c>
    </row>
    <row r="1204">
      <c r="A1204" s="2">
        <f>IFERROR(__xludf.DUMMYFUNCTION("""COMPUTED_VALUE"""),489557.0)</f>
        <v>489557</v>
      </c>
      <c r="B1204" s="2" t="str">
        <f>IFERROR(__xludf.DUMMYFUNCTION("""COMPUTED_VALUE"""),"21039")</f>
        <v>21039</v>
      </c>
      <c r="C1204" s="2" t="str">
        <f>IFERROR(__xludf.DUMMYFUNCTION("""COMPUTED_VALUE"""),"RED SPOTTY SHOPPING BAG")</f>
        <v>RED SPOTTY SHOPPING BAG</v>
      </c>
      <c r="D1204" s="2">
        <f>IFERROR(__xludf.DUMMYFUNCTION("""COMPUTED_VALUE"""),12.0)</f>
        <v>12</v>
      </c>
      <c r="E1204" s="6">
        <f>IFERROR(__xludf.DUMMYFUNCTION("""COMPUTED_VALUE"""),40148.53611111111)</f>
        <v>40148.53611</v>
      </c>
      <c r="F1204" s="2">
        <f>IFERROR(__xludf.DUMMYFUNCTION("""COMPUTED_VALUE"""),2.55)</f>
        <v>2.55</v>
      </c>
      <c r="G1204" s="2">
        <f>IFERROR(__xludf.DUMMYFUNCTION("""COMPUTED_VALUE"""),12490.0)</f>
        <v>12490</v>
      </c>
      <c r="H1204" s="2" t="str">
        <f>IFERROR(__xludf.DUMMYFUNCTION("""COMPUTED_VALUE"""),"France")</f>
        <v>France</v>
      </c>
      <c r="I1204" s="7">
        <f>IFERROR(__xludf.DUMMYFUNCTION("""COMPUTED_VALUE"""),40148.0)</f>
        <v>40148</v>
      </c>
      <c r="J1204" s="8">
        <f>IFERROR(__xludf.DUMMYFUNCTION("""COMPUTED_VALUE"""),0.5361111111124046)</f>
        <v>0.5361111111</v>
      </c>
      <c r="K1204" s="2">
        <f>IFERROR(__xludf.DUMMYFUNCTION("""COMPUTED_VALUE"""),12.0)</f>
        <v>12</v>
      </c>
      <c r="L1204" s="2">
        <f>IFERROR(__xludf.DUMMYFUNCTION("""COMPUTED_VALUE"""),30.5999999999999)</f>
        <v>30.6</v>
      </c>
    </row>
    <row r="1205">
      <c r="A1205" s="2">
        <f>IFERROR(__xludf.DUMMYFUNCTION("""COMPUTED_VALUE"""),489557.0)</f>
        <v>489557</v>
      </c>
      <c r="B1205" s="2" t="str">
        <f>IFERROR(__xludf.DUMMYFUNCTION("""COMPUTED_VALUE"""),"20712")</f>
        <v>20712</v>
      </c>
      <c r="C1205" s="2" t="str">
        <f>IFERROR(__xludf.DUMMYFUNCTION("""COMPUTED_VALUE"""),"JUMBO BAG WOODLAND ANIMALS")</f>
        <v>JUMBO BAG WOODLAND ANIMALS</v>
      </c>
      <c r="D1205" s="2">
        <f>IFERROR(__xludf.DUMMYFUNCTION("""COMPUTED_VALUE"""),10.0)</f>
        <v>10</v>
      </c>
      <c r="E1205" s="6">
        <f>IFERROR(__xludf.DUMMYFUNCTION("""COMPUTED_VALUE"""),40148.53611111111)</f>
        <v>40148.53611</v>
      </c>
      <c r="F1205" s="2">
        <f>IFERROR(__xludf.DUMMYFUNCTION("""COMPUTED_VALUE"""),1.95)</f>
        <v>1.95</v>
      </c>
      <c r="G1205" s="2">
        <f>IFERROR(__xludf.DUMMYFUNCTION("""COMPUTED_VALUE"""),12490.0)</f>
        <v>12490</v>
      </c>
      <c r="H1205" s="2" t="str">
        <f>IFERROR(__xludf.DUMMYFUNCTION("""COMPUTED_VALUE"""),"France")</f>
        <v>France</v>
      </c>
      <c r="I1205" s="7">
        <f>IFERROR(__xludf.DUMMYFUNCTION("""COMPUTED_VALUE"""),40148.0)</f>
        <v>40148</v>
      </c>
      <c r="J1205" s="8">
        <f>IFERROR(__xludf.DUMMYFUNCTION("""COMPUTED_VALUE"""),0.5361111111124046)</f>
        <v>0.5361111111</v>
      </c>
      <c r="K1205" s="2">
        <f>IFERROR(__xludf.DUMMYFUNCTION("""COMPUTED_VALUE"""),12.0)</f>
        <v>12</v>
      </c>
      <c r="L1205" s="2">
        <f>IFERROR(__xludf.DUMMYFUNCTION("""COMPUTED_VALUE"""),19.5)</f>
        <v>19.5</v>
      </c>
    </row>
    <row r="1206">
      <c r="A1206" s="2">
        <f>IFERROR(__xludf.DUMMYFUNCTION("""COMPUTED_VALUE"""),489557.0)</f>
        <v>489557</v>
      </c>
      <c r="B1206" s="2" t="str">
        <f>IFERROR(__xludf.DUMMYFUNCTION("""COMPUTED_VALUE"""),"20711")</f>
        <v>20711</v>
      </c>
      <c r="C1206" s="2" t="str">
        <f>IFERROR(__xludf.DUMMYFUNCTION("""COMPUTED_VALUE"""),"JUMBO BAG TOYS")</f>
        <v>JUMBO BAG TOYS</v>
      </c>
      <c r="D1206" s="2">
        <f>IFERROR(__xludf.DUMMYFUNCTION("""COMPUTED_VALUE"""),10.0)</f>
        <v>10</v>
      </c>
      <c r="E1206" s="6">
        <f>IFERROR(__xludf.DUMMYFUNCTION("""COMPUTED_VALUE"""),40148.53611111111)</f>
        <v>40148.53611</v>
      </c>
      <c r="F1206" s="2">
        <f>IFERROR(__xludf.DUMMYFUNCTION("""COMPUTED_VALUE"""),1.95)</f>
        <v>1.95</v>
      </c>
      <c r="G1206" s="2">
        <f>IFERROR(__xludf.DUMMYFUNCTION("""COMPUTED_VALUE"""),12490.0)</f>
        <v>12490</v>
      </c>
      <c r="H1206" s="2" t="str">
        <f>IFERROR(__xludf.DUMMYFUNCTION("""COMPUTED_VALUE"""),"France")</f>
        <v>France</v>
      </c>
      <c r="I1206" s="7">
        <f>IFERROR(__xludf.DUMMYFUNCTION("""COMPUTED_VALUE"""),40148.0)</f>
        <v>40148</v>
      </c>
      <c r="J1206" s="8">
        <f>IFERROR(__xludf.DUMMYFUNCTION("""COMPUTED_VALUE"""),0.5361111111124046)</f>
        <v>0.5361111111</v>
      </c>
      <c r="K1206" s="2">
        <f>IFERROR(__xludf.DUMMYFUNCTION("""COMPUTED_VALUE"""),12.0)</f>
        <v>12</v>
      </c>
      <c r="L1206" s="2">
        <f>IFERROR(__xludf.DUMMYFUNCTION("""COMPUTED_VALUE"""),19.5)</f>
        <v>19.5</v>
      </c>
    </row>
    <row r="1207">
      <c r="A1207" s="2">
        <f>IFERROR(__xludf.DUMMYFUNCTION("""COMPUTED_VALUE"""),489557.0)</f>
        <v>489557</v>
      </c>
      <c r="B1207" s="2" t="str">
        <f>IFERROR(__xludf.DUMMYFUNCTION("""COMPUTED_VALUE"""),"21432")</f>
        <v>21432</v>
      </c>
      <c r="C1207" s="2" t="str">
        <f>IFERROR(__xludf.DUMMYFUNCTION("""COMPUTED_VALUE"""),"SET OF 3 CASES WOODLAND DESIGN")</f>
        <v>SET OF 3 CASES WOODLAND DESIGN</v>
      </c>
      <c r="D1207" s="2">
        <f>IFERROR(__xludf.DUMMYFUNCTION("""COMPUTED_VALUE"""),8.0)</f>
        <v>8</v>
      </c>
      <c r="E1207" s="6">
        <f>IFERROR(__xludf.DUMMYFUNCTION("""COMPUTED_VALUE"""),40148.53611111111)</f>
        <v>40148.53611</v>
      </c>
      <c r="F1207" s="2">
        <f>IFERROR(__xludf.DUMMYFUNCTION("""COMPUTED_VALUE"""),5.95)</f>
        <v>5.95</v>
      </c>
      <c r="G1207" s="2">
        <f>IFERROR(__xludf.DUMMYFUNCTION("""COMPUTED_VALUE"""),12490.0)</f>
        <v>12490</v>
      </c>
      <c r="H1207" s="2" t="str">
        <f>IFERROR(__xludf.DUMMYFUNCTION("""COMPUTED_VALUE"""),"France")</f>
        <v>France</v>
      </c>
      <c r="I1207" s="7">
        <f>IFERROR(__xludf.DUMMYFUNCTION("""COMPUTED_VALUE"""),40148.0)</f>
        <v>40148</v>
      </c>
      <c r="J1207" s="8">
        <f>IFERROR(__xludf.DUMMYFUNCTION("""COMPUTED_VALUE"""),0.5361111111124046)</f>
        <v>0.5361111111</v>
      </c>
      <c r="K1207" s="2">
        <f>IFERROR(__xludf.DUMMYFUNCTION("""COMPUTED_VALUE"""),12.0)</f>
        <v>12</v>
      </c>
      <c r="L1207" s="2">
        <f>IFERROR(__xludf.DUMMYFUNCTION("""COMPUTED_VALUE"""),47.6)</f>
        <v>47.6</v>
      </c>
    </row>
    <row r="1208">
      <c r="A1208" s="2">
        <f>IFERROR(__xludf.DUMMYFUNCTION("""COMPUTED_VALUE"""),489557.0)</f>
        <v>489557</v>
      </c>
      <c r="B1208" s="2" t="str">
        <f>IFERROR(__xludf.DUMMYFUNCTION("""COMPUTED_VALUE"""),"21424")</f>
        <v>21424</v>
      </c>
      <c r="C1208" s="2" t="str">
        <f>IFERROR(__xludf.DUMMYFUNCTION("""COMPUTED_VALUE"""),"WOODLAND STORAGE BOX LARGE")</f>
        <v>WOODLAND STORAGE BOX LARGE</v>
      </c>
      <c r="D1208" s="2">
        <f>IFERROR(__xludf.DUMMYFUNCTION("""COMPUTED_VALUE"""),6.0)</f>
        <v>6</v>
      </c>
      <c r="E1208" s="6">
        <f>IFERROR(__xludf.DUMMYFUNCTION("""COMPUTED_VALUE"""),40148.53611111111)</f>
        <v>40148.53611</v>
      </c>
      <c r="F1208" s="2">
        <f>IFERROR(__xludf.DUMMYFUNCTION("""COMPUTED_VALUE"""),2.95)</f>
        <v>2.95</v>
      </c>
      <c r="G1208" s="2">
        <f>IFERROR(__xludf.DUMMYFUNCTION("""COMPUTED_VALUE"""),12490.0)</f>
        <v>12490</v>
      </c>
      <c r="H1208" s="2" t="str">
        <f>IFERROR(__xludf.DUMMYFUNCTION("""COMPUTED_VALUE"""),"France")</f>
        <v>France</v>
      </c>
      <c r="I1208" s="7">
        <f>IFERROR(__xludf.DUMMYFUNCTION("""COMPUTED_VALUE"""),40148.0)</f>
        <v>40148</v>
      </c>
      <c r="J1208" s="8">
        <f>IFERROR(__xludf.DUMMYFUNCTION("""COMPUTED_VALUE"""),0.5361111111124046)</f>
        <v>0.5361111111</v>
      </c>
      <c r="K1208" s="2">
        <f>IFERROR(__xludf.DUMMYFUNCTION("""COMPUTED_VALUE"""),12.0)</f>
        <v>12</v>
      </c>
      <c r="L1208" s="2">
        <f>IFERROR(__xludf.DUMMYFUNCTION("""COMPUTED_VALUE"""),17.7)</f>
        <v>17.7</v>
      </c>
    </row>
    <row r="1209">
      <c r="A1209" s="2">
        <f>IFERROR(__xludf.DUMMYFUNCTION("""COMPUTED_VALUE"""),489557.0)</f>
        <v>489557</v>
      </c>
      <c r="B1209" s="2" t="str">
        <f>IFERROR(__xludf.DUMMYFUNCTION("""COMPUTED_VALUE"""),"21426")</f>
        <v>21426</v>
      </c>
      <c r="C1209" s="2" t="str">
        <f>IFERROR(__xludf.DUMMYFUNCTION("""COMPUTED_VALUE"""),"WOODLAND STORAGE BOX SMALL")</f>
        <v>WOODLAND STORAGE BOX SMALL</v>
      </c>
      <c r="D1209" s="2">
        <f>IFERROR(__xludf.DUMMYFUNCTION("""COMPUTED_VALUE"""),6.0)</f>
        <v>6</v>
      </c>
      <c r="E1209" s="6">
        <f>IFERROR(__xludf.DUMMYFUNCTION("""COMPUTED_VALUE"""),40148.53611111111)</f>
        <v>40148.53611</v>
      </c>
      <c r="F1209" s="2">
        <f>IFERROR(__xludf.DUMMYFUNCTION("""COMPUTED_VALUE"""),2.1)</f>
        <v>2.1</v>
      </c>
      <c r="G1209" s="2">
        <f>IFERROR(__xludf.DUMMYFUNCTION("""COMPUTED_VALUE"""),12490.0)</f>
        <v>12490</v>
      </c>
      <c r="H1209" s="2" t="str">
        <f>IFERROR(__xludf.DUMMYFUNCTION("""COMPUTED_VALUE"""),"France")</f>
        <v>France</v>
      </c>
      <c r="I1209" s="7">
        <f>IFERROR(__xludf.DUMMYFUNCTION("""COMPUTED_VALUE"""),40148.0)</f>
        <v>40148</v>
      </c>
      <c r="J1209" s="8">
        <f>IFERROR(__xludf.DUMMYFUNCTION("""COMPUTED_VALUE"""),0.5361111111124046)</f>
        <v>0.5361111111</v>
      </c>
      <c r="K1209" s="2">
        <f>IFERROR(__xludf.DUMMYFUNCTION("""COMPUTED_VALUE"""),12.0)</f>
        <v>12</v>
      </c>
      <c r="L1209" s="2">
        <f>IFERROR(__xludf.DUMMYFUNCTION("""COMPUTED_VALUE"""),12.6)</f>
        <v>12.6</v>
      </c>
    </row>
    <row r="1210">
      <c r="A1210" s="2">
        <f>IFERROR(__xludf.DUMMYFUNCTION("""COMPUTED_VALUE"""),489557.0)</f>
        <v>489557</v>
      </c>
      <c r="B1210" s="2" t="str">
        <f>IFERROR(__xludf.DUMMYFUNCTION("""COMPUTED_VALUE"""),"20682")</f>
        <v>20682</v>
      </c>
      <c r="C1210" s="2" t="str">
        <f>IFERROR(__xludf.DUMMYFUNCTION("""COMPUTED_VALUE"""),"RED SPOTTY CHILDS UMBRELLA")</f>
        <v>RED SPOTTY CHILDS UMBRELLA</v>
      </c>
      <c r="D1210" s="2">
        <f>IFERROR(__xludf.DUMMYFUNCTION("""COMPUTED_VALUE"""),6.0)</f>
        <v>6</v>
      </c>
      <c r="E1210" s="6">
        <f>IFERROR(__xludf.DUMMYFUNCTION("""COMPUTED_VALUE"""),40148.53611111111)</f>
        <v>40148.53611</v>
      </c>
      <c r="F1210" s="2">
        <f>IFERROR(__xludf.DUMMYFUNCTION("""COMPUTED_VALUE"""),3.25)</f>
        <v>3.25</v>
      </c>
      <c r="G1210" s="2">
        <f>IFERROR(__xludf.DUMMYFUNCTION("""COMPUTED_VALUE"""),12490.0)</f>
        <v>12490</v>
      </c>
      <c r="H1210" s="2" t="str">
        <f>IFERROR(__xludf.DUMMYFUNCTION("""COMPUTED_VALUE"""),"France")</f>
        <v>France</v>
      </c>
      <c r="I1210" s="7">
        <f>IFERROR(__xludf.DUMMYFUNCTION("""COMPUTED_VALUE"""),40148.0)</f>
        <v>40148</v>
      </c>
      <c r="J1210" s="8">
        <f>IFERROR(__xludf.DUMMYFUNCTION("""COMPUTED_VALUE"""),0.5361111111124046)</f>
        <v>0.5361111111</v>
      </c>
      <c r="K1210" s="2">
        <f>IFERROR(__xludf.DUMMYFUNCTION("""COMPUTED_VALUE"""),12.0)</f>
        <v>12</v>
      </c>
      <c r="L1210" s="2">
        <f>IFERROR(__xludf.DUMMYFUNCTION("""COMPUTED_VALUE"""),19.5)</f>
        <v>19.5</v>
      </c>
    </row>
    <row r="1211">
      <c r="A1211" s="2">
        <f>IFERROR(__xludf.DUMMYFUNCTION("""COMPUTED_VALUE"""),489557.0)</f>
        <v>489557</v>
      </c>
      <c r="B1211" s="2" t="str">
        <f>IFERROR(__xludf.DUMMYFUNCTION("""COMPUTED_VALUE"""),"POST")</f>
        <v>POST</v>
      </c>
      <c r="C1211" s="2" t="str">
        <f>IFERROR(__xludf.DUMMYFUNCTION("""COMPUTED_VALUE"""),"POSTAGE")</f>
        <v>POSTAGE</v>
      </c>
      <c r="D1211" s="2">
        <f>IFERROR(__xludf.DUMMYFUNCTION("""COMPUTED_VALUE"""),4.0)</f>
        <v>4</v>
      </c>
      <c r="E1211" s="6">
        <f>IFERROR(__xludf.DUMMYFUNCTION("""COMPUTED_VALUE"""),40148.53611111111)</f>
        <v>40148.53611</v>
      </c>
      <c r="F1211" s="2">
        <f>IFERROR(__xludf.DUMMYFUNCTION("""COMPUTED_VALUE"""),18.0)</f>
        <v>18</v>
      </c>
      <c r="G1211" s="2">
        <f>IFERROR(__xludf.DUMMYFUNCTION("""COMPUTED_VALUE"""),12490.0)</f>
        <v>12490</v>
      </c>
      <c r="H1211" s="2" t="str">
        <f>IFERROR(__xludf.DUMMYFUNCTION("""COMPUTED_VALUE"""),"France")</f>
        <v>France</v>
      </c>
      <c r="I1211" s="7">
        <f>IFERROR(__xludf.DUMMYFUNCTION("""COMPUTED_VALUE"""),40148.0)</f>
        <v>40148</v>
      </c>
      <c r="J1211" s="8">
        <f>IFERROR(__xludf.DUMMYFUNCTION("""COMPUTED_VALUE"""),0.5361111111124046)</f>
        <v>0.5361111111</v>
      </c>
      <c r="K1211" s="2">
        <f>IFERROR(__xludf.DUMMYFUNCTION("""COMPUTED_VALUE"""),12.0)</f>
        <v>12</v>
      </c>
      <c r="L1211" s="2">
        <f>IFERROR(__xludf.DUMMYFUNCTION("""COMPUTED_VALUE"""),72.0)</f>
        <v>72</v>
      </c>
    </row>
    <row r="1212">
      <c r="A1212" s="2">
        <f>IFERROR(__xludf.DUMMYFUNCTION("""COMPUTED_VALUE"""),489558.0)</f>
        <v>489558</v>
      </c>
      <c r="B1212" s="2" t="str">
        <f>IFERROR(__xludf.DUMMYFUNCTION("""COMPUTED_VALUE"""),"84946")</f>
        <v>84946</v>
      </c>
      <c r="C1212" s="2" t="str">
        <f>IFERROR(__xludf.DUMMYFUNCTION("""COMPUTED_VALUE"""),"ANTIQUE SILVER TEA GLASS ETCHED")</f>
        <v>ANTIQUE SILVER TEA GLASS ETCHED</v>
      </c>
      <c r="D1212" s="2">
        <f>IFERROR(__xludf.DUMMYFUNCTION("""COMPUTED_VALUE"""),72.0)</f>
        <v>72</v>
      </c>
      <c r="E1212" s="6">
        <f>IFERROR(__xludf.DUMMYFUNCTION("""COMPUTED_VALUE"""),40148.5375)</f>
        <v>40148.5375</v>
      </c>
      <c r="F1212" s="2">
        <f>IFERROR(__xludf.DUMMYFUNCTION("""COMPUTED_VALUE"""),1.06)</f>
        <v>1.06</v>
      </c>
      <c r="G1212" s="2">
        <f>IFERROR(__xludf.DUMMYFUNCTION("""COMPUTED_VALUE"""),15793.0)</f>
        <v>15793</v>
      </c>
      <c r="H1212" s="2" t="str">
        <f>IFERROR(__xludf.DUMMYFUNCTION("""COMPUTED_VALUE"""),"United Kingdom")</f>
        <v>United Kingdom</v>
      </c>
      <c r="I1212" s="7">
        <f>IFERROR(__xludf.DUMMYFUNCTION("""COMPUTED_VALUE"""),40148.0)</f>
        <v>40148</v>
      </c>
      <c r="J1212" s="8">
        <f>IFERROR(__xludf.DUMMYFUNCTION("""COMPUTED_VALUE"""),0.5374999999985448)</f>
        <v>0.5375</v>
      </c>
      <c r="K1212" s="2">
        <f>IFERROR(__xludf.DUMMYFUNCTION("""COMPUTED_VALUE"""),12.0)</f>
        <v>12</v>
      </c>
      <c r="L1212" s="2">
        <f>IFERROR(__xludf.DUMMYFUNCTION("""COMPUTED_VALUE"""),76.32)</f>
        <v>76.32</v>
      </c>
    </row>
    <row r="1213">
      <c r="A1213" s="2">
        <f>IFERROR(__xludf.DUMMYFUNCTION("""COMPUTED_VALUE"""),489558.0)</f>
        <v>489558</v>
      </c>
      <c r="B1213" s="2" t="str">
        <f>IFERROR(__xludf.DUMMYFUNCTION("""COMPUTED_VALUE"""),"21756")</f>
        <v>21756</v>
      </c>
      <c r="C1213" s="2" t="str">
        <f>IFERROR(__xludf.DUMMYFUNCTION("""COMPUTED_VALUE"""),"BATH BUILDING BLOCK WORD")</f>
        <v>BATH BUILDING BLOCK WORD</v>
      </c>
      <c r="D1213" s="2">
        <f>IFERROR(__xludf.DUMMYFUNCTION("""COMPUTED_VALUE"""),6.0)</f>
        <v>6</v>
      </c>
      <c r="E1213" s="6">
        <f>IFERROR(__xludf.DUMMYFUNCTION("""COMPUTED_VALUE"""),40148.5375)</f>
        <v>40148.5375</v>
      </c>
      <c r="F1213" s="2">
        <f>IFERROR(__xludf.DUMMYFUNCTION("""COMPUTED_VALUE"""),5.95)</f>
        <v>5.95</v>
      </c>
      <c r="G1213" s="2">
        <f>IFERROR(__xludf.DUMMYFUNCTION("""COMPUTED_VALUE"""),15793.0)</f>
        <v>15793</v>
      </c>
      <c r="H1213" s="2" t="str">
        <f>IFERROR(__xludf.DUMMYFUNCTION("""COMPUTED_VALUE"""),"United Kingdom")</f>
        <v>United Kingdom</v>
      </c>
      <c r="I1213" s="7">
        <f>IFERROR(__xludf.DUMMYFUNCTION("""COMPUTED_VALUE"""),40148.0)</f>
        <v>40148</v>
      </c>
      <c r="J1213" s="8">
        <f>IFERROR(__xludf.DUMMYFUNCTION("""COMPUTED_VALUE"""),0.5374999999985448)</f>
        <v>0.5375</v>
      </c>
      <c r="K1213" s="2">
        <f>IFERROR(__xludf.DUMMYFUNCTION("""COMPUTED_VALUE"""),12.0)</f>
        <v>12</v>
      </c>
      <c r="L1213" s="2">
        <f>IFERROR(__xludf.DUMMYFUNCTION("""COMPUTED_VALUE"""),35.7)</f>
        <v>35.7</v>
      </c>
    </row>
    <row r="1214">
      <c r="A1214" s="2">
        <f>IFERROR(__xludf.DUMMYFUNCTION("""COMPUTED_VALUE"""),489558.0)</f>
        <v>489558</v>
      </c>
      <c r="B1214" s="2" t="str">
        <f>IFERROR(__xludf.DUMMYFUNCTION("""COMPUTED_VALUE"""),"21754")</f>
        <v>21754</v>
      </c>
      <c r="C1214" s="2" t="str">
        <f>IFERROR(__xludf.DUMMYFUNCTION("""COMPUTED_VALUE"""),"HOME BUILDING BLOCK WORD")</f>
        <v>HOME BUILDING BLOCK WORD</v>
      </c>
      <c r="D1214" s="2">
        <f>IFERROR(__xludf.DUMMYFUNCTION("""COMPUTED_VALUE"""),12.0)</f>
        <v>12</v>
      </c>
      <c r="E1214" s="6">
        <f>IFERROR(__xludf.DUMMYFUNCTION("""COMPUTED_VALUE"""),40148.5375)</f>
        <v>40148.5375</v>
      </c>
      <c r="F1214" s="2">
        <f>IFERROR(__xludf.DUMMYFUNCTION("""COMPUTED_VALUE"""),5.95)</f>
        <v>5.95</v>
      </c>
      <c r="G1214" s="2">
        <f>IFERROR(__xludf.DUMMYFUNCTION("""COMPUTED_VALUE"""),15793.0)</f>
        <v>15793</v>
      </c>
      <c r="H1214" s="2" t="str">
        <f>IFERROR(__xludf.DUMMYFUNCTION("""COMPUTED_VALUE"""),"United Kingdom")</f>
        <v>United Kingdom</v>
      </c>
      <c r="I1214" s="7">
        <f>IFERROR(__xludf.DUMMYFUNCTION("""COMPUTED_VALUE"""),40148.0)</f>
        <v>40148</v>
      </c>
      <c r="J1214" s="8">
        <f>IFERROR(__xludf.DUMMYFUNCTION("""COMPUTED_VALUE"""),0.5374999999985448)</f>
        <v>0.5375</v>
      </c>
      <c r="K1214" s="2">
        <f>IFERROR(__xludf.DUMMYFUNCTION("""COMPUTED_VALUE"""),12.0)</f>
        <v>12</v>
      </c>
      <c r="L1214" s="2">
        <f>IFERROR(__xludf.DUMMYFUNCTION("""COMPUTED_VALUE"""),71.4)</f>
        <v>71.4</v>
      </c>
    </row>
    <row r="1215">
      <c r="A1215" s="2">
        <f>IFERROR(__xludf.DUMMYFUNCTION("""COMPUTED_VALUE"""),489558.0)</f>
        <v>489558</v>
      </c>
      <c r="B1215" s="2" t="str">
        <f>IFERROR(__xludf.DUMMYFUNCTION("""COMPUTED_VALUE"""),"84879")</f>
        <v>84879</v>
      </c>
      <c r="C1215" s="2" t="str">
        <f>IFERROR(__xludf.DUMMYFUNCTION("""COMPUTED_VALUE"""),"ASSORTED COLOUR BIRD ORNAMENT")</f>
        <v>ASSORTED COLOUR BIRD ORNAMENT</v>
      </c>
      <c r="D1215" s="2">
        <f>IFERROR(__xludf.DUMMYFUNCTION("""COMPUTED_VALUE"""),64.0)</f>
        <v>64</v>
      </c>
      <c r="E1215" s="6">
        <f>IFERROR(__xludf.DUMMYFUNCTION("""COMPUTED_VALUE"""),40148.5375)</f>
        <v>40148.5375</v>
      </c>
      <c r="F1215" s="2">
        <f>IFERROR(__xludf.DUMMYFUNCTION("""COMPUTED_VALUE"""),1.69)</f>
        <v>1.69</v>
      </c>
      <c r="G1215" s="2">
        <f>IFERROR(__xludf.DUMMYFUNCTION("""COMPUTED_VALUE"""),15793.0)</f>
        <v>15793</v>
      </c>
      <c r="H1215" s="2" t="str">
        <f>IFERROR(__xludf.DUMMYFUNCTION("""COMPUTED_VALUE"""),"United Kingdom")</f>
        <v>United Kingdom</v>
      </c>
      <c r="I1215" s="7">
        <f>IFERROR(__xludf.DUMMYFUNCTION("""COMPUTED_VALUE"""),40148.0)</f>
        <v>40148</v>
      </c>
      <c r="J1215" s="8">
        <f>IFERROR(__xludf.DUMMYFUNCTION("""COMPUTED_VALUE"""),0.5374999999985448)</f>
        <v>0.5375</v>
      </c>
      <c r="K1215" s="2">
        <f>IFERROR(__xludf.DUMMYFUNCTION("""COMPUTED_VALUE"""),12.0)</f>
        <v>12</v>
      </c>
      <c r="L1215" s="2">
        <f>IFERROR(__xludf.DUMMYFUNCTION("""COMPUTED_VALUE"""),108.16)</f>
        <v>108.16</v>
      </c>
    </row>
    <row r="1216">
      <c r="A1216" s="2">
        <f>IFERROR(__xludf.DUMMYFUNCTION("""COMPUTED_VALUE"""),489559.0)</f>
        <v>489559</v>
      </c>
      <c r="B1216" s="2" t="str">
        <f>IFERROR(__xludf.DUMMYFUNCTION("""COMPUTED_VALUE"""),"22111")</f>
        <v>22111</v>
      </c>
      <c r="C1216" s="2" t="str">
        <f>IFERROR(__xludf.DUMMYFUNCTION("""COMPUTED_VALUE"""),"SCOTTIE DOG HOT WATER BOTTLE")</f>
        <v>SCOTTIE DOG HOT WATER BOTTLE</v>
      </c>
      <c r="D1216" s="2">
        <f>IFERROR(__xludf.DUMMYFUNCTION("""COMPUTED_VALUE"""),2.0)</f>
        <v>2</v>
      </c>
      <c r="E1216" s="6">
        <f>IFERROR(__xludf.DUMMYFUNCTION("""COMPUTED_VALUE"""),40148.538194444445)</f>
        <v>40148.53819</v>
      </c>
      <c r="F1216" s="2">
        <f>IFERROR(__xludf.DUMMYFUNCTION("""COMPUTED_VALUE"""),4.95)</f>
        <v>4.95</v>
      </c>
      <c r="G1216" s="2">
        <f>IFERROR(__xludf.DUMMYFUNCTION("""COMPUTED_VALUE"""),17056.0)</f>
        <v>17056</v>
      </c>
      <c r="H1216" s="2" t="str">
        <f>IFERROR(__xludf.DUMMYFUNCTION("""COMPUTED_VALUE"""),"United Kingdom")</f>
        <v>United Kingdom</v>
      </c>
      <c r="I1216" s="7">
        <f>IFERROR(__xludf.DUMMYFUNCTION("""COMPUTED_VALUE"""),40148.0)</f>
        <v>40148</v>
      </c>
      <c r="J1216" s="8">
        <f>IFERROR(__xludf.DUMMYFUNCTION("""COMPUTED_VALUE"""),0.5381944444452529)</f>
        <v>0.5381944444</v>
      </c>
      <c r="K1216" s="2">
        <f>IFERROR(__xludf.DUMMYFUNCTION("""COMPUTED_VALUE"""),12.0)</f>
        <v>12</v>
      </c>
      <c r="L1216" s="2">
        <f>IFERROR(__xludf.DUMMYFUNCTION("""COMPUTED_VALUE"""),9.9)</f>
        <v>9.9</v>
      </c>
    </row>
    <row r="1217">
      <c r="A1217" s="2">
        <f>IFERROR(__xludf.DUMMYFUNCTION("""COMPUTED_VALUE"""),489559.0)</f>
        <v>489559</v>
      </c>
      <c r="B1217" s="2" t="str">
        <f>IFERROR(__xludf.DUMMYFUNCTION("""COMPUTED_VALUE"""),"22114")</f>
        <v>22114</v>
      </c>
      <c r="C1217" s="2" t="str">
        <f>IFERROR(__xludf.DUMMYFUNCTION("""COMPUTED_VALUE"""),"HOT WATER BOTTLE TEA AND SYMPATHY")</f>
        <v>HOT WATER BOTTLE TEA AND SYMPATHY</v>
      </c>
      <c r="D1217" s="2">
        <f>IFERROR(__xludf.DUMMYFUNCTION("""COMPUTED_VALUE"""),1.0)</f>
        <v>1</v>
      </c>
      <c r="E1217" s="6">
        <f>IFERROR(__xludf.DUMMYFUNCTION("""COMPUTED_VALUE"""),40148.538194444445)</f>
        <v>40148.53819</v>
      </c>
      <c r="F1217" s="2">
        <f>IFERROR(__xludf.DUMMYFUNCTION("""COMPUTED_VALUE"""),3.95)</f>
        <v>3.95</v>
      </c>
      <c r="G1217" s="2">
        <f>IFERROR(__xludf.DUMMYFUNCTION("""COMPUTED_VALUE"""),17056.0)</f>
        <v>17056</v>
      </c>
      <c r="H1217" s="2" t="str">
        <f>IFERROR(__xludf.DUMMYFUNCTION("""COMPUTED_VALUE"""),"United Kingdom")</f>
        <v>United Kingdom</v>
      </c>
      <c r="I1217" s="7">
        <f>IFERROR(__xludf.DUMMYFUNCTION("""COMPUTED_VALUE"""),40148.0)</f>
        <v>40148</v>
      </c>
      <c r="J1217" s="8">
        <f>IFERROR(__xludf.DUMMYFUNCTION("""COMPUTED_VALUE"""),0.5381944444452529)</f>
        <v>0.5381944444</v>
      </c>
      <c r="K1217" s="2">
        <f>IFERROR(__xludf.DUMMYFUNCTION("""COMPUTED_VALUE"""),12.0)</f>
        <v>12</v>
      </c>
      <c r="L1217" s="2">
        <f>IFERROR(__xludf.DUMMYFUNCTION("""COMPUTED_VALUE"""),3.95)</f>
        <v>3.95</v>
      </c>
    </row>
    <row r="1218">
      <c r="A1218" s="2">
        <f>IFERROR(__xludf.DUMMYFUNCTION("""COMPUTED_VALUE"""),489559.0)</f>
        <v>489559</v>
      </c>
      <c r="B1218" s="2" t="str">
        <f>IFERROR(__xludf.DUMMYFUNCTION("""COMPUTED_VALUE"""),"22349")</f>
        <v>22349</v>
      </c>
      <c r="C1218" s="2" t="str">
        <f>IFERROR(__xludf.DUMMYFUNCTION("""COMPUTED_VALUE"""),"DOG BOWL , CHASING BALL DESIGN")</f>
        <v>DOG BOWL , CHASING BALL DESIGN</v>
      </c>
      <c r="D1218" s="2">
        <f>IFERROR(__xludf.DUMMYFUNCTION("""COMPUTED_VALUE"""),1.0)</f>
        <v>1</v>
      </c>
      <c r="E1218" s="6">
        <f>IFERROR(__xludf.DUMMYFUNCTION("""COMPUTED_VALUE"""),40148.538194444445)</f>
        <v>40148.53819</v>
      </c>
      <c r="F1218" s="2">
        <f>IFERROR(__xludf.DUMMYFUNCTION("""COMPUTED_VALUE"""),3.75)</f>
        <v>3.75</v>
      </c>
      <c r="G1218" s="2">
        <f>IFERROR(__xludf.DUMMYFUNCTION("""COMPUTED_VALUE"""),17056.0)</f>
        <v>17056</v>
      </c>
      <c r="H1218" s="2" t="str">
        <f>IFERROR(__xludf.DUMMYFUNCTION("""COMPUTED_VALUE"""),"United Kingdom")</f>
        <v>United Kingdom</v>
      </c>
      <c r="I1218" s="7">
        <f>IFERROR(__xludf.DUMMYFUNCTION("""COMPUTED_VALUE"""),40148.0)</f>
        <v>40148</v>
      </c>
      <c r="J1218" s="8">
        <f>IFERROR(__xludf.DUMMYFUNCTION("""COMPUTED_VALUE"""),0.5381944444452529)</f>
        <v>0.5381944444</v>
      </c>
      <c r="K1218" s="2">
        <f>IFERROR(__xludf.DUMMYFUNCTION("""COMPUTED_VALUE"""),12.0)</f>
        <v>12</v>
      </c>
      <c r="L1218" s="2">
        <f>IFERROR(__xludf.DUMMYFUNCTION("""COMPUTED_VALUE"""),3.75)</f>
        <v>3.75</v>
      </c>
    </row>
    <row r="1219">
      <c r="A1219" s="2">
        <f>IFERROR(__xludf.DUMMYFUNCTION("""COMPUTED_VALUE"""),489559.0)</f>
        <v>489559</v>
      </c>
      <c r="B1219" s="2" t="str">
        <f>IFERROR(__xludf.DUMMYFUNCTION("""COMPUTED_VALUE"""),"21890")</f>
        <v>21890</v>
      </c>
      <c r="C1219" s="2" t="str">
        <f>IFERROR(__xludf.DUMMYFUNCTION("""COMPUTED_VALUE"""),"S/6 WOODEN SKITTLES IN COTTON BAG")</f>
        <v>S/6 WOODEN SKITTLES IN COTTON BAG</v>
      </c>
      <c r="D1219" s="2">
        <f>IFERROR(__xludf.DUMMYFUNCTION("""COMPUTED_VALUE"""),1.0)</f>
        <v>1</v>
      </c>
      <c r="E1219" s="6">
        <f>IFERROR(__xludf.DUMMYFUNCTION("""COMPUTED_VALUE"""),40148.538194444445)</f>
        <v>40148.53819</v>
      </c>
      <c r="F1219" s="2">
        <f>IFERROR(__xludf.DUMMYFUNCTION("""COMPUTED_VALUE"""),2.95)</f>
        <v>2.95</v>
      </c>
      <c r="G1219" s="2">
        <f>IFERROR(__xludf.DUMMYFUNCTION("""COMPUTED_VALUE"""),17056.0)</f>
        <v>17056</v>
      </c>
      <c r="H1219" s="2" t="str">
        <f>IFERROR(__xludf.DUMMYFUNCTION("""COMPUTED_VALUE"""),"United Kingdom")</f>
        <v>United Kingdom</v>
      </c>
      <c r="I1219" s="7">
        <f>IFERROR(__xludf.DUMMYFUNCTION("""COMPUTED_VALUE"""),40148.0)</f>
        <v>40148</v>
      </c>
      <c r="J1219" s="8">
        <f>IFERROR(__xludf.DUMMYFUNCTION("""COMPUTED_VALUE"""),0.5381944444452529)</f>
        <v>0.5381944444</v>
      </c>
      <c r="K1219" s="2">
        <f>IFERROR(__xludf.DUMMYFUNCTION("""COMPUTED_VALUE"""),12.0)</f>
        <v>12</v>
      </c>
      <c r="L1219" s="2">
        <f>IFERROR(__xludf.DUMMYFUNCTION("""COMPUTED_VALUE"""),2.95)</f>
        <v>2.95</v>
      </c>
    </row>
    <row r="1220">
      <c r="A1220" s="2">
        <f>IFERROR(__xludf.DUMMYFUNCTION("""COMPUTED_VALUE"""),489559.0)</f>
        <v>489559</v>
      </c>
      <c r="B1220" s="2" t="str">
        <f>IFERROR(__xludf.DUMMYFUNCTION("""COMPUTED_VALUE"""),"21891")</f>
        <v>21891</v>
      </c>
      <c r="C1220" s="2" t="str">
        <f>IFERROR(__xludf.DUMMYFUNCTION("""COMPUTED_VALUE"""),"TRADITIONAL WOODEN SKIPPING ROPE")</f>
        <v>TRADITIONAL WOODEN SKIPPING ROPE</v>
      </c>
      <c r="D1220" s="2">
        <f>IFERROR(__xludf.DUMMYFUNCTION("""COMPUTED_VALUE"""),1.0)</f>
        <v>1</v>
      </c>
      <c r="E1220" s="6">
        <f>IFERROR(__xludf.DUMMYFUNCTION("""COMPUTED_VALUE"""),40148.538194444445)</f>
        <v>40148.53819</v>
      </c>
      <c r="F1220" s="2">
        <f>IFERROR(__xludf.DUMMYFUNCTION("""COMPUTED_VALUE"""),1.25)</f>
        <v>1.25</v>
      </c>
      <c r="G1220" s="2">
        <f>IFERROR(__xludf.DUMMYFUNCTION("""COMPUTED_VALUE"""),17056.0)</f>
        <v>17056</v>
      </c>
      <c r="H1220" s="2" t="str">
        <f>IFERROR(__xludf.DUMMYFUNCTION("""COMPUTED_VALUE"""),"United Kingdom")</f>
        <v>United Kingdom</v>
      </c>
      <c r="I1220" s="7">
        <f>IFERROR(__xludf.DUMMYFUNCTION("""COMPUTED_VALUE"""),40148.0)</f>
        <v>40148</v>
      </c>
      <c r="J1220" s="8">
        <f>IFERROR(__xludf.DUMMYFUNCTION("""COMPUTED_VALUE"""),0.5381944444452529)</f>
        <v>0.5381944444</v>
      </c>
      <c r="K1220" s="2">
        <f>IFERROR(__xludf.DUMMYFUNCTION("""COMPUTED_VALUE"""),12.0)</f>
        <v>12</v>
      </c>
      <c r="L1220" s="2">
        <f>IFERROR(__xludf.DUMMYFUNCTION("""COMPUTED_VALUE"""),1.25)</f>
        <v>1.25</v>
      </c>
    </row>
    <row r="1221">
      <c r="A1221" s="2">
        <f>IFERROR(__xludf.DUMMYFUNCTION("""COMPUTED_VALUE"""),489559.0)</f>
        <v>489559</v>
      </c>
      <c r="B1221" s="2" t="str">
        <f>IFERROR(__xludf.DUMMYFUNCTION("""COMPUTED_VALUE"""),"21098")</f>
        <v>21098</v>
      </c>
      <c r="C1221" s="2" t="str">
        <f>IFERROR(__xludf.DUMMYFUNCTION("""COMPUTED_VALUE"""),"CHRISTMAS TOILET ROLL")</f>
        <v>CHRISTMAS TOILET ROLL</v>
      </c>
      <c r="D1221" s="2">
        <f>IFERROR(__xludf.DUMMYFUNCTION("""COMPUTED_VALUE"""),6.0)</f>
        <v>6</v>
      </c>
      <c r="E1221" s="6">
        <f>IFERROR(__xludf.DUMMYFUNCTION("""COMPUTED_VALUE"""),40148.538194444445)</f>
        <v>40148.53819</v>
      </c>
      <c r="F1221" s="2">
        <f>IFERROR(__xludf.DUMMYFUNCTION("""COMPUTED_VALUE"""),1.25)</f>
        <v>1.25</v>
      </c>
      <c r="G1221" s="2">
        <f>IFERROR(__xludf.DUMMYFUNCTION("""COMPUTED_VALUE"""),17056.0)</f>
        <v>17056</v>
      </c>
      <c r="H1221" s="2" t="str">
        <f>IFERROR(__xludf.DUMMYFUNCTION("""COMPUTED_VALUE"""),"United Kingdom")</f>
        <v>United Kingdom</v>
      </c>
      <c r="I1221" s="7">
        <f>IFERROR(__xludf.DUMMYFUNCTION("""COMPUTED_VALUE"""),40148.0)</f>
        <v>40148</v>
      </c>
      <c r="J1221" s="8">
        <f>IFERROR(__xludf.DUMMYFUNCTION("""COMPUTED_VALUE"""),0.5381944444452529)</f>
        <v>0.5381944444</v>
      </c>
      <c r="K1221" s="2">
        <f>IFERROR(__xludf.DUMMYFUNCTION("""COMPUTED_VALUE"""),12.0)</f>
        <v>12</v>
      </c>
      <c r="L1221" s="2">
        <f>IFERROR(__xludf.DUMMYFUNCTION("""COMPUTED_VALUE"""),7.5)</f>
        <v>7.5</v>
      </c>
    </row>
    <row r="1222">
      <c r="A1222" s="2">
        <f>IFERROR(__xludf.DUMMYFUNCTION("""COMPUTED_VALUE"""),489559.0)</f>
        <v>489559</v>
      </c>
      <c r="B1222" s="2" t="str">
        <f>IFERROR(__xludf.DUMMYFUNCTION("""COMPUTED_VALUE"""),"22415")</f>
        <v>22415</v>
      </c>
      <c r="C1222" s="2" t="str">
        <f>IFERROR(__xludf.DUMMYFUNCTION("""COMPUTED_VALUE"""),"WHITE TISSUE REAM")</f>
        <v>WHITE TISSUE REAM</v>
      </c>
      <c r="D1222" s="2">
        <f>IFERROR(__xludf.DUMMYFUNCTION("""COMPUTED_VALUE"""),2.0)</f>
        <v>2</v>
      </c>
      <c r="E1222" s="6">
        <f>IFERROR(__xludf.DUMMYFUNCTION("""COMPUTED_VALUE"""),40148.538194444445)</f>
        <v>40148.53819</v>
      </c>
      <c r="F1222" s="2">
        <f>IFERROR(__xludf.DUMMYFUNCTION("""COMPUTED_VALUE"""),7.95)</f>
        <v>7.95</v>
      </c>
      <c r="G1222" s="2">
        <f>IFERROR(__xludf.DUMMYFUNCTION("""COMPUTED_VALUE"""),17056.0)</f>
        <v>17056</v>
      </c>
      <c r="H1222" s="2" t="str">
        <f>IFERROR(__xludf.DUMMYFUNCTION("""COMPUTED_VALUE"""),"United Kingdom")</f>
        <v>United Kingdom</v>
      </c>
      <c r="I1222" s="7">
        <f>IFERROR(__xludf.DUMMYFUNCTION("""COMPUTED_VALUE"""),40148.0)</f>
        <v>40148</v>
      </c>
      <c r="J1222" s="8">
        <f>IFERROR(__xludf.DUMMYFUNCTION("""COMPUTED_VALUE"""),0.5381944444452529)</f>
        <v>0.5381944444</v>
      </c>
      <c r="K1222" s="2">
        <f>IFERROR(__xludf.DUMMYFUNCTION("""COMPUTED_VALUE"""),12.0)</f>
        <v>12</v>
      </c>
      <c r="L1222" s="2">
        <f>IFERROR(__xludf.DUMMYFUNCTION("""COMPUTED_VALUE"""),15.9)</f>
        <v>15.9</v>
      </c>
    </row>
    <row r="1223">
      <c r="A1223" s="2">
        <f>IFERROR(__xludf.DUMMYFUNCTION("""COMPUTED_VALUE"""),489559.0)</f>
        <v>489559</v>
      </c>
      <c r="B1223" s="2" t="str">
        <f>IFERROR(__xludf.DUMMYFUNCTION("""COMPUTED_VALUE"""),"85048")</f>
        <v>85048</v>
      </c>
      <c r="C1223" s="2" t="str">
        <f>IFERROR(__xludf.DUMMYFUNCTION("""COMPUTED_VALUE"""),"15CM CHRISTMAS GLASS BALL 20 LIGHTS")</f>
        <v>15CM CHRISTMAS GLASS BALL 20 LIGHTS</v>
      </c>
      <c r="D1223" s="2">
        <f>IFERROR(__xludf.DUMMYFUNCTION("""COMPUTED_VALUE"""),12.0)</f>
        <v>12</v>
      </c>
      <c r="E1223" s="6">
        <f>IFERROR(__xludf.DUMMYFUNCTION("""COMPUTED_VALUE"""),40148.538194444445)</f>
        <v>40148.53819</v>
      </c>
      <c r="F1223" s="2">
        <f>IFERROR(__xludf.DUMMYFUNCTION("""COMPUTED_VALUE"""),6.95)</f>
        <v>6.95</v>
      </c>
      <c r="G1223" s="2">
        <f>IFERROR(__xludf.DUMMYFUNCTION("""COMPUTED_VALUE"""),17056.0)</f>
        <v>17056</v>
      </c>
      <c r="H1223" s="2" t="str">
        <f>IFERROR(__xludf.DUMMYFUNCTION("""COMPUTED_VALUE"""),"United Kingdom")</f>
        <v>United Kingdom</v>
      </c>
      <c r="I1223" s="7">
        <f>IFERROR(__xludf.DUMMYFUNCTION("""COMPUTED_VALUE"""),40148.0)</f>
        <v>40148</v>
      </c>
      <c r="J1223" s="8">
        <f>IFERROR(__xludf.DUMMYFUNCTION("""COMPUTED_VALUE"""),0.5381944444452529)</f>
        <v>0.5381944444</v>
      </c>
      <c r="K1223" s="2">
        <f>IFERROR(__xludf.DUMMYFUNCTION("""COMPUTED_VALUE"""),12.0)</f>
        <v>12</v>
      </c>
      <c r="L1223" s="2">
        <f>IFERROR(__xludf.DUMMYFUNCTION("""COMPUTED_VALUE"""),83.4)</f>
        <v>83.4</v>
      </c>
    </row>
    <row r="1224">
      <c r="A1224" s="2">
        <f>IFERROR(__xludf.DUMMYFUNCTION("""COMPUTED_VALUE"""),489560.0)</f>
        <v>489560</v>
      </c>
      <c r="B1224" s="2" t="str">
        <f>IFERROR(__xludf.DUMMYFUNCTION("""COMPUTED_VALUE"""),"17164D")</f>
        <v>17164D</v>
      </c>
      <c r="C1224" s="2" t="str">
        <f>IFERROR(__xludf.DUMMYFUNCTION("""COMPUTED_VALUE"""),"ASS COL SMALL SAND FROG P'WEIGHT")</f>
        <v>ASS COL SMALL SAND FROG P'WEIGHT</v>
      </c>
      <c r="D1224" s="2">
        <f>IFERROR(__xludf.DUMMYFUNCTION("""COMPUTED_VALUE"""),288.0)</f>
        <v>288</v>
      </c>
      <c r="E1224" s="6">
        <f>IFERROR(__xludf.DUMMYFUNCTION("""COMPUTED_VALUE"""),40148.538888888885)</f>
        <v>40148.53889</v>
      </c>
      <c r="F1224" s="2">
        <f>IFERROR(__xludf.DUMMYFUNCTION("""COMPUTED_VALUE"""),0.37)</f>
        <v>0.37</v>
      </c>
      <c r="G1224" s="2">
        <f>IFERROR(__xludf.DUMMYFUNCTION("""COMPUTED_VALUE"""),13526.0)</f>
        <v>13526</v>
      </c>
      <c r="H1224" s="2" t="str">
        <f>IFERROR(__xludf.DUMMYFUNCTION("""COMPUTED_VALUE"""),"United Kingdom")</f>
        <v>United Kingdom</v>
      </c>
      <c r="I1224" s="7">
        <f>IFERROR(__xludf.DUMMYFUNCTION("""COMPUTED_VALUE"""),40148.0)</f>
        <v>40148</v>
      </c>
      <c r="J1224" s="8">
        <f>IFERROR(__xludf.DUMMYFUNCTION("""COMPUTED_VALUE"""),0.538888888888323)</f>
        <v>0.5388888889</v>
      </c>
      <c r="K1224" s="2">
        <f>IFERROR(__xludf.DUMMYFUNCTION("""COMPUTED_VALUE"""),12.0)</f>
        <v>12</v>
      </c>
      <c r="L1224" s="2">
        <f>IFERROR(__xludf.DUMMYFUNCTION("""COMPUTED_VALUE"""),106.56)</f>
        <v>106.56</v>
      </c>
    </row>
    <row r="1225">
      <c r="A1225" s="2">
        <f>IFERROR(__xludf.DUMMYFUNCTION("""COMPUTED_VALUE"""),489560.0)</f>
        <v>489560</v>
      </c>
      <c r="B1225" s="2" t="str">
        <f>IFERROR(__xludf.DUMMYFUNCTION("""COMPUTED_VALUE"""),"17165D")</f>
        <v>17165D</v>
      </c>
      <c r="C1225" s="2" t="str">
        <f>IFERROR(__xludf.DUMMYFUNCTION("""COMPUTED_VALUE"""),"ASS COL LARGE SAND FROG P'WEIGHT")</f>
        <v>ASS COL LARGE SAND FROG P'WEIGHT</v>
      </c>
      <c r="D1225" s="2">
        <f>IFERROR(__xludf.DUMMYFUNCTION("""COMPUTED_VALUE"""),108.0)</f>
        <v>108</v>
      </c>
      <c r="E1225" s="6">
        <f>IFERROR(__xludf.DUMMYFUNCTION("""COMPUTED_VALUE"""),40148.538888888885)</f>
        <v>40148.53889</v>
      </c>
      <c r="F1225" s="2">
        <f>IFERROR(__xludf.DUMMYFUNCTION("""COMPUTED_VALUE"""),0.85)</f>
        <v>0.85</v>
      </c>
      <c r="G1225" s="2">
        <f>IFERROR(__xludf.DUMMYFUNCTION("""COMPUTED_VALUE"""),13526.0)</f>
        <v>13526</v>
      </c>
      <c r="H1225" s="2" t="str">
        <f>IFERROR(__xludf.DUMMYFUNCTION("""COMPUTED_VALUE"""),"United Kingdom")</f>
        <v>United Kingdom</v>
      </c>
      <c r="I1225" s="7">
        <f>IFERROR(__xludf.DUMMYFUNCTION("""COMPUTED_VALUE"""),40148.0)</f>
        <v>40148</v>
      </c>
      <c r="J1225" s="8">
        <f>IFERROR(__xludf.DUMMYFUNCTION("""COMPUTED_VALUE"""),0.538888888888323)</f>
        <v>0.5388888889</v>
      </c>
      <c r="K1225" s="2">
        <f>IFERROR(__xludf.DUMMYFUNCTION("""COMPUTED_VALUE"""),12.0)</f>
        <v>12</v>
      </c>
      <c r="L1225" s="2">
        <f>IFERROR(__xludf.DUMMYFUNCTION("""COMPUTED_VALUE"""),91.8)</f>
        <v>91.8</v>
      </c>
    </row>
    <row r="1226">
      <c r="A1226" s="2">
        <f>IFERROR(__xludf.DUMMYFUNCTION("""COMPUTED_VALUE"""),489560.0)</f>
        <v>489560</v>
      </c>
      <c r="B1226" s="2" t="str">
        <f>IFERROR(__xludf.DUMMYFUNCTION("""COMPUTED_VALUE"""),"17165B")</f>
        <v>17165B</v>
      </c>
      <c r="C1226" s="2" t="str">
        <f>IFERROR(__xludf.DUMMYFUNCTION("""COMPUTED_VALUE"""),"ASS COL LARGE SAND GECKO P'WEIGHT")</f>
        <v>ASS COL LARGE SAND GECKO P'WEIGHT</v>
      </c>
      <c r="D1226" s="2">
        <f>IFERROR(__xludf.DUMMYFUNCTION("""COMPUTED_VALUE"""),288.0)</f>
        <v>288</v>
      </c>
      <c r="E1226" s="6">
        <f>IFERROR(__xludf.DUMMYFUNCTION("""COMPUTED_VALUE"""),40148.538888888885)</f>
        <v>40148.53889</v>
      </c>
      <c r="F1226" s="2">
        <f>IFERROR(__xludf.DUMMYFUNCTION("""COMPUTED_VALUE"""),0.85)</f>
        <v>0.85</v>
      </c>
      <c r="G1226" s="2">
        <f>IFERROR(__xludf.DUMMYFUNCTION("""COMPUTED_VALUE"""),13526.0)</f>
        <v>13526</v>
      </c>
      <c r="H1226" s="2" t="str">
        <f>IFERROR(__xludf.DUMMYFUNCTION("""COMPUTED_VALUE"""),"United Kingdom")</f>
        <v>United Kingdom</v>
      </c>
      <c r="I1226" s="7">
        <f>IFERROR(__xludf.DUMMYFUNCTION("""COMPUTED_VALUE"""),40148.0)</f>
        <v>40148</v>
      </c>
      <c r="J1226" s="8">
        <f>IFERROR(__xludf.DUMMYFUNCTION("""COMPUTED_VALUE"""),0.538888888888323)</f>
        <v>0.5388888889</v>
      </c>
      <c r="K1226" s="2">
        <f>IFERROR(__xludf.DUMMYFUNCTION("""COMPUTED_VALUE"""),12.0)</f>
        <v>12</v>
      </c>
      <c r="L1226" s="2">
        <f>IFERROR(__xludf.DUMMYFUNCTION("""COMPUTED_VALUE"""),244.799999999999)</f>
        <v>244.8</v>
      </c>
    </row>
    <row r="1227">
      <c r="A1227" s="2">
        <f>IFERROR(__xludf.DUMMYFUNCTION("""COMPUTED_VALUE"""),489560.0)</f>
        <v>489560</v>
      </c>
      <c r="B1227" s="2" t="str">
        <f>IFERROR(__xludf.DUMMYFUNCTION("""COMPUTED_VALUE"""),"35955")</f>
        <v>35955</v>
      </c>
      <c r="C1227" s="2" t="str">
        <f>IFERROR(__xludf.DUMMYFUNCTION("""COMPUTED_VALUE"""),"SMALL FOLKART CHRISTMAS TREE DEC")</f>
        <v>SMALL FOLKART CHRISTMAS TREE DEC</v>
      </c>
      <c r="D1227" s="2">
        <f>IFERROR(__xludf.DUMMYFUNCTION("""COMPUTED_VALUE"""),33.0)</f>
        <v>33</v>
      </c>
      <c r="E1227" s="6">
        <f>IFERROR(__xludf.DUMMYFUNCTION("""COMPUTED_VALUE"""),40148.538888888885)</f>
        <v>40148.53889</v>
      </c>
      <c r="F1227" s="2">
        <f>IFERROR(__xludf.DUMMYFUNCTION("""COMPUTED_VALUE"""),0.42)</f>
        <v>0.42</v>
      </c>
      <c r="G1227" s="2">
        <f>IFERROR(__xludf.DUMMYFUNCTION("""COMPUTED_VALUE"""),13526.0)</f>
        <v>13526</v>
      </c>
      <c r="H1227" s="2" t="str">
        <f>IFERROR(__xludf.DUMMYFUNCTION("""COMPUTED_VALUE"""),"United Kingdom")</f>
        <v>United Kingdom</v>
      </c>
      <c r="I1227" s="7">
        <f>IFERROR(__xludf.DUMMYFUNCTION("""COMPUTED_VALUE"""),40148.0)</f>
        <v>40148</v>
      </c>
      <c r="J1227" s="8">
        <f>IFERROR(__xludf.DUMMYFUNCTION("""COMPUTED_VALUE"""),0.538888888888323)</f>
        <v>0.5388888889</v>
      </c>
      <c r="K1227" s="2">
        <f>IFERROR(__xludf.DUMMYFUNCTION("""COMPUTED_VALUE"""),12.0)</f>
        <v>12</v>
      </c>
      <c r="L1227" s="2">
        <f>IFERROR(__xludf.DUMMYFUNCTION("""COMPUTED_VALUE"""),13.86)</f>
        <v>13.86</v>
      </c>
    </row>
    <row r="1228">
      <c r="A1228" s="2">
        <f>IFERROR(__xludf.DUMMYFUNCTION("""COMPUTED_VALUE"""),489560.0)</f>
        <v>489560</v>
      </c>
      <c r="B1228" s="2" t="str">
        <f>IFERROR(__xludf.DUMMYFUNCTION("""COMPUTED_VALUE"""),"85208")</f>
        <v>85208</v>
      </c>
      <c r="C1228" s="2" t="str">
        <f>IFERROR(__xludf.DUMMYFUNCTION("""COMPUTED_VALUE"""),"SET/12 FUNKY FELT FLOWER PEG IN BAG")</f>
        <v>SET/12 FUNKY FELT FLOWER PEG IN BAG</v>
      </c>
      <c r="D1228" s="2">
        <f>IFERROR(__xludf.DUMMYFUNCTION("""COMPUTED_VALUE"""),1.0)</f>
        <v>1</v>
      </c>
      <c r="E1228" s="6">
        <f>IFERROR(__xludf.DUMMYFUNCTION("""COMPUTED_VALUE"""),40148.538888888885)</f>
        <v>40148.53889</v>
      </c>
      <c r="F1228" s="2">
        <f>IFERROR(__xludf.DUMMYFUNCTION("""COMPUTED_VALUE"""),2.1)</f>
        <v>2.1</v>
      </c>
      <c r="G1228" s="2">
        <f>IFERROR(__xludf.DUMMYFUNCTION("""COMPUTED_VALUE"""),13526.0)</f>
        <v>13526</v>
      </c>
      <c r="H1228" s="2" t="str">
        <f>IFERROR(__xludf.DUMMYFUNCTION("""COMPUTED_VALUE"""),"United Kingdom")</f>
        <v>United Kingdom</v>
      </c>
      <c r="I1228" s="7">
        <f>IFERROR(__xludf.DUMMYFUNCTION("""COMPUTED_VALUE"""),40148.0)</f>
        <v>40148</v>
      </c>
      <c r="J1228" s="8">
        <f>IFERROR(__xludf.DUMMYFUNCTION("""COMPUTED_VALUE"""),0.538888888888323)</f>
        <v>0.5388888889</v>
      </c>
      <c r="K1228" s="2">
        <f>IFERROR(__xludf.DUMMYFUNCTION("""COMPUTED_VALUE"""),12.0)</f>
        <v>12</v>
      </c>
      <c r="L1228" s="2">
        <f>IFERROR(__xludf.DUMMYFUNCTION("""COMPUTED_VALUE"""),2.1)</f>
        <v>2.1</v>
      </c>
    </row>
    <row r="1229">
      <c r="A1229" s="2">
        <f>IFERROR(__xludf.DUMMYFUNCTION("""COMPUTED_VALUE"""),489560.0)</f>
        <v>489560</v>
      </c>
      <c r="B1229" s="2" t="str">
        <f>IFERROR(__xludf.DUMMYFUNCTION("""COMPUTED_VALUE"""),"90090")</f>
        <v>90090</v>
      </c>
      <c r="C1229" s="2" t="str">
        <f>IFERROR(__xludf.DUMMYFUNCTION("""COMPUTED_VALUE"""),"PINK CRYSTAL HEART PHONE CHARM")</f>
        <v>PINK CRYSTAL HEART PHONE CHARM</v>
      </c>
      <c r="D1229" s="2">
        <f>IFERROR(__xludf.DUMMYFUNCTION("""COMPUTED_VALUE"""),12.0)</f>
        <v>12</v>
      </c>
      <c r="E1229" s="6">
        <f>IFERROR(__xludf.DUMMYFUNCTION("""COMPUTED_VALUE"""),40148.538888888885)</f>
        <v>40148.53889</v>
      </c>
      <c r="F1229" s="2">
        <f>IFERROR(__xludf.DUMMYFUNCTION("""COMPUTED_VALUE"""),0.85)</f>
        <v>0.85</v>
      </c>
      <c r="G1229" s="2">
        <f>IFERROR(__xludf.DUMMYFUNCTION("""COMPUTED_VALUE"""),13526.0)</f>
        <v>13526</v>
      </c>
      <c r="H1229" s="2" t="str">
        <f>IFERROR(__xludf.DUMMYFUNCTION("""COMPUTED_VALUE"""),"United Kingdom")</f>
        <v>United Kingdom</v>
      </c>
      <c r="I1229" s="7">
        <f>IFERROR(__xludf.DUMMYFUNCTION("""COMPUTED_VALUE"""),40148.0)</f>
        <v>40148</v>
      </c>
      <c r="J1229" s="8">
        <f>IFERROR(__xludf.DUMMYFUNCTION("""COMPUTED_VALUE"""),0.538888888888323)</f>
        <v>0.5388888889</v>
      </c>
      <c r="K1229" s="2">
        <f>IFERROR(__xludf.DUMMYFUNCTION("""COMPUTED_VALUE"""),12.0)</f>
        <v>12</v>
      </c>
      <c r="L1229" s="2">
        <f>IFERROR(__xludf.DUMMYFUNCTION("""COMPUTED_VALUE"""),10.2)</f>
        <v>10.2</v>
      </c>
    </row>
    <row r="1230">
      <c r="A1230" s="2">
        <f>IFERROR(__xludf.DUMMYFUNCTION("""COMPUTED_VALUE"""),489560.0)</f>
        <v>489560</v>
      </c>
      <c r="B1230" s="2" t="str">
        <f>IFERROR(__xludf.DUMMYFUNCTION("""COMPUTED_VALUE"""),"90092")</f>
        <v>90092</v>
      </c>
      <c r="C1230" s="2" t="str">
        <f>IFERROR(__xludf.DUMMYFUNCTION("""COMPUTED_VALUE"""),"BLUE CRYSTAL BOOT PHONE CHARM")</f>
        <v>BLUE CRYSTAL BOOT PHONE CHARM</v>
      </c>
      <c r="D1230" s="2">
        <f>IFERROR(__xludf.DUMMYFUNCTION("""COMPUTED_VALUE"""),3.0)</f>
        <v>3</v>
      </c>
      <c r="E1230" s="6">
        <f>IFERROR(__xludf.DUMMYFUNCTION("""COMPUTED_VALUE"""),40148.538888888885)</f>
        <v>40148.53889</v>
      </c>
      <c r="F1230" s="2">
        <f>IFERROR(__xludf.DUMMYFUNCTION("""COMPUTED_VALUE"""),0.85)</f>
        <v>0.85</v>
      </c>
      <c r="G1230" s="2">
        <f>IFERROR(__xludf.DUMMYFUNCTION("""COMPUTED_VALUE"""),13526.0)</f>
        <v>13526</v>
      </c>
      <c r="H1230" s="2" t="str">
        <f>IFERROR(__xludf.DUMMYFUNCTION("""COMPUTED_VALUE"""),"United Kingdom")</f>
        <v>United Kingdom</v>
      </c>
      <c r="I1230" s="7">
        <f>IFERROR(__xludf.DUMMYFUNCTION("""COMPUTED_VALUE"""),40148.0)</f>
        <v>40148</v>
      </c>
      <c r="J1230" s="8">
        <f>IFERROR(__xludf.DUMMYFUNCTION("""COMPUTED_VALUE"""),0.538888888888323)</f>
        <v>0.5388888889</v>
      </c>
      <c r="K1230" s="2">
        <f>IFERROR(__xludf.DUMMYFUNCTION("""COMPUTED_VALUE"""),12.0)</f>
        <v>12</v>
      </c>
      <c r="L1230" s="2">
        <f>IFERROR(__xludf.DUMMYFUNCTION("""COMPUTED_VALUE"""),2.55)</f>
        <v>2.55</v>
      </c>
    </row>
    <row r="1231">
      <c r="A1231" s="2">
        <f>IFERROR(__xludf.DUMMYFUNCTION("""COMPUTED_VALUE"""),489560.0)</f>
        <v>489560</v>
      </c>
      <c r="B1231" s="2" t="str">
        <f>IFERROR(__xludf.DUMMYFUNCTION("""COMPUTED_VALUE"""),"16161C")</f>
        <v>16161C</v>
      </c>
      <c r="C1231" s="2" t="str">
        <f>IFERROR(__xludf.DUMMYFUNCTION("""COMPUTED_VALUE"""),"WRAP SPEED DEMONS")</f>
        <v>WRAP SPEED DEMONS</v>
      </c>
      <c r="D1231" s="2">
        <f>IFERROR(__xludf.DUMMYFUNCTION("""COMPUTED_VALUE"""),100.0)</f>
        <v>100</v>
      </c>
      <c r="E1231" s="6">
        <f>IFERROR(__xludf.DUMMYFUNCTION("""COMPUTED_VALUE"""),40148.538888888885)</f>
        <v>40148.53889</v>
      </c>
      <c r="F1231" s="2">
        <f>IFERROR(__xludf.DUMMYFUNCTION("""COMPUTED_VALUE"""),0.1)</f>
        <v>0.1</v>
      </c>
      <c r="G1231" s="2">
        <f>IFERROR(__xludf.DUMMYFUNCTION("""COMPUTED_VALUE"""),13526.0)</f>
        <v>13526</v>
      </c>
      <c r="H1231" s="2" t="str">
        <f>IFERROR(__xludf.DUMMYFUNCTION("""COMPUTED_VALUE"""),"United Kingdom")</f>
        <v>United Kingdom</v>
      </c>
      <c r="I1231" s="7">
        <f>IFERROR(__xludf.DUMMYFUNCTION("""COMPUTED_VALUE"""),40148.0)</f>
        <v>40148</v>
      </c>
      <c r="J1231" s="8">
        <f>IFERROR(__xludf.DUMMYFUNCTION("""COMPUTED_VALUE"""),0.538888888888323)</f>
        <v>0.5388888889</v>
      </c>
      <c r="K1231" s="2">
        <f>IFERROR(__xludf.DUMMYFUNCTION("""COMPUTED_VALUE"""),12.0)</f>
        <v>12</v>
      </c>
      <c r="L1231" s="2">
        <f>IFERROR(__xludf.DUMMYFUNCTION("""COMPUTED_VALUE"""),10.0)</f>
        <v>10</v>
      </c>
    </row>
    <row r="1232">
      <c r="A1232" s="2">
        <f>IFERROR(__xludf.DUMMYFUNCTION("""COMPUTED_VALUE"""),489560.0)</f>
        <v>489560</v>
      </c>
      <c r="B1232" s="2" t="str">
        <f>IFERROR(__xludf.DUMMYFUNCTION("""COMPUTED_VALUE"""),"22155")</f>
        <v>22155</v>
      </c>
      <c r="C1232" s="2" t="str">
        <f>IFERROR(__xludf.DUMMYFUNCTION("""COMPUTED_VALUE"""),"STAR DECORATION RUSTIC")</f>
        <v>STAR DECORATION RUSTIC</v>
      </c>
      <c r="D1232" s="2">
        <f>IFERROR(__xludf.DUMMYFUNCTION("""COMPUTED_VALUE"""),12.0)</f>
        <v>12</v>
      </c>
      <c r="E1232" s="6">
        <f>IFERROR(__xludf.DUMMYFUNCTION("""COMPUTED_VALUE"""),40148.538888888885)</f>
        <v>40148.53889</v>
      </c>
      <c r="F1232" s="2">
        <f>IFERROR(__xludf.DUMMYFUNCTION("""COMPUTED_VALUE"""),0.42)</f>
        <v>0.42</v>
      </c>
      <c r="G1232" s="2">
        <f>IFERROR(__xludf.DUMMYFUNCTION("""COMPUTED_VALUE"""),13526.0)</f>
        <v>13526</v>
      </c>
      <c r="H1232" s="2" t="str">
        <f>IFERROR(__xludf.DUMMYFUNCTION("""COMPUTED_VALUE"""),"United Kingdom")</f>
        <v>United Kingdom</v>
      </c>
      <c r="I1232" s="7">
        <f>IFERROR(__xludf.DUMMYFUNCTION("""COMPUTED_VALUE"""),40148.0)</f>
        <v>40148</v>
      </c>
      <c r="J1232" s="8">
        <f>IFERROR(__xludf.DUMMYFUNCTION("""COMPUTED_VALUE"""),0.538888888888323)</f>
        <v>0.5388888889</v>
      </c>
      <c r="K1232" s="2">
        <f>IFERROR(__xludf.DUMMYFUNCTION("""COMPUTED_VALUE"""),12.0)</f>
        <v>12</v>
      </c>
      <c r="L1232" s="2">
        <f>IFERROR(__xludf.DUMMYFUNCTION("""COMPUTED_VALUE"""),5.04)</f>
        <v>5.04</v>
      </c>
    </row>
    <row r="1233">
      <c r="A1233" s="2">
        <f>IFERROR(__xludf.DUMMYFUNCTION("""COMPUTED_VALUE"""),489560.0)</f>
        <v>489560</v>
      </c>
      <c r="B1233" s="2" t="str">
        <f>IFERROR(__xludf.DUMMYFUNCTION("""COMPUTED_VALUE"""),"35160")</f>
        <v>35160</v>
      </c>
      <c r="C1233" s="2" t="str">
        <f>IFERROR(__xludf.DUMMYFUNCTION("""COMPUTED_VALUE"""),"BUDDHA INCENSE HOLDER ASSORTED")</f>
        <v>BUDDHA INCENSE HOLDER ASSORTED</v>
      </c>
      <c r="D1233" s="2">
        <f>IFERROR(__xludf.DUMMYFUNCTION("""COMPUTED_VALUE"""),8.0)</f>
        <v>8</v>
      </c>
      <c r="E1233" s="6">
        <f>IFERROR(__xludf.DUMMYFUNCTION("""COMPUTED_VALUE"""),40148.538888888885)</f>
        <v>40148.53889</v>
      </c>
      <c r="F1233" s="2">
        <f>IFERROR(__xludf.DUMMYFUNCTION("""COMPUTED_VALUE"""),0.85)</f>
        <v>0.85</v>
      </c>
      <c r="G1233" s="2">
        <f>IFERROR(__xludf.DUMMYFUNCTION("""COMPUTED_VALUE"""),13526.0)</f>
        <v>13526</v>
      </c>
      <c r="H1233" s="2" t="str">
        <f>IFERROR(__xludf.DUMMYFUNCTION("""COMPUTED_VALUE"""),"United Kingdom")</f>
        <v>United Kingdom</v>
      </c>
      <c r="I1233" s="7">
        <f>IFERROR(__xludf.DUMMYFUNCTION("""COMPUTED_VALUE"""),40148.0)</f>
        <v>40148</v>
      </c>
      <c r="J1233" s="8">
        <f>IFERROR(__xludf.DUMMYFUNCTION("""COMPUTED_VALUE"""),0.538888888888323)</f>
        <v>0.5388888889</v>
      </c>
      <c r="K1233" s="2">
        <f>IFERROR(__xludf.DUMMYFUNCTION("""COMPUTED_VALUE"""),12.0)</f>
        <v>12</v>
      </c>
      <c r="L1233" s="2">
        <f>IFERROR(__xludf.DUMMYFUNCTION("""COMPUTED_VALUE"""),6.8)</f>
        <v>6.8</v>
      </c>
    </row>
    <row r="1234">
      <c r="A1234" s="2">
        <f>IFERROR(__xludf.DUMMYFUNCTION("""COMPUTED_VALUE"""),489560.0)</f>
        <v>489560</v>
      </c>
      <c r="B1234" s="2" t="str">
        <f>IFERROR(__xludf.DUMMYFUNCTION("""COMPUTED_VALUE"""),"17108D")</f>
        <v>17108D</v>
      </c>
      <c r="C1234" s="2" t="str">
        <f>IFERROR(__xludf.DUMMYFUNCTION("""COMPUTED_VALUE"""),"FLOWER FAIRY SUMMER BOUQUET SACHET")</f>
        <v>FLOWER FAIRY SUMMER BOUQUET SACHET</v>
      </c>
      <c r="D1234" s="2">
        <f>IFERROR(__xludf.DUMMYFUNCTION("""COMPUTED_VALUE"""),12.0)</f>
        <v>12</v>
      </c>
      <c r="E1234" s="6">
        <f>IFERROR(__xludf.DUMMYFUNCTION("""COMPUTED_VALUE"""),40148.538888888885)</f>
        <v>40148.53889</v>
      </c>
      <c r="F1234" s="2">
        <f>IFERROR(__xludf.DUMMYFUNCTION("""COMPUTED_VALUE"""),0.42)</f>
        <v>0.42</v>
      </c>
      <c r="G1234" s="2">
        <f>IFERROR(__xludf.DUMMYFUNCTION("""COMPUTED_VALUE"""),13526.0)</f>
        <v>13526</v>
      </c>
      <c r="H1234" s="2" t="str">
        <f>IFERROR(__xludf.DUMMYFUNCTION("""COMPUTED_VALUE"""),"United Kingdom")</f>
        <v>United Kingdom</v>
      </c>
      <c r="I1234" s="7">
        <f>IFERROR(__xludf.DUMMYFUNCTION("""COMPUTED_VALUE"""),40148.0)</f>
        <v>40148</v>
      </c>
      <c r="J1234" s="8">
        <f>IFERROR(__xludf.DUMMYFUNCTION("""COMPUTED_VALUE"""),0.538888888888323)</f>
        <v>0.5388888889</v>
      </c>
      <c r="K1234" s="2">
        <f>IFERROR(__xludf.DUMMYFUNCTION("""COMPUTED_VALUE"""),12.0)</f>
        <v>12</v>
      </c>
      <c r="L1234" s="2">
        <f>IFERROR(__xludf.DUMMYFUNCTION("""COMPUTED_VALUE"""),5.04)</f>
        <v>5.04</v>
      </c>
    </row>
    <row r="1235">
      <c r="A1235" s="2">
        <f>IFERROR(__xludf.DUMMYFUNCTION("""COMPUTED_VALUE"""),489560.0)</f>
        <v>489560</v>
      </c>
      <c r="B1235" s="2" t="str">
        <f>IFERROR(__xludf.DUMMYFUNCTION("""COMPUTED_VALUE"""),"21805")</f>
        <v>21805</v>
      </c>
      <c r="C1235" s="2" t="str">
        <f>IFERROR(__xludf.DUMMYFUNCTION("""COMPUTED_VALUE"""),"WHITE CHRISTMAS TREE DECORATION")</f>
        <v>WHITE CHRISTMAS TREE DECORATION</v>
      </c>
      <c r="D1235" s="2">
        <f>IFERROR(__xludf.DUMMYFUNCTION("""COMPUTED_VALUE"""),36.0)</f>
        <v>36</v>
      </c>
      <c r="E1235" s="6">
        <f>IFERROR(__xludf.DUMMYFUNCTION("""COMPUTED_VALUE"""),40148.538888888885)</f>
        <v>40148.53889</v>
      </c>
      <c r="F1235" s="2">
        <f>IFERROR(__xludf.DUMMYFUNCTION("""COMPUTED_VALUE"""),0.42)</f>
        <v>0.42</v>
      </c>
      <c r="G1235" s="2">
        <f>IFERROR(__xludf.DUMMYFUNCTION("""COMPUTED_VALUE"""),13526.0)</f>
        <v>13526</v>
      </c>
      <c r="H1235" s="2" t="str">
        <f>IFERROR(__xludf.DUMMYFUNCTION("""COMPUTED_VALUE"""),"United Kingdom")</f>
        <v>United Kingdom</v>
      </c>
      <c r="I1235" s="7">
        <f>IFERROR(__xludf.DUMMYFUNCTION("""COMPUTED_VALUE"""),40148.0)</f>
        <v>40148</v>
      </c>
      <c r="J1235" s="8">
        <f>IFERROR(__xludf.DUMMYFUNCTION("""COMPUTED_VALUE"""),0.538888888888323)</f>
        <v>0.5388888889</v>
      </c>
      <c r="K1235" s="2">
        <f>IFERROR(__xludf.DUMMYFUNCTION("""COMPUTED_VALUE"""),12.0)</f>
        <v>12</v>
      </c>
      <c r="L1235" s="2">
        <f>IFERROR(__xludf.DUMMYFUNCTION("""COMPUTED_VALUE"""),15.12)</f>
        <v>15.12</v>
      </c>
    </row>
    <row r="1236">
      <c r="A1236" s="2">
        <f>IFERROR(__xludf.DUMMYFUNCTION("""COMPUTED_VALUE"""),489560.0)</f>
        <v>489560</v>
      </c>
      <c r="B1236" s="2" t="str">
        <f>IFERROR(__xludf.DUMMYFUNCTION("""COMPUTED_VALUE"""),"90125A")</f>
        <v>90125A</v>
      </c>
      <c r="C1236" s="2" t="str">
        <f>IFERROR(__xludf.DUMMYFUNCTION("""COMPUTED_VALUE"""),"PINK BERTIE GLASS BEAD BAG CHARM")</f>
        <v>PINK BERTIE GLASS BEAD BAG CHARM</v>
      </c>
      <c r="D1236" s="2">
        <f>IFERROR(__xludf.DUMMYFUNCTION("""COMPUTED_VALUE"""),12.0)</f>
        <v>12</v>
      </c>
      <c r="E1236" s="6">
        <f>IFERROR(__xludf.DUMMYFUNCTION("""COMPUTED_VALUE"""),40148.538888888885)</f>
        <v>40148.53889</v>
      </c>
      <c r="F1236" s="2">
        <f>IFERROR(__xludf.DUMMYFUNCTION("""COMPUTED_VALUE"""),2.1)</f>
        <v>2.1</v>
      </c>
      <c r="G1236" s="2">
        <f>IFERROR(__xludf.DUMMYFUNCTION("""COMPUTED_VALUE"""),13526.0)</f>
        <v>13526</v>
      </c>
      <c r="H1236" s="2" t="str">
        <f>IFERROR(__xludf.DUMMYFUNCTION("""COMPUTED_VALUE"""),"United Kingdom")</f>
        <v>United Kingdom</v>
      </c>
      <c r="I1236" s="7">
        <f>IFERROR(__xludf.DUMMYFUNCTION("""COMPUTED_VALUE"""),40148.0)</f>
        <v>40148</v>
      </c>
      <c r="J1236" s="8">
        <f>IFERROR(__xludf.DUMMYFUNCTION("""COMPUTED_VALUE"""),0.538888888888323)</f>
        <v>0.5388888889</v>
      </c>
      <c r="K1236" s="2">
        <f>IFERROR(__xludf.DUMMYFUNCTION("""COMPUTED_VALUE"""),12.0)</f>
        <v>12</v>
      </c>
      <c r="L1236" s="2">
        <f>IFERROR(__xludf.DUMMYFUNCTION("""COMPUTED_VALUE"""),25.2)</f>
        <v>25.2</v>
      </c>
    </row>
    <row r="1237">
      <c r="A1237" s="2">
        <f>IFERROR(__xludf.DUMMYFUNCTION("""COMPUTED_VALUE"""),489560.0)</f>
        <v>489560</v>
      </c>
      <c r="B1237" s="2" t="str">
        <f>IFERROR(__xludf.DUMMYFUNCTION("""COMPUTED_VALUE"""),"84578")</f>
        <v>84578</v>
      </c>
      <c r="C1237" s="2" t="str">
        <f>IFERROR(__xludf.DUMMYFUNCTION("""COMPUTED_VALUE"""),"ELEPHANT TOY WITH BLUE T-SHIRT")</f>
        <v>ELEPHANT TOY WITH BLUE T-SHIRT</v>
      </c>
      <c r="D1237" s="2">
        <f>IFERROR(__xludf.DUMMYFUNCTION("""COMPUTED_VALUE"""),1.0)</f>
        <v>1</v>
      </c>
      <c r="E1237" s="6">
        <f>IFERROR(__xludf.DUMMYFUNCTION("""COMPUTED_VALUE"""),40148.538888888885)</f>
        <v>40148.53889</v>
      </c>
      <c r="F1237" s="2">
        <f>IFERROR(__xludf.DUMMYFUNCTION("""COMPUTED_VALUE"""),3.75)</f>
        <v>3.75</v>
      </c>
      <c r="G1237" s="2">
        <f>IFERROR(__xludf.DUMMYFUNCTION("""COMPUTED_VALUE"""),13526.0)</f>
        <v>13526</v>
      </c>
      <c r="H1237" s="2" t="str">
        <f>IFERROR(__xludf.DUMMYFUNCTION("""COMPUTED_VALUE"""),"United Kingdom")</f>
        <v>United Kingdom</v>
      </c>
      <c r="I1237" s="7">
        <f>IFERROR(__xludf.DUMMYFUNCTION("""COMPUTED_VALUE"""),40148.0)</f>
        <v>40148</v>
      </c>
      <c r="J1237" s="8">
        <f>IFERROR(__xludf.DUMMYFUNCTION("""COMPUTED_VALUE"""),0.538888888888323)</f>
        <v>0.5388888889</v>
      </c>
      <c r="K1237" s="2">
        <f>IFERROR(__xludf.DUMMYFUNCTION("""COMPUTED_VALUE"""),12.0)</f>
        <v>12</v>
      </c>
      <c r="L1237" s="2">
        <f>IFERROR(__xludf.DUMMYFUNCTION("""COMPUTED_VALUE"""),3.75)</f>
        <v>3.75</v>
      </c>
    </row>
    <row r="1238">
      <c r="A1238" s="2">
        <f>IFERROR(__xludf.DUMMYFUNCTION("""COMPUTED_VALUE"""),489560.0)</f>
        <v>489560</v>
      </c>
      <c r="B1238" s="2" t="str">
        <f>IFERROR(__xludf.DUMMYFUNCTION("""COMPUTED_VALUE"""),"84901")</f>
        <v>84901</v>
      </c>
      <c r="C1238" s="2" t="str">
        <f>IFERROR(__xludf.DUMMYFUNCTION("""COMPUTED_VALUE"""),"BLACK FACE LAMB WITH PANTS")</f>
        <v>BLACK FACE LAMB WITH PANTS</v>
      </c>
      <c r="D1238" s="2">
        <f>IFERROR(__xludf.DUMMYFUNCTION("""COMPUTED_VALUE"""),1.0)</f>
        <v>1</v>
      </c>
      <c r="E1238" s="6">
        <f>IFERROR(__xludf.DUMMYFUNCTION("""COMPUTED_VALUE"""),40148.538888888885)</f>
        <v>40148.53889</v>
      </c>
      <c r="F1238" s="2">
        <f>IFERROR(__xludf.DUMMYFUNCTION("""COMPUTED_VALUE"""),3.75)</f>
        <v>3.75</v>
      </c>
      <c r="G1238" s="2">
        <f>IFERROR(__xludf.DUMMYFUNCTION("""COMPUTED_VALUE"""),13526.0)</f>
        <v>13526</v>
      </c>
      <c r="H1238" s="2" t="str">
        <f>IFERROR(__xludf.DUMMYFUNCTION("""COMPUTED_VALUE"""),"United Kingdom")</f>
        <v>United Kingdom</v>
      </c>
      <c r="I1238" s="7">
        <f>IFERROR(__xludf.DUMMYFUNCTION("""COMPUTED_VALUE"""),40148.0)</f>
        <v>40148</v>
      </c>
      <c r="J1238" s="8">
        <f>IFERROR(__xludf.DUMMYFUNCTION("""COMPUTED_VALUE"""),0.538888888888323)</f>
        <v>0.5388888889</v>
      </c>
      <c r="K1238" s="2">
        <f>IFERROR(__xludf.DUMMYFUNCTION("""COMPUTED_VALUE"""),12.0)</f>
        <v>12</v>
      </c>
      <c r="L1238" s="2">
        <f>IFERROR(__xludf.DUMMYFUNCTION("""COMPUTED_VALUE"""),3.75)</f>
        <v>3.75</v>
      </c>
    </row>
    <row r="1239">
      <c r="A1239" s="2">
        <f>IFERROR(__xludf.DUMMYFUNCTION("""COMPUTED_VALUE"""),489560.0)</f>
        <v>489560</v>
      </c>
      <c r="B1239" s="2" t="str">
        <f>IFERROR(__xludf.DUMMYFUNCTION("""COMPUTED_VALUE"""),"84327A")</f>
        <v>84327A</v>
      </c>
      <c r="C1239" s="2" t="str">
        <f>IFERROR(__xludf.DUMMYFUNCTION("""COMPUTED_VALUE"""),"PINK JUMPER LARRY THE LAMB")</f>
        <v>PINK JUMPER LARRY THE LAMB</v>
      </c>
      <c r="D1239" s="2">
        <f>IFERROR(__xludf.DUMMYFUNCTION("""COMPUTED_VALUE"""),3.0)</f>
        <v>3</v>
      </c>
      <c r="E1239" s="6">
        <f>IFERROR(__xludf.DUMMYFUNCTION("""COMPUTED_VALUE"""),40148.538888888885)</f>
        <v>40148.53889</v>
      </c>
      <c r="F1239" s="2">
        <f>IFERROR(__xludf.DUMMYFUNCTION("""COMPUTED_VALUE"""),2.1)</f>
        <v>2.1</v>
      </c>
      <c r="G1239" s="2">
        <f>IFERROR(__xludf.DUMMYFUNCTION("""COMPUTED_VALUE"""),13526.0)</f>
        <v>13526</v>
      </c>
      <c r="H1239" s="2" t="str">
        <f>IFERROR(__xludf.DUMMYFUNCTION("""COMPUTED_VALUE"""),"United Kingdom")</f>
        <v>United Kingdom</v>
      </c>
      <c r="I1239" s="7">
        <f>IFERROR(__xludf.DUMMYFUNCTION("""COMPUTED_VALUE"""),40148.0)</f>
        <v>40148</v>
      </c>
      <c r="J1239" s="8">
        <f>IFERROR(__xludf.DUMMYFUNCTION("""COMPUTED_VALUE"""),0.538888888888323)</f>
        <v>0.5388888889</v>
      </c>
      <c r="K1239" s="2">
        <f>IFERROR(__xludf.DUMMYFUNCTION("""COMPUTED_VALUE"""),12.0)</f>
        <v>12</v>
      </c>
      <c r="L1239" s="2">
        <f>IFERROR(__xludf.DUMMYFUNCTION("""COMPUTED_VALUE"""),6.3)</f>
        <v>6.3</v>
      </c>
    </row>
    <row r="1240">
      <c r="A1240" s="2">
        <f>IFERROR(__xludf.DUMMYFUNCTION("""COMPUTED_VALUE"""),489560.0)</f>
        <v>489560</v>
      </c>
      <c r="B1240" s="2" t="str">
        <f>IFERROR(__xludf.DUMMYFUNCTION("""COMPUTED_VALUE"""),"84270")</f>
        <v>84270</v>
      </c>
      <c r="C1240" s="2" t="str">
        <f>IFERROR(__xludf.DUMMYFUNCTION("""COMPUTED_VALUE"""),"ASSTD DESIGN BUBBLE GUM RING")</f>
        <v>ASSTD DESIGN BUBBLE GUM RING</v>
      </c>
      <c r="D1240" s="2">
        <f>IFERROR(__xludf.DUMMYFUNCTION("""COMPUTED_VALUE"""),90.0)</f>
        <v>90</v>
      </c>
      <c r="E1240" s="6">
        <f>IFERROR(__xludf.DUMMYFUNCTION("""COMPUTED_VALUE"""),40148.538888888885)</f>
        <v>40148.53889</v>
      </c>
      <c r="F1240" s="2">
        <f>IFERROR(__xludf.DUMMYFUNCTION("""COMPUTED_VALUE"""),0.21)</f>
        <v>0.21</v>
      </c>
      <c r="G1240" s="2">
        <f>IFERROR(__xludf.DUMMYFUNCTION("""COMPUTED_VALUE"""),13526.0)</f>
        <v>13526</v>
      </c>
      <c r="H1240" s="2" t="str">
        <f>IFERROR(__xludf.DUMMYFUNCTION("""COMPUTED_VALUE"""),"United Kingdom")</f>
        <v>United Kingdom</v>
      </c>
      <c r="I1240" s="7">
        <f>IFERROR(__xludf.DUMMYFUNCTION("""COMPUTED_VALUE"""),40148.0)</f>
        <v>40148</v>
      </c>
      <c r="J1240" s="8">
        <f>IFERROR(__xludf.DUMMYFUNCTION("""COMPUTED_VALUE"""),0.538888888888323)</f>
        <v>0.5388888889</v>
      </c>
      <c r="K1240" s="2">
        <f>IFERROR(__xludf.DUMMYFUNCTION("""COMPUTED_VALUE"""),12.0)</f>
        <v>12</v>
      </c>
      <c r="L1240" s="2">
        <f>IFERROR(__xludf.DUMMYFUNCTION("""COMPUTED_VALUE"""),18.9)</f>
        <v>18.9</v>
      </c>
    </row>
    <row r="1241">
      <c r="A1241" s="2">
        <f>IFERROR(__xludf.DUMMYFUNCTION("""COMPUTED_VALUE"""),489560.0)</f>
        <v>489560</v>
      </c>
      <c r="B1241" s="2" t="str">
        <f>IFERROR(__xludf.DUMMYFUNCTION("""COMPUTED_VALUE"""),"21034")</f>
        <v>21034</v>
      </c>
      <c r="C1241" s="2" t="str">
        <f>IFERROR(__xludf.DUMMYFUNCTION("""COMPUTED_VALUE"""),"REX CASH+CARRY JUMBO SHOPPER")</f>
        <v>REX CASH+CARRY JUMBO SHOPPER</v>
      </c>
      <c r="D1241" s="2">
        <f>IFERROR(__xludf.DUMMYFUNCTION("""COMPUTED_VALUE"""),3.0)</f>
        <v>3</v>
      </c>
      <c r="E1241" s="6">
        <f>IFERROR(__xludf.DUMMYFUNCTION("""COMPUTED_VALUE"""),40148.538888888885)</f>
        <v>40148.53889</v>
      </c>
      <c r="F1241" s="2">
        <f>IFERROR(__xludf.DUMMYFUNCTION("""COMPUTED_VALUE"""),0.95)</f>
        <v>0.95</v>
      </c>
      <c r="G1241" s="2">
        <f>IFERROR(__xludf.DUMMYFUNCTION("""COMPUTED_VALUE"""),13526.0)</f>
        <v>13526</v>
      </c>
      <c r="H1241" s="2" t="str">
        <f>IFERROR(__xludf.DUMMYFUNCTION("""COMPUTED_VALUE"""),"United Kingdom")</f>
        <v>United Kingdom</v>
      </c>
      <c r="I1241" s="7">
        <f>IFERROR(__xludf.DUMMYFUNCTION("""COMPUTED_VALUE"""),40148.0)</f>
        <v>40148</v>
      </c>
      <c r="J1241" s="8">
        <f>IFERROR(__xludf.DUMMYFUNCTION("""COMPUTED_VALUE"""),0.538888888888323)</f>
        <v>0.5388888889</v>
      </c>
      <c r="K1241" s="2">
        <f>IFERROR(__xludf.DUMMYFUNCTION("""COMPUTED_VALUE"""),12.0)</f>
        <v>12</v>
      </c>
      <c r="L1241" s="2">
        <f>IFERROR(__xludf.DUMMYFUNCTION("""COMPUTED_VALUE"""),2.84999999999999)</f>
        <v>2.85</v>
      </c>
    </row>
    <row r="1242">
      <c r="A1242" s="2">
        <f>IFERROR(__xludf.DUMMYFUNCTION("""COMPUTED_VALUE"""),489560.0)</f>
        <v>489560</v>
      </c>
      <c r="B1242" s="2" t="str">
        <f>IFERROR(__xludf.DUMMYFUNCTION("""COMPUTED_VALUE"""),"35931")</f>
        <v>35931</v>
      </c>
      <c r="C1242" s="2" t="str">
        <f>IFERROR(__xludf.DUMMYFUNCTION("""COMPUTED_VALUE"""),"PINK STAR CHRISTMAS DECORATION")</f>
        <v>PINK STAR CHRISTMAS DECORATION</v>
      </c>
      <c r="D1242" s="2">
        <f>IFERROR(__xludf.DUMMYFUNCTION("""COMPUTED_VALUE"""),48.0)</f>
        <v>48</v>
      </c>
      <c r="E1242" s="6">
        <f>IFERROR(__xludf.DUMMYFUNCTION("""COMPUTED_VALUE"""),40148.538888888885)</f>
        <v>40148.53889</v>
      </c>
      <c r="F1242" s="2">
        <f>IFERROR(__xludf.DUMMYFUNCTION("""COMPUTED_VALUE"""),0.38)</f>
        <v>0.38</v>
      </c>
      <c r="G1242" s="2">
        <f>IFERROR(__xludf.DUMMYFUNCTION("""COMPUTED_VALUE"""),13526.0)</f>
        <v>13526</v>
      </c>
      <c r="H1242" s="2" t="str">
        <f>IFERROR(__xludf.DUMMYFUNCTION("""COMPUTED_VALUE"""),"United Kingdom")</f>
        <v>United Kingdom</v>
      </c>
      <c r="I1242" s="7">
        <f>IFERROR(__xludf.DUMMYFUNCTION("""COMPUTED_VALUE"""),40148.0)</f>
        <v>40148</v>
      </c>
      <c r="J1242" s="8">
        <f>IFERROR(__xludf.DUMMYFUNCTION("""COMPUTED_VALUE"""),0.538888888888323)</f>
        <v>0.5388888889</v>
      </c>
      <c r="K1242" s="2">
        <f>IFERROR(__xludf.DUMMYFUNCTION("""COMPUTED_VALUE"""),12.0)</f>
        <v>12</v>
      </c>
      <c r="L1242" s="2">
        <f>IFERROR(__xludf.DUMMYFUNCTION("""COMPUTED_VALUE"""),18.24)</f>
        <v>18.24</v>
      </c>
    </row>
    <row r="1243">
      <c r="A1243" s="2">
        <f>IFERROR(__xludf.DUMMYFUNCTION("""COMPUTED_VALUE"""),489560.0)</f>
        <v>489560</v>
      </c>
      <c r="B1243" s="2" t="str">
        <f>IFERROR(__xludf.DUMMYFUNCTION("""COMPUTED_VALUE"""),"35933")</f>
        <v>35933</v>
      </c>
      <c r="C1243" s="2" t="str">
        <f>IFERROR(__xludf.DUMMYFUNCTION("""COMPUTED_VALUE"""),"PINK STOCKING CHRISTMAS DECORATION")</f>
        <v>PINK STOCKING CHRISTMAS DECORATION</v>
      </c>
      <c r="D1243" s="2">
        <f>IFERROR(__xludf.DUMMYFUNCTION("""COMPUTED_VALUE"""),48.0)</f>
        <v>48</v>
      </c>
      <c r="E1243" s="6">
        <f>IFERROR(__xludf.DUMMYFUNCTION("""COMPUTED_VALUE"""),40148.538888888885)</f>
        <v>40148.53889</v>
      </c>
      <c r="F1243" s="2">
        <f>IFERROR(__xludf.DUMMYFUNCTION("""COMPUTED_VALUE"""),0.38)</f>
        <v>0.38</v>
      </c>
      <c r="G1243" s="2">
        <f>IFERROR(__xludf.DUMMYFUNCTION("""COMPUTED_VALUE"""),13526.0)</f>
        <v>13526</v>
      </c>
      <c r="H1243" s="2" t="str">
        <f>IFERROR(__xludf.DUMMYFUNCTION("""COMPUTED_VALUE"""),"United Kingdom")</f>
        <v>United Kingdom</v>
      </c>
      <c r="I1243" s="7">
        <f>IFERROR(__xludf.DUMMYFUNCTION("""COMPUTED_VALUE"""),40148.0)</f>
        <v>40148</v>
      </c>
      <c r="J1243" s="8">
        <f>IFERROR(__xludf.DUMMYFUNCTION("""COMPUTED_VALUE"""),0.538888888888323)</f>
        <v>0.5388888889</v>
      </c>
      <c r="K1243" s="2">
        <f>IFERROR(__xludf.DUMMYFUNCTION("""COMPUTED_VALUE"""),12.0)</f>
        <v>12</v>
      </c>
      <c r="L1243" s="2">
        <f>IFERROR(__xludf.DUMMYFUNCTION("""COMPUTED_VALUE"""),18.24)</f>
        <v>18.24</v>
      </c>
    </row>
    <row r="1244">
      <c r="A1244" s="2">
        <f>IFERROR(__xludf.DUMMYFUNCTION("""COMPUTED_VALUE"""),489560.0)</f>
        <v>489560</v>
      </c>
      <c r="B1244" s="2" t="str">
        <f>IFERROR(__xludf.DUMMYFUNCTION("""COMPUTED_VALUE"""),"90087")</f>
        <v>90087</v>
      </c>
      <c r="C1244" s="2" t="str">
        <f>IFERROR(__xludf.DUMMYFUNCTION("""COMPUTED_VALUE"""),"CRYSTAL SEA HORSE PHONE CHARM")</f>
        <v>CRYSTAL SEA HORSE PHONE CHARM</v>
      </c>
      <c r="D1244" s="2">
        <f>IFERROR(__xludf.DUMMYFUNCTION("""COMPUTED_VALUE"""),48.0)</f>
        <v>48</v>
      </c>
      <c r="E1244" s="6">
        <f>IFERROR(__xludf.DUMMYFUNCTION("""COMPUTED_VALUE"""),40148.538888888885)</f>
        <v>40148.53889</v>
      </c>
      <c r="F1244" s="2">
        <f>IFERROR(__xludf.DUMMYFUNCTION("""COMPUTED_VALUE"""),0.85)</f>
        <v>0.85</v>
      </c>
      <c r="G1244" s="2">
        <f>IFERROR(__xludf.DUMMYFUNCTION("""COMPUTED_VALUE"""),13526.0)</f>
        <v>13526</v>
      </c>
      <c r="H1244" s="2" t="str">
        <f>IFERROR(__xludf.DUMMYFUNCTION("""COMPUTED_VALUE"""),"United Kingdom")</f>
        <v>United Kingdom</v>
      </c>
      <c r="I1244" s="7">
        <f>IFERROR(__xludf.DUMMYFUNCTION("""COMPUTED_VALUE"""),40148.0)</f>
        <v>40148</v>
      </c>
      <c r="J1244" s="8">
        <f>IFERROR(__xludf.DUMMYFUNCTION("""COMPUTED_VALUE"""),0.538888888888323)</f>
        <v>0.5388888889</v>
      </c>
      <c r="K1244" s="2">
        <f>IFERROR(__xludf.DUMMYFUNCTION("""COMPUTED_VALUE"""),12.0)</f>
        <v>12</v>
      </c>
      <c r="L1244" s="2">
        <f>IFERROR(__xludf.DUMMYFUNCTION("""COMPUTED_VALUE"""),40.8)</f>
        <v>40.8</v>
      </c>
    </row>
    <row r="1245">
      <c r="A1245" s="2">
        <f>IFERROR(__xludf.DUMMYFUNCTION("""COMPUTED_VALUE"""),489560.0)</f>
        <v>489560</v>
      </c>
      <c r="B1245" s="2" t="str">
        <f>IFERROR(__xludf.DUMMYFUNCTION("""COMPUTED_VALUE"""),"90092")</f>
        <v>90092</v>
      </c>
      <c r="C1245" s="2" t="str">
        <f>IFERROR(__xludf.DUMMYFUNCTION("""COMPUTED_VALUE"""),"BLUE CRYSTAL BOOT PHONE CHARM")</f>
        <v>BLUE CRYSTAL BOOT PHONE CHARM</v>
      </c>
      <c r="D1245" s="2">
        <f>IFERROR(__xludf.DUMMYFUNCTION("""COMPUTED_VALUE"""),24.0)</f>
        <v>24</v>
      </c>
      <c r="E1245" s="6">
        <f>IFERROR(__xludf.DUMMYFUNCTION("""COMPUTED_VALUE"""),40148.538888888885)</f>
        <v>40148.53889</v>
      </c>
      <c r="F1245" s="2">
        <f>IFERROR(__xludf.DUMMYFUNCTION("""COMPUTED_VALUE"""),0.85)</f>
        <v>0.85</v>
      </c>
      <c r="G1245" s="2">
        <f>IFERROR(__xludf.DUMMYFUNCTION("""COMPUTED_VALUE"""),13526.0)</f>
        <v>13526</v>
      </c>
      <c r="H1245" s="2" t="str">
        <f>IFERROR(__xludf.DUMMYFUNCTION("""COMPUTED_VALUE"""),"United Kingdom")</f>
        <v>United Kingdom</v>
      </c>
      <c r="I1245" s="7">
        <f>IFERROR(__xludf.DUMMYFUNCTION("""COMPUTED_VALUE"""),40148.0)</f>
        <v>40148</v>
      </c>
      <c r="J1245" s="8">
        <f>IFERROR(__xludf.DUMMYFUNCTION("""COMPUTED_VALUE"""),0.538888888888323)</f>
        <v>0.5388888889</v>
      </c>
      <c r="K1245" s="2">
        <f>IFERROR(__xludf.DUMMYFUNCTION("""COMPUTED_VALUE"""),12.0)</f>
        <v>12</v>
      </c>
      <c r="L1245" s="2">
        <f>IFERROR(__xludf.DUMMYFUNCTION("""COMPUTED_VALUE"""),20.4)</f>
        <v>20.4</v>
      </c>
    </row>
    <row r="1246">
      <c r="A1246" s="2">
        <f>IFERROR(__xludf.DUMMYFUNCTION("""COMPUTED_VALUE"""),489560.0)</f>
        <v>489560</v>
      </c>
      <c r="B1246" s="2" t="str">
        <f>IFERROR(__xludf.DUMMYFUNCTION("""COMPUTED_VALUE"""),"90085")</f>
        <v>90085</v>
      </c>
      <c r="C1246" s="2" t="str">
        <f>IFERROR(__xludf.DUMMYFUNCTION("""COMPUTED_VALUE"""),"CRYSTAL STILETTO PHONE CHARM")</f>
        <v>CRYSTAL STILETTO PHONE CHARM</v>
      </c>
      <c r="D1246" s="2">
        <f>IFERROR(__xludf.DUMMYFUNCTION("""COMPUTED_VALUE"""),81.0)</f>
        <v>81</v>
      </c>
      <c r="E1246" s="6">
        <f>IFERROR(__xludf.DUMMYFUNCTION("""COMPUTED_VALUE"""),40148.538888888885)</f>
        <v>40148.53889</v>
      </c>
      <c r="F1246" s="2">
        <f>IFERROR(__xludf.DUMMYFUNCTION("""COMPUTED_VALUE"""),0.85)</f>
        <v>0.85</v>
      </c>
      <c r="G1246" s="2">
        <f>IFERROR(__xludf.DUMMYFUNCTION("""COMPUTED_VALUE"""),13526.0)</f>
        <v>13526</v>
      </c>
      <c r="H1246" s="2" t="str">
        <f>IFERROR(__xludf.DUMMYFUNCTION("""COMPUTED_VALUE"""),"United Kingdom")</f>
        <v>United Kingdom</v>
      </c>
      <c r="I1246" s="7">
        <f>IFERROR(__xludf.DUMMYFUNCTION("""COMPUTED_VALUE"""),40148.0)</f>
        <v>40148</v>
      </c>
      <c r="J1246" s="8">
        <f>IFERROR(__xludf.DUMMYFUNCTION("""COMPUTED_VALUE"""),0.538888888888323)</f>
        <v>0.5388888889</v>
      </c>
      <c r="K1246" s="2">
        <f>IFERROR(__xludf.DUMMYFUNCTION("""COMPUTED_VALUE"""),12.0)</f>
        <v>12</v>
      </c>
      <c r="L1246" s="2">
        <f>IFERROR(__xludf.DUMMYFUNCTION("""COMPUTED_VALUE"""),68.85)</f>
        <v>68.85</v>
      </c>
    </row>
    <row r="1247">
      <c r="A1247" s="2">
        <f>IFERROR(__xludf.DUMMYFUNCTION("""COMPUTED_VALUE"""),489560.0)</f>
        <v>489560</v>
      </c>
      <c r="B1247" s="2" t="str">
        <f>IFERROR(__xludf.DUMMYFUNCTION("""COMPUTED_VALUE"""),"90093")</f>
        <v>90093</v>
      </c>
      <c r="C1247" s="2" t="str">
        <f>IFERROR(__xludf.DUMMYFUNCTION("""COMPUTED_VALUE"""),"CLEAR CRYSTAL STAR PHONE CHARM")</f>
        <v>CLEAR CRYSTAL STAR PHONE CHARM</v>
      </c>
      <c r="D1247" s="2">
        <f>IFERROR(__xludf.DUMMYFUNCTION("""COMPUTED_VALUE"""),24.0)</f>
        <v>24</v>
      </c>
      <c r="E1247" s="6">
        <f>IFERROR(__xludf.DUMMYFUNCTION("""COMPUTED_VALUE"""),40148.538888888885)</f>
        <v>40148.53889</v>
      </c>
      <c r="F1247" s="2">
        <f>IFERROR(__xludf.DUMMYFUNCTION("""COMPUTED_VALUE"""),0.85)</f>
        <v>0.85</v>
      </c>
      <c r="G1247" s="2">
        <f>IFERROR(__xludf.DUMMYFUNCTION("""COMPUTED_VALUE"""),13526.0)</f>
        <v>13526</v>
      </c>
      <c r="H1247" s="2" t="str">
        <f>IFERROR(__xludf.DUMMYFUNCTION("""COMPUTED_VALUE"""),"United Kingdom")</f>
        <v>United Kingdom</v>
      </c>
      <c r="I1247" s="7">
        <f>IFERROR(__xludf.DUMMYFUNCTION("""COMPUTED_VALUE"""),40148.0)</f>
        <v>40148</v>
      </c>
      <c r="J1247" s="8">
        <f>IFERROR(__xludf.DUMMYFUNCTION("""COMPUTED_VALUE"""),0.538888888888323)</f>
        <v>0.5388888889</v>
      </c>
      <c r="K1247" s="2">
        <f>IFERROR(__xludf.DUMMYFUNCTION("""COMPUTED_VALUE"""),12.0)</f>
        <v>12</v>
      </c>
      <c r="L1247" s="2">
        <f>IFERROR(__xludf.DUMMYFUNCTION("""COMPUTED_VALUE"""),20.4)</f>
        <v>20.4</v>
      </c>
    </row>
    <row r="1248">
      <c r="A1248" s="2">
        <f>IFERROR(__xludf.DUMMYFUNCTION("""COMPUTED_VALUE"""),489560.0)</f>
        <v>489560</v>
      </c>
      <c r="B1248" s="2" t="str">
        <f>IFERROR(__xludf.DUMMYFUNCTION("""COMPUTED_VALUE"""),"90084")</f>
        <v>90084</v>
      </c>
      <c r="C1248" s="2" t="str">
        <f>IFERROR(__xludf.DUMMYFUNCTION("""COMPUTED_VALUE"""),"PINK CRYSTAL GUITAR PHONE CHARM")</f>
        <v>PINK CRYSTAL GUITAR PHONE CHARM</v>
      </c>
      <c r="D1248" s="2">
        <f>IFERROR(__xludf.DUMMYFUNCTION("""COMPUTED_VALUE"""),12.0)</f>
        <v>12</v>
      </c>
      <c r="E1248" s="6">
        <f>IFERROR(__xludf.DUMMYFUNCTION("""COMPUTED_VALUE"""),40148.538888888885)</f>
        <v>40148.53889</v>
      </c>
      <c r="F1248" s="2">
        <f>IFERROR(__xludf.DUMMYFUNCTION("""COMPUTED_VALUE"""),0.85)</f>
        <v>0.85</v>
      </c>
      <c r="G1248" s="2">
        <f>IFERROR(__xludf.DUMMYFUNCTION("""COMPUTED_VALUE"""),13526.0)</f>
        <v>13526</v>
      </c>
      <c r="H1248" s="2" t="str">
        <f>IFERROR(__xludf.DUMMYFUNCTION("""COMPUTED_VALUE"""),"United Kingdom")</f>
        <v>United Kingdom</v>
      </c>
      <c r="I1248" s="7">
        <f>IFERROR(__xludf.DUMMYFUNCTION("""COMPUTED_VALUE"""),40148.0)</f>
        <v>40148</v>
      </c>
      <c r="J1248" s="8">
        <f>IFERROR(__xludf.DUMMYFUNCTION("""COMPUTED_VALUE"""),0.538888888888323)</f>
        <v>0.5388888889</v>
      </c>
      <c r="K1248" s="2">
        <f>IFERROR(__xludf.DUMMYFUNCTION("""COMPUTED_VALUE"""),12.0)</f>
        <v>12</v>
      </c>
      <c r="L1248" s="2">
        <f>IFERROR(__xludf.DUMMYFUNCTION("""COMPUTED_VALUE"""),10.2)</f>
        <v>10.2</v>
      </c>
    </row>
    <row r="1249">
      <c r="A1249" s="2">
        <f>IFERROR(__xludf.DUMMYFUNCTION("""COMPUTED_VALUE"""),489560.0)</f>
        <v>489560</v>
      </c>
      <c r="B1249" s="2" t="str">
        <f>IFERROR(__xludf.DUMMYFUNCTION("""COMPUTED_VALUE"""),"90090")</f>
        <v>90090</v>
      </c>
      <c r="C1249" s="2" t="str">
        <f>IFERROR(__xludf.DUMMYFUNCTION("""COMPUTED_VALUE"""),"PINK CRYSTAL HEART PHONE CHARM")</f>
        <v>PINK CRYSTAL HEART PHONE CHARM</v>
      </c>
      <c r="D1249" s="2">
        <f>IFERROR(__xludf.DUMMYFUNCTION("""COMPUTED_VALUE"""),24.0)</f>
        <v>24</v>
      </c>
      <c r="E1249" s="6">
        <f>IFERROR(__xludf.DUMMYFUNCTION("""COMPUTED_VALUE"""),40148.538888888885)</f>
        <v>40148.53889</v>
      </c>
      <c r="F1249" s="2">
        <f>IFERROR(__xludf.DUMMYFUNCTION("""COMPUTED_VALUE"""),0.85)</f>
        <v>0.85</v>
      </c>
      <c r="G1249" s="2">
        <f>IFERROR(__xludf.DUMMYFUNCTION("""COMPUTED_VALUE"""),13526.0)</f>
        <v>13526</v>
      </c>
      <c r="H1249" s="2" t="str">
        <f>IFERROR(__xludf.DUMMYFUNCTION("""COMPUTED_VALUE"""),"United Kingdom")</f>
        <v>United Kingdom</v>
      </c>
      <c r="I1249" s="7">
        <f>IFERROR(__xludf.DUMMYFUNCTION("""COMPUTED_VALUE"""),40148.0)</f>
        <v>40148</v>
      </c>
      <c r="J1249" s="8">
        <f>IFERROR(__xludf.DUMMYFUNCTION("""COMPUTED_VALUE"""),0.538888888888323)</f>
        <v>0.5388888889</v>
      </c>
      <c r="K1249" s="2">
        <f>IFERROR(__xludf.DUMMYFUNCTION("""COMPUTED_VALUE"""),12.0)</f>
        <v>12</v>
      </c>
      <c r="L1249" s="2">
        <f>IFERROR(__xludf.DUMMYFUNCTION("""COMPUTED_VALUE"""),20.4)</f>
        <v>20.4</v>
      </c>
    </row>
    <row r="1250">
      <c r="A1250" s="2">
        <f>IFERROR(__xludf.DUMMYFUNCTION("""COMPUTED_VALUE"""),489560.0)</f>
        <v>489560</v>
      </c>
      <c r="B1250" s="2" t="str">
        <f>IFERROR(__xludf.DUMMYFUNCTION("""COMPUTED_VALUE"""),"90088")</f>
        <v>90088</v>
      </c>
      <c r="C1250" s="2" t="str">
        <f>IFERROR(__xludf.DUMMYFUNCTION("""COMPUTED_VALUE"""),"CRYSTAL KEY+LOCK PHONE CHARM")</f>
        <v>CRYSTAL KEY+LOCK PHONE CHARM</v>
      </c>
      <c r="D1250" s="2">
        <f>IFERROR(__xludf.DUMMYFUNCTION("""COMPUTED_VALUE"""),24.0)</f>
        <v>24</v>
      </c>
      <c r="E1250" s="6">
        <f>IFERROR(__xludf.DUMMYFUNCTION("""COMPUTED_VALUE"""),40148.538888888885)</f>
        <v>40148.53889</v>
      </c>
      <c r="F1250" s="2">
        <f>IFERROR(__xludf.DUMMYFUNCTION("""COMPUTED_VALUE"""),0.85)</f>
        <v>0.85</v>
      </c>
      <c r="G1250" s="2">
        <f>IFERROR(__xludf.DUMMYFUNCTION("""COMPUTED_VALUE"""),13526.0)</f>
        <v>13526</v>
      </c>
      <c r="H1250" s="2" t="str">
        <f>IFERROR(__xludf.DUMMYFUNCTION("""COMPUTED_VALUE"""),"United Kingdom")</f>
        <v>United Kingdom</v>
      </c>
      <c r="I1250" s="7">
        <f>IFERROR(__xludf.DUMMYFUNCTION("""COMPUTED_VALUE"""),40148.0)</f>
        <v>40148</v>
      </c>
      <c r="J1250" s="8">
        <f>IFERROR(__xludf.DUMMYFUNCTION("""COMPUTED_VALUE"""),0.538888888888323)</f>
        <v>0.5388888889</v>
      </c>
      <c r="K1250" s="2">
        <f>IFERROR(__xludf.DUMMYFUNCTION("""COMPUTED_VALUE"""),12.0)</f>
        <v>12</v>
      </c>
      <c r="L1250" s="2">
        <f>IFERROR(__xludf.DUMMYFUNCTION("""COMPUTED_VALUE"""),20.4)</f>
        <v>20.4</v>
      </c>
    </row>
    <row r="1251">
      <c r="A1251" s="2">
        <f>IFERROR(__xludf.DUMMYFUNCTION("""COMPUTED_VALUE"""),489560.0)</f>
        <v>489560</v>
      </c>
      <c r="B1251" s="2" t="str">
        <f>IFERROR(__xludf.DUMMYFUNCTION("""COMPUTED_VALUE"""),"21034")</f>
        <v>21034</v>
      </c>
      <c r="C1251" s="2" t="str">
        <f>IFERROR(__xludf.DUMMYFUNCTION("""COMPUTED_VALUE"""),"REX CASH+CARRY JUMBO SHOPPER")</f>
        <v>REX CASH+CARRY JUMBO SHOPPER</v>
      </c>
      <c r="D1251" s="2">
        <f>IFERROR(__xludf.DUMMYFUNCTION("""COMPUTED_VALUE"""),1.0)</f>
        <v>1</v>
      </c>
      <c r="E1251" s="6">
        <f>IFERROR(__xludf.DUMMYFUNCTION("""COMPUTED_VALUE"""),40148.538888888885)</f>
        <v>40148.53889</v>
      </c>
      <c r="F1251" s="2">
        <f>IFERROR(__xludf.DUMMYFUNCTION("""COMPUTED_VALUE"""),0.95)</f>
        <v>0.95</v>
      </c>
      <c r="G1251" s="2">
        <f>IFERROR(__xludf.DUMMYFUNCTION("""COMPUTED_VALUE"""),13526.0)</f>
        <v>13526</v>
      </c>
      <c r="H1251" s="2" t="str">
        <f>IFERROR(__xludf.DUMMYFUNCTION("""COMPUTED_VALUE"""),"United Kingdom")</f>
        <v>United Kingdom</v>
      </c>
      <c r="I1251" s="7">
        <f>IFERROR(__xludf.DUMMYFUNCTION("""COMPUTED_VALUE"""),40148.0)</f>
        <v>40148</v>
      </c>
      <c r="J1251" s="8">
        <f>IFERROR(__xludf.DUMMYFUNCTION("""COMPUTED_VALUE"""),0.538888888888323)</f>
        <v>0.5388888889</v>
      </c>
      <c r="K1251" s="2">
        <f>IFERROR(__xludf.DUMMYFUNCTION("""COMPUTED_VALUE"""),12.0)</f>
        <v>12</v>
      </c>
      <c r="L1251" s="2">
        <f>IFERROR(__xludf.DUMMYFUNCTION("""COMPUTED_VALUE"""),0.95)</f>
        <v>0.95</v>
      </c>
    </row>
    <row r="1252">
      <c r="A1252" s="2">
        <f>IFERROR(__xludf.DUMMYFUNCTION("""COMPUTED_VALUE"""),489560.0)</f>
        <v>489560</v>
      </c>
      <c r="B1252" s="2" t="str">
        <f>IFERROR(__xludf.DUMMYFUNCTION("""COMPUTED_VALUE"""),"35955")</f>
        <v>35955</v>
      </c>
      <c r="C1252" s="2" t="str">
        <f>IFERROR(__xludf.DUMMYFUNCTION("""COMPUTED_VALUE"""),"SMALL FOLKART CHRISTMAS TREE DEC")</f>
        <v>SMALL FOLKART CHRISTMAS TREE DEC</v>
      </c>
      <c r="D1252" s="2">
        <f>IFERROR(__xludf.DUMMYFUNCTION("""COMPUTED_VALUE"""),96.0)</f>
        <v>96</v>
      </c>
      <c r="E1252" s="6">
        <f>IFERROR(__xludf.DUMMYFUNCTION("""COMPUTED_VALUE"""),40148.538888888885)</f>
        <v>40148.53889</v>
      </c>
      <c r="F1252" s="2">
        <f>IFERROR(__xludf.DUMMYFUNCTION("""COMPUTED_VALUE"""),0.19)</f>
        <v>0.19</v>
      </c>
      <c r="G1252" s="2">
        <f>IFERROR(__xludf.DUMMYFUNCTION("""COMPUTED_VALUE"""),13526.0)</f>
        <v>13526</v>
      </c>
      <c r="H1252" s="2" t="str">
        <f>IFERROR(__xludf.DUMMYFUNCTION("""COMPUTED_VALUE"""),"United Kingdom")</f>
        <v>United Kingdom</v>
      </c>
      <c r="I1252" s="7">
        <f>IFERROR(__xludf.DUMMYFUNCTION("""COMPUTED_VALUE"""),40148.0)</f>
        <v>40148</v>
      </c>
      <c r="J1252" s="8">
        <f>IFERROR(__xludf.DUMMYFUNCTION("""COMPUTED_VALUE"""),0.538888888888323)</f>
        <v>0.5388888889</v>
      </c>
      <c r="K1252" s="2">
        <f>IFERROR(__xludf.DUMMYFUNCTION("""COMPUTED_VALUE"""),12.0)</f>
        <v>12</v>
      </c>
      <c r="L1252" s="2">
        <f>IFERROR(__xludf.DUMMYFUNCTION("""COMPUTED_VALUE"""),18.24)</f>
        <v>18.24</v>
      </c>
    </row>
    <row r="1253">
      <c r="A1253" s="2">
        <f>IFERROR(__xludf.DUMMYFUNCTION("""COMPUTED_VALUE"""),489560.0)</f>
        <v>489560</v>
      </c>
      <c r="B1253" s="2" t="str">
        <f>IFERROR(__xludf.DUMMYFUNCTION("""COMPUTED_VALUE"""),"35957")</f>
        <v>35957</v>
      </c>
      <c r="C1253" s="2" t="str">
        <f>IFERROR(__xludf.DUMMYFUNCTION("""COMPUTED_VALUE"""),"SMALLFOLKART BAUBLE CHRISTMAS DEC")</f>
        <v>SMALLFOLKART BAUBLE CHRISTMAS DEC</v>
      </c>
      <c r="D1253" s="2">
        <f>IFERROR(__xludf.DUMMYFUNCTION("""COMPUTED_VALUE"""),144.0)</f>
        <v>144</v>
      </c>
      <c r="E1253" s="6">
        <f>IFERROR(__xludf.DUMMYFUNCTION("""COMPUTED_VALUE"""),40148.538888888885)</f>
        <v>40148.53889</v>
      </c>
      <c r="F1253" s="2">
        <f>IFERROR(__xludf.DUMMYFUNCTION("""COMPUTED_VALUE"""),0.19)</f>
        <v>0.19</v>
      </c>
      <c r="G1253" s="2">
        <f>IFERROR(__xludf.DUMMYFUNCTION("""COMPUTED_VALUE"""),13526.0)</f>
        <v>13526</v>
      </c>
      <c r="H1253" s="2" t="str">
        <f>IFERROR(__xludf.DUMMYFUNCTION("""COMPUTED_VALUE"""),"United Kingdom")</f>
        <v>United Kingdom</v>
      </c>
      <c r="I1253" s="7">
        <f>IFERROR(__xludf.DUMMYFUNCTION("""COMPUTED_VALUE"""),40148.0)</f>
        <v>40148</v>
      </c>
      <c r="J1253" s="8">
        <f>IFERROR(__xludf.DUMMYFUNCTION("""COMPUTED_VALUE"""),0.538888888888323)</f>
        <v>0.5388888889</v>
      </c>
      <c r="K1253" s="2">
        <f>IFERROR(__xludf.DUMMYFUNCTION("""COMPUTED_VALUE"""),12.0)</f>
        <v>12</v>
      </c>
      <c r="L1253" s="2">
        <f>IFERROR(__xludf.DUMMYFUNCTION("""COMPUTED_VALUE"""),27.36)</f>
        <v>27.36</v>
      </c>
    </row>
    <row r="1254">
      <c r="A1254" s="2">
        <f>IFERROR(__xludf.DUMMYFUNCTION("""COMPUTED_VALUE"""),489561.0)</f>
        <v>489561</v>
      </c>
      <c r="B1254" s="2" t="str">
        <f>IFERROR(__xludf.DUMMYFUNCTION("""COMPUTED_VALUE"""),"16169D")</f>
        <v>16169D</v>
      </c>
      <c r="C1254" s="2" t="str">
        <f>IFERROR(__xludf.DUMMYFUNCTION("""COMPUTED_VALUE"""),"WRAP WINTER FOREST")</f>
        <v>WRAP WINTER FOREST</v>
      </c>
      <c r="D1254" s="2">
        <f>IFERROR(__xludf.DUMMYFUNCTION("""COMPUTED_VALUE"""),25.0)</f>
        <v>25</v>
      </c>
      <c r="E1254" s="6">
        <f>IFERROR(__xludf.DUMMYFUNCTION("""COMPUTED_VALUE"""),40148.53958333333)</f>
        <v>40148.53958</v>
      </c>
      <c r="F1254" s="2">
        <f>IFERROR(__xludf.DUMMYFUNCTION("""COMPUTED_VALUE"""),0.42)</f>
        <v>0.42</v>
      </c>
      <c r="G1254" s="2">
        <f>IFERROR(__xludf.DUMMYFUNCTION("""COMPUTED_VALUE"""),14654.0)</f>
        <v>14654</v>
      </c>
      <c r="H1254" s="2" t="str">
        <f>IFERROR(__xludf.DUMMYFUNCTION("""COMPUTED_VALUE"""),"United Kingdom")</f>
        <v>United Kingdom</v>
      </c>
      <c r="I1254" s="7">
        <f>IFERROR(__xludf.DUMMYFUNCTION("""COMPUTED_VALUE"""),40148.0)</f>
        <v>40148</v>
      </c>
      <c r="J1254" s="8">
        <f>IFERROR(__xludf.DUMMYFUNCTION("""COMPUTED_VALUE"""),0.5395833333350311)</f>
        <v>0.5395833333</v>
      </c>
      <c r="K1254" s="2">
        <f>IFERROR(__xludf.DUMMYFUNCTION("""COMPUTED_VALUE"""),12.0)</f>
        <v>12</v>
      </c>
      <c r="L1254" s="2">
        <f>IFERROR(__xludf.DUMMYFUNCTION("""COMPUTED_VALUE"""),10.5)</f>
        <v>10.5</v>
      </c>
    </row>
    <row r="1255">
      <c r="A1255" s="2">
        <f>IFERROR(__xludf.DUMMYFUNCTION("""COMPUTED_VALUE"""),489561.0)</f>
        <v>489561</v>
      </c>
      <c r="B1255" s="2" t="str">
        <f>IFERROR(__xludf.DUMMYFUNCTION("""COMPUTED_VALUE"""),"21805")</f>
        <v>21805</v>
      </c>
      <c r="C1255" s="2" t="str">
        <f>IFERROR(__xludf.DUMMYFUNCTION("""COMPUTED_VALUE"""),"WHITE CHRISTMAS TREE DECORATION")</f>
        <v>WHITE CHRISTMAS TREE DECORATION</v>
      </c>
      <c r="D1255" s="2">
        <f>IFERROR(__xludf.DUMMYFUNCTION("""COMPUTED_VALUE"""),6.0)</f>
        <v>6</v>
      </c>
      <c r="E1255" s="6">
        <f>IFERROR(__xludf.DUMMYFUNCTION("""COMPUTED_VALUE"""),40148.53958333333)</f>
        <v>40148.53958</v>
      </c>
      <c r="F1255" s="2">
        <f>IFERROR(__xludf.DUMMYFUNCTION("""COMPUTED_VALUE"""),0.42)</f>
        <v>0.42</v>
      </c>
      <c r="G1255" s="2">
        <f>IFERROR(__xludf.DUMMYFUNCTION("""COMPUTED_VALUE"""),14654.0)</f>
        <v>14654</v>
      </c>
      <c r="H1255" s="2" t="str">
        <f>IFERROR(__xludf.DUMMYFUNCTION("""COMPUTED_VALUE"""),"United Kingdom")</f>
        <v>United Kingdom</v>
      </c>
      <c r="I1255" s="7">
        <f>IFERROR(__xludf.DUMMYFUNCTION("""COMPUTED_VALUE"""),40148.0)</f>
        <v>40148</v>
      </c>
      <c r="J1255" s="8">
        <f>IFERROR(__xludf.DUMMYFUNCTION("""COMPUTED_VALUE"""),0.5395833333350311)</f>
        <v>0.5395833333</v>
      </c>
      <c r="K1255" s="2">
        <f>IFERROR(__xludf.DUMMYFUNCTION("""COMPUTED_VALUE"""),12.0)</f>
        <v>12</v>
      </c>
      <c r="L1255" s="2">
        <f>IFERROR(__xludf.DUMMYFUNCTION("""COMPUTED_VALUE"""),2.52)</f>
        <v>2.52</v>
      </c>
    </row>
    <row r="1256">
      <c r="A1256" s="2">
        <f>IFERROR(__xludf.DUMMYFUNCTION("""COMPUTED_VALUE"""),489561.0)</f>
        <v>489561</v>
      </c>
      <c r="B1256" s="2" t="str">
        <f>IFERROR(__xludf.DUMMYFUNCTION("""COMPUTED_VALUE"""),"21807")</f>
        <v>21807</v>
      </c>
      <c r="C1256" s="2" t="str">
        <f>IFERROR(__xludf.DUMMYFUNCTION("""COMPUTED_VALUE"""),"WHITE CHRISTMAS STAR DECORATION")</f>
        <v>WHITE CHRISTMAS STAR DECORATION</v>
      </c>
      <c r="D1256" s="2">
        <f>IFERROR(__xludf.DUMMYFUNCTION("""COMPUTED_VALUE"""),6.0)</f>
        <v>6</v>
      </c>
      <c r="E1256" s="6">
        <f>IFERROR(__xludf.DUMMYFUNCTION("""COMPUTED_VALUE"""),40148.53958333333)</f>
        <v>40148.53958</v>
      </c>
      <c r="F1256" s="2">
        <f>IFERROR(__xludf.DUMMYFUNCTION("""COMPUTED_VALUE"""),0.42)</f>
        <v>0.42</v>
      </c>
      <c r="G1256" s="2">
        <f>IFERROR(__xludf.DUMMYFUNCTION("""COMPUTED_VALUE"""),14654.0)</f>
        <v>14654</v>
      </c>
      <c r="H1256" s="2" t="str">
        <f>IFERROR(__xludf.DUMMYFUNCTION("""COMPUTED_VALUE"""),"United Kingdom")</f>
        <v>United Kingdom</v>
      </c>
      <c r="I1256" s="7">
        <f>IFERROR(__xludf.DUMMYFUNCTION("""COMPUTED_VALUE"""),40148.0)</f>
        <v>40148</v>
      </c>
      <c r="J1256" s="8">
        <f>IFERROR(__xludf.DUMMYFUNCTION("""COMPUTED_VALUE"""),0.5395833333350311)</f>
        <v>0.5395833333</v>
      </c>
      <c r="K1256" s="2">
        <f>IFERROR(__xludf.DUMMYFUNCTION("""COMPUTED_VALUE"""),12.0)</f>
        <v>12</v>
      </c>
      <c r="L1256" s="2">
        <f>IFERROR(__xludf.DUMMYFUNCTION("""COMPUTED_VALUE"""),2.52)</f>
        <v>2.52</v>
      </c>
    </row>
    <row r="1257">
      <c r="A1257" s="2">
        <f>IFERROR(__xludf.DUMMYFUNCTION("""COMPUTED_VALUE"""),489561.0)</f>
        <v>489561</v>
      </c>
      <c r="B1257" s="2" t="str">
        <f>IFERROR(__xludf.DUMMYFUNCTION("""COMPUTED_VALUE"""),"21806")</f>
        <v>21806</v>
      </c>
      <c r="C1257" s="2" t="str">
        <f>IFERROR(__xludf.DUMMYFUNCTION("""COMPUTED_VALUE"""),"WHITE CHRISTMAS HEART DECORATION")</f>
        <v>WHITE CHRISTMAS HEART DECORATION</v>
      </c>
      <c r="D1257" s="2">
        <f>IFERROR(__xludf.DUMMYFUNCTION("""COMPUTED_VALUE"""),6.0)</f>
        <v>6</v>
      </c>
      <c r="E1257" s="6">
        <f>IFERROR(__xludf.DUMMYFUNCTION("""COMPUTED_VALUE"""),40148.53958333333)</f>
        <v>40148.53958</v>
      </c>
      <c r="F1257" s="2">
        <f>IFERROR(__xludf.DUMMYFUNCTION("""COMPUTED_VALUE"""),0.42)</f>
        <v>0.42</v>
      </c>
      <c r="G1257" s="2">
        <f>IFERROR(__xludf.DUMMYFUNCTION("""COMPUTED_VALUE"""),14654.0)</f>
        <v>14654</v>
      </c>
      <c r="H1257" s="2" t="str">
        <f>IFERROR(__xludf.DUMMYFUNCTION("""COMPUTED_VALUE"""),"United Kingdom")</f>
        <v>United Kingdom</v>
      </c>
      <c r="I1257" s="7">
        <f>IFERROR(__xludf.DUMMYFUNCTION("""COMPUTED_VALUE"""),40148.0)</f>
        <v>40148</v>
      </c>
      <c r="J1257" s="8">
        <f>IFERROR(__xludf.DUMMYFUNCTION("""COMPUTED_VALUE"""),0.5395833333350311)</f>
        <v>0.5395833333</v>
      </c>
      <c r="K1257" s="2">
        <f>IFERROR(__xludf.DUMMYFUNCTION("""COMPUTED_VALUE"""),12.0)</f>
        <v>12</v>
      </c>
      <c r="L1257" s="2">
        <f>IFERROR(__xludf.DUMMYFUNCTION("""COMPUTED_VALUE"""),2.52)</f>
        <v>2.52</v>
      </c>
    </row>
    <row r="1258">
      <c r="A1258" s="2">
        <f>IFERROR(__xludf.DUMMYFUNCTION("""COMPUTED_VALUE"""),489561.0)</f>
        <v>489561</v>
      </c>
      <c r="B1258" s="2" t="str">
        <f>IFERROR(__xludf.DUMMYFUNCTION("""COMPUTED_VALUE"""),"22294")</f>
        <v>22294</v>
      </c>
      <c r="C1258" s="2" t="str">
        <f>IFERROR(__xludf.DUMMYFUNCTION("""COMPUTED_VALUE"""),"HEART FILIGREE DOVE SMALL")</f>
        <v>HEART FILIGREE DOVE SMALL</v>
      </c>
      <c r="D1258" s="2">
        <f>IFERROR(__xludf.DUMMYFUNCTION("""COMPUTED_VALUE"""),6.0)</f>
        <v>6</v>
      </c>
      <c r="E1258" s="6">
        <f>IFERROR(__xludf.DUMMYFUNCTION("""COMPUTED_VALUE"""),40148.53958333333)</f>
        <v>40148.53958</v>
      </c>
      <c r="F1258" s="2">
        <f>IFERROR(__xludf.DUMMYFUNCTION("""COMPUTED_VALUE"""),1.25)</f>
        <v>1.25</v>
      </c>
      <c r="G1258" s="2">
        <f>IFERROR(__xludf.DUMMYFUNCTION("""COMPUTED_VALUE"""),14654.0)</f>
        <v>14654</v>
      </c>
      <c r="H1258" s="2" t="str">
        <f>IFERROR(__xludf.DUMMYFUNCTION("""COMPUTED_VALUE"""),"United Kingdom")</f>
        <v>United Kingdom</v>
      </c>
      <c r="I1258" s="7">
        <f>IFERROR(__xludf.DUMMYFUNCTION("""COMPUTED_VALUE"""),40148.0)</f>
        <v>40148</v>
      </c>
      <c r="J1258" s="8">
        <f>IFERROR(__xludf.DUMMYFUNCTION("""COMPUTED_VALUE"""),0.5395833333350311)</f>
        <v>0.5395833333</v>
      </c>
      <c r="K1258" s="2">
        <f>IFERROR(__xludf.DUMMYFUNCTION("""COMPUTED_VALUE"""),12.0)</f>
        <v>12</v>
      </c>
      <c r="L1258" s="2">
        <f>IFERROR(__xludf.DUMMYFUNCTION("""COMPUTED_VALUE"""),7.5)</f>
        <v>7.5</v>
      </c>
    </row>
    <row r="1259">
      <c r="A1259" s="2">
        <f>IFERROR(__xludf.DUMMYFUNCTION("""COMPUTED_VALUE"""),489561.0)</f>
        <v>489561</v>
      </c>
      <c r="B1259" s="2" t="str">
        <f>IFERROR(__xludf.DUMMYFUNCTION("""COMPUTED_VALUE"""),"21815")</f>
        <v>21815</v>
      </c>
      <c r="C1259" s="2" t="str">
        <f>IFERROR(__xludf.DUMMYFUNCTION("""COMPUTED_VALUE"""),"STAR T-LIGHT HOLDER")</f>
        <v>STAR T-LIGHT HOLDER</v>
      </c>
      <c r="D1259" s="2">
        <f>IFERROR(__xludf.DUMMYFUNCTION("""COMPUTED_VALUE"""),6.0)</f>
        <v>6</v>
      </c>
      <c r="E1259" s="6">
        <f>IFERROR(__xludf.DUMMYFUNCTION("""COMPUTED_VALUE"""),40148.53958333333)</f>
        <v>40148.53958</v>
      </c>
      <c r="F1259" s="2">
        <f>IFERROR(__xludf.DUMMYFUNCTION("""COMPUTED_VALUE"""),1.45)</f>
        <v>1.45</v>
      </c>
      <c r="G1259" s="2">
        <f>IFERROR(__xludf.DUMMYFUNCTION("""COMPUTED_VALUE"""),14654.0)</f>
        <v>14654</v>
      </c>
      <c r="H1259" s="2" t="str">
        <f>IFERROR(__xludf.DUMMYFUNCTION("""COMPUTED_VALUE"""),"United Kingdom")</f>
        <v>United Kingdom</v>
      </c>
      <c r="I1259" s="7">
        <f>IFERROR(__xludf.DUMMYFUNCTION("""COMPUTED_VALUE"""),40148.0)</f>
        <v>40148</v>
      </c>
      <c r="J1259" s="8">
        <f>IFERROR(__xludf.DUMMYFUNCTION("""COMPUTED_VALUE"""),0.5395833333350311)</f>
        <v>0.5395833333</v>
      </c>
      <c r="K1259" s="2">
        <f>IFERROR(__xludf.DUMMYFUNCTION("""COMPUTED_VALUE"""),12.0)</f>
        <v>12</v>
      </c>
      <c r="L1259" s="2">
        <f>IFERROR(__xludf.DUMMYFUNCTION("""COMPUTED_VALUE"""),8.7)</f>
        <v>8.7</v>
      </c>
    </row>
    <row r="1260">
      <c r="A1260" s="2">
        <f>IFERROR(__xludf.DUMMYFUNCTION("""COMPUTED_VALUE"""),489561.0)</f>
        <v>489561</v>
      </c>
      <c r="B1260" s="2" t="str">
        <f>IFERROR(__xludf.DUMMYFUNCTION("""COMPUTED_VALUE"""),"21816")</f>
        <v>21816</v>
      </c>
      <c r="C1260" s="2" t="str">
        <f>IFERROR(__xludf.DUMMYFUNCTION("""COMPUTED_VALUE"""),"CHRISTMAS TREE T-LIGHT HOLDER")</f>
        <v>CHRISTMAS TREE T-LIGHT HOLDER</v>
      </c>
      <c r="D1260" s="2">
        <f>IFERROR(__xludf.DUMMYFUNCTION("""COMPUTED_VALUE"""),6.0)</f>
        <v>6</v>
      </c>
      <c r="E1260" s="6">
        <f>IFERROR(__xludf.DUMMYFUNCTION("""COMPUTED_VALUE"""),40148.53958333333)</f>
        <v>40148.53958</v>
      </c>
      <c r="F1260" s="2">
        <f>IFERROR(__xludf.DUMMYFUNCTION("""COMPUTED_VALUE"""),1.45)</f>
        <v>1.45</v>
      </c>
      <c r="G1260" s="2">
        <f>IFERROR(__xludf.DUMMYFUNCTION("""COMPUTED_VALUE"""),14654.0)</f>
        <v>14654</v>
      </c>
      <c r="H1260" s="2" t="str">
        <f>IFERROR(__xludf.DUMMYFUNCTION("""COMPUTED_VALUE"""),"United Kingdom")</f>
        <v>United Kingdom</v>
      </c>
      <c r="I1260" s="7">
        <f>IFERROR(__xludf.DUMMYFUNCTION("""COMPUTED_VALUE"""),40148.0)</f>
        <v>40148</v>
      </c>
      <c r="J1260" s="8">
        <f>IFERROR(__xludf.DUMMYFUNCTION("""COMPUTED_VALUE"""),0.5395833333350311)</f>
        <v>0.5395833333</v>
      </c>
      <c r="K1260" s="2">
        <f>IFERROR(__xludf.DUMMYFUNCTION("""COMPUTED_VALUE"""),12.0)</f>
        <v>12</v>
      </c>
      <c r="L1260" s="2">
        <f>IFERROR(__xludf.DUMMYFUNCTION("""COMPUTED_VALUE"""),8.7)</f>
        <v>8.7</v>
      </c>
    </row>
    <row r="1261">
      <c r="A1261" s="2">
        <f>IFERROR(__xludf.DUMMYFUNCTION("""COMPUTED_VALUE"""),489561.0)</f>
        <v>489561</v>
      </c>
      <c r="B1261" s="2" t="str">
        <f>IFERROR(__xludf.DUMMYFUNCTION("""COMPUTED_VALUE"""),"35051B")</f>
        <v>35051B</v>
      </c>
      <c r="C1261" s="2" t="str">
        <f>IFERROR(__xludf.DUMMYFUNCTION("""COMPUTED_VALUE"""),"PINK BEADED CONE CHRISTMAS")</f>
        <v>PINK BEADED CONE CHRISTMAS</v>
      </c>
      <c r="D1261" s="2">
        <f>IFERROR(__xludf.DUMMYFUNCTION("""COMPUTED_VALUE"""),6.0)</f>
        <v>6</v>
      </c>
      <c r="E1261" s="6">
        <f>IFERROR(__xludf.DUMMYFUNCTION("""COMPUTED_VALUE"""),40148.53958333333)</f>
        <v>40148.53958</v>
      </c>
      <c r="F1261" s="2">
        <f>IFERROR(__xludf.DUMMYFUNCTION("""COMPUTED_VALUE"""),0.42)</f>
        <v>0.42</v>
      </c>
      <c r="G1261" s="2">
        <f>IFERROR(__xludf.DUMMYFUNCTION("""COMPUTED_VALUE"""),14654.0)</f>
        <v>14654</v>
      </c>
      <c r="H1261" s="2" t="str">
        <f>IFERROR(__xludf.DUMMYFUNCTION("""COMPUTED_VALUE"""),"United Kingdom")</f>
        <v>United Kingdom</v>
      </c>
      <c r="I1261" s="7">
        <f>IFERROR(__xludf.DUMMYFUNCTION("""COMPUTED_VALUE"""),40148.0)</f>
        <v>40148</v>
      </c>
      <c r="J1261" s="8">
        <f>IFERROR(__xludf.DUMMYFUNCTION("""COMPUTED_VALUE"""),0.5395833333350311)</f>
        <v>0.5395833333</v>
      </c>
      <c r="K1261" s="2">
        <f>IFERROR(__xludf.DUMMYFUNCTION("""COMPUTED_VALUE"""),12.0)</f>
        <v>12</v>
      </c>
      <c r="L1261" s="2">
        <f>IFERROR(__xludf.DUMMYFUNCTION("""COMPUTED_VALUE"""),2.52)</f>
        <v>2.52</v>
      </c>
    </row>
    <row r="1262">
      <c r="A1262" s="2">
        <f>IFERROR(__xludf.DUMMYFUNCTION("""COMPUTED_VALUE"""),489561.0)</f>
        <v>489561</v>
      </c>
      <c r="B1262" s="2" t="str">
        <f>IFERROR(__xludf.DUMMYFUNCTION("""COMPUTED_VALUE"""),"22153")</f>
        <v>22153</v>
      </c>
      <c r="C1262" s="2" t="str">
        <f>IFERROR(__xludf.DUMMYFUNCTION("""COMPUTED_VALUE"""),"ANGEL DECORATION STARS ON DRESS")</f>
        <v>ANGEL DECORATION STARS ON DRESS</v>
      </c>
      <c r="D1262" s="2">
        <f>IFERROR(__xludf.DUMMYFUNCTION("""COMPUTED_VALUE"""),48.0)</f>
        <v>48</v>
      </c>
      <c r="E1262" s="6">
        <f>IFERROR(__xludf.DUMMYFUNCTION("""COMPUTED_VALUE"""),40148.53958333333)</f>
        <v>40148.53958</v>
      </c>
      <c r="F1262" s="2">
        <f>IFERROR(__xludf.DUMMYFUNCTION("""COMPUTED_VALUE"""),0.42)</f>
        <v>0.42</v>
      </c>
      <c r="G1262" s="2">
        <f>IFERROR(__xludf.DUMMYFUNCTION("""COMPUTED_VALUE"""),14654.0)</f>
        <v>14654</v>
      </c>
      <c r="H1262" s="2" t="str">
        <f>IFERROR(__xludf.DUMMYFUNCTION("""COMPUTED_VALUE"""),"United Kingdom")</f>
        <v>United Kingdom</v>
      </c>
      <c r="I1262" s="7">
        <f>IFERROR(__xludf.DUMMYFUNCTION("""COMPUTED_VALUE"""),40148.0)</f>
        <v>40148</v>
      </c>
      <c r="J1262" s="8">
        <f>IFERROR(__xludf.DUMMYFUNCTION("""COMPUTED_VALUE"""),0.5395833333350311)</f>
        <v>0.5395833333</v>
      </c>
      <c r="K1262" s="2">
        <f>IFERROR(__xludf.DUMMYFUNCTION("""COMPUTED_VALUE"""),12.0)</f>
        <v>12</v>
      </c>
      <c r="L1262" s="2">
        <f>IFERROR(__xludf.DUMMYFUNCTION("""COMPUTED_VALUE"""),20.16)</f>
        <v>20.16</v>
      </c>
    </row>
    <row r="1263">
      <c r="A1263" s="2">
        <f>IFERROR(__xludf.DUMMYFUNCTION("""COMPUTED_VALUE"""),489561.0)</f>
        <v>489561</v>
      </c>
      <c r="B1263" s="2" t="str">
        <f>IFERROR(__xludf.DUMMYFUNCTION("""COMPUTED_VALUE"""),"20943")</f>
        <v>20943</v>
      </c>
      <c r="C1263" s="2" t="str">
        <f>IFERROR(__xludf.DUMMYFUNCTION("""COMPUTED_VALUE"""),"SET/6 GINGERBREAD STAR T-LIGHTS")</f>
        <v>SET/6 GINGERBREAD STAR T-LIGHTS</v>
      </c>
      <c r="D1263" s="2">
        <f>IFERROR(__xludf.DUMMYFUNCTION("""COMPUTED_VALUE"""),6.0)</f>
        <v>6</v>
      </c>
      <c r="E1263" s="6">
        <f>IFERROR(__xludf.DUMMYFUNCTION("""COMPUTED_VALUE"""),40148.53958333333)</f>
        <v>40148.53958</v>
      </c>
      <c r="F1263" s="2">
        <f>IFERROR(__xludf.DUMMYFUNCTION("""COMPUTED_VALUE"""),1.25)</f>
        <v>1.25</v>
      </c>
      <c r="G1263" s="2">
        <f>IFERROR(__xludf.DUMMYFUNCTION("""COMPUTED_VALUE"""),14654.0)</f>
        <v>14654</v>
      </c>
      <c r="H1263" s="2" t="str">
        <f>IFERROR(__xludf.DUMMYFUNCTION("""COMPUTED_VALUE"""),"United Kingdom")</f>
        <v>United Kingdom</v>
      </c>
      <c r="I1263" s="7">
        <f>IFERROR(__xludf.DUMMYFUNCTION("""COMPUTED_VALUE"""),40148.0)</f>
        <v>40148</v>
      </c>
      <c r="J1263" s="8">
        <f>IFERROR(__xludf.DUMMYFUNCTION("""COMPUTED_VALUE"""),0.5395833333350311)</f>
        <v>0.5395833333</v>
      </c>
      <c r="K1263" s="2">
        <f>IFERROR(__xludf.DUMMYFUNCTION("""COMPUTED_VALUE"""),12.0)</f>
        <v>12</v>
      </c>
      <c r="L1263" s="2">
        <f>IFERROR(__xludf.DUMMYFUNCTION("""COMPUTED_VALUE"""),7.5)</f>
        <v>7.5</v>
      </c>
    </row>
    <row r="1264">
      <c r="A1264" s="2">
        <f>IFERROR(__xludf.DUMMYFUNCTION("""COMPUTED_VALUE"""),489561.0)</f>
        <v>489561</v>
      </c>
      <c r="B1264" s="2" t="str">
        <f>IFERROR(__xludf.DUMMYFUNCTION("""COMPUTED_VALUE"""),"72816")</f>
        <v>72816</v>
      </c>
      <c r="C1264" s="2" t="str">
        <f>IFERROR(__xludf.DUMMYFUNCTION("""COMPUTED_VALUE"""),"SET/3 CHRISTMAS DECOUPAGE CANDLES")</f>
        <v>SET/3 CHRISTMAS DECOUPAGE CANDLES</v>
      </c>
      <c r="D1264" s="2">
        <f>IFERROR(__xludf.DUMMYFUNCTION("""COMPUTED_VALUE"""),6.0)</f>
        <v>6</v>
      </c>
      <c r="E1264" s="6">
        <f>IFERROR(__xludf.DUMMYFUNCTION("""COMPUTED_VALUE"""),40148.53958333333)</f>
        <v>40148.53958</v>
      </c>
      <c r="F1264" s="2">
        <f>IFERROR(__xludf.DUMMYFUNCTION("""COMPUTED_VALUE"""),1.25)</f>
        <v>1.25</v>
      </c>
      <c r="G1264" s="2">
        <f>IFERROR(__xludf.DUMMYFUNCTION("""COMPUTED_VALUE"""),14654.0)</f>
        <v>14654</v>
      </c>
      <c r="H1264" s="2" t="str">
        <f>IFERROR(__xludf.DUMMYFUNCTION("""COMPUTED_VALUE"""),"United Kingdom")</f>
        <v>United Kingdom</v>
      </c>
      <c r="I1264" s="7">
        <f>IFERROR(__xludf.DUMMYFUNCTION("""COMPUTED_VALUE"""),40148.0)</f>
        <v>40148</v>
      </c>
      <c r="J1264" s="8">
        <f>IFERROR(__xludf.DUMMYFUNCTION("""COMPUTED_VALUE"""),0.5395833333350311)</f>
        <v>0.5395833333</v>
      </c>
      <c r="K1264" s="2">
        <f>IFERROR(__xludf.DUMMYFUNCTION("""COMPUTED_VALUE"""),12.0)</f>
        <v>12</v>
      </c>
      <c r="L1264" s="2">
        <f>IFERROR(__xludf.DUMMYFUNCTION("""COMPUTED_VALUE"""),7.5)</f>
        <v>7.5</v>
      </c>
    </row>
    <row r="1265">
      <c r="A1265" s="2">
        <f>IFERROR(__xludf.DUMMYFUNCTION("""COMPUTED_VALUE"""),489561.0)</f>
        <v>489561</v>
      </c>
      <c r="B1265" s="2" t="str">
        <f>IFERROR(__xludf.DUMMYFUNCTION("""COMPUTED_VALUE"""),"85038")</f>
        <v>85038</v>
      </c>
      <c r="C1265" s="2" t="str">
        <f>IFERROR(__xludf.DUMMYFUNCTION("""COMPUTED_VALUE"""),"6 CHOCOLATE LOVE HEART T-LIGHTS")</f>
        <v>6 CHOCOLATE LOVE HEART T-LIGHTS</v>
      </c>
      <c r="D1265" s="2">
        <f>IFERROR(__xludf.DUMMYFUNCTION("""COMPUTED_VALUE"""),6.0)</f>
        <v>6</v>
      </c>
      <c r="E1265" s="6">
        <f>IFERROR(__xludf.DUMMYFUNCTION("""COMPUTED_VALUE"""),40148.53958333333)</f>
        <v>40148.53958</v>
      </c>
      <c r="F1265" s="2">
        <f>IFERROR(__xludf.DUMMYFUNCTION("""COMPUTED_VALUE"""),2.1)</f>
        <v>2.1</v>
      </c>
      <c r="G1265" s="2">
        <f>IFERROR(__xludf.DUMMYFUNCTION("""COMPUTED_VALUE"""),14654.0)</f>
        <v>14654</v>
      </c>
      <c r="H1265" s="2" t="str">
        <f>IFERROR(__xludf.DUMMYFUNCTION("""COMPUTED_VALUE"""),"United Kingdom")</f>
        <v>United Kingdom</v>
      </c>
      <c r="I1265" s="7">
        <f>IFERROR(__xludf.DUMMYFUNCTION("""COMPUTED_VALUE"""),40148.0)</f>
        <v>40148</v>
      </c>
      <c r="J1265" s="8">
        <f>IFERROR(__xludf.DUMMYFUNCTION("""COMPUTED_VALUE"""),0.5395833333350311)</f>
        <v>0.5395833333</v>
      </c>
      <c r="K1265" s="2">
        <f>IFERROR(__xludf.DUMMYFUNCTION("""COMPUTED_VALUE"""),12.0)</f>
        <v>12</v>
      </c>
      <c r="L1265" s="2">
        <f>IFERROR(__xludf.DUMMYFUNCTION("""COMPUTED_VALUE"""),12.6)</f>
        <v>12.6</v>
      </c>
    </row>
    <row r="1266">
      <c r="A1266" s="2">
        <f>IFERROR(__xludf.DUMMYFUNCTION("""COMPUTED_VALUE"""),489561.0)</f>
        <v>489561</v>
      </c>
      <c r="B1266" s="2" t="str">
        <f>IFERROR(__xludf.DUMMYFUNCTION("""COMPUTED_VALUE"""),"20979")</f>
        <v>20979</v>
      </c>
      <c r="C1266" s="2" t="str">
        <f>IFERROR(__xludf.DUMMYFUNCTION("""COMPUTED_VALUE"""),"36 PENCILS TUBE RED SPOTTY")</f>
        <v>36 PENCILS TUBE RED SPOTTY</v>
      </c>
      <c r="D1266" s="2">
        <f>IFERROR(__xludf.DUMMYFUNCTION("""COMPUTED_VALUE"""),16.0)</f>
        <v>16</v>
      </c>
      <c r="E1266" s="6">
        <f>IFERROR(__xludf.DUMMYFUNCTION("""COMPUTED_VALUE"""),40148.53958333333)</f>
        <v>40148.53958</v>
      </c>
      <c r="F1266" s="2">
        <f>IFERROR(__xludf.DUMMYFUNCTION("""COMPUTED_VALUE"""),1.25)</f>
        <v>1.25</v>
      </c>
      <c r="G1266" s="2">
        <f>IFERROR(__xludf.DUMMYFUNCTION("""COMPUTED_VALUE"""),14654.0)</f>
        <v>14654</v>
      </c>
      <c r="H1266" s="2" t="str">
        <f>IFERROR(__xludf.DUMMYFUNCTION("""COMPUTED_VALUE"""),"United Kingdom")</f>
        <v>United Kingdom</v>
      </c>
      <c r="I1266" s="7">
        <f>IFERROR(__xludf.DUMMYFUNCTION("""COMPUTED_VALUE"""),40148.0)</f>
        <v>40148</v>
      </c>
      <c r="J1266" s="8">
        <f>IFERROR(__xludf.DUMMYFUNCTION("""COMPUTED_VALUE"""),0.5395833333350311)</f>
        <v>0.5395833333</v>
      </c>
      <c r="K1266" s="2">
        <f>IFERROR(__xludf.DUMMYFUNCTION("""COMPUTED_VALUE"""),12.0)</f>
        <v>12</v>
      </c>
      <c r="L1266" s="2">
        <f>IFERROR(__xludf.DUMMYFUNCTION("""COMPUTED_VALUE"""),20.0)</f>
        <v>20</v>
      </c>
    </row>
    <row r="1267">
      <c r="A1267" s="2">
        <f>IFERROR(__xludf.DUMMYFUNCTION("""COMPUTED_VALUE"""),489561.0)</f>
        <v>489561</v>
      </c>
      <c r="B1267" s="2" t="str">
        <f>IFERROR(__xludf.DUMMYFUNCTION("""COMPUTED_VALUE"""),"20978")</f>
        <v>20978</v>
      </c>
      <c r="C1267" s="2" t="str">
        <f>IFERROR(__xludf.DUMMYFUNCTION("""COMPUTED_VALUE"""),"36 PENCILS TUBE SKULLS")</f>
        <v>36 PENCILS TUBE SKULLS</v>
      </c>
      <c r="D1267" s="2">
        <f>IFERROR(__xludf.DUMMYFUNCTION("""COMPUTED_VALUE"""),16.0)</f>
        <v>16</v>
      </c>
      <c r="E1267" s="6">
        <f>IFERROR(__xludf.DUMMYFUNCTION("""COMPUTED_VALUE"""),40148.53958333333)</f>
        <v>40148.53958</v>
      </c>
      <c r="F1267" s="2">
        <f>IFERROR(__xludf.DUMMYFUNCTION("""COMPUTED_VALUE"""),1.25)</f>
        <v>1.25</v>
      </c>
      <c r="G1267" s="2">
        <f>IFERROR(__xludf.DUMMYFUNCTION("""COMPUTED_VALUE"""),14654.0)</f>
        <v>14654</v>
      </c>
      <c r="H1267" s="2" t="str">
        <f>IFERROR(__xludf.DUMMYFUNCTION("""COMPUTED_VALUE"""),"United Kingdom")</f>
        <v>United Kingdom</v>
      </c>
      <c r="I1267" s="7">
        <f>IFERROR(__xludf.DUMMYFUNCTION("""COMPUTED_VALUE"""),40148.0)</f>
        <v>40148</v>
      </c>
      <c r="J1267" s="8">
        <f>IFERROR(__xludf.DUMMYFUNCTION("""COMPUTED_VALUE"""),0.5395833333350311)</f>
        <v>0.5395833333</v>
      </c>
      <c r="K1267" s="2">
        <f>IFERROR(__xludf.DUMMYFUNCTION("""COMPUTED_VALUE"""),12.0)</f>
        <v>12</v>
      </c>
      <c r="L1267" s="2">
        <f>IFERROR(__xludf.DUMMYFUNCTION("""COMPUTED_VALUE"""),20.0)</f>
        <v>20</v>
      </c>
    </row>
    <row r="1268">
      <c r="A1268" s="2">
        <f>IFERROR(__xludf.DUMMYFUNCTION("""COMPUTED_VALUE"""),489561.0)</f>
        <v>489561</v>
      </c>
      <c r="B1268" s="2" t="str">
        <f>IFERROR(__xludf.DUMMYFUNCTION("""COMPUTED_VALUE"""),"20942")</f>
        <v>20942</v>
      </c>
      <c r="C1268" s="2" t="str">
        <f>IFERROR(__xludf.DUMMYFUNCTION("""COMPUTED_VALUE"""),"SET/6 GINGERBREAD TREE T-LIGHTS")</f>
        <v>SET/6 GINGERBREAD TREE T-LIGHTS</v>
      </c>
      <c r="D1268" s="2">
        <f>IFERROR(__xludf.DUMMYFUNCTION("""COMPUTED_VALUE"""),1.0)</f>
        <v>1</v>
      </c>
      <c r="E1268" s="6">
        <f>IFERROR(__xludf.DUMMYFUNCTION("""COMPUTED_VALUE"""),40148.53958333333)</f>
        <v>40148.53958</v>
      </c>
      <c r="F1268" s="2">
        <f>IFERROR(__xludf.DUMMYFUNCTION("""COMPUTED_VALUE"""),1.25)</f>
        <v>1.25</v>
      </c>
      <c r="G1268" s="2">
        <f>IFERROR(__xludf.DUMMYFUNCTION("""COMPUTED_VALUE"""),14654.0)</f>
        <v>14654</v>
      </c>
      <c r="H1268" s="2" t="str">
        <f>IFERROR(__xludf.DUMMYFUNCTION("""COMPUTED_VALUE"""),"United Kingdom")</f>
        <v>United Kingdom</v>
      </c>
      <c r="I1268" s="7">
        <f>IFERROR(__xludf.DUMMYFUNCTION("""COMPUTED_VALUE"""),40148.0)</f>
        <v>40148</v>
      </c>
      <c r="J1268" s="8">
        <f>IFERROR(__xludf.DUMMYFUNCTION("""COMPUTED_VALUE"""),0.5395833333350311)</f>
        <v>0.5395833333</v>
      </c>
      <c r="K1268" s="2">
        <f>IFERROR(__xludf.DUMMYFUNCTION("""COMPUTED_VALUE"""),12.0)</f>
        <v>12</v>
      </c>
      <c r="L1268" s="2">
        <f>IFERROR(__xludf.DUMMYFUNCTION("""COMPUTED_VALUE"""),1.25)</f>
        <v>1.25</v>
      </c>
    </row>
    <row r="1269">
      <c r="A1269" s="2">
        <f>IFERROR(__xludf.DUMMYFUNCTION("""COMPUTED_VALUE"""),489561.0)</f>
        <v>489561</v>
      </c>
      <c r="B1269" s="2" t="str">
        <f>IFERROR(__xludf.DUMMYFUNCTION("""COMPUTED_VALUE"""),"84559A")</f>
        <v>84559A</v>
      </c>
      <c r="C1269" s="2" t="str">
        <f>IFERROR(__xludf.DUMMYFUNCTION("""COMPUTED_VALUE"""),"3D SHEET OF DOG STICKERS")</f>
        <v>3D SHEET OF DOG STICKERS</v>
      </c>
      <c r="D1269" s="2">
        <f>IFERROR(__xludf.DUMMYFUNCTION("""COMPUTED_VALUE"""),6.0)</f>
        <v>6</v>
      </c>
      <c r="E1269" s="6">
        <f>IFERROR(__xludf.DUMMYFUNCTION("""COMPUTED_VALUE"""),40148.53958333333)</f>
        <v>40148.53958</v>
      </c>
      <c r="F1269" s="2">
        <f>IFERROR(__xludf.DUMMYFUNCTION("""COMPUTED_VALUE"""),0.85)</f>
        <v>0.85</v>
      </c>
      <c r="G1269" s="2">
        <f>IFERROR(__xludf.DUMMYFUNCTION("""COMPUTED_VALUE"""),14654.0)</f>
        <v>14654</v>
      </c>
      <c r="H1269" s="2" t="str">
        <f>IFERROR(__xludf.DUMMYFUNCTION("""COMPUTED_VALUE"""),"United Kingdom")</f>
        <v>United Kingdom</v>
      </c>
      <c r="I1269" s="7">
        <f>IFERROR(__xludf.DUMMYFUNCTION("""COMPUTED_VALUE"""),40148.0)</f>
        <v>40148</v>
      </c>
      <c r="J1269" s="8">
        <f>IFERROR(__xludf.DUMMYFUNCTION("""COMPUTED_VALUE"""),0.5395833333350311)</f>
        <v>0.5395833333</v>
      </c>
      <c r="K1269" s="2">
        <f>IFERROR(__xludf.DUMMYFUNCTION("""COMPUTED_VALUE"""),12.0)</f>
        <v>12</v>
      </c>
      <c r="L1269" s="2">
        <f>IFERROR(__xludf.DUMMYFUNCTION("""COMPUTED_VALUE"""),5.1)</f>
        <v>5.1</v>
      </c>
    </row>
    <row r="1270">
      <c r="A1270" s="2">
        <f>IFERROR(__xludf.DUMMYFUNCTION("""COMPUTED_VALUE"""),489561.0)</f>
        <v>489561</v>
      </c>
      <c r="B1270" s="2" t="str">
        <f>IFERROR(__xludf.DUMMYFUNCTION("""COMPUTED_VALUE"""),"84466")</f>
        <v>84466</v>
      </c>
      <c r="C1270" s="2" t="str">
        <f>IFERROR(__xludf.DUMMYFUNCTION("""COMPUTED_VALUE"""),"TOP SECRET PEN SET")</f>
        <v>TOP SECRET PEN SET</v>
      </c>
      <c r="D1270" s="2">
        <f>IFERROR(__xludf.DUMMYFUNCTION("""COMPUTED_VALUE"""),6.0)</f>
        <v>6</v>
      </c>
      <c r="E1270" s="6">
        <f>IFERROR(__xludf.DUMMYFUNCTION("""COMPUTED_VALUE"""),40148.53958333333)</f>
        <v>40148.53958</v>
      </c>
      <c r="F1270" s="2">
        <f>IFERROR(__xludf.DUMMYFUNCTION("""COMPUTED_VALUE"""),1.25)</f>
        <v>1.25</v>
      </c>
      <c r="G1270" s="2">
        <f>IFERROR(__xludf.DUMMYFUNCTION("""COMPUTED_VALUE"""),14654.0)</f>
        <v>14654</v>
      </c>
      <c r="H1270" s="2" t="str">
        <f>IFERROR(__xludf.DUMMYFUNCTION("""COMPUTED_VALUE"""),"United Kingdom")</f>
        <v>United Kingdom</v>
      </c>
      <c r="I1270" s="7">
        <f>IFERROR(__xludf.DUMMYFUNCTION("""COMPUTED_VALUE"""),40148.0)</f>
        <v>40148</v>
      </c>
      <c r="J1270" s="8">
        <f>IFERROR(__xludf.DUMMYFUNCTION("""COMPUTED_VALUE"""),0.5395833333350311)</f>
        <v>0.5395833333</v>
      </c>
      <c r="K1270" s="2">
        <f>IFERROR(__xludf.DUMMYFUNCTION("""COMPUTED_VALUE"""),12.0)</f>
        <v>12</v>
      </c>
      <c r="L1270" s="2">
        <f>IFERROR(__xludf.DUMMYFUNCTION("""COMPUTED_VALUE"""),7.5)</f>
        <v>7.5</v>
      </c>
    </row>
    <row r="1271">
      <c r="A1271" s="2">
        <f>IFERROR(__xludf.DUMMYFUNCTION("""COMPUTED_VALUE"""),489561.0)</f>
        <v>489561</v>
      </c>
      <c r="B1271" s="2" t="str">
        <f>IFERROR(__xludf.DUMMYFUNCTION("""COMPUTED_VALUE"""),"20994")</f>
        <v>20994</v>
      </c>
      <c r="C1271" s="2" t="str">
        <f>IFERROR(__xludf.DUMMYFUNCTION("""COMPUTED_VALUE"""),"JAZZ HEARTS SPIRAL NOTEPAD")</f>
        <v>JAZZ HEARTS SPIRAL NOTEPAD</v>
      </c>
      <c r="D1271" s="2">
        <f>IFERROR(__xludf.DUMMYFUNCTION("""COMPUTED_VALUE"""),3.0)</f>
        <v>3</v>
      </c>
      <c r="E1271" s="6">
        <f>IFERROR(__xludf.DUMMYFUNCTION("""COMPUTED_VALUE"""),40148.53958333333)</f>
        <v>40148.53958</v>
      </c>
      <c r="F1271" s="2">
        <f>IFERROR(__xludf.DUMMYFUNCTION("""COMPUTED_VALUE"""),0.85)</f>
        <v>0.85</v>
      </c>
      <c r="G1271" s="2">
        <f>IFERROR(__xludf.DUMMYFUNCTION("""COMPUTED_VALUE"""),14654.0)</f>
        <v>14654</v>
      </c>
      <c r="H1271" s="2" t="str">
        <f>IFERROR(__xludf.DUMMYFUNCTION("""COMPUTED_VALUE"""),"United Kingdom")</f>
        <v>United Kingdom</v>
      </c>
      <c r="I1271" s="7">
        <f>IFERROR(__xludf.DUMMYFUNCTION("""COMPUTED_VALUE"""),40148.0)</f>
        <v>40148</v>
      </c>
      <c r="J1271" s="8">
        <f>IFERROR(__xludf.DUMMYFUNCTION("""COMPUTED_VALUE"""),0.5395833333350311)</f>
        <v>0.5395833333</v>
      </c>
      <c r="K1271" s="2">
        <f>IFERROR(__xludf.DUMMYFUNCTION("""COMPUTED_VALUE"""),12.0)</f>
        <v>12</v>
      </c>
      <c r="L1271" s="2">
        <f>IFERROR(__xludf.DUMMYFUNCTION("""COMPUTED_VALUE"""),2.55)</f>
        <v>2.55</v>
      </c>
    </row>
    <row r="1272">
      <c r="A1272" s="2">
        <f>IFERROR(__xludf.DUMMYFUNCTION("""COMPUTED_VALUE"""),489561.0)</f>
        <v>489561</v>
      </c>
      <c r="B1272" s="2" t="str">
        <f>IFERROR(__xludf.DUMMYFUNCTION("""COMPUTED_VALUE"""),"20992")</f>
        <v>20992</v>
      </c>
      <c r="C1272" s="2" t="str">
        <f>IFERROR(__xludf.DUMMYFUNCTION("""COMPUTED_VALUE"""),"JAZZ HEARTS PURSE NOTEBOOK")</f>
        <v>JAZZ HEARTS PURSE NOTEBOOK</v>
      </c>
      <c r="D1272" s="2">
        <f>IFERROR(__xludf.DUMMYFUNCTION("""COMPUTED_VALUE"""),3.0)</f>
        <v>3</v>
      </c>
      <c r="E1272" s="6">
        <f>IFERROR(__xludf.DUMMYFUNCTION("""COMPUTED_VALUE"""),40148.53958333333)</f>
        <v>40148.53958</v>
      </c>
      <c r="F1272" s="2">
        <f>IFERROR(__xludf.DUMMYFUNCTION("""COMPUTED_VALUE"""),0.85)</f>
        <v>0.85</v>
      </c>
      <c r="G1272" s="2">
        <f>IFERROR(__xludf.DUMMYFUNCTION("""COMPUTED_VALUE"""),14654.0)</f>
        <v>14654</v>
      </c>
      <c r="H1272" s="2" t="str">
        <f>IFERROR(__xludf.DUMMYFUNCTION("""COMPUTED_VALUE"""),"United Kingdom")</f>
        <v>United Kingdom</v>
      </c>
      <c r="I1272" s="7">
        <f>IFERROR(__xludf.DUMMYFUNCTION("""COMPUTED_VALUE"""),40148.0)</f>
        <v>40148</v>
      </c>
      <c r="J1272" s="8">
        <f>IFERROR(__xludf.DUMMYFUNCTION("""COMPUTED_VALUE"""),0.5395833333350311)</f>
        <v>0.5395833333</v>
      </c>
      <c r="K1272" s="2">
        <f>IFERROR(__xludf.DUMMYFUNCTION("""COMPUTED_VALUE"""),12.0)</f>
        <v>12</v>
      </c>
      <c r="L1272" s="2">
        <f>IFERROR(__xludf.DUMMYFUNCTION("""COMPUTED_VALUE"""),2.55)</f>
        <v>2.55</v>
      </c>
    </row>
    <row r="1273">
      <c r="A1273" s="2">
        <f>IFERROR(__xludf.DUMMYFUNCTION("""COMPUTED_VALUE"""),489561.0)</f>
        <v>489561</v>
      </c>
      <c r="B1273" s="2" t="str">
        <f>IFERROR(__xludf.DUMMYFUNCTION("""COMPUTED_VALUE"""),"70006")</f>
        <v>70006</v>
      </c>
      <c r="C1273" s="2" t="str">
        <f>IFERROR(__xludf.DUMMYFUNCTION("""COMPUTED_VALUE"""),"LOVE HEART POCKET WARMER")</f>
        <v>LOVE HEART POCKET WARMER</v>
      </c>
      <c r="D1273" s="2">
        <f>IFERROR(__xludf.DUMMYFUNCTION("""COMPUTED_VALUE"""),6.0)</f>
        <v>6</v>
      </c>
      <c r="E1273" s="6">
        <f>IFERROR(__xludf.DUMMYFUNCTION("""COMPUTED_VALUE"""),40148.53958333333)</f>
        <v>40148.53958</v>
      </c>
      <c r="F1273" s="2">
        <f>IFERROR(__xludf.DUMMYFUNCTION("""COMPUTED_VALUE"""),1.65)</f>
        <v>1.65</v>
      </c>
      <c r="G1273" s="2">
        <f>IFERROR(__xludf.DUMMYFUNCTION("""COMPUTED_VALUE"""),14654.0)</f>
        <v>14654</v>
      </c>
      <c r="H1273" s="2" t="str">
        <f>IFERROR(__xludf.DUMMYFUNCTION("""COMPUTED_VALUE"""),"United Kingdom")</f>
        <v>United Kingdom</v>
      </c>
      <c r="I1273" s="7">
        <f>IFERROR(__xludf.DUMMYFUNCTION("""COMPUTED_VALUE"""),40148.0)</f>
        <v>40148</v>
      </c>
      <c r="J1273" s="8">
        <f>IFERROR(__xludf.DUMMYFUNCTION("""COMPUTED_VALUE"""),0.5395833333350311)</f>
        <v>0.5395833333</v>
      </c>
      <c r="K1273" s="2">
        <f>IFERROR(__xludf.DUMMYFUNCTION("""COMPUTED_VALUE"""),12.0)</f>
        <v>12</v>
      </c>
      <c r="L1273" s="2">
        <f>IFERROR(__xludf.DUMMYFUNCTION("""COMPUTED_VALUE"""),9.89999999999999)</f>
        <v>9.9</v>
      </c>
    </row>
    <row r="1274">
      <c r="A1274" s="2">
        <f>IFERROR(__xludf.DUMMYFUNCTION("""COMPUTED_VALUE"""),489561.0)</f>
        <v>489561</v>
      </c>
      <c r="B1274" s="2" t="str">
        <f>IFERROR(__xludf.DUMMYFUNCTION("""COMPUTED_VALUE"""),"70007")</f>
        <v>70007</v>
      </c>
      <c r="C1274" s="2" t="str">
        <f>IFERROR(__xludf.DUMMYFUNCTION("""COMPUTED_VALUE"""),"HI TEC ALPINE HAND WARMER")</f>
        <v>HI TEC ALPINE HAND WARMER</v>
      </c>
      <c r="D1274" s="2">
        <f>IFERROR(__xludf.DUMMYFUNCTION("""COMPUTED_VALUE"""),6.0)</f>
        <v>6</v>
      </c>
      <c r="E1274" s="6">
        <f>IFERROR(__xludf.DUMMYFUNCTION("""COMPUTED_VALUE"""),40148.53958333333)</f>
        <v>40148.53958</v>
      </c>
      <c r="F1274" s="2">
        <f>IFERROR(__xludf.DUMMYFUNCTION("""COMPUTED_VALUE"""),1.65)</f>
        <v>1.65</v>
      </c>
      <c r="G1274" s="2">
        <f>IFERROR(__xludf.DUMMYFUNCTION("""COMPUTED_VALUE"""),14654.0)</f>
        <v>14654</v>
      </c>
      <c r="H1274" s="2" t="str">
        <f>IFERROR(__xludf.DUMMYFUNCTION("""COMPUTED_VALUE"""),"United Kingdom")</f>
        <v>United Kingdom</v>
      </c>
      <c r="I1274" s="7">
        <f>IFERROR(__xludf.DUMMYFUNCTION("""COMPUTED_VALUE"""),40148.0)</f>
        <v>40148</v>
      </c>
      <c r="J1274" s="8">
        <f>IFERROR(__xludf.DUMMYFUNCTION("""COMPUTED_VALUE"""),0.5395833333350311)</f>
        <v>0.5395833333</v>
      </c>
      <c r="K1274" s="2">
        <f>IFERROR(__xludf.DUMMYFUNCTION("""COMPUTED_VALUE"""),12.0)</f>
        <v>12</v>
      </c>
      <c r="L1274" s="2">
        <f>IFERROR(__xludf.DUMMYFUNCTION("""COMPUTED_VALUE"""),9.89999999999999)</f>
        <v>9.9</v>
      </c>
    </row>
    <row r="1275">
      <c r="A1275" s="2">
        <f>IFERROR(__xludf.DUMMYFUNCTION("""COMPUTED_VALUE"""),489561.0)</f>
        <v>489561</v>
      </c>
      <c r="B1275" s="2" t="str">
        <f>IFERROR(__xludf.DUMMYFUNCTION("""COMPUTED_VALUE"""),"84670")</f>
        <v>84670</v>
      </c>
      <c r="C1275" s="2" t="str">
        <f>IFERROR(__xludf.DUMMYFUNCTION("""COMPUTED_VALUE"""),"JAPANESE CROCHETED ANIMAL")</f>
        <v>JAPANESE CROCHETED ANIMAL</v>
      </c>
      <c r="D1275" s="2">
        <f>IFERROR(__xludf.DUMMYFUNCTION("""COMPUTED_VALUE"""),12.0)</f>
        <v>12</v>
      </c>
      <c r="E1275" s="6">
        <f>IFERROR(__xludf.DUMMYFUNCTION("""COMPUTED_VALUE"""),40148.53958333333)</f>
        <v>40148.53958</v>
      </c>
      <c r="F1275" s="2">
        <f>IFERROR(__xludf.DUMMYFUNCTION("""COMPUTED_VALUE"""),0.42)</f>
        <v>0.42</v>
      </c>
      <c r="G1275" s="2">
        <f>IFERROR(__xludf.DUMMYFUNCTION("""COMPUTED_VALUE"""),14654.0)</f>
        <v>14654</v>
      </c>
      <c r="H1275" s="2" t="str">
        <f>IFERROR(__xludf.DUMMYFUNCTION("""COMPUTED_VALUE"""),"United Kingdom")</f>
        <v>United Kingdom</v>
      </c>
      <c r="I1275" s="7">
        <f>IFERROR(__xludf.DUMMYFUNCTION("""COMPUTED_VALUE"""),40148.0)</f>
        <v>40148</v>
      </c>
      <c r="J1275" s="8">
        <f>IFERROR(__xludf.DUMMYFUNCTION("""COMPUTED_VALUE"""),0.5395833333350311)</f>
        <v>0.5395833333</v>
      </c>
      <c r="K1275" s="2">
        <f>IFERROR(__xludf.DUMMYFUNCTION("""COMPUTED_VALUE"""),12.0)</f>
        <v>12</v>
      </c>
      <c r="L1275" s="2">
        <f>IFERROR(__xludf.DUMMYFUNCTION("""COMPUTED_VALUE"""),5.04)</f>
        <v>5.04</v>
      </c>
    </row>
    <row r="1276">
      <c r="A1276" s="2">
        <f>IFERROR(__xludf.DUMMYFUNCTION("""COMPUTED_VALUE"""),489561.0)</f>
        <v>489561</v>
      </c>
      <c r="B1276" s="2" t="str">
        <f>IFERROR(__xludf.DUMMYFUNCTION("""COMPUTED_VALUE"""),"84077")</f>
        <v>84077</v>
      </c>
      <c r="C1276" s="2" t="str">
        <f>IFERROR(__xludf.DUMMYFUNCTION("""COMPUTED_VALUE"""),"WORLD WAR 2 GLIDERS ASSTD DESIGNS")</f>
        <v>WORLD WAR 2 GLIDERS ASSTD DESIGNS</v>
      </c>
      <c r="D1276" s="2">
        <f>IFERROR(__xludf.DUMMYFUNCTION("""COMPUTED_VALUE"""),48.0)</f>
        <v>48</v>
      </c>
      <c r="E1276" s="6">
        <f>IFERROR(__xludf.DUMMYFUNCTION("""COMPUTED_VALUE"""),40148.53958333333)</f>
        <v>40148.53958</v>
      </c>
      <c r="F1276" s="2">
        <f>IFERROR(__xludf.DUMMYFUNCTION("""COMPUTED_VALUE"""),0.21)</f>
        <v>0.21</v>
      </c>
      <c r="G1276" s="2">
        <f>IFERROR(__xludf.DUMMYFUNCTION("""COMPUTED_VALUE"""),14654.0)</f>
        <v>14654</v>
      </c>
      <c r="H1276" s="2" t="str">
        <f>IFERROR(__xludf.DUMMYFUNCTION("""COMPUTED_VALUE"""),"United Kingdom")</f>
        <v>United Kingdom</v>
      </c>
      <c r="I1276" s="7">
        <f>IFERROR(__xludf.DUMMYFUNCTION("""COMPUTED_VALUE"""),40148.0)</f>
        <v>40148</v>
      </c>
      <c r="J1276" s="8">
        <f>IFERROR(__xludf.DUMMYFUNCTION("""COMPUTED_VALUE"""),0.5395833333350311)</f>
        <v>0.5395833333</v>
      </c>
      <c r="K1276" s="2">
        <f>IFERROR(__xludf.DUMMYFUNCTION("""COMPUTED_VALUE"""),12.0)</f>
        <v>12</v>
      </c>
      <c r="L1276" s="2">
        <f>IFERROR(__xludf.DUMMYFUNCTION("""COMPUTED_VALUE"""),10.08)</f>
        <v>10.08</v>
      </c>
    </row>
    <row r="1277">
      <c r="A1277" s="2">
        <f>IFERROR(__xludf.DUMMYFUNCTION("""COMPUTED_VALUE"""),489561.0)</f>
        <v>489561</v>
      </c>
      <c r="B1277" s="2" t="str">
        <f>IFERROR(__xludf.DUMMYFUNCTION("""COMPUTED_VALUE"""),"84029C")</f>
        <v>84029C</v>
      </c>
      <c r="C1277" s="2" t="str">
        <f>IFERROR(__xludf.DUMMYFUNCTION("""COMPUTED_VALUE"""),"BROWN FURRY HOT WATER BOTTLE")</f>
        <v>BROWN FURRY HOT WATER BOTTLE</v>
      </c>
      <c r="D1277" s="2">
        <f>IFERROR(__xludf.DUMMYFUNCTION("""COMPUTED_VALUE"""),7.0)</f>
        <v>7</v>
      </c>
      <c r="E1277" s="6">
        <f>IFERROR(__xludf.DUMMYFUNCTION("""COMPUTED_VALUE"""),40148.53958333333)</f>
        <v>40148.53958</v>
      </c>
      <c r="F1277" s="2">
        <f>IFERROR(__xludf.DUMMYFUNCTION("""COMPUTED_VALUE"""),3.75)</f>
        <v>3.75</v>
      </c>
      <c r="G1277" s="2">
        <f>IFERROR(__xludf.DUMMYFUNCTION("""COMPUTED_VALUE"""),14654.0)</f>
        <v>14654</v>
      </c>
      <c r="H1277" s="2" t="str">
        <f>IFERROR(__xludf.DUMMYFUNCTION("""COMPUTED_VALUE"""),"United Kingdom")</f>
        <v>United Kingdom</v>
      </c>
      <c r="I1277" s="7">
        <f>IFERROR(__xludf.DUMMYFUNCTION("""COMPUTED_VALUE"""),40148.0)</f>
        <v>40148</v>
      </c>
      <c r="J1277" s="8">
        <f>IFERROR(__xludf.DUMMYFUNCTION("""COMPUTED_VALUE"""),0.5395833333350311)</f>
        <v>0.5395833333</v>
      </c>
      <c r="K1277" s="2">
        <f>IFERROR(__xludf.DUMMYFUNCTION("""COMPUTED_VALUE"""),12.0)</f>
        <v>12</v>
      </c>
      <c r="L1277" s="2">
        <f>IFERROR(__xludf.DUMMYFUNCTION("""COMPUTED_VALUE"""),26.25)</f>
        <v>26.25</v>
      </c>
    </row>
    <row r="1278">
      <c r="A1278" s="2">
        <f>IFERROR(__xludf.DUMMYFUNCTION("""COMPUTED_VALUE"""),489561.0)</f>
        <v>489561</v>
      </c>
      <c r="B1278" s="2" t="str">
        <f>IFERROR(__xludf.DUMMYFUNCTION("""COMPUTED_VALUE"""),"22111")</f>
        <v>22111</v>
      </c>
      <c r="C1278" s="2" t="str">
        <f>IFERROR(__xludf.DUMMYFUNCTION("""COMPUTED_VALUE"""),"SCOTTIE DOG HOT WATER BOTTLE")</f>
        <v>SCOTTIE DOG HOT WATER BOTTLE</v>
      </c>
      <c r="D1278" s="2">
        <f>IFERROR(__xludf.DUMMYFUNCTION("""COMPUTED_VALUE"""),1.0)</f>
        <v>1</v>
      </c>
      <c r="E1278" s="6">
        <f>IFERROR(__xludf.DUMMYFUNCTION("""COMPUTED_VALUE"""),40148.53958333333)</f>
        <v>40148.53958</v>
      </c>
      <c r="F1278" s="2">
        <f>IFERROR(__xludf.DUMMYFUNCTION("""COMPUTED_VALUE"""),4.95)</f>
        <v>4.95</v>
      </c>
      <c r="G1278" s="2">
        <f>IFERROR(__xludf.DUMMYFUNCTION("""COMPUTED_VALUE"""),14654.0)</f>
        <v>14654</v>
      </c>
      <c r="H1278" s="2" t="str">
        <f>IFERROR(__xludf.DUMMYFUNCTION("""COMPUTED_VALUE"""),"United Kingdom")</f>
        <v>United Kingdom</v>
      </c>
      <c r="I1278" s="7">
        <f>IFERROR(__xludf.DUMMYFUNCTION("""COMPUTED_VALUE"""),40148.0)</f>
        <v>40148</v>
      </c>
      <c r="J1278" s="8">
        <f>IFERROR(__xludf.DUMMYFUNCTION("""COMPUTED_VALUE"""),0.5395833333350311)</f>
        <v>0.5395833333</v>
      </c>
      <c r="K1278" s="2">
        <f>IFERROR(__xludf.DUMMYFUNCTION("""COMPUTED_VALUE"""),12.0)</f>
        <v>12</v>
      </c>
      <c r="L1278" s="2">
        <f>IFERROR(__xludf.DUMMYFUNCTION("""COMPUTED_VALUE"""),4.95)</f>
        <v>4.95</v>
      </c>
    </row>
    <row r="1279">
      <c r="A1279" s="2">
        <f>IFERROR(__xludf.DUMMYFUNCTION("""COMPUTED_VALUE"""),489561.0)</f>
        <v>489561</v>
      </c>
      <c r="B1279" s="2" t="str">
        <f>IFERROR(__xludf.DUMMYFUNCTION("""COMPUTED_VALUE"""),"22113")</f>
        <v>22113</v>
      </c>
      <c r="C1279" s="2" t="str">
        <f>IFERROR(__xludf.DUMMYFUNCTION("""COMPUTED_VALUE"""),"GREY HEART HOT WATER BOTTLE")</f>
        <v>GREY HEART HOT WATER BOTTLE</v>
      </c>
      <c r="D1279" s="2">
        <f>IFERROR(__xludf.DUMMYFUNCTION("""COMPUTED_VALUE"""),8.0)</f>
        <v>8</v>
      </c>
      <c r="E1279" s="6">
        <f>IFERROR(__xludf.DUMMYFUNCTION("""COMPUTED_VALUE"""),40148.53958333333)</f>
        <v>40148.53958</v>
      </c>
      <c r="F1279" s="2">
        <f>IFERROR(__xludf.DUMMYFUNCTION("""COMPUTED_VALUE"""),3.45)</f>
        <v>3.45</v>
      </c>
      <c r="G1279" s="2">
        <f>IFERROR(__xludf.DUMMYFUNCTION("""COMPUTED_VALUE"""),14654.0)</f>
        <v>14654</v>
      </c>
      <c r="H1279" s="2" t="str">
        <f>IFERROR(__xludf.DUMMYFUNCTION("""COMPUTED_VALUE"""),"United Kingdom")</f>
        <v>United Kingdom</v>
      </c>
      <c r="I1279" s="7">
        <f>IFERROR(__xludf.DUMMYFUNCTION("""COMPUTED_VALUE"""),40148.0)</f>
        <v>40148</v>
      </c>
      <c r="J1279" s="8">
        <f>IFERROR(__xludf.DUMMYFUNCTION("""COMPUTED_VALUE"""),0.5395833333350311)</f>
        <v>0.5395833333</v>
      </c>
      <c r="K1279" s="2">
        <f>IFERROR(__xludf.DUMMYFUNCTION("""COMPUTED_VALUE"""),12.0)</f>
        <v>12</v>
      </c>
      <c r="L1279" s="2">
        <f>IFERROR(__xludf.DUMMYFUNCTION("""COMPUTED_VALUE"""),27.6)</f>
        <v>27.6</v>
      </c>
    </row>
    <row r="1280">
      <c r="A1280" s="2">
        <f>IFERROR(__xludf.DUMMYFUNCTION("""COMPUTED_VALUE"""),489561.0)</f>
        <v>489561</v>
      </c>
      <c r="B1280" s="2" t="str">
        <f>IFERROR(__xludf.DUMMYFUNCTION("""COMPUTED_VALUE"""),"21034")</f>
        <v>21034</v>
      </c>
      <c r="C1280" s="2" t="str">
        <f>IFERROR(__xludf.DUMMYFUNCTION("""COMPUTED_VALUE"""),"REX CASH+CARRY JUMBO SHOPPER")</f>
        <v>REX CASH+CARRY JUMBO SHOPPER</v>
      </c>
      <c r="D1280" s="2">
        <f>IFERROR(__xludf.DUMMYFUNCTION("""COMPUTED_VALUE"""),1.0)</f>
        <v>1</v>
      </c>
      <c r="E1280" s="6">
        <f>IFERROR(__xludf.DUMMYFUNCTION("""COMPUTED_VALUE"""),40148.53958333333)</f>
        <v>40148.53958</v>
      </c>
      <c r="F1280" s="2">
        <f>IFERROR(__xludf.DUMMYFUNCTION("""COMPUTED_VALUE"""),0.95)</f>
        <v>0.95</v>
      </c>
      <c r="G1280" s="2">
        <f>IFERROR(__xludf.DUMMYFUNCTION("""COMPUTED_VALUE"""),14654.0)</f>
        <v>14654</v>
      </c>
      <c r="H1280" s="2" t="str">
        <f>IFERROR(__xludf.DUMMYFUNCTION("""COMPUTED_VALUE"""),"United Kingdom")</f>
        <v>United Kingdom</v>
      </c>
      <c r="I1280" s="7">
        <f>IFERROR(__xludf.DUMMYFUNCTION("""COMPUTED_VALUE"""),40148.0)</f>
        <v>40148</v>
      </c>
      <c r="J1280" s="8">
        <f>IFERROR(__xludf.DUMMYFUNCTION("""COMPUTED_VALUE"""),0.5395833333350311)</f>
        <v>0.5395833333</v>
      </c>
      <c r="K1280" s="2">
        <f>IFERROR(__xludf.DUMMYFUNCTION("""COMPUTED_VALUE"""),12.0)</f>
        <v>12</v>
      </c>
      <c r="L1280" s="2">
        <f>IFERROR(__xludf.DUMMYFUNCTION("""COMPUTED_VALUE"""),0.95)</f>
        <v>0.95</v>
      </c>
    </row>
    <row r="1281">
      <c r="A1281" s="2">
        <f>IFERROR(__xludf.DUMMYFUNCTION("""COMPUTED_VALUE"""),489562.0)</f>
        <v>489562</v>
      </c>
      <c r="B1281" s="2" t="str">
        <f>IFERROR(__xludf.DUMMYFUNCTION("""COMPUTED_VALUE"""),"22336")</f>
        <v>22336</v>
      </c>
      <c r="C1281" s="2" t="str">
        <f>IFERROR(__xludf.DUMMYFUNCTION("""COMPUTED_VALUE"""),"DOVE DECORATION PAINTED ZINC")</f>
        <v>DOVE DECORATION PAINTED ZINC</v>
      </c>
      <c r="D1281" s="2">
        <f>IFERROR(__xludf.DUMMYFUNCTION("""COMPUTED_VALUE"""),1.0)</f>
        <v>1</v>
      </c>
      <c r="E1281" s="6">
        <f>IFERROR(__xludf.DUMMYFUNCTION("""COMPUTED_VALUE"""),40148.54652777778)</f>
        <v>40148.54653</v>
      </c>
      <c r="F1281" s="2">
        <f>IFERROR(__xludf.DUMMYFUNCTION("""COMPUTED_VALUE"""),0.65)</f>
        <v>0.65</v>
      </c>
      <c r="G1281" s="2">
        <f>IFERROR(__xludf.DUMMYFUNCTION("""COMPUTED_VALUE"""),17998.0)</f>
        <v>17998</v>
      </c>
      <c r="H1281" s="2" t="str">
        <f>IFERROR(__xludf.DUMMYFUNCTION("""COMPUTED_VALUE"""),"United Kingdom")</f>
        <v>United Kingdom</v>
      </c>
      <c r="I1281" s="7">
        <f>IFERROR(__xludf.DUMMYFUNCTION("""COMPUTED_VALUE"""),40148.0)</f>
        <v>40148</v>
      </c>
      <c r="J1281" s="8">
        <f>IFERROR(__xludf.DUMMYFUNCTION("""COMPUTED_VALUE"""),0.546527777776646)</f>
        <v>0.5465277778</v>
      </c>
      <c r="K1281" s="2">
        <f>IFERROR(__xludf.DUMMYFUNCTION("""COMPUTED_VALUE"""),13.0)</f>
        <v>13</v>
      </c>
      <c r="L1281" s="2">
        <f>IFERROR(__xludf.DUMMYFUNCTION("""COMPUTED_VALUE"""),0.65)</f>
        <v>0.65</v>
      </c>
    </row>
    <row r="1282">
      <c r="A1282" s="2">
        <f>IFERROR(__xludf.DUMMYFUNCTION("""COMPUTED_VALUE"""),489562.0)</f>
        <v>489562</v>
      </c>
      <c r="B1282" s="2" t="str">
        <f>IFERROR(__xludf.DUMMYFUNCTION("""COMPUTED_VALUE"""),"21817")</f>
        <v>21817</v>
      </c>
      <c r="C1282" s="2" t="str">
        <f>IFERROR(__xludf.DUMMYFUNCTION("""COMPUTED_VALUE"""),"GLITTER CHRISTMAS TREE")</f>
        <v>GLITTER CHRISTMAS TREE</v>
      </c>
      <c r="D1282" s="2">
        <f>IFERROR(__xludf.DUMMYFUNCTION("""COMPUTED_VALUE"""),1.0)</f>
        <v>1</v>
      </c>
      <c r="E1282" s="6">
        <f>IFERROR(__xludf.DUMMYFUNCTION("""COMPUTED_VALUE"""),40148.54652777778)</f>
        <v>40148.54653</v>
      </c>
      <c r="F1282" s="2">
        <f>IFERROR(__xludf.DUMMYFUNCTION("""COMPUTED_VALUE"""),0.85)</f>
        <v>0.85</v>
      </c>
      <c r="G1282" s="2">
        <f>IFERROR(__xludf.DUMMYFUNCTION("""COMPUTED_VALUE"""),17998.0)</f>
        <v>17998</v>
      </c>
      <c r="H1282" s="2" t="str">
        <f>IFERROR(__xludf.DUMMYFUNCTION("""COMPUTED_VALUE"""),"United Kingdom")</f>
        <v>United Kingdom</v>
      </c>
      <c r="I1282" s="7">
        <f>IFERROR(__xludf.DUMMYFUNCTION("""COMPUTED_VALUE"""),40148.0)</f>
        <v>40148</v>
      </c>
      <c r="J1282" s="8">
        <f>IFERROR(__xludf.DUMMYFUNCTION("""COMPUTED_VALUE"""),0.546527777776646)</f>
        <v>0.5465277778</v>
      </c>
      <c r="K1282" s="2">
        <f>IFERROR(__xludf.DUMMYFUNCTION("""COMPUTED_VALUE"""),13.0)</f>
        <v>13</v>
      </c>
      <c r="L1282" s="2">
        <f>IFERROR(__xludf.DUMMYFUNCTION("""COMPUTED_VALUE"""),0.85)</f>
        <v>0.85</v>
      </c>
    </row>
    <row r="1283">
      <c r="A1283" s="2">
        <f>IFERROR(__xludf.DUMMYFUNCTION("""COMPUTED_VALUE"""),489562.0)</f>
        <v>489562</v>
      </c>
      <c r="B1283" s="2" t="str">
        <f>IFERROR(__xludf.DUMMYFUNCTION("""COMPUTED_VALUE"""),"22156")</f>
        <v>22156</v>
      </c>
      <c r="C1283" s="2" t="str">
        <f>IFERROR(__xludf.DUMMYFUNCTION("""COMPUTED_VALUE"""),"HEART DECORATION WITH PEARLS")</f>
        <v>HEART DECORATION WITH PEARLS</v>
      </c>
      <c r="D1283" s="2">
        <f>IFERROR(__xludf.DUMMYFUNCTION("""COMPUTED_VALUE"""),1.0)</f>
        <v>1</v>
      </c>
      <c r="E1283" s="6">
        <f>IFERROR(__xludf.DUMMYFUNCTION("""COMPUTED_VALUE"""),40148.54652777778)</f>
        <v>40148.54653</v>
      </c>
      <c r="F1283" s="2">
        <f>IFERROR(__xludf.DUMMYFUNCTION("""COMPUTED_VALUE"""),0.85)</f>
        <v>0.85</v>
      </c>
      <c r="G1283" s="2">
        <f>IFERROR(__xludf.DUMMYFUNCTION("""COMPUTED_VALUE"""),17998.0)</f>
        <v>17998</v>
      </c>
      <c r="H1283" s="2" t="str">
        <f>IFERROR(__xludf.DUMMYFUNCTION("""COMPUTED_VALUE"""),"United Kingdom")</f>
        <v>United Kingdom</v>
      </c>
      <c r="I1283" s="7">
        <f>IFERROR(__xludf.DUMMYFUNCTION("""COMPUTED_VALUE"""),40148.0)</f>
        <v>40148</v>
      </c>
      <c r="J1283" s="8">
        <f>IFERROR(__xludf.DUMMYFUNCTION("""COMPUTED_VALUE"""),0.546527777776646)</f>
        <v>0.5465277778</v>
      </c>
      <c r="K1283" s="2">
        <f>IFERROR(__xludf.DUMMYFUNCTION("""COMPUTED_VALUE"""),13.0)</f>
        <v>13</v>
      </c>
      <c r="L1283" s="2">
        <f>IFERROR(__xludf.DUMMYFUNCTION("""COMPUTED_VALUE"""),0.85)</f>
        <v>0.85</v>
      </c>
    </row>
    <row r="1284">
      <c r="A1284" s="2">
        <f>IFERROR(__xludf.DUMMYFUNCTION("""COMPUTED_VALUE"""),489562.0)</f>
        <v>489562</v>
      </c>
      <c r="B1284" s="2" t="str">
        <f>IFERROR(__xludf.DUMMYFUNCTION("""COMPUTED_VALUE"""),"22338")</f>
        <v>22338</v>
      </c>
      <c r="C1284" s="2" t="str">
        <f>IFERROR(__xludf.DUMMYFUNCTION("""COMPUTED_VALUE"""),"STAR DECORATION PAINTED ZINC")</f>
        <v>STAR DECORATION PAINTED ZINC</v>
      </c>
      <c r="D1284" s="2">
        <f>IFERROR(__xludf.DUMMYFUNCTION("""COMPUTED_VALUE"""),1.0)</f>
        <v>1</v>
      </c>
      <c r="E1284" s="6">
        <f>IFERROR(__xludf.DUMMYFUNCTION("""COMPUTED_VALUE"""),40148.54652777778)</f>
        <v>40148.54653</v>
      </c>
      <c r="F1284" s="2">
        <f>IFERROR(__xludf.DUMMYFUNCTION("""COMPUTED_VALUE"""),0.65)</f>
        <v>0.65</v>
      </c>
      <c r="G1284" s="2">
        <f>IFERROR(__xludf.DUMMYFUNCTION("""COMPUTED_VALUE"""),17998.0)</f>
        <v>17998</v>
      </c>
      <c r="H1284" s="2" t="str">
        <f>IFERROR(__xludf.DUMMYFUNCTION("""COMPUTED_VALUE"""),"United Kingdom")</f>
        <v>United Kingdom</v>
      </c>
      <c r="I1284" s="7">
        <f>IFERROR(__xludf.DUMMYFUNCTION("""COMPUTED_VALUE"""),40148.0)</f>
        <v>40148</v>
      </c>
      <c r="J1284" s="8">
        <f>IFERROR(__xludf.DUMMYFUNCTION("""COMPUTED_VALUE"""),0.546527777776646)</f>
        <v>0.5465277778</v>
      </c>
      <c r="K1284" s="2">
        <f>IFERROR(__xludf.DUMMYFUNCTION("""COMPUTED_VALUE"""),13.0)</f>
        <v>13</v>
      </c>
      <c r="L1284" s="2">
        <f>IFERROR(__xludf.DUMMYFUNCTION("""COMPUTED_VALUE"""),0.65)</f>
        <v>0.65</v>
      </c>
    </row>
    <row r="1285">
      <c r="A1285" s="2">
        <f>IFERROR(__xludf.DUMMYFUNCTION("""COMPUTED_VALUE"""),489562.0)</f>
        <v>489562</v>
      </c>
      <c r="B1285" s="2" t="str">
        <f>IFERROR(__xludf.DUMMYFUNCTION("""COMPUTED_VALUE"""),"21825")</f>
        <v>21825</v>
      </c>
      <c r="C1285" s="2" t="str">
        <f>IFERROR(__xludf.DUMMYFUNCTION("""COMPUTED_VALUE"""),"PAINTED METAL TREE WITH HOLLY BELLS")</f>
        <v>PAINTED METAL TREE WITH HOLLY BELLS</v>
      </c>
      <c r="D1285" s="2">
        <f>IFERROR(__xludf.DUMMYFUNCTION("""COMPUTED_VALUE"""),1.0)</f>
        <v>1</v>
      </c>
      <c r="E1285" s="6">
        <f>IFERROR(__xludf.DUMMYFUNCTION("""COMPUTED_VALUE"""),40148.54652777778)</f>
        <v>40148.54653</v>
      </c>
      <c r="F1285" s="2">
        <f>IFERROR(__xludf.DUMMYFUNCTION("""COMPUTED_VALUE"""),1.45)</f>
        <v>1.45</v>
      </c>
      <c r="G1285" s="2">
        <f>IFERROR(__xludf.DUMMYFUNCTION("""COMPUTED_VALUE"""),17998.0)</f>
        <v>17998</v>
      </c>
      <c r="H1285" s="2" t="str">
        <f>IFERROR(__xludf.DUMMYFUNCTION("""COMPUTED_VALUE"""),"United Kingdom")</f>
        <v>United Kingdom</v>
      </c>
      <c r="I1285" s="7">
        <f>IFERROR(__xludf.DUMMYFUNCTION("""COMPUTED_VALUE"""),40148.0)</f>
        <v>40148</v>
      </c>
      <c r="J1285" s="8">
        <f>IFERROR(__xludf.DUMMYFUNCTION("""COMPUTED_VALUE"""),0.546527777776646)</f>
        <v>0.5465277778</v>
      </c>
      <c r="K1285" s="2">
        <f>IFERROR(__xludf.DUMMYFUNCTION("""COMPUTED_VALUE"""),13.0)</f>
        <v>13</v>
      </c>
      <c r="L1285" s="2">
        <f>IFERROR(__xludf.DUMMYFUNCTION("""COMPUTED_VALUE"""),1.45)</f>
        <v>1.45</v>
      </c>
    </row>
    <row r="1286">
      <c r="A1286" s="2">
        <f>IFERROR(__xludf.DUMMYFUNCTION("""COMPUTED_VALUE"""),489562.0)</f>
        <v>489562</v>
      </c>
      <c r="B1286" s="2" t="str">
        <f>IFERROR(__xludf.DUMMYFUNCTION("""COMPUTED_VALUE"""),"21822")</f>
        <v>21822</v>
      </c>
      <c r="C1286" s="2" t="str">
        <f>IFERROR(__xludf.DUMMYFUNCTION("""COMPUTED_VALUE"""),"GLITTER CHRISTMAS TREE WITH BELLS")</f>
        <v>GLITTER CHRISTMAS TREE WITH BELLS</v>
      </c>
      <c r="D1286" s="2">
        <f>IFERROR(__xludf.DUMMYFUNCTION("""COMPUTED_VALUE"""),1.0)</f>
        <v>1</v>
      </c>
      <c r="E1286" s="6">
        <f>IFERROR(__xludf.DUMMYFUNCTION("""COMPUTED_VALUE"""),40148.54652777778)</f>
        <v>40148.54653</v>
      </c>
      <c r="F1286" s="2">
        <f>IFERROR(__xludf.DUMMYFUNCTION("""COMPUTED_VALUE"""),1.95)</f>
        <v>1.95</v>
      </c>
      <c r="G1286" s="2">
        <f>IFERROR(__xludf.DUMMYFUNCTION("""COMPUTED_VALUE"""),17998.0)</f>
        <v>17998</v>
      </c>
      <c r="H1286" s="2" t="str">
        <f>IFERROR(__xludf.DUMMYFUNCTION("""COMPUTED_VALUE"""),"United Kingdom")</f>
        <v>United Kingdom</v>
      </c>
      <c r="I1286" s="7">
        <f>IFERROR(__xludf.DUMMYFUNCTION("""COMPUTED_VALUE"""),40148.0)</f>
        <v>40148</v>
      </c>
      <c r="J1286" s="8">
        <f>IFERROR(__xludf.DUMMYFUNCTION("""COMPUTED_VALUE"""),0.546527777776646)</f>
        <v>0.5465277778</v>
      </c>
      <c r="K1286" s="2">
        <f>IFERROR(__xludf.DUMMYFUNCTION("""COMPUTED_VALUE"""),13.0)</f>
        <v>13</v>
      </c>
      <c r="L1286" s="2">
        <f>IFERROR(__xludf.DUMMYFUNCTION("""COMPUTED_VALUE"""),1.95)</f>
        <v>1.95</v>
      </c>
    </row>
    <row r="1287">
      <c r="A1287" s="2">
        <f>IFERROR(__xludf.DUMMYFUNCTION("""COMPUTED_VALUE"""),489562.0)</f>
        <v>489562</v>
      </c>
      <c r="B1287" s="2" t="str">
        <f>IFERROR(__xludf.DUMMYFUNCTION("""COMPUTED_VALUE"""),"22276")</f>
        <v>22276</v>
      </c>
      <c r="C1287" s="2" t="str">
        <f>IFERROR(__xludf.DUMMYFUNCTION("""COMPUTED_VALUE"""),"WASH BAG VINTAGE ROSE PAISLEY")</f>
        <v>WASH BAG VINTAGE ROSE PAISLEY</v>
      </c>
      <c r="D1287" s="2">
        <f>IFERROR(__xludf.DUMMYFUNCTION("""COMPUTED_VALUE"""),1.0)</f>
        <v>1</v>
      </c>
      <c r="E1287" s="6">
        <f>IFERROR(__xludf.DUMMYFUNCTION("""COMPUTED_VALUE"""),40148.54652777778)</f>
        <v>40148.54653</v>
      </c>
      <c r="F1287" s="2">
        <f>IFERROR(__xludf.DUMMYFUNCTION("""COMPUTED_VALUE"""),2.55)</f>
        <v>2.55</v>
      </c>
      <c r="G1287" s="2">
        <f>IFERROR(__xludf.DUMMYFUNCTION("""COMPUTED_VALUE"""),17998.0)</f>
        <v>17998</v>
      </c>
      <c r="H1287" s="2" t="str">
        <f>IFERROR(__xludf.DUMMYFUNCTION("""COMPUTED_VALUE"""),"United Kingdom")</f>
        <v>United Kingdom</v>
      </c>
      <c r="I1287" s="7">
        <f>IFERROR(__xludf.DUMMYFUNCTION("""COMPUTED_VALUE"""),40148.0)</f>
        <v>40148</v>
      </c>
      <c r="J1287" s="8">
        <f>IFERROR(__xludf.DUMMYFUNCTION("""COMPUTED_VALUE"""),0.546527777776646)</f>
        <v>0.5465277778</v>
      </c>
      <c r="K1287" s="2">
        <f>IFERROR(__xludf.DUMMYFUNCTION("""COMPUTED_VALUE"""),13.0)</f>
        <v>13</v>
      </c>
      <c r="L1287" s="2">
        <f>IFERROR(__xludf.DUMMYFUNCTION("""COMPUTED_VALUE"""),2.55)</f>
        <v>2.55</v>
      </c>
    </row>
    <row r="1288">
      <c r="A1288" s="2">
        <f>IFERROR(__xludf.DUMMYFUNCTION("""COMPUTED_VALUE"""),489562.0)</f>
        <v>489562</v>
      </c>
      <c r="B1288" s="2" t="str">
        <f>IFERROR(__xludf.DUMMYFUNCTION("""COMPUTED_VALUE"""),"22277")</f>
        <v>22277</v>
      </c>
      <c r="C1288" s="2" t="str">
        <f>IFERROR(__xludf.DUMMYFUNCTION("""COMPUTED_VALUE"""),"COSMETIC BAG VINTAGE ROSE PAISLEY")</f>
        <v>COSMETIC BAG VINTAGE ROSE PAISLEY</v>
      </c>
      <c r="D1288" s="2">
        <f>IFERROR(__xludf.DUMMYFUNCTION("""COMPUTED_VALUE"""),1.0)</f>
        <v>1</v>
      </c>
      <c r="E1288" s="6">
        <f>IFERROR(__xludf.DUMMYFUNCTION("""COMPUTED_VALUE"""),40148.54652777778)</f>
        <v>40148.54653</v>
      </c>
      <c r="F1288" s="2">
        <f>IFERROR(__xludf.DUMMYFUNCTION("""COMPUTED_VALUE"""),2.1)</f>
        <v>2.1</v>
      </c>
      <c r="G1288" s="2">
        <f>IFERROR(__xludf.DUMMYFUNCTION("""COMPUTED_VALUE"""),17998.0)</f>
        <v>17998</v>
      </c>
      <c r="H1288" s="2" t="str">
        <f>IFERROR(__xludf.DUMMYFUNCTION("""COMPUTED_VALUE"""),"United Kingdom")</f>
        <v>United Kingdom</v>
      </c>
      <c r="I1288" s="7">
        <f>IFERROR(__xludf.DUMMYFUNCTION("""COMPUTED_VALUE"""),40148.0)</f>
        <v>40148</v>
      </c>
      <c r="J1288" s="8">
        <f>IFERROR(__xludf.DUMMYFUNCTION("""COMPUTED_VALUE"""),0.546527777776646)</f>
        <v>0.5465277778</v>
      </c>
      <c r="K1288" s="2">
        <f>IFERROR(__xludf.DUMMYFUNCTION("""COMPUTED_VALUE"""),13.0)</f>
        <v>13</v>
      </c>
      <c r="L1288" s="2">
        <f>IFERROR(__xludf.DUMMYFUNCTION("""COMPUTED_VALUE"""),2.1)</f>
        <v>2.1</v>
      </c>
    </row>
    <row r="1289">
      <c r="A1289" s="2">
        <f>IFERROR(__xludf.DUMMYFUNCTION("""COMPUTED_VALUE"""),489562.0)</f>
        <v>489562</v>
      </c>
      <c r="B1289" s="2" t="str">
        <f>IFERROR(__xludf.DUMMYFUNCTION("""COMPUTED_VALUE"""),"35979")</f>
        <v>35979</v>
      </c>
      <c r="C1289" s="2" t="str">
        <f>IFERROR(__xludf.DUMMYFUNCTION("""COMPUTED_VALUE"""),"SIX STRING SCANDINAVIAN HEART DECS")</f>
        <v>SIX STRING SCANDINAVIAN HEART DECS</v>
      </c>
      <c r="D1289" s="2">
        <f>IFERROR(__xludf.DUMMYFUNCTION("""COMPUTED_VALUE"""),1.0)</f>
        <v>1</v>
      </c>
      <c r="E1289" s="6">
        <f>IFERROR(__xludf.DUMMYFUNCTION("""COMPUTED_VALUE"""),40148.54652777778)</f>
        <v>40148.54653</v>
      </c>
      <c r="F1289" s="2">
        <f>IFERROR(__xludf.DUMMYFUNCTION("""COMPUTED_VALUE"""),2.95)</f>
        <v>2.95</v>
      </c>
      <c r="G1289" s="2">
        <f>IFERROR(__xludf.DUMMYFUNCTION("""COMPUTED_VALUE"""),17998.0)</f>
        <v>17998</v>
      </c>
      <c r="H1289" s="2" t="str">
        <f>IFERROR(__xludf.DUMMYFUNCTION("""COMPUTED_VALUE"""),"United Kingdom")</f>
        <v>United Kingdom</v>
      </c>
      <c r="I1289" s="7">
        <f>IFERROR(__xludf.DUMMYFUNCTION("""COMPUTED_VALUE"""),40148.0)</f>
        <v>40148</v>
      </c>
      <c r="J1289" s="8">
        <f>IFERROR(__xludf.DUMMYFUNCTION("""COMPUTED_VALUE"""),0.546527777776646)</f>
        <v>0.5465277778</v>
      </c>
      <c r="K1289" s="2">
        <f>IFERROR(__xludf.DUMMYFUNCTION("""COMPUTED_VALUE"""),13.0)</f>
        <v>13</v>
      </c>
      <c r="L1289" s="2">
        <f>IFERROR(__xludf.DUMMYFUNCTION("""COMPUTED_VALUE"""),2.95)</f>
        <v>2.95</v>
      </c>
    </row>
    <row r="1290">
      <c r="A1290" s="2">
        <f>IFERROR(__xludf.DUMMYFUNCTION("""COMPUTED_VALUE"""),489562.0)</f>
        <v>489562</v>
      </c>
      <c r="B1290" s="2" t="str">
        <f>IFERROR(__xludf.DUMMYFUNCTION("""COMPUTED_VALUE"""),"22169")</f>
        <v>22169</v>
      </c>
      <c r="C1290" s="2" t="str">
        <f>IFERROR(__xludf.DUMMYFUNCTION("""COMPUTED_VALUE"""),"FAMILY ALBUM WHITE PICTURE FRAME")</f>
        <v>FAMILY ALBUM WHITE PICTURE FRAME</v>
      </c>
      <c r="D1290" s="2">
        <f>IFERROR(__xludf.DUMMYFUNCTION("""COMPUTED_VALUE"""),1.0)</f>
        <v>1</v>
      </c>
      <c r="E1290" s="6">
        <f>IFERROR(__xludf.DUMMYFUNCTION("""COMPUTED_VALUE"""),40148.54652777778)</f>
        <v>40148.54653</v>
      </c>
      <c r="F1290" s="2">
        <f>IFERROR(__xludf.DUMMYFUNCTION("""COMPUTED_VALUE"""),8.5)</f>
        <v>8.5</v>
      </c>
      <c r="G1290" s="2">
        <f>IFERROR(__xludf.DUMMYFUNCTION("""COMPUTED_VALUE"""),17998.0)</f>
        <v>17998</v>
      </c>
      <c r="H1290" s="2" t="str">
        <f>IFERROR(__xludf.DUMMYFUNCTION("""COMPUTED_VALUE"""),"United Kingdom")</f>
        <v>United Kingdom</v>
      </c>
      <c r="I1290" s="7">
        <f>IFERROR(__xludf.DUMMYFUNCTION("""COMPUTED_VALUE"""),40148.0)</f>
        <v>40148</v>
      </c>
      <c r="J1290" s="8">
        <f>IFERROR(__xludf.DUMMYFUNCTION("""COMPUTED_VALUE"""),0.546527777776646)</f>
        <v>0.5465277778</v>
      </c>
      <c r="K1290" s="2">
        <f>IFERROR(__xludf.DUMMYFUNCTION("""COMPUTED_VALUE"""),13.0)</f>
        <v>13</v>
      </c>
      <c r="L1290" s="2">
        <f>IFERROR(__xludf.DUMMYFUNCTION("""COMPUTED_VALUE"""),8.5)</f>
        <v>8.5</v>
      </c>
    </row>
    <row r="1291">
      <c r="A1291" s="2">
        <f>IFERROR(__xludf.DUMMYFUNCTION("""COMPUTED_VALUE"""),489562.0)</f>
        <v>489562</v>
      </c>
      <c r="B1291" s="2" t="str">
        <f>IFERROR(__xludf.DUMMYFUNCTION("""COMPUTED_VALUE"""),"21700")</f>
        <v>21700</v>
      </c>
      <c r="C1291" s="2" t="str">
        <f>IFERROR(__xludf.DUMMYFUNCTION("""COMPUTED_VALUE"""),"BIG DOUGHNUT FRIDGE MAGNETS")</f>
        <v>BIG DOUGHNUT FRIDGE MAGNETS</v>
      </c>
      <c r="D1291" s="2">
        <f>IFERROR(__xludf.DUMMYFUNCTION("""COMPUTED_VALUE"""),12.0)</f>
        <v>12</v>
      </c>
      <c r="E1291" s="6">
        <f>IFERROR(__xludf.DUMMYFUNCTION("""COMPUTED_VALUE"""),40148.54652777778)</f>
        <v>40148.54653</v>
      </c>
      <c r="F1291" s="2">
        <f>IFERROR(__xludf.DUMMYFUNCTION("""COMPUTED_VALUE"""),0.85)</f>
        <v>0.85</v>
      </c>
      <c r="G1291" s="2">
        <f>IFERROR(__xludf.DUMMYFUNCTION("""COMPUTED_VALUE"""),17998.0)</f>
        <v>17998</v>
      </c>
      <c r="H1291" s="2" t="str">
        <f>IFERROR(__xludf.DUMMYFUNCTION("""COMPUTED_VALUE"""),"United Kingdom")</f>
        <v>United Kingdom</v>
      </c>
      <c r="I1291" s="7">
        <f>IFERROR(__xludf.DUMMYFUNCTION("""COMPUTED_VALUE"""),40148.0)</f>
        <v>40148</v>
      </c>
      <c r="J1291" s="8">
        <f>IFERROR(__xludf.DUMMYFUNCTION("""COMPUTED_VALUE"""),0.546527777776646)</f>
        <v>0.5465277778</v>
      </c>
      <c r="K1291" s="2">
        <f>IFERROR(__xludf.DUMMYFUNCTION("""COMPUTED_VALUE"""),13.0)</f>
        <v>13</v>
      </c>
      <c r="L1291" s="2">
        <f>IFERROR(__xludf.DUMMYFUNCTION("""COMPUTED_VALUE"""),10.2)</f>
        <v>10.2</v>
      </c>
    </row>
    <row r="1292">
      <c r="A1292" s="2">
        <f>IFERROR(__xludf.DUMMYFUNCTION("""COMPUTED_VALUE"""),489562.0)</f>
        <v>489562</v>
      </c>
      <c r="B1292" s="2" t="str">
        <f>IFERROR(__xludf.DUMMYFUNCTION("""COMPUTED_VALUE"""),"35071")</f>
        <v>35071</v>
      </c>
      <c r="C1292" s="2" t="str">
        <f>IFERROR(__xludf.DUMMYFUNCTION("""COMPUTED_VALUE"""),"ASSORTED SANTA CHRISTMAS DECORATION")</f>
        <v>ASSORTED SANTA CHRISTMAS DECORATION</v>
      </c>
      <c r="D1292" s="2">
        <f>IFERROR(__xludf.DUMMYFUNCTION("""COMPUTED_VALUE"""),1.0)</f>
        <v>1</v>
      </c>
      <c r="E1292" s="6">
        <f>IFERROR(__xludf.DUMMYFUNCTION("""COMPUTED_VALUE"""),40148.54652777778)</f>
        <v>40148.54653</v>
      </c>
      <c r="F1292" s="2">
        <f>IFERROR(__xludf.DUMMYFUNCTION("""COMPUTED_VALUE"""),0.85)</f>
        <v>0.85</v>
      </c>
      <c r="G1292" s="2">
        <f>IFERROR(__xludf.DUMMYFUNCTION("""COMPUTED_VALUE"""),17998.0)</f>
        <v>17998</v>
      </c>
      <c r="H1292" s="2" t="str">
        <f>IFERROR(__xludf.DUMMYFUNCTION("""COMPUTED_VALUE"""),"United Kingdom")</f>
        <v>United Kingdom</v>
      </c>
      <c r="I1292" s="7">
        <f>IFERROR(__xludf.DUMMYFUNCTION("""COMPUTED_VALUE"""),40148.0)</f>
        <v>40148</v>
      </c>
      <c r="J1292" s="8">
        <f>IFERROR(__xludf.DUMMYFUNCTION("""COMPUTED_VALUE"""),0.546527777776646)</f>
        <v>0.5465277778</v>
      </c>
      <c r="K1292" s="2">
        <f>IFERROR(__xludf.DUMMYFUNCTION("""COMPUTED_VALUE"""),13.0)</f>
        <v>13</v>
      </c>
      <c r="L1292" s="2">
        <f>IFERROR(__xludf.DUMMYFUNCTION("""COMPUTED_VALUE"""),0.85)</f>
        <v>0.85</v>
      </c>
    </row>
    <row r="1293">
      <c r="A1293" s="2">
        <f>IFERROR(__xludf.DUMMYFUNCTION("""COMPUTED_VALUE"""),489562.0)</f>
        <v>489562</v>
      </c>
      <c r="B1293" s="2" t="str">
        <f>IFERROR(__xludf.DUMMYFUNCTION("""COMPUTED_VALUE"""),"84270")</f>
        <v>84270</v>
      </c>
      <c r="C1293" s="2" t="str">
        <f>IFERROR(__xludf.DUMMYFUNCTION("""COMPUTED_VALUE"""),"ASSTD DESIGN BUBBLE GUM RING")</f>
        <v>ASSTD DESIGN BUBBLE GUM RING</v>
      </c>
      <c r="D1293" s="2">
        <f>IFERROR(__xludf.DUMMYFUNCTION("""COMPUTED_VALUE"""),30.0)</f>
        <v>30</v>
      </c>
      <c r="E1293" s="6">
        <f>IFERROR(__xludf.DUMMYFUNCTION("""COMPUTED_VALUE"""),40148.54652777778)</f>
        <v>40148.54653</v>
      </c>
      <c r="F1293" s="2">
        <f>IFERROR(__xludf.DUMMYFUNCTION("""COMPUTED_VALUE"""),0.21)</f>
        <v>0.21</v>
      </c>
      <c r="G1293" s="2">
        <f>IFERROR(__xludf.DUMMYFUNCTION("""COMPUTED_VALUE"""),17998.0)</f>
        <v>17998</v>
      </c>
      <c r="H1293" s="2" t="str">
        <f>IFERROR(__xludf.DUMMYFUNCTION("""COMPUTED_VALUE"""),"United Kingdom")</f>
        <v>United Kingdom</v>
      </c>
      <c r="I1293" s="7">
        <f>IFERROR(__xludf.DUMMYFUNCTION("""COMPUTED_VALUE"""),40148.0)</f>
        <v>40148</v>
      </c>
      <c r="J1293" s="8">
        <f>IFERROR(__xludf.DUMMYFUNCTION("""COMPUTED_VALUE"""),0.546527777776646)</f>
        <v>0.5465277778</v>
      </c>
      <c r="K1293" s="2">
        <f>IFERROR(__xludf.DUMMYFUNCTION("""COMPUTED_VALUE"""),13.0)</f>
        <v>13</v>
      </c>
      <c r="L1293" s="2">
        <f>IFERROR(__xludf.DUMMYFUNCTION("""COMPUTED_VALUE"""),6.3)</f>
        <v>6.3</v>
      </c>
    </row>
    <row r="1294">
      <c r="A1294" s="2">
        <f>IFERROR(__xludf.DUMMYFUNCTION("""COMPUTED_VALUE"""),489562.0)</f>
        <v>489562</v>
      </c>
      <c r="B1294" s="2" t="str">
        <f>IFERROR(__xludf.DUMMYFUNCTION("""COMPUTED_VALUE"""),"21890")</f>
        <v>21890</v>
      </c>
      <c r="C1294" s="2" t="str">
        <f>IFERROR(__xludf.DUMMYFUNCTION("""COMPUTED_VALUE"""),"S/6 WOODEN SKITTLES IN COTTON BAG")</f>
        <v>S/6 WOODEN SKITTLES IN COTTON BAG</v>
      </c>
      <c r="D1294" s="2">
        <f>IFERROR(__xludf.DUMMYFUNCTION("""COMPUTED_VALUE"""),2.0)</f>
        <v>2</v>
      </c>
      <c r="E1294" s="6">
        <f>IFERROR(__xludf.DUMMYFUNCTION("""COMPUTED_VALUE"""),40148.54652777778)</f>
        <v>40148.54653</v>
      </c>
      <c r="F1294" s="2">
        <f>IFERROR(__xludf.DUMMYFUNCTION("""COMPUTED_VALUE"""),2.95)</f>
        <v>2.95</v>
      </c>
      <c r="G1294" s="2">
        <f>IFERROR(__xludf.DUMMYFUNCTION("""COMPUTED_VALUE"""),17998.0)</f>
        <v>17998</v>
      </c>
      <c r="H1294" s="2" t="str">
        <f>IFERROR(__xludf.DUMMYFUNCTION("""COMPUTED_VALUE"""),"United Kingdom")</f>
        <v>United Kingdom</v>
      </c>
      <c r="I1294" s="7">
        <f>IFERROR(__xludf.DUMMYFUNCTION("""COMPUTED_VALUE"""),40148.0)</f>
        <v>40148</v>
      </c>
      <c r="J1294" s="8">
        <f>IFERROR(__xludf.DUMMYFUNCTION("""COMPUTED_VALUE"""),0.546527777776646)</f>
        <v>0.5465277778</v>
      </c>
      <c r="K1294" s="2">
        <f>IFERROR(__xludf.DUMMYFUNCTION("""COMPUTED_VALUE"""),13.0)</f>
        <v>13</v>
      </c>
      <c r="L1294" s="2">
        <f>IFERROR(__xludf.DUMMYFUNCTION("""COMPUTED_VALUE"""),5.9)</f>
        <v>5.9</v>
      </c>
    </row>
    <row r="1295">
      <c r="A1295" s="2">
        <f>IFERROR(__xludf.DUMMYFUNCTION("""COMPUTED_VALUE"""),489562.0)</f>
        <v>489562</v>
      </c>
      <c r="B1295" s="2" t="str">
        <f>IFERROR(__xludf.DUMMYFUNCTION("""COMPUTED_VALUE"""),"21891")</f>
        <v>21891</v>
      </c>
      <c r="C1295" s="2" t="str">
        <f>IFERROR(__xludf.DUMMYFUNCTION("""COMPUTED_VALUE"""),"TRADITIONAL WOODEN SKIPPING ROPE")</f>
        <v>TRADITIONAL WOODEN SKIPPING ROPE</v>
      </c>
      <c r="D1295" s="2">
        <f>IFERROR(__xludf.DUMMYFUNCTION("""COMPUTED_VALUE"""),2.0)</f>
        <v>2</v>
      </c>
      <c r="E1295" s="6">
        <f>IFERROR(__xludf.DUMMYFUNCTION("""COMPUTED_VALUE"""),40148.54652777778)</f>
        <v>40148.54653</v>
      </c>
      <c r="F1295" s="2">
        <f>IFERROR(__xludf.DUMMYFUNCTION("""COMPUTED_VALUE"""),1.25)</f>
        <v>1.25</v>
      </c>
      <c r="G1295" s="2">
        <f>IFERROR(__xludf.DUMMYFUNCTION("""COMPUTED_VALUE"""),17998.0)</f>
        <v>17998</v>
      </c>
      <c r="H1295" s="2" t="str">
        <f>IFERROR(__xludf.DUMMYFUNCTION("""COMPUTED_VALUE"""),"United Kingdom")</f>
        <v>United Kingdom</v>
      </c>
      <c r="I1295" s="7">
        <f>IFERROR(__xludf.DUMMYFUNCTION("""COMPUTED_VALUE"""),40148.0)</f>
        <v>40148</v>
      </c>
      <c r="J1295" s="8">
        <f>IFERROR(__xludf.DUMMYFUNCTION("""COMPUTED_VALUE"""),0.546527777776646)</f>
        <v>0.5465277778</v>
      </c>
      <c r="K1295" s="2">
        <f>IFERROR(__xludf.DUMMYFUNCTION("""COMPUTED_VALUE"""),13.0)</f>
        <v>13</v>
      </c>
      <c r="L1295" s="2">
        <f>IFERROR(__xludf.DUMMYFUNCTION("""COMPUTED_VALUE"""),2.5)</f>
        <v>2.5</v>
      </c>
    </row>
    <row r="1296">
      <c r="A1296" s="2">
        <f>IFERROR(__xludf.DUMMYFUNCTION("""COMPUTED_VALUE"""),489562.0)</f>
        <v>489562</v>
      </c>
      <c r="B1296" s="2" t="str">
        <f>IFERROR(__xludf.DUMMYFUNCTION("""COMPUTED_VALUE"""),"47566")</f>
        <v>47566</v>
      </c>
      <c r="C1296" s="2" t="str">
        <f>IFERROR(__xludf.DUMMYFUNCTION("""COMPUTED_VALUE"""),"PARTY BUNTING")</f>
        <v>PARTY BUNTING</v>
      </c>
      <c r="D1296" s="2">
        <f>IFERROR(__xludf.DUMMYFUNCTION("""COMPUTED_VALUE"""),1.0)</f>
        <v>1</v>
      </c>
      <c r="E1296" s="6">
        <f>IFERROR(__xludf.DUMMYFUNCTION("""COMPUTED_VALUE"""),40148.54652777778)</f>
        <v>40148.54653</v>
      </c>
      <c r="F1296" s="2">
        <f>IFERROR(__xludf.DUMMYFUNCTION("""COMPUTED_VALUE"""),4.65)</f>
        <v>4.65</v>
      </c>
      <c r="G1296" s="2">
        <f>IFERROR(__xludf.DUMMYFUNCTION("""COMPUTED_VALUE"""),17998.0)</f>
        <v>17998</v>
      </c>
      <c r="H1296" s="2" t="str">
        <f>IFERROR(__xludf.DUMMYFUNCTION("""COMPUTED_VALUE"""),"United Kingdom")</f>
        <v>United Kingdom</v>
      </c>
      <c r="I1296" s="7">
        <f>IFERROR(__xludf.DUMMYFUNCTION("""COMPUTED_VALUE"""),40148.0)</f>
        <v>40148</v>
      </c>
      <c r="J1296" s="8">
        <f>IFERROR(__xludf.DUMMYFUNCTION("""COMPUTED_VALUE"""),0.546527777776646)</f>
        <v>0.5465277778</v>
      </c>
      <c r="K1296" s="2">
        <f>IFERROR(__xludf.DUMMYFUNCTION("""COMPUTED_VALUE"""),13.0)</f>
        <v>13</v>
      </c>
      <c r="L1296" s="2">
        <f>IFERROR(__xludf.DUMMYFUNCTION("""COMPUTED_VALUE"""),4.65)</f>
        <v>4.65</v>
      </c>
    </row>
    <row r="1297">
      <c r="A1297" s="2">
        <f>IFERROR(__xludf.DUMMYFUNCTION("""COMPUTED_VALUE"""),489562.0)</f>
        <v>489562</v>
      </c>
      <c r="B1297" s="2" t="str">
        <f>IFERROR(__xludf.DUMMYFUNCTION("""COMPUTED_VALUE"""),"21344")</f>
        <v>21344</v>
      </c>
      <c r="C1297" s="2" t="str">
        <f>IFERROR(__xludf.DUMMYFUNCTION("""COMPUTED_VALUE"""),"MOROCCAN BEATEN METAL DISH")</f>
        <v>MOROCCAN BEATEN METAL DISH</v>
      </c>
      <c r="D1297" s="2">
        <f>IFERROR(__xludf.DUMMYFUNCTION("""COMPUTED_VALUE"""),1.0)</f>
        <v>1</v>
      </c>
      <c r="E1297" s="6">
        <f>IFERROR(__xludf.DUMMYFUNCTION("""COMPUTED_VALUE"""),40148.54652777778)</f>
        <v>40148.54653</v>
      </c>
      <c r="F1297" s="2">
        <f>IFERROR(__xludf.DUMMYFUNCTION("""COMPUTED_VALUE"""),9.95)</f>
        <v>9.95</v>
      </c>
      <c r="G1297" s="2">
        <f>IFERROR(__xludf.DUMMYFUNCTION("""COMPUTED_VALUE"""),17998.0)</f>
        <v>17998</v>
      </c>
      <c r="H1297" s="2" t="str">
        <f>IFERROR(__xludf.DUMMYFUNCTION("""COMPUTED_VALUE"""),"United Kingdom")</f>
        <v>United Kingdom</v>
      </c>
      <c r="I1297" s="7">
        <f>IFERROR(__xludf.DUMMYFUNCTION("""COMPUTED_VALUE"""),40148.0)</f>
        <v>40148</v>
      </c>
      <c r="J1297" s="8">
        <f>IFERROR(__xludf.DUMMYFUNCTION("""COMPUTED_VALUE"""),0.546527777776646)</f>
        <v>0.5465277778</v>
      </c>
      <c r="K1297" s="2">
        <f>IFERROR(__xludf.DUMMYFUNCTION("""COMPUTED_VALUE"""),13.0)</f>
        <v>13</v>
      </c>
      <c r="L1297" s="2">
        <f>IFERROR(__xludf.DUMMYFUNCTION("""COMPUTED_VALUE"""),9.95)</f>
        <v>9.95</v>
      </c>
    </row>
    <row r="1298">
      <c r="A1298" s="2">
        <f>IFERROR(__xludf.DUMMYFUNCTION("""COMPUTED_VALUE"""),489562.0)</f>
        <v>489562</v>
      </c>
      <c r="B1298" s="2" t="str">
        <f>IFERROR(__xludf.DUMMYFUNCTION("""COMPUTED_VALUE"""),"21755")</f>
        <v>21755</v>
      </c>
      <c r="C1298" s="2" t="str">
        <f>IFERROR(__xludf.DUMMYFUNCTION("""COMPUTED_VALUE"""),"LOVE BUILDING BLOCK WORD")</f>
        <v>LOVE BUILDING BLOCK WORD</v>
      </c>
      <c r="D1298" s="2">
        <f>IFERROR(__xludf.DUMMYFUNCTION("""COMPUTED_VALUE"""),1.0)</f>
        <v>1</v>
      </c>
      <c r="E1298" s="6">
        <f>IFERROR(__xludf.DUMMYFUNCTION("""COMPUTED_VALUE"""),40148.54652777778)</f>
        <v>40148.54653</v>
      </c>
      <c r="F1298" s="2">
        <f>IFERROR(__xludf.DUMMYFUNCTION("""COMPUTED_VALUE"""),5.95)</f>
        <v>5.95</v>
      </c>
      <c r="G1298" s="2">
        <f>IFERROR(__xludf.DUMMYFUNCTION("""COMPUTED_VALUE"""),17998.0)</f>
        <v>17998</v>
      </c>
      <c r="H1298" s="2" t="str">
        <f>IFERROR(__xludf.DUMMYFUNCTION("""COMPUTED_VALUE"""),"United Kingdom")</f>
        <v>United Kingdom</v>
      </c>
      <c r="I1298" s="7">
        <f>IFERROR(__xludf.DUMMYFUNCTION("""COMPUTED_VALUE"""),40148.0)</f>
        <v>40148</v>
      </c>
      <c r="J1298" s="8">
        <f>IFERROR(__xludf.DUMMYFUNCTION("""COMPUTED_VALUE"""),0.546527777776646)</f>
        <v>0.5465277778</v>
      </c>
      <c r="K1298" s="2">
        <f>IFERROR(__xludf.DUMMYFUNCTION("""COMPUTED_VALUE"""),13.0)</f>
        <v>13</v>
      </c>
      <c r="L1298" s="2">
        <f>IFERROR(__xludf.DUMMYFUNCTION("""COMPUTED_VALUE"""),5.95)</f>
        <v>5.95</v>
      </c>
    </row>
    <row r="1299">
      <c r="A1299" s="2">
        <f>IFERROR(__xludf.DUMMYFUNCTION("""COMPUTED_VALUE"""),489562.0)</f>
        <v>489562</v>
      </c>
      <c r="B1299" s="2" t="str">
        <f>IFERROR(__xludf.DUMMYFUNCTION("""COMPUTED_VALUE"""),"21477")</f>
        <v>21477</v>
      </c>
      <c r="C1299" s="2" t="str">
        <f>IFERROR(__xludf.DUMMYFUNCTION("""COMPUTED_VALUE"""),"STRING OF 20 ROSE LIGHTS")</f>
        <v>STRING OF 20 ROSE LIGHTS</v>
      </c>
      <c r="D1299" s="2">
        <f>IFERROR(__xludf.DUMMYFUNCTION("""COMPUTED_VALUE"""),1.0)</f>
        <v>1</v>
      </c>
      <c r="E1299" s="6">
        <f>IFERROR(__xludf.DUMMYFUNCTION("""COMPUTED_VALUE"""),40148.54652777778)</f>
        <v>40148.54653</v>
      </c>
      <c r="F1299" s="2">
        <f>IFERROR(__xludf.DUMMYFUNCTION("""COMPUTED_VALUE"""),12.75)</f>
        <v>12.75</v>
      </c>
      <c r="G1299" s="2">
        <f>IFERROR(__xludf.DUMMYFUNCTION("""COMPUTED_VALUE"""),17998.0)</f>
        <v>17998</v>
      </c>
      <c r="H1299" s="2" t="str">
        <f>IFERROR(__xludf.DUMMYFUNCTION("""COMPUTED_VALUE"""),"United Kingdom")</f>
        <v>United Kingdom</v>
      </c>
      <c r="I1299" s="7">
        <f>IFERROR(__xludf.DUMMYFUNCTION("""COMPUTED_VALUE"""),40148.0)</f>
        <v>40148</v>
      </c>
      <c r="J1299" s="8">
        <f>IFERROR(__xludf.DUMMYFUNCTION("""COMPUTED_VALUE"""),0.546527777776646)</f>
        <v>0.5465277778</v>
      </c>
      <c r="K1299" s="2">
        <f>IFERROR(__xludf.DUMMYFUNCTION("""COMPUTED_VALUE"""),13.0)</f>
        <v>13</v>
      </c>
      <c r="L1299" s="2">
        <f>IFERROR(__xludf.DUMMYFUNCTION("""COMPUTED_VALUE"""),12.75)</f>
        <v>12.75</v>
      </c>
    </row>
    <row r="1300">
      <c r="A1300" s="2">
        <f>IFERROR(__xludf.DUMMYFUNCTION("""COMPUTED_VALUE"""),489562.0)</f>
        <v>489562</v>
      </c>
      <c r="B1300" s="2" t="str">
        <f>IFERROR(__xludf.DUMMYFUNCTION("""COMPUTED_VALUE"""),"22143")</f>
        <v>22143</v>
      </c>
      <c r="C1300" s="2" t="str">
        <f>IFERROR(__xludf.DUMMYFUNCTION("""COMPUTED_VALUE"""),"CHRISTMAS CRAFT HEART DECORATIONS")</f>
        <v>CHRISTMAS CRAFT HEART DECORATIONS</v>
      </c>
      <c r="D1300" s="2">
        <f>IFERROR(__xludf.DUMMYFUNCTION("""COMPUTED_VALUE"""),1.0)</f>
        <v>1</v>
      </c>
      <c r="E1300" s="6">
        <f>IFERROR(__xludf.DUMMYFUNCTION("""COMPUTED_VALUE"""),40148.54652777778)</f>
        <v>40148.54653</v>
      </c>
      <c r="F1300" s="2">
        <f>IFERROR(__xludf.DUMMYFUNCTION("""COMPUTED_VALUE"""),2.1)</f>
        <v>2.1</v>
      </c>
      <c r="G1300" s="2">
        <f>IFERROR(__xludf.DUMMYFUNCTION("""COMPUTED_VALUE"""),17998.0)</f>
        <v>17998</v>
      </c>
      <c r="H1300" s="2" t="str">
        <f>IFERROR(__xludf.DUMMYFUNCTION("""COMPUTED_VALUE"""),"United Kingdom")</f>
        <v>United Kingdom</v>
      </c>
      <c r="I1300" s="7">
        <f>IFERROR(__xludf.DUMMYFUNCTION("""COMPUTED_VALUE"""),40148.0)</f>
        <v>40148</v>
      </c>
      <c r="J1300" s="8">
        <f>IFERROR(__xludf.DUMMYFUNCTION("""COMPUTED_VALUE"""),0.546527777776646)</f>
        <v>0.5465277778</v>
      </c>
      <c r="K1300" s="2">
        <f>IFERROR(__xludf.DUMMYFUNCTION("""COMPUTED_VALUE"""),13.0)</f>
        <v>13</v>
      </c>
      <c r="L1300" s="2">
        <f>IFERROR(__xludf.DUMMYFUNCTION("""COMPUTED_VALUE"""),2.1)</f>
        <v>2.1</v>
      </c>
    </row>
    <row r="1301">
      <c r="A1301" s="2">
        <f>IFERROR(__xludf.DUMMYFUNCTION("""COMPUTED_VALUE"""),489562.0)</f>
        <v>489562</v>
      </c>
      <c r="B1301" s="2" t="str">
        <f>IFERROR(__xludf.DUMMYFUNCTION("""COMPUTED_VALUE"""),"22142")</f>
        <v>22142</v>
      </c>
      <c r="C1301" s="2" t="str">
        <f>IFERROR(__xludf.DUMMYFUNCTION("""COMPUTED_VALUE"""),"CHRISTMAS CRAFT WHITE FAIRY")</f>
        <v>CHRISTMAS CRAFT WHITE FAIRY</v>
      </c>
      <c r="D1301" s="2">
        <f>IFERROR(__xludf.DUMMYFUNCTION("""COMPUTED_VALUE"""),1.0)</f>
        <v>1</v>
      </c>
      <c r="E1301" s="6">
        <f>IFERROR(__xludf.DUMMYFUNCTION("""COMPUTED_VALUE"""),40148.54652777778)</f>
        <v>40148.54653</v>
      </c>
      <c r="F1301" s="2">
        <f>IFERROR(__xludf.DUMMYFUNCTION("""COMPUTED_VALUE"""),1.45)</f>
        <v>1.45</v>
      </c>
      <c r="G1301" s="2">
        <f>IFERROR(__xludf.DUMMYFUNCTION("""COMPUTED_VALUE"""),17998.0)</f>
        <v>17998</v>
      </c>
      <c r="H1301" s="2" t="str">
        <f>IFERROR(__xludf.DUMMYFUNCTION("""COMPUTED_VALUE"""),"United Kingdom")</f>
        <v>United Kingdom</v>
      </c>
      <c r="I1301" s="7">
        <f>IFERROR(__xludf.DUMMYFUNCTION("""COMPUTED_VALUE"""),40148.0)</f>
        <v>40148</v>
      </c>
      <c r="J1301" s="8">
        <f>IFERROR(__xludf.DUMMYFUNCTION("""COMPUTED_VALUE"""),0.546527777776646)</f>
        <v>0.5465277778</v>
      </c>
      <c r="K1301" s="2">
        <f>IFERROR(__xludf.DUMMYFUNCTION("""COMPUTED_VALUE"""),13.0)</f>
        <v>13</v>
      </c>
      <c r="L1301" s="2">
        <f>IFERROR(__xludf.DUMMYFUNCTION("""COMPUTED_VALUE"""),1.45)</f>
        <v>1.45</v>
      </c>
    </row>
    <row r="1302">
      <c r="A1302" s="2">
        <f>IFERROR(__xludf.DUMMYFUNCTION("""COMPUTED_VALUE"""),489562.0)</f>
        <v>489562</v>
      </c>
      <c r="B1302" s="2" t="str">
        <f>IFERROR(__xludf.DUMMYFUNCTION("""COMPUTED_VALUE"""),"85047")</f>
        <v>85047</v>
      </c>
      <c r="C1302" s="2" t="str">
        <f>IFERROR(__xludf.DUMMYFUNCTION("""COMPUTED_VALUE"""),"WHITE BEADED GARLAND STRING 20LIGHT")</f>
        <v>WHITE BEADED GARLAND STRING 20LIGHT</v>
      </c>
      <c r="D1302" s="2">
        <f>IFERROR(__xludf.DUMMYFUNCTION("""COMPUTED_VALUE"""),1.0)</f>
        <v>1</v>
      </c>
      <c r="E1302" s="6">
        <f>IFERROR(__xludf.DUMMYFUNCTION("""COMPUTED_VALUE"""),40148.54652777778)</f>
        <v>40148.54653</v>
      </c>
      <c r="F1302" s="2">
        <f>IFERROR(__xludf.DUMMYFUNCTION("""COMPUTED_VALUE"""),6.35)</f>
        <v>6.35</v>
      </c>
      <c r="G1302" s="2">
        <f>IFERROR(__xludf.DUMMYFUNCTION("""COMPUTED_VALUE"""),17998.0)</f>
        <v>17998</v>
      </c>
      <c r="H1302" s="2" t="str">
        <f>IFERROR(__xludf.DUMMYFUNCTION("""COMPUTED_VALUE"""),"United Kingdom")</f>
        <v>United Kingdom</v>
      </c>
      <c r="I1302" s="7">
        <f>IFERROR(__xludf.DUMMYFUNCTION("""COMPUTED_VALUE"""),40148.0)</f>
        <v>40148</v>
      </c>
      <c r="J1302" s="8">
        <f>IFERROR(__xludf.DUMMYFUNCTION("""COMPUTED_VALUE"""),0.546527777776646)</f>
        <v>0.5465277778</v>
      </c>
      <c r="K1302" s="2">
        <f>IFERROR(__xludf.DUMMYFUNCTION("""COMPUTED_VALUE"""),13.0)</f>
        <v>13</v>
      </c>
      <c r="L1302" s="2">
        <f>IFERROR(__xludf.DUMMYFUNCTION("""COMPUTED_VALUE"""),6.35)</f>
        <v>6.35</v>
      </c>
    </row>
    <row r="1303">
      <c r="A1303" s="2">
        <f>IFERROR(__xludf.DUMMYFUNCTION("""COMPUTED_VALUE"""),489562.0)</f>
        <v>489562</v>
      </c>
      <c r="B1303" s="2" t="str">
        <f>IFERROR(__xludf.DUMMYFUNCTION("""COMPUTED_VALUE"""),"85099B")</f>
        <v>85099B</v>
      </c>
      <c r="C1303" s="2" t="str">
        <f>IFERROR(__xludf.DUMMYFUNCTION("""COMPUTED_VALUE"""),"JUMBO BAG RED WHITE SPOTTY")</f>
        <v>JUMBO BAG RED WHITE SPOTTY</v>
      </c>
      <c r="D1303" s="2">
        <f>IFERROR(__xludf.DUMMYFUNCTION("""COMPUTED_VALUE"""),2.0)</f>
        <v>2</v>
      </c>
      <c r="E1303" s="6">
        <f>IFERROR(__xludf.DUMMYFUNCTION("""COMPUTED_VALUE"""),40148.54652777778)</f>
        <v>40148.54653</v>
      </c>
      <c r="F1303" s="2">
        <f>IFERROR(__xludf.DUMMYFUNCTION("""COMPUTED_VALUE"""),1.95)</f>
        <v>1.95</v>
      </c>
      <c r="G1303" s="2">
        <f>IFERROR(__xludf.DUMMYFUNCTION("""COMPUTED_VALUE"""),17998.0)</f>
        <v>17998</v>
      </c>
      <c r="H1303" s="2" t="str">
        <f>IFERROR(__xludf.DUMMYFUNCTION("""COMPUTED_VALUE"""),"United Kingdom")</f>
        <v>United Kingdom</v>
      </c>
      <c r="I1303" s="7">
        <f>IFERROR(__xludf.DUMMYFUNCTION("""COMPUTED_VALUE"""),40148.0)</f>
        <v>40148</v>
      </c>
      <c r="J1303" s="8">
        <f>IFERROR(__xludf.DUMMYFUNCTION("""COMPUTED_VALUE"""),0.546527777776646)</f>
        <v>0.5465277778</v>
      </c>
      <c r="K1303" s="2">
        <f>IFERROR(__xludf.DUMMYFUNCTION("""COMPUTED_VALUE"""),13.0)</f>
        <v>13</v>
      </c>
      <c r="L1303" s="2">
        <f>IFERROR(__xludf.DUMMYFUNCTION("""COMPUTED_VALUE"""),3.9)</f>
        <v>3.9</v>
      </c>
    </row>
    <row r="1304">
      <c r="A1304" s="2">
        <f>IFERROR(__xludf.DUMMYFUNCTION("""COMPUTED_VALUE"""),489562.0)</f>
        <v>489562</v>
      </c>
      <c r="B1304" s="2" t="str">
        <f>IFERROR(__xludf.DUMMYFUNCTION("""COMPUTED_VALUE"""),"21929")</f>
        <v>21929</v>
      </c>
      <c r="C1304" s="2" t="str">
        <f>IFERROR(__xludf.DUMMYFUNCTION("""COMPUTED_VALUE"""),"JUMBO BAG PINK VINTAGE PAISLEY")</f>
        <v>JUMBO BAG PINK VINTAGE PAISLEY</v>
      </c>
      <c r="D1304" s="2">
        <f>IFERROR(__xludf.DUMMYFUNCTION("""COMPUTED_VALUE"""),2.0)</f>
        <v>2</v>
      </c>
      <c r="E1304" s="6">
        <f>IFERROR(__xludf.DUMMYFUNCTION("""COMPUTED_VALUE"""),40148.54652777778)</f>
        <v>40148.54653</v>
      </c>
      <c r="F1304" s="2">
        <f>IFERROR(__xludf.DUMMYFUNCTION("""COMPUTED_VALUE"""),1.95)</f>
        <v>1.95</v>
      </c>
      <c r="G1304" s="2">
        <f>IFERROR(__xludf.DUMMYFUNCTION("""COMPUTED_VALUE"""),17998.0)</f>
        <v>17998</v>
      </c>
      <c r="H1304" s="2" t="str">
        <f>IFERROR(__xludf.DUMMYFUNCTION("""COMPUTED_VALUE"""),"United Kingdom")</f>
        <v>United Kingdom</v>
      </c>
      <c r="I1304" s="7">
        <f>IFERROR(__xludf.DUMMYFUNCTION("""COMPUTED_VALUE"""),40148.0)</f>
        <v>40148</v>
      </c>
      <c r="J1304" s="8">
        <f>IFERROR(__xludf.DUMMYFUNCTION("""COMPUTED_VALUE"""),0.546527777776646)</f>
        <v>0.5465277778</v>
      </c>
      <c r="K1304" s="2">
        <f>IFERROR(__xludf.DUMMYFUNCTION("""COMPUTED_VALUE"""),13.0)</f>
        <v>13</v>
      </c>
      <c r="L1304" s="2">
        <f>IFERROR(__xludf.DUMMYFUNCTION("""COMPUTED_VALUE"""),3.9)</f>
        <v>3.9</v>
      </c>
    </row>
    <row r="1305">
      <c r="A1305" s="2">
        <f>IFERROR(__xludf.DUMMYFUNCTION("""COMPUTED_VALUE"""),489562.0)</f>
        <v>489562</v>
      </c>
      <c r="B1305" s="2" t="str">
        <f>IFERROR(__xludf.DUMMYFUNCTION("""COMPUTED_VALUE"""),"22139")</f>
        <v>22139</v>
      </c>
      <c r="C1305" s="2" t="str">
        <f>IFERROR(__xludf.DUMMYFUNCTION("""COMPUTED_VALUE"""),"RETRO SPOT TEA SET CERAMIC 11 PC")</f>
        <v>RETRO SPOT TEA SET CERAMIC 11 PC</v>
      </c>
      <c r="D1305" s="2">
        <f>IFERROR(__xludf.DUMMYFUNCTION("""COMPUTED_VALUE"""),1.0)</f>
        <v>1</v>
      </c>
      <c r="E1305" s="6">
        <f>IFERROR(__xludf.DUMMYFUNCTION("""COMPUTED_VALUE"""),40148.54652777778)</f>
        <v>40148.54653</v>
      </c>
      <c r="F1305" s="2">
        <f>IFERROR(__xludf.DUMMYFUNCTION("""COMPUTED_VALUE"""),4.95)</f>
        <v>4.95</v>
      </c>
      <c r="G1305" s="2">
        <f>IFERROR(__xludf.DUMMYFUNCTION("""COMPUTED_VALUE"""),17998.0)</f>
        <v>17998</v>
      </c>
      <c r="H1305" s="2" t="str">
        <f>IFERROR(__xludf.DUMMYFUNCTION("""COMPUTED_VALUE"""),"United Kingdom")</f>
        <v>United Kingdom</v>
      </c>
      <c r="I1305" s="7">
        <f>IFERROR(__xludf.DUMMYFUNCTION("""COMPUTED_VALUE"""),40148.0)</f>
        <v>40148</v>
      </c>
      <c r="J1305" s="8">
        <f>IFERROR(__xludf.DUMMYFUNCTION("""COMPUTED_VALUE"""),0.546527777776646)</f>
        <v>0.5465277778</v>
      </c>
      <c r="K1305" s="2">
        <f>IFERROR(__xludf.DUMMYFUNCTION("""COMPUTED_VALUE"""),13.0)</f>
        <v>13</v>
      </c>
      <c r="L1305" s="2">
        <f>IFERROR(__xludf.DUMMYFUNCTION("""COMPUTED_VALUE"""),4.95)</f>
        <v>4.95</v>
      </c>
    </row>
    <row r="1306">
      <c r="A1306" s="2">
        <f>IFERROR(__xludf.DUMMYFUNCTION("""COMPUTED_VALUE"""),489562.0)</f>
        <v>489562</v>
      </c>
      <c r="B1306" s="2" t="str">
        <f>IFERROR(__xludf.DUMMYFUNCTION("""COMPUTED_VALUE"""),"20681")</f>
        <v>20681</v>
      </c>
      <c r="C1306" s="2" t="str">
        <f>IFERROR(__xludf.DUMMYFUNCTION("""COMPUTED_VALUE"""),"PINK SPOTTY CHILDS UMBRELLA")</f>
        <v>PINK SPOTTY CHILDS UMBRELLA</v>
      </c>
      <c r="D1306" s="2">
        <f>IFERROR(__xludf.DUMMYFUNCTION("""COMPUTED_VALUE"""),1.0)</f>
        <v>1</v>
      </c>
      <c r="E1306" s="6">
        <f>IFERROR(__xludf.DUMMYFUNCTION("""COMPUTED_VALUE"""),40148.54652777778)</f>
        <v>40148.54653</v>
      </c>
      <c r="F1306" s="2">
        <f>IFERROR(__xludf.DUMMYFUNCTION("""COMPUTED_VALUE"""),3.25)</f>
        <v>3.25</v>
      </c>
      <c r="G1306" s="2">
        <f>IFERROR(__xludf.DUMMYFUNCTION("""COMPUTED_VALUE"""),17998.0)</f>
        <v>17998</v>
      </c>
      <c r="H1306" s="2" t="str">
        <f>IFERROR(__xludf.DUMMYFUNCTION("""COMPUTED_VALUE"""),"United Kingdom")</f>
        <v>United Kingdom</v>
      </c>
      <c r="I1306" s="7">
        <f>IFERROR(__xludf.DUMMYFUNCTION("""COMPUTED_VALUE"""),40148.0)</f>
        <v>40148</v>
      </c>
      <c r="J1306" s="8">
        <f>IFERROR(__xludf.DUMMYFUNCTION("""COMPUTED_VALUE"""),0.546527777776646)</f>
        <v>0.5465277778</v>
      </c>
      <c r="K1306" s="2">
        <f>IFERROR(__xludf.DUMMYFUNCTION("""COMPUTED_VALUE"""),13.0)</f>
        <v>13</v>
      </c>
      <c r="L1306" s="2">
        <f>IFERROR(__xludf.DUMMYFUNCTION("""COMPUTED_VALUE"""),3.25)</f>
        <v>3.25</v>
      </c>
    </row>
    <row r="1307">
      <c r="A1307" s="2">
        <f>IFERROR(__xludf.DUMMYFUNCTION("""COMPUTED_VALUE"""),489562.0)</f>
        <v>489562</v>
      </c>
      <c r="B1307" s="2" t="str">
        <f>IFERROR(__xludf.DUMMYFUNCTION("""COMPUTED_VALUE"""),"85014D")</f>
        <v>85014D</v>
      </c>
      <c r="C1307" s="2" t="str">
        <f>IFERROR(__xludf.DUMMYFUNCTION("""COMPUTED_VALUE"""),"PINK/BROWN DOTS RUFFLED UMBRELLA")</f>
        <v>PINK/BROWN DOTS RUFFLED UMBRELLA</v>
      </c>
      <c r="D1307" s="2">
        <f>IFERROR(__xludf.DUMMYFUNCTION("""COMPUTED_VALUE"""),1.0)</f>
        <v>1</v>
      </c>
      <c r="E1307" s="6">
        <f>IFERROR(__xludf.DUMMYFUNCTION("""COMPUTED_VALUE"""),40148.54652777778)</f>
        <v>40148.54653</v>
      </c>
      <c r="F1307" s="2">
        <f>IFERROR(__xludf.DUMMYFUNCTION("""COMPUTED_VALUE"""),5.95)</f>
        <v>5.95</v>
      </c>
      <c r="G1307" s="2">
        <f>IFERROR(__xludf.DUMMYFUNCTION("""COMPUTED_VALUE"""),17998.0)</f>
        <v>17998</v>
      </c>
      <c r="H1307" s="2" t="str">
        <f>IFERROR(__xludf.DUMMYFUNCTION("""COMPUTED_VALUE"""),"United Kingdom")</f>
        <v>United Kingdom</v>
      </c>
      <c r="I1307" s="7">
        <f>IFERROR(__xludf.DUMMYFUNCTION("""COMPUTED_VALUE"""),40148.0)</f>
        <v>40148</v>
      </c>
      <c r="J1307" s="8">
        <f>IFERROR(__xludf.DUMMYFUNCTION("""COMPUTED_VALUE"""),0.546527777776646)</f>
        <v>0.5465277778</v>
      </c>
      <c r="K1307" s="2">
        <f>IFERROR(__xludf.DUMMYFUNCTION("""COMPUTED_VALUE"""),13.0)</f>
        <v>13</v>
      </c>
      <c r="L1307" s="2">
        <f>IFERROR(__xludf.DUMMYFUNCTION("""COMPUTED_VALUE"""),5.95)</f>
        <v>5.95</v>
      </c>
    </row>
    <row r="1308">
      <c r="A1308" s="2">
        <f>IFERROR(__xludf.DUMMYFUNCTION("""COMPUTED_VALUE"""),489562.0)</f>
        <v>489562</v>
      </c>
      <c r="B1308" s="2" t="str">
        <f>IFERROR(__xludf.DUMMYFUNCTION("""COMPUTED_VALUE"""),"84837")</f>
        <v>84837</v>
      </c>
      <c r="C1308" s="2" t="str">
        <f>IFERROR(__xludf.DUMMYFUNCTION("""COMPUTED_VALUE"""),"WHITE SWEETHEARTS CABINET 4 DRAWERS")</f>
        <v>WHITE SWEETHEARTS CABINET 4 DRAWERS</v>
      </c>
      <c r="D1308" s="2">
        <f>IFERROR(__xludf.DUMMYFUNCTION("""COMPUTED_VALUE"""),1.0)</f>
        <v>1</v>
      </c>
      <c r="E1308" s="6">
        <f>IFERROR(__xludf.DUMMYFUNCTION("""COMPUTED_VALUE"""),40148.54652777778)</f>
        <v>40148.54653</v>
      </c>
      <c r="F1308" s="2">
        <f>IFERROR(__xludf.DUMMYFUNCTION("""COMPUTED_VALUE"""),12.75)</f>
        <v>12.75</v>
      </c>
      <c r="G1308" s="2">
        <f>IFERROR(__xludf.DUMMYFUNCTION("""COMPUTED_VALUE"""),17998.0)</f>
        <v>17998</v>
      </c>
      <c r="H1308" s="2" t="str">
        <f>IFERROR(__xludf.DUMMYFUNCTION("""COMPUTED_VALUE"""),"United Kingdom")</f>
        <v>United Kingdom</v>
      </c>
      <c r="I1308" s="7">
        <f>IFERROR(__xludf.DUMMYFUNCTION("""COMPUTED_VALUE"""),40148.0)</f>
        <v>40148</v>
      </c>
      <c r="J1308" s="8">
        <f>IFERROR(__xludf.DUMMYFUNCTION("""COMPUTED_VALUE"""),0.546527777776646)</f>
        <v>0.5465277778</v>
      </c>
      <c r="K1308" s="2">
        <f>IFERROR(__xludf.DUMMYFUNCTION("""COMPUTED_VALUE"""),13.0)</f>
        <v>13</v>
      </c>
      <c r="L1308" s="2">
        <f>IFERROR(__xludf.DUMMYFUNCTION("""COMPUTED_VALUE"""),12.75)</f>
        <v>12.75</v>
      </c>
    </row>
    <row r="1309">
      <c r="A1309" s="2">
        <f>IFERROR(__xludf.DUMMYFUNCTION("""COMPUTED_VALUE"""),489562.0)</f>
        <v>489562</v>
      </c>
      <c r="B1309" s="2" t="str">
        <f>IFERROR(__xludf.DUMMYFUNCTION("""COMPUTED_VALUE"""),"84884A")</f>
        <v>84884A</v>
      </c>
      <c r="C1309" s="2" t="str">
        <f>IFERROR(__xludf.DUMMYFUNCTION("""COMPUTED_VALUE"""),"ANT WHITE WIRE HEART SPIRAL")</f>
        <v>ANT WHITE WIRE HEART SPIRAL</v>
      </c>
      <c r="D1309" s="2">
        <f>IFERROR(__xludf.DUMMYFUNCTION("""COMPUTED_VALUE"""),1.0)</f>
        <v>1</v>
      </c>
      <c r="E1309" s="6">
        <f>IFERROR(__xludf.DUMMYFUNCTION("""COMPUTED_VALUE"""),40148.54652777778)</f>
        <v>40148.54653</v>
      </c>
      <c r="F1309" s="2">
        <f>IFERROR(__xludf.DUMMYFUNCTION("""COMPUTED_VALUE"""),3.95)</f>
        <v>3.95</v>
      </c>
      <c r="G1309" s="2">
        <f>IFERROR(__xludf.DUMMYFUNCTION("""COMPUTED_VALUE"""),17998.0)</f>
        <v>17998</v>
      </c>
      <c r="H1309" s="2" t="str">
        <f>IFERROR(__xludf.DUMMYFUNCTION("""COMPUTED_VALUE"""),"United Kingdom")</f>
        <v>United Kingdom</v>
      </c>
      <c r="I1309" s="7">
        <f>IFERROR(__xludf.DUMMYFUNCTION("""COMPUTED_VALUE"""),40148.0)</f>
        <v>40148</v>
      </c>
      <c r="J1309" s="8">
        <f>IFERROR(__xludf.DUMMYFUNCTION("""COMPUTED_VALUE"""),0.546527777776646)</f>
        <v>0.5465277778</v>
      </c>
      <c r="K1309" s="2">
        <f>IFERROR(__xludf.DUMMYFUNCTION("""COMPUTED_VALUE"""),13.0)</f>
        <v>13</v>
      </c>
      <c r="L1309" s="2">
        <f>IFERROR(__xludf.DUMMYFUNCTION("""COMPUTED_VALUE"""),3.95)</f>
        <v>3.95</v>
      </c>
    </row>
    <row r="1310">
      <c r="A1310" s="2">
        <f>IFERROR(__xludf.DUMMYFUNCTION("""COMPUTED_VALUE"""),489562.0)</f>
        <v>489562</v>
      </c>
      <c r="B1310" s="2" t="str">
        <f>IFERROR(__xludf.DUMMYFUNCTION("""COMPUTED_VALUE"""),"84648")</f>
        <v>84648</v>
      </c>
      <c r="C1310" s="2" t="str">
        <f>IFERROR(__xludf.DUMMYFUNCTION("""COMPUTED_VALUE"""),"NEW BAROQUE WALL MIRROR")</f>
        <v>NEW BAROQUE WALL MIRROR</v>
      </c>
      <c r="D1310" s="2">
        <f>IFERROR(__xludf.DUMMYFUNCTION("""COMPUTED_VALUE"""),1.0)</f>
        <v>1</v>
      </c>
      <c r="E1310" s="6">
        <f>IFERROR(__xludf.DUMMYFUNCTION("""COMPUTED_VALUE"""),40148.54652777778)</f>
        <v>40148.54653</v>
      </c>
      <c r="F1310" s="2">
        <f>IFERROR(__xludf.DUMMYFUNCTION("""COMPUTED_VALUE"""),12.75)</f>
        <v>12.75</v>
      </c>
      <c r="G1310" s="2">
        <f>IFERROR(__xludf.DUMMYFUNCTION("""COMPUTED_VALUE"""),17998.0)</f>
        <v>17998</v>
      </c>
      <c r="H1310" s="2" t="str">
        <f>IFERROR(__xludf.DUMMYFUNCTION("""COMPUTED_VALUE"""),"United Kingdom")</f>
        <v>United Kingdom</v>
      </c>
      <c r="I1310" s="7">
        <f>IFERROR(__xludf.DUMMYFUNCTION("""COMPUTED_VALUE"""),40148.0)</f>
        <v>40148</v>
      </c>
      <c r="J1310" s="8">
        <f>IFERROR(__xludf.DUMMYFUNCTION("""COMPUTED_VALUE"""),0.546527777776646)</f>
        <v>0.5465277778</v>
      </c>
      <c r="K1310" s="2">
        <f>IFERROR(__xludf.DUMMYFUNCTION("""COMPUTED_VALUE"""),13.0)</f>
        <v>13</v>
      </c>
      <c r="L1310" s="2">
        <f>IFERROR(__xludf.DUMMYFUNCTION("""COMPUTED_VALUE"""),12.75)</f>
        <v>12.75</v>
      </c>
    </row>
    <row r="1311">
      <c r="A1311" s="2">
        <f>IFERROR(__xludf.DUMMYFUNCTION("""COMPUTED_VALUE"""),489562.0)</f>
        <v>489562</v>
      </c>
      <c r="B1311" s="2" t="str">
        <f>IFERROR(__xludf.DUMMYFUNCTION("""COMPUTED_VALUE"""),"84472")</f>
        <v>84472</v>
      </c>
      <c r="C1311" s="2" t="str">
        <f>IFERROR(__xludf.DUMMYFUNCTION("""COMPUTED_VALUE"""),"PINK AND LILAC QUILTED THROW")</f>
        <v>PINK AND LILAC QUILTED THROW</v>
      </c>
      <c r="D1311" s="2">
        <f>IFERROR(__xludf.DUMMYFUNCTION("""COMPUTED_VALUE"""),1.0)</f>
        <v>1</v>
      </c>
      <c r="E1311" s="6">
        <f>IFERROR(__xludf.DUMMYFUNCTION("""COMPUTED_VALUE"""),40148.54652777778)</f>
        <v>40148.54653</v>
      </c>
      <c r="F1311" s="2">
        <f>IFERROR(__xludf.DUMMYFUNCTION("""COMPUTED_VALUE"""),45.95)</f>
        <v>45.95</v>
      </c>
      <c r="G1311" s="2">
        <f>IFERROR(__xludf.DUMMYFUNCTION("""COMPUTED_VALUE"""),17998.0)</f>
        <v>17998</v>
      </c>
      <c r="H1311" s="2" t="str">
        <f>IFERROR(__xludf.DUMMYFUNCTION("""COMPUTED_VALUE"""),"United Kingdom")</f>
        <v>United Kingdom</v>
      </c>
      <c r="I1311" s="7">
        <f>IFERROR(__xludf.DUMMYFUNCTION("""COMPUTED_VALUE"""),40148.0)</f>
        <v>40148</v>
      </c>
      <c r="J1311" s="8">
        <f>IFERROR(__xludf.DUMMYFUNCTION("""COMPUTED_VALUE"""),0.546527777776646)</f>
        <v>0.5465277778</v>
      </c>
      <c r="K1311" s="2">
        <f>IFERROR(__xludf.DUMMYFUNCTION("""COMPUTED_VALUE"""),13.0)</f>
        <v>13</v>
      </c>
      <c r="L1311" s="2">
        <f>IFERROR(__xludf.DUMMYFUNCTION("""COMPUTED_VALUE"""),45.95)</f>
        <v>45.95</v>
      </c>
    </row>
    <row r="1312">
      <c r="A1312" s="2">
        <f>IFERROR(__xludf.DUMMYFUNCTION("""COMPUTED_VALUE"""),489562.0)</f>
        <v>489562</v>
      </c>
      <c r="B1312" s="2" t="str">
        <f>IFERROR(__xludf.DUMMYFUNCTION("""COMPUTED_VALUE"""),"84910A")</f>
        <v>84910A</v>
      </c>
      <c r="C1312" s="2" t="str">
        <f>IFERROR(__xludf.DUMMYFUNCTION("""COMPUTED_VALUE"""),"PINK PAISLEY CUSHION COVER")</f>
        <v>PINK PAISLEY CUSHION COVER</v>
      </c>
      <c r="D1312" s="2">
        <f>IFERROR(__xludf.DUMMYFUNCTION("""COMPUTED_VALUE"""),1.0)</f>
        <v>1</v>
      </c>
      <c r="E1312" s="6">
        <f>IFERROR(__xludf.DUMMYFUNCTION("""COMPUTED_VALUE"""),40148.54652777778)</f>
        <v>40148.54653</v>
      </c>
      <c r="F1312" s="2">
        <f>IFERROR(__xludf.DUMMYFUNCTION("""COMPUTED_VALUE"""),5.95)</f>
        <v>5.95</v>
      </c>
      <c r="G1312" s="2">
        <f>IFERROR(__xludf.DUMMYFUNCTION("""COMPUTED_VALUE"""),17998.0)</f>
        <v>17998</v>
      </c>
      <c r="H1312" s="2" t="str">
        <f>IFERROR(__xludf.DUMMYFUNCTION("""COMPUTED_VALUE"""),"United Kingdom")</f>
        <v>United Kingdom</v>
      </c>
      <c r="I1312" s="7">
        <f>IFERROR(__xludf.DUMMYFUNCTION("""COMPUTED_VALUE"""),40148.0)</f>
        <v>40148</v>
      </c>
      <c r="J1312" s="8">
        <f>IFERROR(__xludf.DUMMYFUNCTION("""COMPUTED_VALUE"""),0.546527777776646)</f>
        <v>0.5465277778</v>
      </c>
      <c r="K1312" s="2">
        <f>IFERROR(__xludf.DUMMYFUNCTION("""COMPUTED_VALUE"""),13.0)</f>
        <v>13</v>
      </c>
      <c r="L1312" s="2">
        <f>IFERROR(__xludf.DUMMYFUNCTION("""COMPUTED_VALUE"""),5.95)</f>
        <v>5.95</v>
      </c>
    </row>
    <row r="1313">
      <c r="A1313" s="2">
        <f>IFERROR(__xludf.DUMMYFUNCTION("""COMPUTED_VALUE"""),489562.0)</f>
        <v>489562</v>
      </c>
      <c r="B1313" s="2" t="str">
        <f>IFERROR(__xludf.DUMMYFUNCTION("""COMPUTED_VALUE"""),"84656")</f>
        <v>84656</v>
      </c>
      <c r="C1313" s="2" t="str">
        <f>IFERROR(__xludf.DUMMYFUNCTION("""COMPUTED_VALUE"""),"WHITE ROSE C/COVER")</f>
        <v>WHITE ROSE C/COVER</v>
      </c>
      <c r="D1313" s="2">
        <f>IFERROR(__xludf.DUMMYFUNCTION("""COMPUTED_VALUE"""),1.0)</f>
        <v>1</v>
      </c>
      <c r="E1313" s="6">
        <f>IFERROR(__xludf.DUMMYFUNCTION("""COMPUTED_VALUE"""),40148.54652777778)</f>
        <v>40148.54653</v>
      </c>
      <c r="F1313" s="2">
        <f>IFERROR(__xludf.DUMMYFUNCTION("""COMPUTED_VALUE"""),5.95)</f>
        <v>5.95</v>
      </c>
      <c r="G1313" s="2">
        <f>IFERROR(__xludf.DUMMYFUNCTION("""COMPUTED_VALUE"""),17998.0)</f>
        <v>17998</v>
      </c>
      <c r="H1313" s="2" t="str">
        <f>IFERROR(__xludf.DUMMYFUNCTION("""COMPUTED_VALUE"""),"United Kingdom")</f>
        <v>United Kingdom</v>
      </c>
      <c r="I1313" s="7">
        <f>IFERROR(__xludf.DUMMYFUNCTION("""COMPUTED_VALUE"""),40148.0)</f>
        <v>40148</v>
      </c>
      <c r="J1313" s="8">
        <f>IFERROR(__xludf.DUMMYFUNCTION("""COMPUTED_VALUE"""),0.546527777776646)</f>
        <v>0.5465277778</v>
      </c>
      <c r="K1313" s="2">
        <f>IFERROR(__xludf.DUMMYFUNCTION("""COMPUTED_VALUE"""),13.0)</f>
        <v>13</v>
      </c>
      <c r="L1313" s="2">
        <f>IFERROR(__xludf.DUMMYFUNCTION("""COMPUTED_VALUE"""),5.95)</f>
        <v>5.95</v>
      </c>
    </row>
    <row r="1314">
      <c r="A1314" s="2">
        <f>IFERROR(__xludf.DUMMYFUNCTION("""COMPUTED_VALUE"""),489562.0)</f>
        <v>489562</v>
      </c>
      <c r="B1314" s="2" t="str">
        <f>IFERROR(__xludf.DUMMYFUNCTION("""COMPUTED_VALUE"""),"84580")</f>
        <v>84580</v>
      </c>
      <c r="C1314" s="2" t="str">
        <f>IFERROR(__xludf.DUMMYFUNCTION("""COMPUTED_VALUE"""),"MOUSE TOY WITH PINK T-SHIRT")</f>
        <v>MOUSE TOY WITH PINK T-SHIRT</v>
      </c>
      <c r="D1314" s="2">
        <f>IFERROR(__xludf.DUMMYFUNCTION("""COMPUTED_VALUE"""),1.0)</f>
        <v>1</v>
      </c>
      <c r="E1314" s="6">
        <f>IFERROR(__xludf.DUMMYFUNCTION("""COMPUTED_VALUE"""),40148.54652777778)</f>
        <v>40148.54653</v>
      </c>
      <c r="F1314" s="2">
        <f>IFERROR(__xludf.DUMMYFUNCTION("""COMPUTED_VALUE"""),3.75)</f>
        <v>3.75</v>
      </c>
      <c r="G1314" s="2">
        <f>IFERROR(__xludf.DUMMYFUNCTION("""COMPUTED_VALUE"""),17998.0)</f>
        <v>17998</v>
      </c>
      <c r="H1314" s="2" t="str">
        <f>IFERROR(__xludf.DUMMYFUNCTION("""COMPUTED_VALUE"""),"United Kingdom")</f>
        <v>United Kingdom</v>
      </c>
      <c r="I1314" s="7">
        <f>IFERROR(__xludf.DUMMYFUNCTION("""COMPUTED_VALUE"""),40148.0)</f>
        <v>40148</v>
      </c>
      <c r="J1314" s="8">
        <f>IFERROR(__xludf.DUMMYFUNCTION("""COMPUTED_VALUE"""),0.546527777776646)</f>
        <v>0.5465277778</v>
      </c>
      <c r="K1314" s="2">
        <f>IFERROR(__xludf.DUMMYFUNCTION("""COMPUTED_VALUE"""),13.0)</f>
        <v>13</v>
      </c>
      <c r="L1314" s="2">
        <f>IFERROR(__xludf.DUMMYFUNCTION("""COMPUTED_VALUE"""),3.75)</f>
        <v>3.75</v>
      </c>
    </row>
    <row r="1315">
      <c r="A1315" s="2">
        <f>IFERROR(__xludf.DUMMYFUNCTION("""COMPUTED_VALUE"""),489562.0)</f>
        <v>489562</v>
      </c>
      <c r="B1315" s="2" t="str">
        <f>IFERROR(__xludf.DUMMYFUNCTION("""COMPUTED_VALUE"""),"84622")</f>
        <v>84622</v>
      </c>
      <c r="C1315" s="2" t="str">
        <f>IFERROR(__xludf.DUMMYFUNCTION("""COMPUTED_VALUE"""),"PINK GINGHAM ROSE CUSHION COVER")</f>
        <v>PINK GINGHAM ROSE CUSHION COVER</v>
      </c>
      <c r="D1315" s="2">
        <f>IFERROR(__xludf.DUMMYFUNCTION("""COMPUTED_VALUE"""),2.0)</f>
        <v>2</v>
      </c>
      <c r="E1315" s="6">
        <f>IFERROR(__xludf.DUMMYFUNCTION("""COMPUTED_VALUE"""),40148.54652777778)</f>
        <v>40148.54653</v>
      </c>
      <c r="F1315" s="2">
        <f>IFERROR(__xludf.DUMMYFUNCTION("""COMPUTED_VALUE"""),5.95)</f>
        <v>5.95</v>
      </c>
      <c r="G1315" s="2">
        <f>IFERROR(__xludf.DUMMYFUNCTION("""COMPUTED_VALUE"""),17998.0)</f>
        <v>17998</v>
      </c>
      <c r="H1315" s="2" t="str">
        <f>IFERROR(__xludf.DUMMYFUNCTION("""COMPUTED_VALUE"""),"United Kingdom")</f>
        <v>United Kingdom</v>
      </c>
      <c r="I1315" s="7">
        <f>IFERROR(__xludf.DUMMYFUNCTION("""COMPUTED_VALUE"""),40148.0)</f>
        <v>40148</v>
      </c>
      <c r="J1315" s="8">
        <f>IFERROR(__xludf.DUMMYFUNCTION("""COMPUTED_VALUE"""),0.546527777776646)</f>
        <v>0.5465277778</v>
      </c>
      <c r="K1315" s="2">
        <f>IFERROR(__xludf.DUMMYFUNCTION("""COMPUTED_VALUE"""),13.0)</f>
        <v>13</v>
      </c>
      <c r="L1315" s="2">
        <f>IFERROR(__xludf.DUMMYFUNCTION("""COMPUTED_VALUE"""),11.9)</f>
        <v>11.9</v>
      </c>
    </row>
    <row r="1316">
      <c r="A1316" s="2">
        <f>IFERROR(__xludf.DUMMYFUNCTION("""COMPUTED_VALUE"""),489562.0)</f>
        <v>489562</v>
      </c>
      <c r="B1316" s="2" t="str">
        <f>IFERROR(__xludf.DUMMYFUNCTION("""COMPUTED_VALUE"""),"22151")</f>
        <v>22151</v>
      </c>
      <c r="C1316" s="2" t="str">
        <f>IFERROR(__xludf.DUMMYFUNCTION("""COMPUTED_VALUE"""),"PLACE SETTING WHITE HEART")</f>
        <v>PLACE SETTING WHITE HEART</v>
      </c>
      <c r="D1316" s="2">
        <f>IFERROR(__xludf.DUMMYFUNCTION("""COMPUTED_VALUE"""),24.0)</f>
        <v>24</v>
      </c>
      <c r="E1316" s="6">
        <f>IFERROR(__xludf.DUMMYFUNCTION("""COMPUTED_VALUE"""),40148.54652777778)</f>
        <v>40148.54653</v>
      </c>
      <c r="F1316" s="2">
        <f>IFERROR(__xludf.DUMMYFUNCTION("""COMPUTED_VALUE"""),0.42)</f>
        <v>0.42</v>
      </c>
      <c r="G1316" s="2">
        <f>IFERROR(__xludf.DUMMYFUNCTION("""COMPUTED_VALUE"""),17998.0)</f>
        <v>17998</v>
      </c>
      <c r="H1316" s="2" t="str">
        <f>IFERROR(__xludf.DUMMYFUNCTION("""COMPUTED_VALUE"""),"United Kingdom")</f>
        <v>United Kingdom</v>
      </c>
      <c r="I1316" s="7">
        <f>IFERROR(__xludf.DUMMYFUNCTION("""COMPUTED_VALUE"""),40148.0)</f>
        <v>40148</v>
      </c>
      <c r="J1316" s="8">
        <f>IFERROR(__xludf.DUMMYFUNCTION("""COMPUTED_VALUE"""),0.546527777776646)</f>
        <v>0.5465277778</v>
      </c>
      <c r="K1316" s="2">
        <f>IFERROR(__xludf.DUMMYFUNCTION("""COMPUTED_VALUE"""),13.0)</f>
        <v>13</v>
      </c>
      <c r="L1316" s="2">
        <f>IFERROR(__xludf.DUMMYFUNCTION("""COMPUTED_VALUE"""),10.08)</f>
        <v>10.08</v>
      </c>
    </row>
    <row r="1317">
      <c r="A1317" s="2">
        <f>IFERROR(__xludf.DUMMYFUNCTION("""COMPUTED_VALUE"""),489562.0)</f>
        <v>489562</v>
      </c>
      <c r="B1317" s="2" t="str">
        <f>IFERROR(__xludf.DUMMYFUNCTION("""COMPUTED_VALUE"""),"35957")</f>
        <v>35957</v>
      </c>
      <c r="C1317" s="2" t="str">
        <f>IFERROR(__xludf.DUMMYFUNCTION("""COMPUTED_VALUE"""),"SMALLFOLKART BAUBLE CHRISTMAS DEC")</f>
        <v>SMALLFOLKART BAUBLE CHRISTMAS DEC</v>
      </c>
      <c r="D1317" s="2">
        <f>IFERROR(__xludf.DUMMYFUNCTION("""COMPUTED_VALUE"""),1.0)</f>
        <v>1</v>
      </c>
      <c r="E1317" s="6">
        <f>IFERROR(__xludf.DUMMYFUNCTION("""COMPUTED_VALUE"""),40148.54652777778)</f>
        <v>40148.54653</v>
      </c>
      <c r="F1317" s="2">
        <f>IFERROR(__xludf.DUMMYFUNCTION("""COMPUTED_VALUE"""),0.42)</f>
        <v>0.42</v>
      </c>
      <c r="G1317" s="2">
        <f>IFERROR(__xludf.DUMMYFUNCTION("""COMPUTED_VALUE"""),17998.0)</f>
        <v>17998</v>
      </c>
      <c r="H1317" s="2" t="str">
        <f>IFERROR(__xludf.DUMMYFUNCTION("""COMPUTED_VALUE"""),"United Kingdom")</f>
        <v>United Kingdom</v>
      </c>
      <c r="I1317" s="7">
        <f>IFERROR(__xludf.DUMMYFUNCTION("""COMPUTED_VALUE"""),40148.0)</f>
        <v>40148</v>
      </c>
      <c r="J1317" s="8">
        <f>IFERROR(__xludf.DUMMYFUNCTION("""COMPUTED_VALUE"""),0.546527777776646)</f>
        <v>0.5465277778</v>
      </c>
      <c r="K1317" s="2">
        <f>IFERROR(__xludf.DUMMYFUNCTION("""COMPUTED_VALUE"""),13.0)</f>
        <v>13</v>
      </c>
      <c r="L1317" s="2">
        <f>IFERROR(__xludf.DUMMYFUNCTION("""COMPUTED_VALUE"""),0.42)</f>
        <v>0.42</v>
      </c>
    </row>
    <row r="1318">
      <c r="A1318" s="2">
        <f>IFERROR(__xludf.DUMMYFUNCTION("""COMPUTED_VALUE"""),489562.0)</f>
        <v>489562</v>
      </c>
      <c r="B1318" s="2" t="str">
        <f>IFERROR(__xludf.DUMMYFUNCTION("""COMPUTED_VALUE"""),"35962")</f>
        <v>35962</v>
      </c>
      <c r="C1318" s="2" t="str">
        <f>IFERROR(__xludf.DUMMYFUNCTION("""COMPUTED_VALUE"""),"12 ASS ZINC CHRISTMAS DECORATIONS")</f>
        <v>12 ASS ZINC CHRISTMAS DECORATIONS</v>
      </c>
      <c r="D1318" s="2">
        <f>IFERROR(__xludf.DUMMYFUNCTION("""COMPUTED_VALUE"""),1.0)</f>
        <v>1</v>
      </c>
      <c r="E1318" s="6">
        <f>IFERROR(__xludf.DUMMYFUNCTION("""COMPUTED_VALUE"""),40148.54652777778)</f>
        <v>40148.54653</v>
      </c>
      <c r="F1318" s="2">
        <f>IFERROR(__xludf.DUMMYFUNCTION("""COMPUTED_VALUE"""),2.1)</f>
        <v>2.1</v>
      </c>
      <c r="G1318" s="2">
        <f>IFERROR(__xludf.DUMMYFUNCTION("""COMPUTED_VALUE"""),17998.0)</f>
        <v>17998</v>
      </c>
      <c r="H1318" s="2" t="str">
        <f>IFERROR(__xludf.DUMMYFUNCTION("""COMPUTED_VALUE"""),"United Kingdom")</f>
        <v>United Kingdom</v>
      </c>
      <c r="I1318" s="7">
        <f>IFERROR(__xludf.DUMMYFUNCTION("""COMPUTED_VALUE"""),40148.0)</f>
        <v>40148</v>
      </c>
      <c r="J1318" s="8">
        <f>IFERROR(__xludf.DUMMYFUNCTION("""COMPUTED_VALUE"""),0.546527777776646)</f>
        <v>0.5465277778</v>
      </c>
      <c r="K1318" s="2">
        <f>IFERROR(__xludf.DUMMYFUNCTION("""COMPUTED_VALUE"""),13.0)</f>
        <v>13</v>
      </c>
      <c r="L1318" s="2">
        <f>IFERROR(__xludf.DUMMYFUNCTION("""COMPUTED_VALUE"""),2.1)</f>
        <v>2.1</v>
      </c>
    </row>
    <row r="1319">
      <c r="A1319" s="2">
        <f>IFERROR(__xludf.DUMMYFUNCTION("""COMPUTED_VALUE"""),489562.0)</f>
        <v>489562</v>
      </c>
      <c r="B1319" s="2" t="str">
        <f>IFERROR(__xludf.DUMMYFUNCTION("""COMPUTED_VALUE"""),"22337")</f>
        <v>22337</v>
      </c>
      <c r="C1319" s="2" t="str">
        <f>IFERROR(__xludf.DUMMYFUNCTION("""COMPUTED_VALUE"""),"ANGEL DECORATION PAINTED ZINC")</f>
        <v>ANGEL DECORATION PAINTED ZINC</v>
      </c>
      <c r="D1319" s="2">
        <f>IFERROR(__xludf.DUMMYFUNCTION("""COMPUTED_VALUE"""),1.0)</f>
        <v>1</v>
      </c>
      <c r="E1319" s="6">
        <f>IFERROR(__xludf.DUMMYFUNCTION("""COMPUTED_VALUE"""),40148.54652777778)</f>
        <v>40148.54653</v>
      </c>
      <c r="F1319" s="2">
        <f>IFERROR(__xludf.DUMMYFUNCTION("""COMPUTED_VALUE"""),0.65)</f>
        <v>0.65</v>
      </c>
      <c r="G1319" s="2">
        <f>IFERROR(__xludf.DUMMYFUNCTION("""COMPUTED_VALUE"""),17998.0)</f>
        <v>17998</v>
      </c>
      <c r="H1319" s="2" t="str">
        <f>IFERROR(__xludf.DUMMYFUNCTION("""COMPUTED_VALUE"""),"United Kingdom")</f>
        <v>United Kingdom</v>
      </c>
      <c r="I1319" s="7">
        <f>IFERROR(__xludf.DUMMYFUNCTION("""COMPUTED_VALUE"""),40148.0)</f>
        <v>40148</v>
      </c>
      <c r="J1319" s="8">
        <f>IFERROR(__xludf.DUMMYFUNCTION("""COMPUTED_VALUE"""),0.546527777776646)</f>
        <v>0.5465277778</v>
      </c>
      <c r="K1319" s="2">
        <f>IFERROR(__xludf.DUMMYFUNCTION("""COMPUTED_VALUE"""),13.0)</f>
        <v>13</v>
      </c>
      <c r="L1319" s="2">
        <f>IFERROR(__xludf.DUMMYFUNCTION("""COMPUTED_VALUE"""),0.65)</f>
        <v>0.65</v>
      </c>
    </row>
    <row r="1320">
      <c r="A1320" s="2"/>
      <c r="B1320" s="2" t="str">
        <f>IFERROR(__xludf.DUMMYFUNCTION("""COMPUTED_VALUE"""),"90088")</f>
        <v>90088</v>
      </c>
      <c r="C1320" s="2" t="str">
        <f>IFERROR(__xludf.DUMMYFUNCTION("""COMPUTED_VALUE"""),"CRYSTAL KEY+LOCK PHONE CHARM")</f>
        <v>CRYSTAL KEY+LOCK PHONE CHARM</v>
      </c>
      <c r="D1320" s="2">
        <f>IFERROR(__xludf.DUMMYFUNCTION("""COMPUTED_VALUE"""),-24.0)</f>
        <v>-24</v>
      </c>
      <c r="E1320" s="6">
        <f>IFERROR(__xludf.DUMMYFUNCTION("""COMPUTED_VALUE"""),40148.54791666666)</f>
        <v>40148.54792</v>
      </c>
      <c r="F1320" s="2">
        <f>IFERROR(__xludf.DUMMYFUNCTION("""COMPUTED_VALUE"""),0.85)</f>
        <v>0.85</v>
      </c>
      <c r="G1320" s="2">
        <f>IFERROR(__xludf.DUMMYFUNCTION("""COMPUTED_VALUE"""),13526.0)</f>
        <v>13526</v>
      </c>
      <c r="H1320" s="2" t="str">
        <f>IFERROR(__xludf.DUMMYFUNCTION("""COMPUTED_VALUE"""),"United Kingdom")</f>
        <v>United Kingdom</v>
      </c>
      <c r="I1320" s="7">
        <f>IFERROR(__xludf.DUMMYFUNCTION("""COMPUTED_VALUE"""),40148.0)</f>
        <v>40148</v>
      </c>
      <c r="J1320" s="8">
        <f>IFERROR(__xludf.DUMMYFUNCTION("""COMPUTED_VALUE"""),0.5479166666664241)</f>
        <v>0.5479166667</v>
      </c>
      <c r="K1320" s="2">
        <f>IFERROR(__xludf.DUMMYFUNCTION("""COMPUTED_VALUE"""),13.0)</f>
        <v>13</v>
      </c>
      <c r="L1320" s="2">
        <f>IFERROR(__xludf.DUMMYFUNCTION("""COMPUTED_VALUE"""),-20.4)</f>
        <v>-20.4</v>
      </c>
    </row>
    <row r="1321">
      <c r="A1321" s="2"/>
      <c r="B1321" s="2" t="str">
        <f>IFERROR(__xludf.DUMMYFUNCTION("""COMPUTED_VALUE"""),"90090")</f>
        <v>90090</v>
      </c>
      <c r="C1321" s="2" t="str">
        <f>IFERROR(__xludf.DUMMYFUNCTION("""COMPUTED_VALUE"""),"PINK CRYSTAL HEART PHONE CHARM")</f>
        <v>PINK CRYSTAL HEART PHONE CHARM</v>
      </c>
      <c r="D1321" s="2">
        <f>IFERROR(__xludf.DUMMYFUNCTION("""COMPUTED_VALUE"""),-24.0)</f>
        <v>-24</v>
      </c>
      <c r="E1321" s="6">
        <f>IFERROR(__xludf.DUMMYFUNCTION("""COMPUTED_VALUE"""),40148.54791666666)</f>
        <v>40148.54792</v>
      </c>
      <c r="F1321" s="2">
        <f>IFERROR(__xludf.DUMMYFUNCTION("""COMPUTED_VALUE"""),0.85)</f>
        <v>0.85</v>
      </c>
      <c r="G1321" s="2">
        <f>IFERROR(__xludf.DUMMYFUNCTION("""COMPUTED_VALUE"""),13526.0)</f>
        <v>13526</v>
      </c>
      <c r="H1321" s="2" t="str">
        <f>IFERROR(__xludf.DUMMYFUNCTION("""COMPUTED_VALUE"""),"United Kingdom")</f>
        <v>United Kingdom</v>
      </c>
      <c r="I1321" s="7">
        <f>IFERROR(__xludf.DUMMYFUNCTION("""COMPUTED_VALUE"""),40148.0)</f>
        <v>40148</v>
      </c>
      <c r="J1321" s="8">
        <f>IFERROR(__xludf.DUMMYFUNCTION("""COMPUTED_VALUE"""),0.5479166666664241)</f>
        <v>0.5479166667</v>
      </c>
      <c r="K1321" s="2">
        <f>IFERROR(__xludf.DUMMYFUNCTION("""COMPUTED_VALUE"""),13.0)</f>
        <v>13</v>
      </c>
      <c r="L1321" s="2">
        <f>IFERROR(__xludf.DUMMYFUNCTION("""COMPUTED_VALUE"""),-20.4)</f>
        <v>-20.4</v>
      </c>
    </row>
    <row r="1322">
      <c r="A1322" s="2"/>
      <c r="B1322" s="2" t="str">
        <f>IFERROR(__xludf.DUMMYFUNCTION("""COMPUTED_VALUE"""),"90084")</f>
        <v>90084</v>
      </c>
      <c r="C1322" s="2" t="str">
        <f>IFERROR(__xludf.DUMMYFUNCTION("""COMPUTED_VALUE"""),"PINK CRYSTAL GUITAR PHONE CHARM")</f>
        <v>PINK CRYSTAL GUITAR PHONE CHARM</v>
      </c>
      <c r="D1322" s="2">
        <f>IFERROR(__xludf.DUMMYFUNCTION("""COMPUTED_VALUE"""),-12.0)</f>
        <v>-12</v>
      </c>
      <c r="E1322" s="6">
        <f>IFERROR(__xludf.DUMMYFUNCTION("""COMPUTED_VALUE"""),40148.54791666666)</f>
        <v>40148.54792</v>
      </c>
      <c r="F1322" s="2">
        <f>IFERROR(__xludf.DUMMYFUNCTION("""COMPUTED_VALUE"""),0.85)</f>
        <v>0.85</v>
      </c>
      <c r="G1322" s="2">
        <f>IFERROR(__xludf.DUMMYFUNCTION("""COMPUTED_VALUE"""),13526.0)</f>
        <v>13526</v>
      </c>
      <c r="H1322" s="2" t="str">
        <f>IFERROR(__xludf.DUMMYFUNCTION("""COMPUTED_VALUE"""),"United Kingdom")</f>
        <v>United Kingdom</v>
      </c>
      <c r="I1322" s="7">
        <f>IFERROR(__xludf.DUMMYFUNCTION("""COMPUTED_VALUE"""),40148.0)</f>
        <v>40148</v>
      </c>
      <c r="J1322" s="8">
        <f>IFERROR(__xludf.DUMMYFUNCTION("""COMPUTED_VALUE"""),0.5479166666664241)</f>
        <v>0.5479166667</v>
      </c>
      <c r="K1322" s="2">
        <f>IFERROR(__xludf.DUMMYFUNCTION("""COMPUTED_VALUE"""),13.0)</f>
        <v>13</v>
      </c>
      <c r="L1322" s="2">
        <f>IFERROR(__xludf.DUMMYFUNCTION("""COMPUTED_VALUE"""),-10.2)</f>
        <v>-10.2</v>
      </c>
    </row>
    <row r="1323">
      <c r="A1323" s="2"/>
      <c r="B1323" s="2" t="str">
        <f>IFERROR(__xludf.DUMMYFUNCTION("""COMPUTED_VALUE"""),"90093")</f>
        <v>90093</v>
      </c>
      <c r="C1323" s="2" t="str">
        <f>IFERROR(__xludf.DUMMYFUNCTION("""COMPUTED_VALUE"""),"CLEAR CRYSTAL STAR PHONE CHARM")</f>
        <v>CLEAR CRYSTAL STAR PHONE CHARM</v>
      </c>
      <c r="D1323" s="2">
        <f>IFERROR(__xludf.DUMMYFUNCTION("""COMPUTED_VALUE"""),-24.0)</f>
        <v>-24</v>
      </c>
      <c r="E1323" s="6">
        <f>IFERROR(__xludf.DUMMYFUNCTION("""COMPUTED_VALUE"""),40148.54791666666)</f>
        <v>40148.54792</v>
      </c>
      <c r="F1323" s="2">
        <f>IFERROR(__xludf.DUMMYFUNCTION("""COMPUTED_VALUE"""),0.85)</f>
        <v>0.85</v>
      </c>
      <c r="G1323" s="2">
        <f>IFERROR(__xludf.DUMMYFUNCTION("""COMPUTED_VALUE"""),13526.0)</f>
        <v>13526</v>
      </c>
      <c r="H1323" s="2" t="str">
        <f>IFERROR(__xludf.DUMMYFUNCTION("""COMPUTED_VALUE"""),"United Kingdom")</f>
        <v>United Kingdom</v>
      </c>
      <c r="I1323" s="7">
        <f>IFERROR(__xludf.DUMMYFUNCTION("""COMPUTED_VALUE"""),40148.0)</f>
        <v>40148</v>
      </c>
      <c r="J1323" s="8">
        <f>IFERROR(__xludf.DUMMYFUNCTION("""COMPUTED_VALUE"""),0.5479166666664241)</f>
        <v>0.5479166667</v>
      </c>
      <c r="K1323" s="2">
        <f>IFERROR(__xludf.DUMMYFUNCTION("""COMPUTED_VALUE"""),13.0)</f>
        <v>13</v>
      </c>
      <c r="L1323" s="2">
        <f>IFERROR(__xludf.DUMMYFUNCTION("""COMPUTED_VALUE"""),-20.4)</f>
        <v>-20.4</v>
      </c>
    </row>
    <row r="1324">
      <c r="A1324" s="2"/>
      <c r="B1324" s="2" t="str">
        <f>IFERROR(__xludf.DUMMYFUNCTION("""COMPUTED_VALUE"""),"90085")</f>
        <v>90085</v>
      </c>
      <c r="C1324" s="2" t="str">
        <f>IFERROR(__xludf.DUMMYFUNCTION("""COMPUTED_VALUE"""),"CRYSTAL STILETTO PHONE CHARM")</f>
        <v>CRYSTAL STILETTO PHONE CHARM</v>
      </c>
      <c r="D1324" s="2">
        <f>IFERROR(__xludf.DUMMYFUNCTION("""COMPUTED_VALUE"""),-81.0)</f>
        <v>-81</v>
      </c>
      <c r="E1324" s="6">
        <f>IFERROR(__xludf.DUMMYFUNCTION("""COMPUTED_VALUE"""),40148.54791666666)</f>
        <v>40148.54792</v>
      </c>
      <c r="F1324" s="2">
        <f>IFERROR(__xludf.DUMMYFUNCTION("""COMPUTED_VALUE"""),0.85)</f>
        <v>0.85</v>
      </c>
      <c r="G1324" s="2">
        <f>IFERROR(__xludf.DUMMYFUNCTION("""COMPUTED_VALUE"""),13526.0)</f>
        <v>13526</v>
      </c>
      <c r="H1324" s="2" t="str">
        <f>IFERROR(__xludf.DUMMYFUNCTION("""COMPUTED_VALUE"""),"United Kingdom")</f>
        <v>United Kingdom</v>
      </c>
      <c r="I1324" s="7">
        <f>IFERROR(__xludf.DUMMYFUNCTION("""COMPUTED_VALUE"""),40148.0)</f>
        <v>40148</v>
      </c>
      <c r="J1324" s="8">
        <f>IFERROR(__xludf.DUMMYFUNCTION("""COMPUTED_VALUE"""),0.5479166666664241)</f>
        <v>0.5479166667</v>
      </c>
      <c r="K1324" s="2">
        <f>IFERROR(__xludf.DUMMYFUNCTION("""COMPUTED_VALUE"""),13.0)</f>
        <v>13</v>
      </c>
      <c r="L1324" s="2">
        <f>IFERROR(__xludf.DUMMYFUNCTION("""COMPUTED_VALUE"""),-68.85)</f>
        <v>-68.85</v>
      </c>
    </row>
    <row r="1325">
      <c r="A1325" s="2"/>
      <c r="B1325" s="2" t="str">
        <f>IFERROR(__xludf.DUMMYFUNCTION("""COMPUTED_VALUE"""),"90092")</f>
        <v>90092</v>
      </c>
      <c r="C1325" s="2" t="str">
        <f>IFERROR(__xludf.DUMMYFUNCTION("""COMPUTED_VALUE"""),"BLUE CRYSTAL BOOT PHONE CHARM")</f>
        <v>BLUE CRYSTAL BOOT PHONE CHARM</v>
      </c>
      <c r="D1325" s="2">
        <f>IFERROR(__xludf.DUMMYFUNCTION("""COMPUTED_VALUE"""),-24.0)</f>
        <v>-24</v>
      </c>
      <c r="E1325" s="6">
        <f>IFERROR(__xludf.DUMMYFUNCTION("""COMPUTED_VALUE"""),40148.54791666666)</f>
        <v>40148.54792</v>
      </c>
      <c r="F1325" s="2">
        <f>IFERROR(__xludf.DUMMYFUNCTION("""COMPUTED_VALUE"""),0.85)</f>
        <v>0.85</v>
      </c>
      <c r="G1325" s="2">
        <f>IFERROR(__xludf.DUMMYFUNCTION("""COMPUTED_VALUE"""),13526.0)</f>
        <v>13526</v>
      </c>
      <c r="H1325" s="2" t="str">
        <f>IFERROR(__xludf.DUMMYFUNCTION("""COMPUTED_VALUE"""),"United Kingdom")</f>
        <v>United Kingdom</v>
      </c>
      <c r="I1325" s="7">
        <f>IFERROR(__xludf.DUMMYFUNCTION("""COMPUTED_VALUE"""),40148.0)</f>
        <v>40148</v>
      </c>
      <c r="J1325" s="8">
        <f>IFERROR(__xludf.DUMMYFUNCTION("""COMPUTED_VALUE"""),0.5479166666664241)</f>
        <v>0.5479166667</v>
      </c>
      <c r="K1325" s="2">
        <f>IFERROR(__xludf.DUMMYFUNCTION("""COMPUTED_VALUE"""),13.0)</f>
        <v>13</v>
      </c>
      <c r="L1325" s="2">
        <f>IFERROR(__xludf.DUMMYFUNCTION("""COMPUTED_VALUE"""),-20.4)</f>
        <v>-20.4</v>
      </c>
    </row>
    <row r="1326">
      <c r="A1326" s="2"/>
      <c r="B1326" s="2" t="str">
        <f>IFERROR(__xludf.DUMMYFUNCTION("""COMPUTED_VALUE"""),"90087")</f>
        <v>90087</v>
      </c>
      <c r="C1326" s="2" t="str">
        <f>IFERROR(__xludf.DUMMYFUNCTION("""COMPUTED_VALUE"""),"CRYSTAL SEA HORSE PHONE CHARM")</f>
        <v>CRYSTAL SEA HORSE PHONE CHARM</v>
      </c>
      <c r="D1326" s="2">
        <f>IFERROR(__xludf.DUMMYFUNCTION("""COMPUTED_VALUE"""),-48.0)</f>
        <v>-48</v>
      </c>
      <c r="E1326" s="6">
        <f>IFERROR(__xludf.DUMMYFUNCTION("""COMPUTED_VALUE"""),40148.54791666666)</f>
        <v>40148.54792</v>
      </c>
      <c r="F1326" s="2">
        <f>IFERROR(__xludf.DUMMYFUNCTION("""COMPUTED_VALUE"""),0.85)</f>
        <v>0.85</v>
      </c>
      <c r="G1326" s="2">
        <f>IFERROR(__xludf.DUMMYFUNCTION("""COMPUTED_VALUE"""),13526.0)</f>
        <v>13526</v>
      </c>
      <c r="H1326" s="2" t="str">
        <f>IFERROR(__xludf.DUMMYFUNCTION("""COMPUTED_VALUE"""),"United Kingdom")</f>
        <v>United Kingdom</v>
      </c>
      <c r="I1326" s="7">
        <f>IFERROR(__xludf.DUMMYFUNCTION("""COMPUTED_VALUE"""),40148.0)</f>
        <v>40148</v>
      </c>
      <c r="J1326" s="8">
        <f>IFERROR(__xludf.DUMMYFUNCTION("""COMPUTED_VALUE"""),0.5479166666664241)</f>
        <v>0.5479166667</v>
      </c>
      <c r="K1326" s="2">
        <f>IFERROR(__xludf.DUMMYFUNCTION("""COMPUTED_VALUE"""),13.0)</f>
        <v>13</v>
      </c>
      <c r="L1326" s="2">
        <f>IFERROR(__xludf.DUMMYFUNCTION("""COMPUTED_VALUE"""),-40.8)</f>
        <v>-40.8</v>
      </c>
    </row>
    <row r="1327">
      <c r="A1327" s="2"/>
      <c r="B1327" s="2" t="str">
        <f>IFERROR(__xludf.DUMMYFUNCTION("""COMPUTED_VALUE"""),"90092")</f>
        <v>90092</v>
      </c>
      <c r="C1327" s="2" t="str">
        <f>IFERROR(__xludf.DUMMYFUNCTION("""COMPUTED_VALUE"""),"BLUE CRYSTAL BOOT PHONE CHARM")</f>
        <v>BLUE CRYSTAL BOOT PHONE CHARM</v>
      </c>
      <c r="D1327" s="2">
        <f>IFERROR(__xludf.DUMMYFUNCTION("""COMPUTED_VALUE"""),-3.0)</f>
        <v>-3</v>
      </c>
      <c r="E1327" s="6">
        <f>IFERROR(__xludf.DUMMYFUNCTION("""COMPUTED_VALUE"""),40148.54791666666)</f>
        <v>40148.54792</v>
      </c>
      <c r="F1327" s="2">
        <f>IFERROR(__xludf.DUMMYFUNCTION("""COMPUTED_VALUE"""),0.85)</f>
        <v>0.85</v>
      </c>
      <c r="G1327" s="2">
        <f>IFERROR(__xludf.DUMMYFUNCTION("""COMPUTED_VALUE"""),13526.0)</f>
        <v>13526</v>
      </c>
      <c r="H1327" s="2" t="str">
        <f>IFERROR(__xludf.DUMMYFUNCTION("""COMPUTED_VALUE"""),"United Kingdom")</f>
        <v>United Kingdom</v>
      </c>
      <c r="I1327" s="7">
        <f>IFERROR(__xludf.DUMMYFUNCTION("""COMPUTED_VALUE"""),40148.0)</f>
        <v>40148</v>
      </c>
      <c r="J1327" s="8">
        <f>IFERROR(__xludf.DUMMYFUNCTION("""COMPUTED_VALUE"""),0.5479166666664241)</f>
        <v>0.5479166667</v>
      </c>
      <c r="K1327" s="2">
        <f>IFERROR(__xludf.DUMMYFUNCTION("""COMPUTED_VALUE"""),13.0)</f>
        <v>13</v>
      </c>
      <c r="L1327" s="2">
        <f>IFERROR(__xludf.DUMMYFUNCTION("""COMPUTED_VALUE"""),-2.55)</f>
        <v>-2.55</v>
      </c>
    </row>
    <row r="1328">
      <c r="A1328" s="2"/>
      <c r="B1328" s="2" t="str">
        <f>IFERROR(__xludf.DUMMYFUNCTION("""COMPUTED_VALUE"""),"90090")</f>
        <v>90090</v>
      </c>
      <c r="C1328" s="2" t="str">
        <f>IFERROR(__xludf.DUMMYFUNCTION("""COMPUTED_VALUE"""),"PINK CRYSTAL HEART PHONE CHARM")</f>
        <v>PINK CRYSTAL HEART PHONE CHARM</v>
      </c>
      <c r="D1328" s="2">
        <f>IFERROR(__xludf.DUMMYFUNCTION("""COMPUTED_VALUE"""),-12.0)</f>
        <v>-12</v>
      </c>
      <c r="E1328" s="6">
        <f>IFERROR(__xludf.DUMMYFUNCTION("""COMPUTED_VALUE"""),40148.54791666666)</f>
        <v>40148.54792</v>
      </c>
      <c r="F1328" s="2">
        <f>IFERROR(__xludf.DUMMYFUNCTION("""COMPUTED_VALUE"""),0.85)</f>
        <v>0.85</v>
      </c>
      <c r="G1328" s="2">
        <f>IFERROR(__xludf.DUMMYFUNCTION("""COMPUTED_VALUE"""),13526.0)</f>
        <v>13526</v>
      </c>
      <c r="H1328" s="2" t="str">
        <f>IFERROR(__xludf.DUMMYFUNCTION("""COMPUTED_VALUE"""),"United Kingdom")</f>
        <v>United Kingdom</v>
      </c>
      <c r="I1328" s="7">
        <f>IFERROR(__xludf.DUMMYFUNCTION("""COMPUTED_VALUE"""),40148.0)</f>
        <v>40148</v>
      </c>
      <c r="J1328" s="8">
        <f>IFERROR(__xludf.DUMMYFUNCTION("""COMPUTED_VALUE"""),0.5479166666664241)</f>
        <v>0.5479166667</v>
      </c>
      <c r="K1328" s="2">
        <f>IFERROR(__xludf.DUMMYFUNCTION("""COMPUTED_VALUE"""),13.0)</f>
        <v>13</v>
      </c>
      <c r="L1328" s="2">
        <f>IFERROR(__xludf.DUMMYFUNCTION("""COMPUTED_VALUE"""),-10.2)</f>
        <v>-10.2</v>
      </c>
    </row>
    <row r="1329">
      <c r="A1329" s="2">
        <f>IFERROR(__xludf.DUMMYFUNCTION("""COMPUTED_VALUE"""),489564.0)</f>
        <v>489564</v>
      </c>
      <c r="B1329" s="2" t="str">
        <f>IFERROR(__xludf.DUMMYFUNCTION("""COMPUTED_VALUE"""),"90090")</f>
        <v>90090</v>
      </c>
      <c r="C1329" s="2" t="str">
        <f>IFERROR(__xludf.DUMMYFUNCTION("""COMPUTED_VALUE"""),"PINK CRYSTAL HEART PHONE CHARM")</f>
        <v>PINK CRYSTAL HEART PHONE CHARM</v>
      </c>
      <c r="D1329" s="2">
        <f>IFERROR(__xludf.DUMMYFUNCTION("""COMPUTED_VALUE"""),36.0)</f>
        <v>36</v>
      </c>
      <c r="E1329" s="6">
        <f>IFERROR(__xludf.DUMMYFUNCTION("""COMPUTED_VALUE"""),40148.55069444444)</f>
        <v>40148.55069</v>
      </c>
      <c r="F1329" s="2">
        <f>IFERROR(__xludf.DUMMYFUNCTION("""COMPUTED_VALUE"""),0.85)</f>
        <v>0.85</v>
      </c>
      <c r="G1329" s="2">
        <f>IFERROR(__xludf.DUMMYFUNCTION("""COMPUTED_VALUE"""),13526.0)</f>
        <v>13526</v>
      </c>
      <c r="H1329" s="2" t="str">
        <f>IFERROR(__xludf.DUMMYFUNCTION("""COMPUTED_VALUE"""),"United Kingdom")</f>
        <v>United Kingdom</v>
      </c>
      <c r="I1329" s="7">
        <f>IFERROR(__xludf.DUMMYFUNCTION("""COMPUTED_VALUE"""),40148.0)</f>
        <v>40148</v>
      </c>
      <c r="J1329" s="8">
        <f>IFERROR(__xludf.DUMMYFUNCTION("""COMPUTED_VALUE"""),0.5506944444459805)</f>
        <v>0.5506944444</v>
      </c>
      <c r="K1329" s="2">
        <f>IFERROR(__xludf.DUMMYFUNCTION("""COMPUTED_VALUE"""),13.0)</f>
        <v>13</v>
      </c>
      <c r="L1329" s="2">
        <f>IFERROR(__xludf.DUMMYFUNCTION("""COMPUTED_VALUE"""),30.5999999999999)</f>
        <v>30.6</v>
      </c>
    </row>
    <row r="1330">
      <c r="A1330" s="2">
        <f>IFERROR(__xludf.DUMMYFUNCTION("""COMPUTED_VALUE"""),489564.0)</f>
        <v>489564</v>
      </c>
      <c r="B1330" s="2" t="str">
        <f>IFERROR(__xludf.DUMMYFUNCTION("""COMPUTED_VALUE"""),"90125C")</f>
        <v>90125C</v>
      </c>
      <c r="C1330" s="2" t="str">
        <f>IFERROR(__xludf.DUMMYFUNCTION("""COMPUTED_VALUE"""),"TURQUOISE BERTIE GLASS BEAD CHARM")</f>
        <v>TURQUOISE BERTIE GLASS BEAD CHARM</v>
      </c>
      <c r="D1330" s="2">
        <f>IFERROR(__xludf.DUMMYFUNCTION("""COMPUTED_VALUE"""),12.0)</f>
        <v>12</v>
      </c>
      <c r="E1330" s="6">
        <f>IFERROR(__xludf.DUMMYFUNCTION("""COMPUTED_VALUE"""),40148.55069444444)</f>
        <v>40148.55069</v>
      </c>
      <c r="F1330" s="2">
        <f>IFERROR(__xludf.DUMMYFUNCTION("""COMPUTED_VALUE"""),2.1)</f>
        <v>2.1</v>
      </c>
      <c r="G1330" s="2">
        <f>IFERROR(__xludf.DUMMYFUNCTION("""COMPUTED_VALUE"""),13526.0)</f>
        <v>13526</v>
      </c>
      <c r="H1330" s="2" t="str">
        <f>IFERROR(__xludf.DUMMYFUNCTION("""COMPUTED_VALUE"""),"United Kingdom")</f>
        <v>United Kingdom</v>
      </c>
      <c r="I1330" s="7">
        <f>IFERROR(__xludf.DUMMYFUNCTION("""COMPUTED_VALUE"""),40148.0)</f>
        <v>40148</v>
      </c>
      <c r="J1330" s="8">
        <f>IFERROR(__xludf.DUMMYFUNCTION("""COMPUTED_VALUE"""),0.5506944444459805)</f>
        <v>0.5506944444</v>
      </c>
      <c r="K1330" s="2">
        <f>IFERROR(__xludf.DUMMYFUNCTION("""COMPUTED_VALUE"""),13.0)</f>
        <v>13</v>
      </c>
      <c r="L1330" s="2">
        <f>IFERROR(__xludf.DUMMYFUNCTION("""COMPUTED_VALUE"""),25.2)</f>
        <v>25.2</v>
      </c>
    </row>
    <row r="1331">
      <c r="A1331" s="2">
        <f>IFERROR(__xludf.DUMMYFUNCTION("""COMPUTED_VALUE"""),489564.0)</f>
        <v>489564</v>
      </c>
      <c r="B1331" s="2" t="str">
        <f>IFERROR(__xludf.DUMMYFUNCTION("""COMPUTED_VALUE"""),"90125D")</f>
        <v>90125D</v>
      </c>
      <c r="C1331" s="2" t="str">
        <f>IFERROR(__xludf.DUMMYFUNCTION("""COMPUTED_VALUE"""),"PURPLE BERTIE GLASS BEAD BAG CHARM")</f>
        <v>PURPLE BERTIE GLASS BEAD BAG CHARM</v>
      </c>
      <c r="D1331" s="2">
        <f>IFERROR(__xludf.DUMMYFUNCTION("""COMPUTED_VALUE"""),12.0)</f>
        <v>12</v>
      </c>
      <c r="E1331" s="6">
        <f>IFERROR(__xludf.DUMMYFUNCTION("""COMPUTED_VALUE"""),40148.55069444444)</f>
        <v>40148.55069</v>
      </c>
      <c r="F1331" s="2">
        <f>IFERROR(__xludf.DUMMYFUNCTION("""COMPUTED_VALUE"""),2.1)</f>
        <v>2.1</v>
      </c>
      <c r="G1331" s="2">
        <f>IFERROR(__xludf.DUMMYFUNCTION("""COMPUTED_VALUE"""),13526.0)</f>
        <v>13526</v>
      </c>
      <c r="H1331" s="2" t="str">
        <f>IFERROR(__xludf.DUMMYFUNCTION("""COMPUTED_VALUE"""),"United Kingdom")</f>
        <v>United Kingdom</v>
      </c>
      <c r="I1331" s="7">
        <f>IFERROR(__xludf.DUMMYFUNCTION("""COMPUTED_VALUE"""),40148.0)</f>
        <v>40148</v>
      </c>
      <c r="J1331" s="8">
        <f>IFERROR(__xludf.DUMMYFUNCTION("""COMPUTED_VALUE"""),0.5506944444459805)</f>
        <v>0.5506944444</v>
      </c>
      <c r="K1331" s="2">
        <f>IFERROR(__xludf.DUMMYFUNCTION("""COMPUTED_VALUE"""),13.0)</f>
        <v>13</v>
      </c>
      <c r="L1331" s="2">
        <f>IFERROR(__xludf.DUMMYFUNCTION("""COMPUTED_VALUE"""),25.2)</f>
        <v>25.2</v>
      </c>
    </row>
    <row r="1332">
      <c r="A1332" s="2">
        <f>IFERROR(__xludf.DUMMYFUNCTION("""COMPUTED_VALUE"""),489564.0)</f>
        <v>489564</v>
      </c>
      <c r="B1332" s="2" t="str">
        <f>IFERROR(__xludf.DUMMYFUNCTION("""COMPUTED_VALUE"""),"90214H")</f>
        <v>90214H</v>
      </c>
      <c r="C1332" s="2" t="str">
        <f>IFERROR(__xludf.DUMMYFUNCTION("""COMPUTED_VALUE"""),"LETTER ""H"" BLING KEY RING")</f>
        <v>LETTER "H" BLING KEY RING</v>
      </c>
      <c r="D1332" s="2">
        <f>IFERROR(__xludf.DUMMYFUNCTION("""COMPUTED_VALUE"""),2.0)</f>
        <v>2</v>
      </c>
      <c r="E1332" s="6">
        <f>IFERROR(__xludf.DUMMYFUNCTION("""COMPUTED_VALUE"""),40148.55069444444)</f>
        <v>40148.55069</v>
      </c>
      <c r="F1332" s="2">
        <f>IFERROR(__xludf.DUMMYFUNCTION("""COMPUTED_VALUE"""),1.25)</f>
        <v>1.25</v>
      </c>
      <c r="G1332" s="2">
        <f>IFERROR(__xludf.DUMMYFUNCTION("""COMPUTED_VALUE"""),13526.0)</f>
        <v>13526</v>
      </c>
      <c r="H1332" s="2" t="str">
        <f>IFERROR(__xludf.DUMMYFUNCTION("""COMPUTED_VALUE"""),"United Kingdom")</f>
        <v>United Kingdom</v>
      </c>
      <c r="I1332" s="7">
        <f>IFERROR(__xludf.DUMMYFUNCTION("""COMPUTED_VALUE"""),40148.0)</f>
        <v>40148</v>
      </c>
      <c r="J1332" s="8">
        <f>IFERROR(__xludf.DUMMYFUNCTION("""COMPUTED_VALUE"""),0.5506944444459805)</f>
        <v>0.5506944444</v>
      </c>
      <c r="K1332" s="2">
        <f>IFERROR(__xludf.DUMMYFUNCTION("""COMPUTED_VALUE"""),13.0)</f>
        <v>13</v>
      </c>
      <c r="L1332" s="2">
        <f>IFERROR(__xludf.DUMMYFUNCTION("""COMPUTED_VALUE"""),2.5)</f>
        <v>2.5</v>
      </c>
    </row>
    <row r="1333">
      <c r="A1333" s="2">
        <f>IFERROR(__xludf.DUMMYFUNCTION("""COMPUTED_VALUE"""),489564.0)</f>
        <v>489564</v>
      </c>
      <c r="B1333" s="2" t="str">
        <f>IFERROR(__xludf.DUMMYFUNCTION("""COMPUTED_VALUE"""),"90125A")</f>
        <v>90125A</v>
      </c>
      <c r="C1333" s="2" t="str">
        <f>IFERROR(__xludf.DUMMYFUNCTION("""COMPUTED_VALUE"""),"PINK BERTIE GLASS BEAD BAG CHARM")</f>
        <v>PINK BERTIE GLASS BEAD BAG CHARM</v>
      </c>
      <c r="D1333" s="2">
        <f>IFERROR(__xludf.DUMMYFUNCTION("""COMPUTED_VALUE"""),12.0)</f>
        <v>12</v>
      </c>
      <c r="E1333" s="6">
        <f>IFERROR(__xludf.DUMMYFUNCTION("""COMPUTED_VALUE"""),40148.55069444444)</f>
        <v>40148.55069</v>
      </c>
      <c r="F1333" s="2">
        <f>IFERROR(__xludf.DUMMYFUNCTION("""COMPUTED_VALUE"""),2.1)</f>
        <v>2.1</v>
      </c>
      <c r="G1333" s="2">
        <f>IFERROR(__xludf.DUMMYFUNCTION("""COMPUTED_VALUE"""),13526.0)</f>
        <v>13526</v>
      </c>
      <c r="H1333" s="2" t="str">
        <f>IFERROR(__xludf.DUMMYFUNCTION("""COMPUTED_VALUE"""),"United Kingdom")</f>
        <v>United Kingdom</v>
      </c>
      <c r="I1333" s="7">
        <f>IFERROR(__xludf.DUMMYFUNCTION("""COMPUTED_VALUE"""),40148.0)</f>
        <v>40148</v>
      </c>
      <c r="J1333" s="8">
        <f>IFERROR(__xludf.DUMMYFUNCTION("""COMPUTED_VALUE"""),0.5506944444459805)</f>
        <v>0.5506944444</v>
      </c>
      <c r="K1333" s="2">
        <f>IFERROR(__xludf.DUMMYFUNCTION("""COMPUTED_VALUE"""),13.0)</f>
        <v>13</v>
      </c>
      <c r="L1333" s="2">
        <f>IFERROR(__xludf.DUMMYFUNCTION("""COMPUTED_VALUE"""),25.2)</f>
        <v>25.2</v>
      </c>
    </row>
    <row r="1334">
      <c r="A1334" s="2">
        <f>IFERROR(__xludf.DUMMYFUNCTION("""COMPUTED_VALUE"""),489564.0)</f>
        <v>489564</v>
      </c>
      <c r="B1334" s="2" t="str">
        <f>IFERROR(__xludf.DUMMYFUNCTION("""COMPUTED_VALUE"""),"90085")</f>
        <v>90085</v>
      </c>
      <c r="C1334" s="2" t="str">
        <f>IFERROR(__xludf.DUMMYFUNCTION("""COMPUTED_VALUE"""),"CRYSTAL STILETTO PHONE CHARM")</f>
        <v>CRYSTAL STILETTO PHONE CHARM</v>
      </c>
      <c r="D1334" s="2">
        <f>IFERROR(__xludf.DUMMYFUNCTION("""COMPUTED_VALUE"""),81.0)</f>
        <v>81</v>
      </c>
      <c r="E1334" s="6">
        <f>IFERROR(__xludf.DUMMYFUNCTION("""COMPUTED_VALUE"""),40148.55069444444)</f>
        <v>40148.55069</v>
      </c>
      <c r="F1334" s="2">
        <f>IFERROR(__xludf.DUMMYFUNCTION("""COMPUTED_VALUE"""),0.85)</f>
        <v>0.85</v>
      </c>
      <c r="G1334" s="2">
        <f>IFERROR(__xludf.DUMMYFUNCTION("""COMPUTED_VALUE"""),13526.0)</f>
        <v>13526</v>
      </c>
      <c r="H1334" s="2" t="str">
        <f>IFERROR(__xludf.DUMMYFUNCTION("""COMPUTED_VALUE"""),"United Kingdom")</f>
        <v>United Kingdom</v>
      </c>
      <c r="I1334" s="7">
        <f>IFERROR(__xludf.DUMMYFUNCTION("""COMPUTED_VALUE"""),40148.0)</f>
        <v>40148</v>
      </c>
      <c r="J1334" s="8">
        <f>IFERROR(__xludf.DUMMYFUNCTION("""COMPUTED_VALUE"""),0.5506944444459805)</f>
        <v>0.5506944444</v>
      </c>
      <c r="K1334" s="2">
        <f>IFERROR(__xludf.DUMMYFUNCTION("""COMPUTED_VALUE"""),13.0)</f>
        <v>13</v>
      </c>
      <c r="L1334" s="2">
        <f>IFERROR(__xludf.DUMMYFUNCTION("""COMPUTED_VALUE"""),68.85)</f>
        <v>68.85</v>
      </c>
    </row>
    <row r="1335">
      <c r="A1335" s="2">
        <f>IFERROR(__xludf.DUMMYFUNCTION("""COMPUTED_VALUE"""),489564.0)</f>
        <v>489564</v>
      </c>
      <c r="B1335" s="2" t="str">
        <f>IFERROR(__xludf.DUMMYFUNCTION("""COMPUTED_VALUE"""),"90092")</f>
        <v>90092</v>
      </c>
      <c r="C1335" s="2" t="str">
        <f>IFERROR(__xludf.DUMMYFUNCTION("""COMPUTED_VALUE"""),"BLUE CRYSTAL BOOT PHONE CHARM")</f>
        <v>BLUE CRYSTAL BOOT PHONE CHARM</v>
      </c>
      <c r="D1335" s="2">
        <f>IFERROR(__xludf.DUMMYFUNCTION("""COMPUTED_VALUE"""),24.0)</f>
        <v>24</v>
      </c>
      <c r="E1335" s="6">
        <f>IFERROR(__xludf.DUMMYFUNCTION("""COMPUTED_VALUE"""),40148.55069444444)</f>
        <v>40148.55069</v>
      </c>
      <c r="F1335" s="2">
        <f>IFERROR(__xludf.DUMMYFUNCTION("""COMPUTED_VALUE"""),0.85)</f>
        <v>0.85</v>
      </c>
      <c r="G1335" s="2">
        <f>IFERROR(__xludf.DUMMYFUNCTION("""COMPUTED_VALUE"""),13526.0)</f>
        <v>13526</v>
      </c>
      <c r="H1335" s="2" t="str">
        <f>IFERROR(__xludf.DUMMYFUNCTION("""COMPUTED_VALUE"""),"United Kingdom")</f>
        <v>United Kingdom</v>
      </c>
      <c r="I1335" s="7">
        <f>IFERROR(__xludf.DUMMYFUNCTION("""COMPUTED_VALUE"""),40148.0)</f>
        <v>40148</v>
      </c>
      <c r="J1335" s="8">
        <f>IFERROR(__xludf.DUMMYFUNCTION("""COMPUTED_VALUE"""),0.5506944444459805)</f>
        <v>0.5506944444</v>
      </c>
      <c r="K1335" s="2">
        <f>IFERROR(__xludf.DUMMYFUNCTION("""COMPUTED_VALUE"""),13.0)</f>
        <v>13</v>
      </c>
      <c r="L1335" s="2">
        <f>IFERROR(__xludf.DUMMYFUNCTION("""COMPUTED_VALUE"""),20.4)</f>
        <v>20.4</v>
      </c>
    </row>
    <row r="1336">
      <c r="A1336" s="2">
        <f>IFERROR(__xludf.DUMMYFUNCTION("""COMPUTED_VALUE"""),489564.0)</f>
        <v>489564</v>
      </c>
      <c r="B1336" s="2" t="str">
        <f>IFERROR(__xludf.DUMMYFUNCTION("""COMPUTED_VALUE"""),"90087")</f>
        <v>90087</v>
      </c>
      <c r="C1336" s="2" t="str">
        <f>IFERROR(__xludf.DUMMYFUNCTION("""COMPUTED_VALUE"""),"CRYSTAL SEA HORSE PHONE CHARM")</f>
        <v>CRYSTAL SEA HORSE PHONE CHARM</v>
      </c>
      <c r="D1336" s="2">
        <f>IFERROR(__xludf.DUMMYFUNCTION("""COMPUTED_VALUE"""),48.0)</f>
        <v>48</v>
      </c>
      <c r="E1336" s="6">
        <f>IFERROR(__xludf.DUMMYFUNCTION("""COMPUTED_VALUE"""),40148.55069444444)</f>
        <v>40148.55069</v>
      </c>
      <c r="F1336" s="2">
        <f>IFERROR(__xludf.DUMMYFUNCTION("""COMPUTED_VALUE"""),0.85)</f>
        <v>0.85</v>
      </c>
      <c r="G1336" s="2">
        <f>IFERROR(__xludf.DUMMYFUNCTION("""COMPUTED_VALUE"""),13526.0)</f>
        <v>13526</v>
      </c>
      <c r="H1336" s="2" t="str">
        <f>IFERROR(__xludf.DUMMYFUNCTION("""COMPUTED_VALUE"""),"United Kingdom")</f>
        <v>United Kingdom</v>
      </c>
      <c r="I1336" s="7">
        <f>IFERROR(__xludf.DUMMYFUNCTION("""COMPUTED_VALUE"""),40148.0)</f>
        <v>40148</v>
      </c>
      <c r="J1336" s="8">
        <f>IFERROR(__xludf.DUMMYFUNCTION("""COMPUTED_VALUE"""),0.5506944444459805)</f>
        <v>0.5506944444</v>
      </c>
      <c r="K1336" s="2">
        <f>IFERROR(__xludf.DUMMYFUNCTION("""COMPUTED_VALUE"""),13.0)</f>
        <v>13</v>
      </c>
      <c r="L1336" s="2">
        <f>IFERROR(__xludf.DUMMYFUNCTION("""COMPUTED_VALUE"""),40.8)</f>
        <v>40.8</v>
      </c>
    </row>
    <row r="1337">
      <c r="A1337" s="2">
        <f>IFERROR(__xludf.DUMMYFUNCTION("""COMPUTED_VALUE"""),489564.0)</f>
        <v>489564</v>
      </c>
      <c r="B1337" s="2" t="str">
        <f>IFERROR(__xludf.DUMMYFUNCTION("""COMPUTED_VALUE"""),"90092")</f>
        <v>90092</v>
      </c>
      <c r="C1337" s="2" t="str">
        <f>IFERROR(__xludf.DUMMYFUNCTION("""COMPUTED_VALUE"""),"BLUE CRYSTAL BOOT PHONE CHARM")</f>
        <v>BLUE CRYSTAL BOOT PHONE CHARM</v>
      </c>
      <c r="D1337" s="2">
        <f>IFERROR(__xludf.DUMMYFUNCTION("""COMPUTED_VALUE"""),3.0)</f>
        <v>3</v>
      </c>
      <c r="E1337" s="6">
        <f>IFERROR(__xludf.DUMMYFUNCTION("""COMPUTED_VALUE"""),40148.55069444444)</f>
        <v>40148.55069</v>
      </c>
      <c r="F1337" s="2">
        <f>IFERROR(__xludf.DUMMYFUNCTION("""COMPUTED_VALUE"""),0.85)</f>
        <v>0.85</v>
      </c>
      <c r="G1337" s="2">
        <f>IFERROR(__xludf.DUMMYFUNCTION("""COMPUTED_VALUE"""),13526.0)</f>
        <v>13526</v>
      </c>
      <c r="H1337" s="2" t="str">
        <f>IFERROR(__xludf.DUMMYFUNCTION("""COMPUTED_VALUE"""),"United Kingdom")</f>
        <v>United Kingdom</v>
      </c>
      <c r="I1337" s="7">
        <f>IFERROR(__xludf.DUMMYFUNCTION("""COMPUTED_VALUE"""),40148.0)</f>
        <v>40148</v>
      </c>
      <c r="J1337" s="8">
        <f>IFERROR(__xludf.DUMMYFUNCTION("""COMPUTED_VALUE"""),0.5506944444459805)</f>
        <v>0.5506944444</v>
      </c>
      <c r="K1337" s="2">
        <f>IFERROR(__xludf.DUMMYFUNCTION("""COMPUTED_VALUE"""),13.0)</f>
        <v>13</v>
      </c>
      <c r="L1337" s="2">
        <f>IFERROR(__xludf.DUMMYFUNCTION("""COMPUTED_VALUE"""),2.55)</f>
        <v>2.55</v>
      </c>
    </row>
    <row r="1338">
      <c r="A1338" s="2">
        <f>IFERROR(__xludf.DUMMYFUNCTION("""COMPUTED_VALUE"""),489564.0)</f>
        <v>489564</v>
      </c>
      <c r="B1338" s="2" t="str">
        <f>IFERROR(__xludf.DUMMYFUNCTION("""COMPUTED_VALUE"""),"90090")</f>
        <v>90090</v>
      </c>
      <c r="C1338" s="2" t="str">
        <f>IFERROR(__xludf.DUMMYFUNCTION("""COMPUTED_VALUE"""),"PINK CRYSTAL HEART PHONE CHARM")</f>
        <v>PINK CRYSTAL HEART PHONE CHARM</v>
      </c>
      <c r="D1338" s="2">
        <f>IFERROR(__xludf.DUMMYFUNCTION("""COMPUTED_VALUE"""),12.0)</f>
        <v>12</v>
      </c>
      <c r="E1338" s="6">
        <f>IFERROR(__xludf.DUMMYFUNCTION("""COMPUTED_VALUE"""),40148.55069444444)</f>
        <v>40148.55069</v>
      </c>
      <c r="F1338" s="2">
        <f>IFERROR(__xludf.DUMMYFUNCTION("""COMPUTED_VALUE"""),0.85)</f>
        <v>0.85</v>
      </c>
      <c r="G1338" s="2">
        <f>IFERROR(__xludf.DUMMYFUNCTION("""COMPUTED_VALUE"""),13526.0)</f>
        <v>13526</v>
      </c>
      <c r="H1338" s="2" t="str">
        <f>IFERROR(__xludf.DUMMYFUNCTION("""COMPUTED_VALUE"""),"United Kingdom")</f>
        <v>United Kingdom</v>
      </c>
      <c r="I1338" s="7">
        <f>IFERROR(__xludf.DUMMYFUNCTION("""COMPUTED_VALUE"""),40148.0)</f>
        <v>40148</v>
      </c>
      <c r="J1338" s="8">
        <f>IFERROR(__xludf.DUMMYFUNCTION("""COMPUTED_VALUE"""),0.5506944444459805)</f>
        <v>0.5506944444</v>
      </c>
      <c r="K1338" s="2">
        <f>IFERROR(__xludf.DUMMYFUNCTION("""COMPUTED_VALUE"""),13.0)</f>
        <v>13</v>
      </c>
      <c r="L1338" s="2">
        <f>IFERROR(__xludf.DUMMYFUNCTION("""COMPUTED_VALUE"""),10.2)</f>
        <v>10.2</v>
      </c>
    </row>
    <row r="1339">
      <c r="A1339" s="2">
        <f>IFERROR(__xludf.DUMMYFUNCTION("""COMPUTED_VALUE"""),489564.0)</f>
        <v>489564</v>
      </c>
      <c r="B1339" s="2" t="str">
        <f>IFERROR(__xludf.DUMMYFUNCTION("""COMPUTED_VALUE"""),"90088")</f>
        <v>90088</v>
      </c>
      <c r="C1339" s="2" t="str">
        <f>IFERROR(__xludf.DUMMYFUNCTION("""COMPUTED_VALUE"""),"CRYSTAL KEY+LOCK PHONE CHARM")</f>
        <v>CRYSTAL KEY+LOCK PHONE CHARM</v>
      </c>
      <c r="D1339" s="2">
        <f>IFERROR(__xludf.DUMMYFUNCTION("""COMPUTED_VALUE"""),24.0)</f>
        <v>24</v>
      </c>
      <c r="E1339" s="6">
        <f>IFERROR(__xludf.DUMMYFUNCTION("""COMPUTED_VALUE"""),40148.55069444444)</f>
        <v>40148.55069</v>
      </c>
      <c r="F1339" s="2">
        <f>IFERROR(__xludf.DUMMYFUNCTION("""COMPUTED_VALUE"""),0.85)</f>
        <v>0.85</v>
      </c>
      <c r="G1339" s="2">
        <f>IFERROR(__xludf.DUMMYFUNCTION("""COMPUTED_VALUE"""),13526.0)</f>
        <v>13526</v>
      </c>
      <c r="H1339" s="2" t="str">
        <f>IFERROR(__xludf.DUMMYFUNCTION("""COMPUTED_VALUE"""),"United Kingdom")</f>
        <v>United Kingdom</v>
      </c>
      <c r="I1339" s="7">
        <f>IFERROR(__xludf.DUMMYFUNCTION("""COMPUTED_VALUE"""),40148.0)</f>
        <v>40148</v>
      </c>
      <c r="J1339" s="8">
        <f>IFERROR(__xludf.DUMMYFUNCTION("""COMPUTED_VALUE"""),0.5506944444459805)</f>
        <v>0.5506944444</v>
      </c>
      <c r="K1339" s="2">
        <f>IFERROR(__xludf.DUMMYFUNCTION("""COMPUTED_VALUE"""),13.0)</f>
        <v>13</v>
      </c>
      <c r="L1339" s="2">
        <f>IFERROR(__xludf.DUMMYFUNCTION("""COMPUTED_VALUE"""),20.4)</f>
        <v>20.4</v>
      </c>
    </row>
    <row r="1340">
      <c r="A1340" s="2">
        <f>IFERROR(__xludf.DUMMYFUNCTION("""COMPUTED_VALUE"""),489564.0)</f>
        <v>489564</v>
      </c>
      <c r="B1340" s="2" t="str">
        <f>IFERROR(__xludf.DUMMYFUNCTION("""COMPUTED_VALUE"""),"90090")</f>
        <v>90090</v>
      </c>
      <c r="C1340" s="2" t="str">
        <f>IFERROR(__xludf.DUMMYFUNCTION("""COMPUTED_VALUE"""),"PINK CRYSTAL HEART PHONE CHARM")</f>
        <v>PINK CRYSTAL HEART PHONE CHARM</v>
      </c>
      <c r="D1340" s="2">
        <f>IFERROR(__xludf.DUMMYFUNCTION("""COMPUTED_VALUE"""),24.0)</f>
        <v>24</v>
      </c>
      <c r="E1340" s="6">
        <f>IFERROR(__xludf.DUMMYFUNCTION("""COMPUTED_VALUE"""),40148.55069444444)</f>
        <v>40148.55069</v>
      </c>
      <c r="F1340" s="2">
        <f>IFERROR(__xludf.DUMMYFUNCTION("""COMPUTED_VALUE"""),0.85)</f>
        <v>0.85</v>
      </c>
      <c r="G1340" s="2">
        <f>IFERROR(__xludf.DUMMYFUNCTION("""COMPUTED_VALUE"""),13526.0)</f>
        <v>13526</v>
      </c>
      <c r="H1340" s="2" t="str">
        <f>IFERROR(__xludf.DUMMYFUNCTION("""COMPUTED_VALUE"""),"United Kingdom")</f>
        <v>United Kingdom</v>
      </c>
      <c r="I1340" s="7">
        <f>IFERROR(__xludf.DUMMYFUNCTION("""COMPUTED_VALUE"""),40148.0)</f>
        <v>40148</v>
      </c>
      <c r="J1340" s="8">
        <f>IFERROR(__xludf.DUMMYFUNCTION("""COMPUTED_VALUE"""),0.5506944444459805)</f>
        <v>0.5506944444</v>
      </c>
      <c r="K1340" s="2">
        <f>IFERROR(__xludf.DUMMYFUNCTION("""COMPUTED_VALUE"""),13.0)</f>
        <v>13</v>
      </c>
      <c r="L1340" s="2">
        <f>IFERROR(__xludf.DUMMYFUNCTION("""COMPUTED_VALUE"""),20.4)</f>
        <v>20.4</v>
      </c>
    </row>
    <row r="1341">
      <c r="A1341" s="2">
        <f>IFERROR(__xludf.DUMMYFUNCTION("""COMPUTED_VALUE"""),489564.0)</f>
        <v>489564</v>
      </c>
      <c r="B1341" s="2" t="str">
        <f>IFERROR(__xludf.DUMMYFUNCTION("""COMPUTED_VALUE"""),"90084")</f>
        <v>90084</v>
      </c>
      <c r="C1341" s="2" t="str">
        <f>IFERROR(__xludf.DUMMYFUNCTION("""COMPUTED_VALUE"""),"PINK CRYSTAL GUITAR PHONE CHARM")</f>
        <v>PINK CRYSTAL GUITAR PHONE CHARM</v>
      </c>
      <c r="D1341" s="2">
        <f>IFERROR(__xludf.DUMMYFUNCTION("""COMPUTED_VALUE"""),12.0)</f>
        <v>12</v>
      </c>
      <c r="E1341" s="6">
        <f>IFERROR(__xludf.DUMMYFUNCTION("""COMPUTED_VALUE"""),40148.55069444444)</f>
        <v>40148.55069</v>
      </c>
      <c r="F1341" s="2">
        <f>IFERROR(__xludf.DUMMYFUNCTION("""COMPUTED_VALUE"""),0.85)</f>
        <v>0.85</v>
      </c>
      <c r="G1341" s="2">
        <f>IFERROR(__xludf.DUMMYFUNCTION("""COMPUTED_VALUE"""),13526.0)</f>
        <v>13526</v>
      </c>
      <c r="H1341" s="2" t="str">
        <f>IFERROR(__xludf.DUMMYFUNCTION("""COMPUTED_VALUE"""),"United Kingdom")</f>
        <v>United Kingdom</v>
      </c>
      <c r="I1341" s="7">
        <f>IFERROR(__xludf.DUMMYFUNCTION("""COMPUTED_VALUE"""),40148.0)</f>
        <v>40148</v>
      </c>
      <c r="J1341" s="8">
        <f>IFERROR(__xludf.DUMMYFUNCTION("""COMPUTED_VALUE"""),0.5506944444459805)</f>
        <v>0.5506944444</v>
      </c>
      <c r="K1341" s="2">
        <f>IFERROR(__xludf.DUMMYFUNCTION("""COMPUTED_VALUE"""),13.0)</f>
        <v>13</v>
      </c>
      <c r="L1341" s="2">
        <f>IFERROR(__xludf.DUMMYFUNCTION("""COMPUTED_VALUE"""),10.2)</f>
        <v>10.2</v>
      </c>
    </row>
    <row r="1342">
      <c r="A1342" s="2">
        <f>IFERROR(__xludf.DUMMYFUNCTION("""COMPUTED_VALUE"""),489564.0)</f>
        <v>489564</v>
      </c>
      <c r="B1342" s="2" t="str">
        <f>IFERROR(__xludf.DUMMYFUNCTION("""COMPUTED_VALUE"""),"90093")</f>
        <v>90093</v>
      </c>
      <c r="C1342" s="2" t="str">
        <f>IFERROR(__xludf.DUMMYFUNCTION("""COMPUTED_VALUE"""),"CLEAR CRYSTAL STAR PHONE CHARM")</f>
        <v>CLEAR CRYSTAL STAR PHONE CHARM</v>
      </c>
      <c r="D1342" s="2">
        <f>IFERROR(__xludf.DUMMYFUNCTION("""COMPUTED_VALUE"""),24.0)</f>
        <v>24</v>
      </c>
      <c r="E1342" s="6">
        <f>IFERROR(__xludf.DUMMYFUNCTION("""COMPUTED_VALUE"""),40148.55069444444)</f>
        <v>40148.55069</v>
      </c>
      <c r="F1342" s="2">
        <f>IFERROR(__xludf.DUMMYFUNCTION("""COMPUTED_VALUE"""),0.85)</f>
        <v>0.85</v>
      </c>
      <c r="G1342" s="2">
        <f>IFERROR(__xludf.DUMMYFUNCTION("""COMPUTED_VALUE"""),13526.0)</f>
        <v>13526</v>
      </c>
      <c r="H1342" s="2" t="str">
        <f>IFERROR(__xludf.DUMMYFUNCTION("""COMPUTED_VALUE"""),"United Kingdom")</f>
        <v>United Kingdom</v>
      </c>
      <c r="I1342" s="7">
        <f>IFERROR(__xludf.DUMMYFUNCTION("""COMPUTED_VALUE"""),40148.0)</f>
        <v>40148</v>
      </c>
      <c r="J1342" s="8">
        <f>IFERROR(__xludf.DUMMYFUNCTION("""COMPUTED_VALUE"""),0.5506944444459805)</f>
        <v>0.5506944444</v>
      </c>
      <c r="K1342" s="2">
        <f>IFERROR(__xludf.DUMMYFUNCTION("""COMPUTED_VALUE"""),13.0)</f>
        <v>13</v>
      </c>
      <c r="L1342" s="2">
        <f>IFERROR(__xludf.DUMMYFUNCTION("""COMPUTED_VALUE"""),20.4)</f>
        <v>20.4</v>
      </c>
    </row>
    <row r="1343">
      <c r="A1343" s="2"/>
      <c r="B1343" s="2" t="str">
        <f>IFERROR(__xludf.DUMMYFUNCTION("""COMPUTED_VALUE"""),"90125A")</f>
        <v>90125A</v>
      </c>
      <c r="C1343" s="2" t="str">
        <f>IFERROR(__xludf.DUMMYFUNCTION("""COMPUTED_VALUE"""),"PINK BERTIE GLASS BEAD BAG CHARM")</f>
        <v>PINK BERTIE GLASS BEAD BAG CHARM</v>
      </c>
      <c r="D1343" s="2">
        <f>IFERROR(__xludf.DUMMYFUNCTION("""COMPUTED_VALUE"""),-12.0)</f>
        <v>-12</v>
      </c>
      <c r="E1343" s="6">
        <f>IFERROR(__xludf.DUMMYFUNCTION("""COMPUTED_VALUE"""),40148.55138888889)</f>
        <v>40148.55139</v>
      </c>
      <c r="F1343" s="2">
        <f>IFERROR(__xludf.DUMMYFUNCTION("""COMPUTED_VALUE"""),2.1)</f>
        <v>2.1</v>
      </c>
      <c r="G1343" s="2">
        <f>IFERROR(__xludf.DUMMYFUNCTION("""COMPUTED_VALUE"""),13526.0)</f>
        <v>13526</v>
      </c>
      <c r="H1343" s="2" t="str">
        <f>IFERROR(__xludf.DUMMYFUNCTION("""COMPUTED_VALUE"""),"United Kingdom")</f>
        <v>United Kingdom</v>
      </c>
      <c r="I1343" s="7">
        <f>IFERROR(__xludf.DUMMYFUNCTION("""COMPUTED_VALUE"""),40148.0)</f>
        <v>40148</v>
      </c>
      <c r="J1343" s="8">
        <f>IFERROR(__xludf.DUMMYFUNCTION("""COMPUTED_VALUE"""),0.5513888888890506)</f>
        <v>0.5513888889</v>
      </c>
      <c r="K1343" s="2">
        <f>IFERROR(__xludf.DUMMYFUNCTION("""COMPUTED_VALUE"""),13.0)</f>
        <v>13</v>
      </c>
      <c r="L1343" s="2">
        <f>IFERROR(__xludf.DUMMYFUNCTION("""COMPUTED_VALUE"""),-25.2)</f>
        <v>-25.2</v>
      </c>
    </row>
    <row r="1344">
      <c r="A1344" s="2">
        <f>IFERROR(__xludf.DUMMYFUNCTION("""COMPUTED_VALUE"""),489566.0)</f>
        <v>489566</v>
      </c>
      <c r="B1344" s="2" t="str">
        <f>IFERROR(__xludf.DUMMYFUNCTION("""COMPUTED_VALUE"""),"20901")</f>
        <v>20901</v>
      </c>
      <c r="C1344" s="2" t="str">
        <f>IFERROR(__xludf.DUMMYFUNCTION("""COMPUTED_VALUE"""),"VINTAGE KEEPSAKE BOX PINK FLOWER")</f>
        <v>VINTAGE KEEPSAKE BOX PINK FLOWER</v>
      </c>
      <c r="D1344" s="2">
        <f>IFERROR(__xludf.DUMMYFUNCTION("""COMPUTED_VALUE"""),6.0)</f>
        <v>6</v>
      </c>
      <c r="E1344" s="6">
        <f>IFERROR(__xludf.DUMMYFUNCTION("""COMPUTED_VALUE"""),40148.552777777775)</f>
        <v>40148.55278</v>
      </c>
      <c r="F1344" s="2">
        <f>IFERROR(__xludf.DUMMYFUNCTION("""COMPUTED_VALUE"""),6.35)</f>
        <v>6.35</v>
      </c>
      <c r="G1344" s="2">
        <f>IFERROR(__xludf.DUMMYFUNCTION("""COMPUTED_VALUE"""),17742.0)</f>
        <v>17742</v>
      </c>
      <c r="H1344" s="2" t="str">
        <f>IFERROR(__xludf.DUMMYFUNCTION("""COMPUTED_VALUE"""),"United Kingdom")</f>
        <v>United Kingdom</v>
      </c>
      <c r="I1344" s="7">
        <f>IFERROR(__xludf.DUMMYFUNCTION("""COMPUTED_VALUE"""),40148.0)</f>
        <v>40148</v>
      </c>
      <c r="J1344" s="8">
        <f>IFERROR(__xludf.DUMMYFUNCTION("""COMPUTED_VALUE"""),0.5527777777788287)</f>
        <v>0.5527777778</v>
      </c>
      <c r="K1344" s="2">
        <f>IFERROR(__xludf.DUMMYFUNCTION("""COMPUTED_VALUE"""),13.0)</f>
        <v>13</v>
      </c>
      <c r="L1344" s="2">
        <f>IFERROR(__xludf.DUMMYFUNCTION("""COMPUTED_VALUE"""),38.0999999999999)</f>
        <v>38.1</v>
      </c>
    </row>
    <row r="1345">
      <c r="A1345" s="2">
        <f>IFERROR(__xludf.DUMMYFUNCTION("""COMPUTED_VALUE"""),489566.0)</f>
        <v>489566</v>
      </c>
      <c r="B1345" s="2" t="str">
        <f>IFERROR(__xludf.DUMMYFUNCTION("""COMPUTED_VALUE"""),"82483")</f>
        <v>82483</v>
      </c>
      <c r="C1345" s="2" t="str">
        <f>IFERROR(__xludf.DUMMYFUNCTION("""COMPUTED_VALUE"""),"WOOD 2 DRAWER CABINET WHITE FINISH")</f>
        <v>WOOD 2 DRAWER CABINET WHITE FINISH</v>
      </c>
      <c r="D1345" s="2">
        <f>IFERROR(__xludf.DUMMYFUNCTION("""COMPUTED_VALUE"""),3.0)</f>
        <v>3</v>
      </c>
      <c r="E1345" s="6">
        <f>IFERROR(__xludf.DUMMYFUNCTION("""COMPUTED_VALUE"""),40148.552777777775)</f>
        <v>40148.55278</v>
      </c>
      <c r="F1345" s="2">
        <f>IFERROR(__xludf.DUMMYFUNCTION("""COMPUTED_VALUE"""),5.95)</f>
        <v>5.95</v>
      </c>
      <c r="G1345" s="2">
        <f>IFERROR(__xludf.DUMMYFUNCTION("""COMPUTED_VALUE"""),17742.0)</f>
        <v>17742</v>
      </c>
      <c r="H1345" s="2" t="str">
        <f>IFERROR(__xludf.DUMMYFUNCTION("""COMPUTED_VALUE"""),"United Kingdom")</f>
        <v>United Kingdom</v>
      </c>
      <c r="I1345" s="7">
        <f>IFERROR(__xludf.DUMMYFUNCTION("""COMPUTED_VALUE"""),40148.0)</f>
        <v>40148</v>
      </c>
      <c r="J1345" s="8">
        <f>IFERROR(__xludf.DUMMYFUNCTION("""COMPUTED_VALUE"""),0.5527777777788287)</f>
        <v>0.5527777778</v>
      </c>
      <c r="K1345" s="2">
        <f>IFERROR(__xludf.DUMMYFUNCTION("""COMPUTED_VALUE"""),13.0)</f>
        <v>13</v>
      </c>
      <c r="L1345" s="2">
        <f>IFERROR(__xludf.DUMMYFUNCTION("""COMPUTED_VALUE"""),17.85)</f>
        <v>17.85</v>
      </c>
    </row>
    <row r="1346">
      <c r="A1346" s="2">
        <f>IFERROR(__xludf.DUMMYFUNCTION("""COMPUTED_VALUE"""),489566.0)</f>
        <v>489566</v>
      </c>
      <c r="B1346" s="2" t="str">
        <f>IFERROR(__xludf.DUMMYFUNCTION("""COMPUTED_VALUE"""),"22172")</f>
        <v>22172</v>
      </c>
      <c r="C1346" s="2" t="str">
        <f>IFERROR(__xludf.DUMMYFUNCTION("""COMPUTED_VALUE"""),"METAL SHELF WITH RAIL")</f>
        <v>METAL SHELF WITH RAIL</v>
      </c>
      <c r="D1346" s="2">
        <f>IFERROR(__xludf.DUMMYFUNCTION("""COMPUTED_VALUE"""),2.0)</f>
        <v>2</v>
      </c>
      <c r="E1346" s="6">
        <f>IFERROR(__xludf.DUMMYFUNCTION("""COMPUTED_VALUE"""),40148.552777777775)</f>
        <v>40148.55278</v>
      </c>
      <c r="F1346" s="2">
        <f>IFERROR(__xludf.DUMMYFUNCTION("""COMPUTED_VALUE"""),8.5)</f>
        <v>8.5</v>
      </c>
      <c r="G1346" s="2">
        <f>IFERROR(__xludf.DUMMYFUNCTION("""COMPUTED_VALUE"""),17742.0)</f>
        <v>17742</v>
      </c>
      <c r="H1346" s="2" t="str">
        <f>IFERROR(__xludf.DUMMYFUNCTION("""COMPUTED_VALUE"""),"United Kingdom")</f>
        <v>United Kingdom</v>
      </c>
      <c r="I1346" s="7">
        <f>IFERROR(__xludf.DUMMYFUNCTION("""COMPUTED_VALUE"""),40148.0)</f>
        <v>40148</v>
      </c>
      <c r="J1346" s="8">
        <f>IFERROR(__xludf.DUMMYFUNCTION("""COMPUTED_VALUE"""),0.5527777777788287)</f>
        <v>0.5527777778</v>
      </c>
      <c r="K1346" s="2">
        <f>IFERROR(__xludf.DUMMYFUNCTION("""COMPUTED_VALUE"""),13.0)</f>
        <v>13</v>
      </c>
      <c r="L1346" s="2">
        <f>IFERROR(__xludf.DUMMYFUNCTION("""COMPUTED_VALUE"""),17.0)</f>
        <v>17</v>
      </c>
    </row>
    <row r="1347">
      <c r="A1347" s="2">
        <f>IFERROR(__xludf.DUMMYFUNCTION("""COMPUTED_VALUE"""),489566.0)</f>
        <v>489566</v>
      </c>
      <c r="B1347" s="2" t="str">
        <f>IFERROR(__xludf.DUMMYFUNCTION("""COMPUTED_VALUE"""),"22282")</f>
        <v>22282</v>
      </c>
      <c r="C1347" s="2" t="str">
        <f>IFERROR(__xludf.DUMMYFUNCTION("""COMPUTED_VALUE"""),"12 EGG HOUSE PAINTED WOOD")</f>
        <v>12 EGG HOUSE PAINTED WOOD</v>
      </c>
      <c r="D1347" s="2">
        <f>IFERROR(__xludf.DUMMYFUNCTION("""COMPUTED_VALUE"""),4.0)</f>
        <v>4</v>
      </c>
      <c r="E1347" s="6">
        <f>IFERROR(__xludf.DUMMYFUNCTION("""COMPUTED_VALUE"""),40148.552777777775)</f>
        <v>40148.55278</v>
      </c>
      <c r="F1347" s="2">
        <f>IFERROR(__xludf.DUMMYFUNCTION("""COMPUTED_VALUE"""),12.75)</f>
        <v>12.75</v>
      </c>
      <c r="G1347" s="2">
        <f>IFERROR(__xludf.DUMMYFUNCTION("""COMPUTED_VALUE"""),17742.0)</f>
        <v>17742</v>
      </c>
      <c r="H1347" s="2" t="str">
        <f>IFERROR(__xludf.DUMMYFUNCTION("""COMPUTED_VALUE"""),"United Kingdom")</f>
        <v>United Kingdom</v>
      </c>
      <c r="I1347" s="7">
        <f>IFERROR(__xludf.DUMMYFUNCTION("""COMPUTED_VALUE"""),40148.0)</f>
        <v>40148</v>
      </c>
      <c r="J1347" s="8">
        <f>IFERROR(__xludf.DUMMYFUNCTION("""COMPUTED_VALUE"""),0.5527777777788287)</f>
        <v>0.5527777778</v>
      </c>
      <c r="K1347" s="2">
        <f>IFERROR(__xludf.DUMMYFUNCTION("""COMPUTED_VALUE"""),13.0)</f>
        <v>13</v>
      </c>
      <c r="L1347" s="2">
        <f>IFERROR(__xludf.DUMMYFUNCTION("""COMPUTED_VALUE"""),51.0)</f>
        <v>51</v>
      </c>
    </row>
    <row r="1348">
      <c r="A1348" s="2">
        <f>IFERROR(__xludf.DUMMYFUNCTION("""COMPUTED_VALUE"""),489566.0)</f>
        <v>489566</v>
      </c>
      <c r="B1348" s="2" t="str">
        <f>IFERROR(__xludf.DUMMYFUNCTION("""COMPUTED_VALUE"""),"85067")</f>
        <v>85067</v>
      </c>
      <c r="C1348" s="2" t="str">
        <f>IFERROR(__xludf.DUMMYFUNCTION("""COMPUTED_VALUE"""),"CREAM SWEETHEART WALL CABINET")</f>
        <v>CREAM SWEETHEART WALL CABINET</v>
      </c>
      <c r="D1348" s="2">
        <f>IFERROR(__xludf.DUMMYFUNCTION("""COMPUTED_VALUE"""),2.0)</f>
        <v>2</v>
      </c>
      <c r="E1348" s="6">
        <f>IFERROR(__xludf.DUMMYFUNCTION("""COMPUTED_VALUE"""),40148.552777777775)</f>
        <v>40148.55278</v>
      </c>
      <c r="F1348" s="2">
        <f>IFERROR(__xludf.DUMMYFUNCTION("""COMPUTED_VALUE"""),18.95)</f>
        <v>18.95</v>
      </c>
      <c r="G1348" s="2">
        <f>IFERROR(__xludf.DUMMYFUNCTION("""COMPUTED_VALUE"""),17742.0)</f>
        <v>17742</v>
      </c>
      <c r="H1348" s="2" t="str">
        <f>IFERROR(__xludf.DUMMYFUNCTION("""COMPUTED_VALUE"""),"United Kingdom")</f>
        <v>United Kingdom</v>
      </c>
      <c r="I1348" s="7">
        <f>IFERROR(__xludf.DUMMYFUNCTION("""COMPUTED_VALUE"""),40148.0)</f>
        <v>40148</v>
      </c>
      <c r="J1348" s="8">
        <f>IFERROR(__xludf.DUMMYFUNCTION("""COMPUTED_VALUE"""),0.5527777777788287)</f>
        <v>0.5527777778</v>
      </c>
      <c r="K1348" s="2">
        <f>IFERROR(__xludf.DUMMYFUNCTION("""COMPUTED_VALUE"""),13.0)</f>
        <v>13</v>
      </c>
      <c r="L1348" s="2">
        <f>IFERROR(__xludf.DUMMYFUNCTION("""COMPUTED_VALUE"""),37.9)</f>
        <v>37.9</v>
      </c>
    </row>
    <row r="1349">
      <c r="A1349" s="2">
        <f>IFERROR(__xludf.DUMMYFUNCTION("""COMPUTED_VALUE"""),489566.0)</f>
        <v>489566</v>
      </c>
      <c r="B1349" s="2" t="str">
        <f>IFERROR(__xludf.DUMMYFUNCTION("""COMPUTED_VALUE"""),"21299")</f>
        <v>21299</v>
      </c>
      <c r="C1349" s="2" t="str">
        <f>IFERROR(__xludf.DUMMYFUNCTION("""COMPUTED_VALUE"""),"EDWARDIAN TOILET ROLL UNIT")</f>
        <v>EDWARDIAN TOILET ROLL UNIT</v>
      </c>
      <c r="D1349" s="2">
        <f>IFERROR(__xludf.DUMMYFUNCTION("""COMPUTED_VALUE"""),2.0)</f>
        <v>2</v>
      </c>
      <c r="E1349" s="6">
        <f>IFERROR(__xludf.DUMMYFUNCTION("""COMPUTED_VALUE"""),40148.552777777775)</f>
        <v>40148.55278</v>
      </c>
      <c r="F1349" s="2">
        <f>IFERROR(__xludf.DUMMYFUNCTION("""COMPUTED_VALUE"""),12.75)</f>
        <v>12.75</v>
      </c>
      <c r="G1349" s="2">
        <f>IFERROR(__xludf.DUMMYFUNCTION("""COMPUTED_VALUE"""),17742.0)</f>
        <v>17742</v>
      </c>
      <c r="H1349" s="2" t="str">
        <f>IFERROR(__xludf.DUMMYFUNCTION("""COMPUTED_VALUE"""),"United Kingdom")</f>
        <v>United Kingdom</v>
      </c>
      <c r="I1349" s="7">
        <f>IFERROR(__xludf.DUMMYFUNCTION("""COMPUTED_VALUE"""),40148.0)</f>
        <v>40148</v>
      </c>
      <c r="J1349" s="8">
        <f>IFERROR(__xludf.DUMMYFUNCTION("""COMPUTED_VALUE"""),0.5527777777788287)</f>
        <v>0.5527777778</v>
      </c>
      <c r="K1349" s="2">
        <f>IFERROR(__xludf.DUMMYFUNCTION("""COMPUTED_VALUE"""),13.0)</f>
        <v>13</v>
      </c>
      <c r="L1349" s="2">
        <f>IFERROR(__xludf.DUMMYFUNCTION("""COMPUTED_VALUE"""),25.5)</f>
        <v>25.5</v>
      </c>
    </row>
    <row r="1350">
      <c r="A1350" s="2">
        <f>IFERROR(__xludf.DUMMYFUNCTION("""COMPUTED_VALUE"""),489566.0)</f>
        <v>489566</v>
      </c>
      <c r="B1350" s="2" t="str">
        <f>IFERROR(__xludf.DUMMYFUNCTION("""COMPUTED_VALUE"""),"21156")</f>
        <v>21156</v>
      </c>
      <c r="C1350" s="2" t="str">
        <f>IFERROR(__xludf.DUMMYFUNCTION("""COMPUTED_VALUE"""),"RED SPOTTY CHILDS APRON")</f>
        <v>RED SPOTTY CHILDS APRON</v>
      </c>
      <c r="D1350" s="2">
        <f>IFERROR(__xludf.DUMMYFUNCTION("""COMPUTED_VALUE"""),8.0)</f>
        <v>8</v>
      </c>
      <c r="E1350" s="6">
        <f>IFERROR(__xludf.DUMMYFUNCTION("""COMPUTED_VALUE"""),40148.552777777775)</f>
        <v>40148.55278</v>
      </c>
      <c r="F1350" s="2">
        <f>IFERROR(__xludf.DUMMYFUNCTION("""COMPUTED_VALUE"""),1.95)</f>
        <v>1.95</v>
      </c>
      <c r="G1350" s="2">
        <f>IFERROR(__xludf.DUMMYFUNCTION("""COMPUTED_VALUE"""),17742.0)</f>
        <v>17742</v>
      </c>
      <c r="H1350" s="2" t="str">
        <f>IFERROR(__xludf.DUMMYFUNCTION("""COMPUTED_VALUE"""),"United Kingdom")</f>
        <v>United Kingdom</v>
      </c>
      <c r="I1350" s="7">
        <f>IFERROR(__xludf.DUMMYFUNCTION("""COMPUTED_VALUE"""),40148.0)</f>
        <v>40148</v>
      </c>
      <c r="J1350" s="8">
        <f>IFERROR(__xludf.DUMMYFUNCTION("""COMPUTED_VALUE"""),0.5527777777788287)</f>
        <v>0.5527777778</v>
      </c>
      <c r="K1350" s="2">
        <f>IFERROR(__xludf.DUMMYFUNCTION("""COMPUTED_VALUE"""),13.0)</f>
        <v>13</v>
      </c>
      <c r="L1350" s="2">
        <f>IFERROR(__xludf.DUMMYFUNCTION("""COMPUTED_VALUE"""),15.6)</f>
        <v>15.6</v>
      </c>
    </row>
    <row r="1351">
      <c r="A1351" s="2">
        <f>IFERROR(__xludf.DUMMYFUNCTION("""COMPUTED_VALUE"""),489566.0)</f>
        <v>489566</v>
      </c>
      <c r="B1351" s="2" t="str">
        <f>IFERROR(__xludf.DUMMYFUNCTION("""COMPUTED_VALUE"""),"47591D")</f>
        <v>47591D</v>
      </c>
      <c r="C1351" s="2" t="str">
        <f>IFERROR(__xludf.DUMMYFUNCTION("""COMPUTED_VALUE"""),"PINK FAIRY CAKE CHILD'S APRON")</f>
        <v>PINK FAIRY CAKE CHILD'S APRON</v>
      </c>
      <c r="D1351" s="2">
        <f>IFERROR(__xludf.DUMMYFUNCTION("""COMPUTED_VALUE"""),8.0)</f>
        <v>8</v>
      </c>
      <c r="E1351" s="6">
        <f>IFERROR(__xludf.DUMMYFUNCTION("""COMPUTED_VALUE"""),40148.552777777775)</f>
        <v>40148.55278</v>
      </c>
      <c r="F1351" s="2">
        <f>IFERROR(__xludf.DUMMYFUNCTION("""COMPUTED_VALUE"""),1.95)</f>
        <v>1.95</v>
      </c>
      <c r="G1351" s="2">
        <f>IFERROR(__xludf.DUMMYFUNCTION("""COMPUTED_VALUE"""),17742.0)</f>
        <v>17742</v>
      </c>
      <c r="H1351" s="2" t="str">
        <f>IFERROR(__xludf.DUMMYFUNCTION("""COMPUTED_VALUE"""),"United Kingdom")</f>
        <v>United Kingdom</v>
      </c>
      <c r="I1351" s="7">
        <f>IFERROR(__xludf.DUMMYFUNCTION("""COMPUTED_VALUE"""),40148.0)</f>
        <v>40148</v>
      </c>
      <c r="J1351" s="8">
        <f>IFERROR(__xludf.DUMMYFUNCTION("""COMPUTED_VALUE"""),0.5527777777788287)</f>
        <v>0.5527777778</v>
      </c>
      <c r="K1351" s="2">
        <f>IFERROR(__xludf.DUMMYFUNCTION("""COMPUTED_VALUE"""),13.0)</f>
        <v>13</v>
      </c>
      <c r="L1351" s="2">
        <f>IFERROR(__xludf.DUMMYFUNCTION("""COMPUTED_VALUE"""),15.6)</f>
        <v>15.6</v>
      </c>
    </row>
    <row r="1352">
      <c r="A1352" s="2">
        <f>IFERROR(__xludf.DUMMYFUNCTION("""COMPUTED_VALUE"""),489567.0)</f>
        <v>489567</v>
      </c>
      <c r="B1352" s="2" t="str">
        <f>IFERROR(__xludf.DUMMYFUNCTION("""COMPUTED_VALUE"""),"84352")</f>
        <v>84352</v>
      </c>
      <c r="C1352" s="2" t="str">
        <f>IFERROR(__xludf.DUMMYFUNCTION("""COMPUTED_VALUE"""),"SILVER CHRISTMAS TREE BAUBLE STAND")</f>
        <v>SILVER CHRISTMAS TREE BAUBLE STAND</v>
      </c>
      <c r="D1352" s="2">
        <f>IFERROR(__xludf.DUMMYFUNCTION("""COMPUTED_VALUE"""),2.0)</f>
        <v>2</v>
      </c>
      <c r="E1352" s="6">
        <f>IFERROR(__xludf.DUMMYFUNCTION("""COMPUTED_VALUE"""),40148.554861111115)</f>
        <v>40148.55486</v>
      </c>
      <c r="F1352" s="2">
        <f>IFERROR(__xludf.DUMMYFUNCTION("""COMPUTED_VALUE"""),16.95)</f>
        <v>16.95</v>
      </c>
      <c r="G1352" s="2">
        <f>IFERROR(__xludf.DUMMYFUNCTION("""COMPUTED_VALUE"""),15326.0)</f>
        <v>15326</v>
      </c>
      <c r="H1352" s="2" t="str">
        <f>IFERROR(__xludf.DUMMYFUNCTION("""COMPUTED_VALUE"""),"United Kingdom")</f>
        <v>United Kingdom</v>
      </c>
      <c r="I1352" s="7">
        <f>IFERROR(__xludf.DUMMYFUNCTION("""COMPUTED_VALUE"""),40148.0)</f>
        <v>40148</v>
      </c>
      <c r="J1352" s="8">
        <f>IFERROR(__xludf.DUMMYFUNCTION("""COMPUTED_VALUE"""),0.554861111111677)</f>
        <v>0.5548611111</v>
      </c>
      <c r="K1352" s="2">
        <f>IFERROR(__xludf.DUMMYFUNCTION("""COMPUTED_VALUE"""),13.0)</f>
        <v>13</v>
      </c>
      <c r="L1352" s="2">
        <f>IFERROR(__xludf.DUMMYFUNCTION("""COMPUTED_VALUE"""),33.9)</f>
        <v>33.9</v>
      </c>
    </row>
    <row r="1353">
      <c r="A1353" s="2">
        <f>IFERROR(__xludf.DUMMYFUNCTION("""COMPUTED_VALUE"""),489567.0)</f>
        <v>489567</v>
      </c>
      <c r="B1353" s="2" t="str">
        <f>IFERROR(__xludf.DUMMYFUNCTION("""COMPUTED_VALUE"""),"22113")</f>
        <v>22113</v>
      </c>
      <c r="C1353" s="2" t="str">
        <f>IFERROR(__xludf.DUMMYFUNCTION("""COMPUTED_VALUE"""),"GREY HEART HOT WATER BOTTLE")</f>
        <v>GREY HEART HOT WATER BOTTLE</v>
      </c>
      <c r="D1353" s="2">
        <f>IFERROR(__xludf.DUMMYFUNCTION("""COMPUTED_VALUE"""),4.0)</f>
        <v>4</v>
      </c>
      <c r="E1353" s="6">
        <f>IFERROR(__xludf.DUMMYFUNCTION("""COMPUTED_VALUE"""),40148.554861111115)</f>
        <v>40148.55486</v>
      </c>
      <c r="F1353" s="2">
        <f>IFERROR(__xludf.DUMMYFUNCTION("""COMPUTED_VALUE"""),3.45)</f>
        <v>3.45</v>
      </c>
      <c r="G1353" s="2">
        <f>IFERROR(__xludf.DUMMYFUNCTION("""COMPUTED_VALUE"""),15326.0)</f>
        <v>15326</v>
      </c>
      <c r="H1353" s="2" t="str">
        <f>IFERROR(__xludf.DUMMYFUNCTION("""COMPUTED_VALUE"""),"United Kingdom")</f>
        <v>United Kingdom</v>
      </c>
      <c r="I1353" s="7">
        <f>IFERROR(__xludf.DUMMYFUNCTION("""COMPUTED_VALUE"""),40148.0)</f>
        <v>40148</v>
      </c>
      <c r="J1353" s="8">
        <f>IFERROR(__xludf.DUMMYFUNCTION("""COMPUTED_VALUE"""),0.554861111111677)</f>
        <v>0.5548611111</v>
      </c>
      <c r="K1353" s="2">
        <f>IFERROR(__xludf.DUMMYFUNCTION("""COMPUTED_VALUE"""),13.0)</f>
        <v>13</v>
      </c>
      <c r="L1353" s="2">
        <f>IFERROR(__xludf.DUMMYFUNCTION("""COMPUTED_VALUE"""),13.8)</f>
        <v>13.8</v>
      </c>
    </row>
    <row r="1354">
      <c r="A1354" s="2">
        <f>IFERROR(__xludf.DUMMYFUNCTION("""COMPUTED_VALUE"""),489567.0)</f>
        <v>489567</v>
      </c>
      <c r="B1354" s="2" t="str">
        <f>IFERROR(__xludf.DUMMYFUNCTION("""COMPUTED_VALUE"""),"85150")</f>
        <v>85150</v>
      </c>
      <c r="C1354" s="2" t="str">
        <f>IFERROR(__xludf.DUMMYFUNCTION("""COMPUTED_VALUE"""),"LADIES &amp; GENTLEMEN METAL SIGN")</f>
        <v>LADIES &amp; GENTLEMEN METAL SIGN</v>
      </c>
      <c r="D1354" s="2">
        <f>IFERROR(__xludf.DUMMYFUNCTION("""COMPUTED_VALUE"""),6.0)</f>
        <v>6</v>
      </c>
      <c r="E1354" s="6">
        <f>IFERROR(__xludf.DUMMYFUNCTION("""COMPUTED_VALUE"""),40148.554861111115)</f>
        <v>40148.55486</v>
      </c>
      <c r="F1354" s="2">
        <f>IFERROR(__xludf.DUMMYFUNCTION("""COMPUTED_VALUE"""),2.55)</f>
        <v>2.55</v>
      </c>
      <c r="G1354" s="2">
        <f>IFERROR(__xludf.DUMMYFUNCTION("""COMPUTED_VALUE"""),15326.0)</f>
        <v>15326</v>
      </c>
      <c r="H1354" s="2" t="str">
        <f>IFERROR(__xludf.DUMMYFUNCTION("""COMPUTED_VALUE"""),"United Kingdom")</f>
        <v>United Kingdom</v>
      </c>
      <c r="I1354" s="7">
        <f>IFERROR(__xludf.DUMMYFUNCTION("""COMPUTED_VALUE"""),40148.0)</f>
        <v>40148</v>
      </c>
      <c r="J1354" s="8">
        <f>IFERROR(__xludf.DUMMYFUNCTION("""COMPUTED_VALUE"""),0.554861111111677)</f>
        <v>0.5548611111</v>
      </c>
      <c r="K1354" s="2">
        <f>IFERROR(__xludf.DUMMYFUNCTION("""COMPUTED_VALUE"""),13.0)</f>
        <v>13</v>
      </c>
      <c r="L1354" s="2">
        <f>IFERROR(__xludf.DUMMYFUNCTION("""COMPUTED_VALUE"""),15.2999999999999)</f>
        <v>15.3</v>
      </c>
    </row>
    <row r="1355">
      <c r="A1355" s="2">
        <f>IFERROR(__xludf.DUMMYFUNCTION("""COMPUTED_VALUE"""),489567.0)</f>
        <v>489567</v>
      </c>
      <c r="B1355" s="2" t="str">
        <f>IFERROR(__xludf.DUMMYFUNCTION("""COMPUTED_VALUE"""),"21908")</f>
        <v>21908</v>
      </c>
      <c r="C1355" s="2" t="str">
        <f>IFERROR(__xludf.DUMMYFUNCTION("""COMPUTED_VALUE"""),"CHOCOLATE THIS WAY METAL SIGN")</f>
        <v>CHOCOLATE THIS WAY METAL SIGN</v>
      </c>
      <c r="D1355" s="2">
        <f>IFERROR(__xludf.DUMMYFUNCTION("""COMPUTED_VALUE"""),6.0)</f>
        <v>6</v>
      </c>
      <c r="E1355" s="6">
        <f>IFERROR(__xludf.DUMMYFUNCTION("""COMPUTED_VALUE"""),40148.554861111115)</f>
        <v>40148.55486</v>
      </c>
      <c r="F1355" s="2">
        <f>IFERROR(__xludf.DUMMYFUNCTION("""COMPUTED_VALUE"""),2.1)</f>
        <v>2.1</v>
      </c>
      <c r="G1355" s="2">
        <f>IFERROR(__xludf.DUMMYFUNCTION("""COMPUTED_VALUE"""),15326.0)</f>
        <v>15326</v>
      </c>
      <c r="H1355" s="2" t="str">
        <f>IFERROR(__xludf.DUMMYFUNCTION("""COMPUTED_VALUE"""),"United Kingdom")</f>
        <v>United Kingdom</v>
      </c>
      <c r="I1355" s="7">
        <f>IFERROR(__xludf.DUMMYFUNCTION("""COMPUTED_VALUE"""),40148.0)</f>
        <v>40148</v>
      </c>
      <c r="J1355" s="8">
        <f>IFERROR(__xludf.DUMMYFUNCTION("""COMPUTED_VALUE"""),0.554861111111677)</f>
        <v>0.5548611111</v>
      </c>
      <c r="K1355" s="2">
        <f>IFERROR(__xludf.DUMMYFUNCTION("""COMPUTED_VALUE"""),13.0)</f>
        <v>13</v>
      </c>
      <c r="L1355" s="2">
        <f>IFERROR(__xludf.DUMMYFUNCTION("""COMPUTED_VALUE"""),12.6)</f>
        <v>12.6</v>
      </c>
    </row>
    <row r="1356">
      <c r="A1356" s="2">
        <f>IFERROR(__xludf.DUMMYFUNCTION("""COMPUTED_VALUE"""),489567.0)</f>
        <v>489567</v>
      </c>
      <c r="B1356" s="2" t="str">
        <f>IFERROR(__xludf.DUMMYFUNCTION("""COMPUTED_VALUE"""),"21480")</f>
        <v>21480</v>
      </c>
      <c r="C1356" s="2" t="str">
        <f>IFERROR(__xludf.DUMMYFUNCTION("""COMPUTED_VALUE"""),"PINK STRIPE HOT WATER BOTTLE")</f>
        <v>PINK STRIPE HOT WATER BOTTLE</v>
      </c>
      <c r="D1356" s="2">
        <f>IFERROR(__xludf.DUMMYFUNCTION("""COMPUTED_VALUE"""),6.0)</f>
        <v>6</v>
      </c>
      <c r="E1356" s="6">
        <f>IFERROR(__xludf.DUMMYFUNCTION("""COMPUTED_VALUE"""),40148.554861111115)</f>
        <v>40148.55486</v>
      </c>
      <c r="F1356" s="2">
        <f>IFERROR(__xludf.DUMMYFUNCTION("""COMPUTED_VALUE"""),2.95)</f>
        <v>2.95</v>
      </c>
      <c r="G1356" s="2">
        <f>IFERROR(__xludf.DUMMYFUNCTION("""COMPUTED_VALUE"""),15326.0)</f>
        <v>15326</v>
      </c>
      <c r="H1356" s="2" t="str">
        <f>IFERROR(__xludf.DUMMYFUNCTION("""COMPUTED_VALUE"""),"United Kingdom")</f>
        <v>United Kingdom</v>
      </c>
      <c r="I1356" s="7">
        <f>IFERROR(__xludf.DUMMYFUNCTION("""COMPUTED_VALUE"""),40148.0)</f>
        <v>40148</v>
      </c>
      <c r="J1356" s="8">
        <f>IFERROR(__xludf.DUMMYFUNCTION("""COMPUTED_VALUE"""),0.554861111111677)</f>
        <v>0.5548611111</v>
      </c>
      <c r="K1356" s="2">
        <f>IFERROR(__xludf.DUMMYFUNCTION("""COMPUTED_VALUE"""),13.0)</f>
        <v>13</v>
      </c>
      <c r="L1356" s="2">
        <f>IFERROR(__xludf.DUMMYFUNCTION("""COMPUTED_VALUE"""),17.7)</f>
        <v>17.7</v>
      </c>
    </row>
    <row r="1357">
      <c r="A1357" s="2">
        <f>IFERROR(__xludf.DUMMYFUNCTION("""COMPUTED_VALUE"""),489567.0)</f>
        <v>489567</v>
      </c>
      <c r="B1357" s="2" t="str">
        <f>IFERROR(__xludf.DUMMYFUNCTION("""COMPUTED_VALUE"""),"84029E")</f>
        <v>84029E</v>
      </c>
      <c r="C1357" s="2" t="str">
        <f>IFERROR(__xludf.DUMMYFUNCTION("""COMPUTED_VALUE"""),"RED WOOLLY HOTTIE WHITE HEART.")</f>
        <v>RED WOOLLY HOTTIE WHITE HEART.</v>
      </c>
      <c r="D1357" s="2">
        <f>IFERROR(__xludf.DUMMYFUNCTION("""COMPUTED_VALUE"""),4.0)</f>
        <v>4</v>
      </c>
      <c r="E1357" s="6">
        <f>IFERROR(__xludf.DUMMYFUNCTION("""COMPUTED_VALUE"""),40148.554861111115)</f>
        <v>40148.55486</v>
      </c>
      <c r="F1357" s="2">
        <f>IFERROR(__xludf.DUMMYFUNCTION("""COMPUTED_VALUE"""),3.75)</f>
        <v>3.75</v>
      </c>
      <c r="G1357" s="2">
        <f>IFERROR(__xludf.DUMMYFUNCTION("""COMPUTED_VALUE"""),15326.0)</f>
        <v>15326</v>
      </c>
      <c r="H1357" s="2" t="str">
        <f>IFERROR(__xludf.DUMMYFUNCTION("""COMPUTED_VALUE"""),"United Kingdom")</f>
        <v>United Kingdom</v>
      </c>
      <c r="I1357" s="7">
        <f>IFERROR(__xludf.DUMMYFUNCTION("""COMPUTED_VALUE"""),40148.0)</f>
        <v>40148</v>
      </c>
      <c r="J1357" s="8">
        <f>IFERROR(__xludf.DUMMYFUNCTION("""COMPUTED_VALUE"""),0.554861111111677)</f>
        <v>0.5548611111</v>
      </c>
      <c r="K1357" s="2">
        <f>IFERROR(__xludf.DUMMYFUNCTION("""COMPUTED_VALUE"""),13.0)</f>
        <v>13</v>
      </c>
      <c r="L1357" s="2">
        <f>IFERROR(__xludf.DUMMYFUNCTION("""COMPUTED_VALUE"""),15.0)</f>
        <v>15</v>
      </c>
    </row>
    <row r="1358">
      <c r="A1358" s="2">
        <f>IFERROR(__xludf.DUMMYFUNCTION("""COMPUTED_VALUE"""),489567.0)</f>
        <v>489567</v>
      </c>
      <c r="B1358" s="2" t="str">
        <f>IFERROR(__xludf.DUMMYFUNCTION("""COMPUTED_VALUE"""),"21172")</f>
        <v>21172</v>
      </c>
      <c r="C1358" s="2" t="str">
        <f>IFERROR(__xludf.DUMMYFUNCTION("""COMPUTED_VALUE"""),"PARTY METAL SIGN")</f>
        <v>PARTY METAL SIGN</v>
      </c>
      <c r="D1358" s="2">
        <f>IFERROR(__xludf.DUMMYFUNCTION("""COMPUTED_VALUE"""),12.0)</f>
        <v>12</v>
      </c>
      <c r="E1358" s="6">
        <f>IFERROR(__xludf.DUMMYFUNCTION("""COMPUTED_VALUE"""),40148.554861111115)</f>
        <v>40148.55486</v>
      </c>
      <c r="F1358" s="2">
        <f>IFERROR(__xludf.DUMMYFUNCTION("""COMPUTED_VALUE"""),1.45)</f>
        <v>1.45</v>
      </c>
      <c r="G1358" s="2">
        <f>IFERROR(__xludf.DUMMYFUNCTION("""COMPUTED_VALUE"""),15326.0)</f>
        <v>15326</v>
      </c>
      <c r="H1358" s="2" t="str">
        <f>IFERROR(__xludf.DUMMYFUNCTION("""COMPUTED_VALUE"""),"United Kingdom")</f>
        <v>United Kingdom</v>
      </c>
      <c r="I1358" s="7">
        <f>IFERROR(__xludf.DUMMYFUNCTION("""COMPUTED_VALUE"""),40148.0)</f>
        <v>40148</v>
      </c>
      <c r="J1358" s="8">
        <f>IFERROR(__xludf.DUMMYFUNCTION("""COMPUTED_VALUE"""),0.554861111111677)</f>
        <v>0.5548611111</v>
      </c>
      <c r="K1358" s="2">
        <f>IFERROR(__xludf.DUMMYFUNCTION("""COMPUTED_VALUE"""),13.0)</f>
        <v>13</v>
      </c>
      <c r="L1358" s="2">
        <f>IFERROR(__xludf.DUMMYFUNCTION("""COMPUTED_VALUE"""),17.4)</f>
        <v>17.4</v>
      </c>
    </row>
    <row r="1359">
      <c r="A1359" s="2">
        <f>IFERROR(__xludf.DUMMYFUNCTION("""COMPUTED_VALUE"""),489567.0)</f>
        <v>489567</v>
      </c>
      <c r="B1359" s="2" t="str">
        <f>IFERROR(__xludf.DUMMYFUNCTION("""COMPUTED_VALUE"""),"72127")</f>
        <v>72127</v>
      </c>
      <c r="C1359" s="2" t="str">
        <f>IFERROR(__xludf.DUMMYFUNCTION("""COMPUTED_VALUE"""),"COLUMBIAN CANDLE ROUND")</f>
        <v>COLUMBIAN CANDLE ROUND</v>
      </c>
      <c r="D1359" s="2">
        <f>IFERROR(__xludf.DUMMYFUNCTION("""COMPUTED_VALUE"""),6.0)</f>
        <v>6</v>
      </c>
      <c r="E1359" s="6">
        <f>IFERROR(__xludf.DUMMYFUNCTION("""COMPUTED_VALUE"""),40148.554861111115)</f>
        <v>40148.55486</v>
      </c>
      <c r="F1359" s="2">
        <f>IFERROR(__xludf.DUMMYFUNCTION("""COMPUTED_VALUE"""),1.25)</f>
        <v>1.25</v>
      </c>
      <c r="G1359" s="2">
        <f>IFERROR(__xludf.DUMMYFUNCTION("""COMPUTED_VALUE"""),15326.0)</f>
        <v>15326</v>
      </c>
      <c r="H1359" s="2" t="str">
        <f>IFERROR(__xludf.DUMMYFUNCTION("""COMPUTED_VALUE"""),"United Kingdom")</f>
        <v>United Kingdom</v>
      </c>
      <c r="I1359" s="7">
        <f>IFERROR(__xludf.DUMMYFUNCTION("""COMPUTED_VALUE"""),40148.0)</f>
        <v>40148</v>
      </c>
      <c r="J1359" s="8">
        <f>IFERROR(__xludf.DUMMYFUNCTION("""COMPUTED_VALUE"""),0.554861111111677)</f>
        <v>0.5548611111</v>
      </c>
      <c r="K1359" s="2">
        <f>IFERROR(__xludf.DUMMYFUNCTION("""COMPUTED_VALUE"""),13.0)</f>
        <v>13</v>
      </c>
      <c r="L1359" s="2">
        <f>IFERROR(__xludf.DUMMYFUNCTION("""COMPUTED_VALUE"""),7.5)</f>
        <v>7.5</v>
      </c>
    </row>
    <row r="1360">
      <c r="A1360" s="2">
        <f>IFERROR(__xludf.DUMMYFUNCTION("""COMPUTED_VALUE"""),489567.0)</f>
        <v>489567</v>
      </c>
      <c r="B1360" s="2" t="str">
        <f>IFERROR(__xludf.DUMMYFUNCTION("""COMPUTED_VALUE"""),"48195")</f>
        <v>48195</v>
      </c>
      <c r="C1360" s="2" t="str">
        <f>IFERROR(__xludf.DUMMYFUNCTION("""COMPUTED_VALUE"""),"DOOR MAT GREEN PAISLEY")</f>
        <v>DOOR MAT GREEN PAISLEY</v>
      </c>
      <c r="D1360" s="2">
        <f>IFERROR(__xludf.DUMMYFUNCTION("""COMPUTED_VALUE"""),2.0)</f>
        <v>2</v>
      </c>
      <c r="E1360" s="6">
        <f>IFERROR(__xludf.DUMMYFUNCTION("""COMPUTED_VALUE"""),40148.554861111115)</f>
        <v>40148.55486</v>
      </c>
      <c r="F1360" s="2">
        <f>IFERROR(__xludf.DUMMYFUNCTION("""COMPUTED_VALUE"""),6.75)</f>
        <v>6.75</v>
      </c>
      <c r="G1360" s="2">
        <f>IFERROR(__xludf.DUMMYFUNCTION("""COMPUTED_VALUE"""),15326.0)</f>
        <v>15326</v>
      </c>
      <c r="H1360" s="2" t="str">
        <f>IFERROR(__xludf.DUMMYFUNCTION("""COMPUTED_VALUE"""),"United Kingdom")</f>
        <v>United Kingdom</v>
      </c>
      <c r="I1360" s="7">
        <f>IFERROR(__xludf.DUMMYFUNCTION("""COMPUTED_VALUE"""),40148.0)</f>
        <v>40148</v>
      </c>
      <c r="J1360" s="8">
        <f>IFERROR(__xludf.DUMMYFUNCTION("""COMPUTED_VALUE"""),0.554861111111677)</f>
        <v>0.5548611111</v>
      </c>
      <c r="K1360" s="2">
        <f>IFERROR(__xludf.DUMMYFUNCTION("""COMPUTED_VALUE"""),13.0)</f>
        <v>13</v>
      </c>
      <c r="L1360" s="2">
        <f>IFERROR(__xludf.DUMMYFUNCTION("""COMPUTED_VALUE"""),13.5)</f>
        <v>13.5</v>
      </c>
    </row>
    <row r="1361">
      <c r="A1361" s="2">
        <f>IFERROR(__xludf.DUMMYFUNCTION("""COMPUTED_VALUE"""),489567.0)</f>
        <v>489567</v>
      </c>
      <c r="B1361" s="2" t="str">
        <f>IFERROR(__xludf.DUMMYFUNCTION("""COMPUTED_VALUE"""),"21976")</f>
        <v>21976</v>
      </c>
      <c r="C1361" s="2" t="str">
        <f>IFERROR(__xludf.DUMMYFUNCTION("""COMPUTED_VALUE"""),"PACK OF 60 MUSHROOM CAKE CASES")</f>
        <v>PACK OF 60 MUSHROOM CAKE CASES</v>
      </c>
      <c r="D1361" s="2">
        <f>IFERROR(__xludf.DUMMYFUNCTION("""COMPUTED_VALUE"""),24.0)</f>
        <v>24</v>
      </c>
      <c r="E1361" s="6">
        <f>IFERROR(__xludf.DUMMYFUNCTION("""COMPUTED_VALUE"""),40148.554861111115)</f>
        <v>40148.55486</v>
      </c>
      <c r="F1361" s="2">
        <f>IFERROR(__xludf.DUMMYFUNCTION("""COMPUTED_VALUE"""),0.55)</f>
        <v>0.55</v>
      </c>
      <c r="G1361" s="2">
        <f>IFERROR(__xludf.DUMMYFUNCTION("""COMPUTED_VALUE"""),15326.0)</f>
        <v>15326</v>
      </c>
      <c r="H1361" s="2" t="str">
        <f>IFERROR(__xludf.DUMMYFUNCTION("""COMPUTED_VALUE"""),"United Kingdom")</f>
        <v>United Kingdom</v>
      </c>
      <c r="I1361" s="7">
        <f>IFERROR(__xludf.DUMMYFUNCTION("""COMPUTED_VALUE"""),40148.0)</f>
        <v>40148</v>
      </c>
      <c r="J1361" s="8">
        <f>IFERROR(__xludf.DUMMYFUNCTION("""COMPUTED_VALUE"""),0.554861111111677)</f>
        <v>0.5548611111</v>
      </c>
      <c r="K1361" s="2">
        <f>IFERROR(__xludf.DUMMYFUNCTION("""COMPUTED_VALUE"""),13.0)</f>
        <v>13</v>
      </c>
      <c r="L1361" s="2">
        <f>IFERROR(__xludf.DUMMYFUNCTION("""COMPUTED_VALUE"""),13.2)</f>
        <v>13.2</v>
      </c>
    </row>
    <row r="1362">
      <c r="A1362" s="2">
        <f>IFERROR(__xludf.DUMMYFUNCTION("""COMPUTED_VALUE"""),489567.0)</f>
        <v>489567</v>
      </c>
      <c r="B1362" s="2" t="str">
        <f>IFERROR(__xludf.DUMMYFUNCTION("""COMPUTED_VALUE"""),"84992")</f>
        <v>84992</v>
      </c>
      <c r="C1362" s="2" t="str">
        <f>IFERROR(__xludf.DUMMYFUNCTION("""COMPUTED_VALUE"""),"72 SWEETHEART FAIRY CAKE CASES")</f>
        <v>72 SWEETHEART FAIRY CAKE CASES</v>
      </c>
      <c r="D1362" s="2">
        <f>IFERROR(__xludf.DUMMYFUNCTION("""COMPUTED_VALUE"""),24.0)</f>
        <v>24</v>
      </c>
      <c r="E1362" s="6">
        <f>IFERROR(__xludf.DUMMYFUNCTION("""COMPUTED_VALUE"""),40148.554861111115)</f>
        <v>40148.55486</v>
      </c>
      <c r="F1362" s="2">
        <f>IFERROR(__xludf.DUMMYFUNCTION("""COMPUTED_VALUE"""),0.55)</f>
        <v>0.55</v>
      </c>
      <c r="G1362" s="2">
        <f>IFERROR(__xludf.DUMMYFUNCTION("""COMPUTED_VALUE"""),15326.0)</f>
        <v>15326</v>
      </c>
      <c r="H1362" s="2" t="str">
        <f>IFERROR(__xludf.DUMMYFUNCTION("""COMPUTED_VALUE"""),"United Kingdom")</f>
        <v>United Kingdom</v>
      </c>
      <c r="I1362" s="7">
        <f>IFERROR(__xludf.DUMMYFUNCTION("""COMPUTED_VALUE"""),40148.0)</f>
        <v>40148</v>
      </c>
      <c r="J1362" s="8">
        <f>IFERROR(__xludf.DUMMYFUNCTION("""COMPUTED_VALUE"""),0.554861111111677)</f>
        <v>0.5548611111</v>
      </c>
      <c r="K1362" s="2">
        <f>IFERROR(__xludf.DUMMYFUNCTION("""COMPUTED_VALUE"""),13.0)</f>
        <v>13</v>
      </c>
      <c r="L1362" s="2">
        <f>IFERROR(__xludf.DUMMYFUNCTION("""COMPUTED_VALUE"""),13.2)</f>
        <v>13.2</v>
      </c>
    </row>
    <row r="1363">
      <c r="A1363" s="2">
        <f>IFERROR(__xludf.DUMMYFUNCTION("""COMPUTED_VALUE"""),489567.0)</f>
        <v>489567</v>
      </c>
      <c r="B1363" s="2" t="str">
        <f>IFERROR(__xludf.DUMMYFUNCTION("""COMPUTED_VALUE"""),"84929")</f>
        <v>84929</v>
      </c>
      <c r="C1363" s="2" t="str">
        <f>IFERROR(__xludf.DUMMYFUNCTION("""COMPUTED_VALUE"""),"ASSTD FRUIT+FLOWERS FRIDGE MAGNETS")</f>
        <v>ASSTD FRUIT+FLOWERS FRIDGE MAGNETS</v>
      </c>
      <c r="D1363" s="2">
        <f>IFERROR(__xludf.DUMMYFUNCTION("""COMPUTED_VALUE"""),24.0)</f>
        <v>24</v>
      </c>
      <c r="E1363" s="6">
        <f>IFERROR(__xludf.DUMMYFUNCTION("""COMPUTED_VALUE"""),40148.554861111115)</f>
        <v>40148.55486</v>
      </c>
      <c r="F1363" s="2">
        <f>IFERROR(__xludf.DUMMYFUNCTION("""COMPUTED_VALUE"""),0.55)</f>
        <v>0.55</v>
      </c>
      <c r="G1363" s="2">
        <f>IFERROR(__xludf.DUMMYFUNCTION("""COMPUTED_VALUE"""),15326.0)</f>
        <v>15326</v>
      </c>
      <c r="H1363" s="2" t="str">
        <f>IFERROR(__xludf.DUMMYFUNCTION("""COMPUTED_VALUE"""),"United Kingdom")</f>
        <v>United Kingdom</v>
      </c>
      <c r="I1363" s="7">
        <f>IFERROR(__xludf.DUMMYFUNCTION("""COMPUTED_VALUE"""),40148.0)</f>
        <v>40148</v>
      </c>
      <c r="J1363" s="8">
        <f>IFERROR(__xludf.DUMMYFUNCTION("""COMPUTED_VALUE"""),0.554861111111677)</f>
        <v>0.5548611111</v>
      </c>
      <c r="K1363" s="2">
        <f>IFERROR(__xludf.DUMMYFUNCTION("""COMPUTED_VALUE"""),13.0)</f>
        <v>13</v>
      </c>
      <c r="L1363" s="2">
        <f>IFERROR(__xludf.DUMMYFUNCTION("""COMPUTED_VALUE"""),13.2)</f>
        <v>13.2</v>
      </c>
    </row>
    <row r="1364">
      <c r="A1364" s="2">
        <f>IFERROR(__xludf.DUMMYFUNCTION("""COMPUTED_VALUE"""),489567.0)</f>
        <v>489567</v>
      </c>
      <c r="B1364" s="2" t="str">
        <f>IFERROR(__xludf.DUMMYFUNCTION("""COMPUTED_VALUE"""),"85216")</f>
        <v>85216</v>
      </c>
      <c r="C1364" s="2" t="str">
        <f>IFERROR(__xludf.DUMMYFUNCTION("""COMPUTED_VALUE"""),"ASSORTED CAKES FRIDGE MAGNETS")</f>
        <v>ASSORTED CAKES FRIDGE MAGNETS</v>
      </c>
      <c r="D1364" s="2">
        <f>IFERROR(__xludf.DUMMYFUNCTION("""COMPUTED_VALUE"""),12.0)</f>
        <v>12</v>
      </c>
      <c r="E1364" s="6">
        <f>IFERROR(__xludf.DUMMYFUNCTION("""COMPUTED_VALUE"""),40148.554861111115)</f>
        <v>40148.55486</v>
      </c>
      <c r="F1364" s="2">
        <f>IFERROR(__xludf.DUMMYFUNCTION("""COMPUTED_VALUE"""),0.65)</f>
        <v>0.65</v>
      </c>
      <c r="G1364" s="2">
        <f>IFERROR(__xludf.DUMMYFUNCTION("""COMPUTED_VALUE"""),15326.0)</f>
        <v>15326</v>
      </c>
      <c r="H1364" s="2" t="str">
        <f>IFERROR(__xludf.DUMMYFUNCTION("""COMPUTED_VALUE"""),"United Kingdom")</f>
        <v>United Kingdom</v>
      </c>
      <c r="I1364" s="7">
        <f>IFERROR(__xludf.DUMMYFUNCTION("""COMPUTED_VALUE"""),40148.0)</f>
        <v>40148</v>
      </c>
      <c r="J1364" s="8">
        <f>IFERROR(__xludf.DUMMYFUNCTION("""COMPUTED_VALUE"""),0.554861111111677)</f>
        <v>0.5548611111</v>
      </c>
      <c r="K1364" s="2">
        <f>IFERROR(__xludf.DUMMYFUNCTION("""COMPUTED_VALUE"""),13.0)</f>
        <v>13</v>
      </c>
      <c r="L1364" s="2">
        <f>IFERROR(__xludf.DUMMYFUNCTION("""COMPUTED_VALUE"""),7.8)</f>
        <v>7.8</v>
      </c>
    </row>
    <row r="1365">
      <c r="A1365" s="2">
        <f>IFERROR(__xludf.DUMMYFUNCTION("""COMPUTED_VALUE"""),489567.0)</f>
        <v>489567</v>
      </c>
      <c r="B1365" s="2" t="str">
        <f>IFERROR(__xludf.DUMMYFUNCTION("""COMPUTED_VALUE"""),"21649")</f>
        <v>21649</v>
      </c>
      <c r="C1365" s="2" t="str">
        <f>IFERROR(__xludf.DUMMYFUNCTION("""COMPUTED_VALUE"""),"ASSORTED TUTTI FRUTTI PHOTO FRAME")</f>
        <v>ASSORTED TUTTI FRUTTI PHOTO FRAME</v>
      </c>
      <c r="D1365" s="2">
        <f>IFERROR(__xludf.DUMMYFUNCTION("""COMPUTED_VALUE"""),6.0)</f>
        <v>6</v>
      </c>
      <c r="E1365" s="6">
        <f>IFERROR(__xludf.DUMMYFUNCTION("""COMPUTED_VALUE"""),40148.554861111115)</f>
        <v>40148.55486</v>
      </c>
      <c r="F1365" s="2">
        <f>IFERROR(__xludf.DUMMYFUNCTION("""COMPUTED_VALUE"""),2.95)</f>
        <v>2.95</v>
      </c>
      <c r="G1365" s="2">
        <f>IFERROR(__xludf.DUMMYFUNCTION("""COMPUTED_VALUE"""),15326.0)</f>
        <v>15326</v>
      </c>
      <c r="H1365" s="2" t="str">
        <f>IFERROR(__xludf.DUMMYFUNCTION("""COMPUTED_VALUE"""),"United Kingdom")</f>
        <v>United Kingdom</v>
      </c>
      <c r="I1365" s="7">
        <f>IFERROR(__xludf.DUMMYFUNCTION("""COMPUTED_VALUE"""),40148.0)</f>
        <v>40148</v>
      </c>
      <c r="J1365" s="8">
        <f>IFERROR(__xludf.DUMMYFUNCTION("""COMPUTED_VALUE"""),0.554861111111677)</f>
        <v>0.5548611111</v>
      </c>
      <c r="K1365" s="2">
        <f>IFERROR(__xludf.DUMMYFUNCTION("""COMPUTED_VALUE"""),13.0)</f>
        <v>13</v>
      </c>
      <c r="L1365" s="2">
        <f>IFERROR(__xludf.DUMMYFUNCTION("""COMPUTED_VALUE"""),17.7)</f>
        <v>17.7</v>
      </c>
    </row>
    <row r="1366">
      <c r="A1366" s="2">
        <f>IFERROR(__xludf.DUMMYFUNCTION("""COMPUTED_VALUE"""),489567.0)</f>
        <v>489567</v>
      </c>
      <c r="B1366" s="2" t="str">
        <f>IFERROR(__xludf.DUMMYFUNCTION("""COMPUTED_VALUE"""),"85042")</f>
        <v>85042</v>
      </c>
      <c r="C1366" s="2" t="str">
        <f>IFERROR(__xludf.DUMMYFUNCTION("""COMPUTED_VALUE"""),"ANTIQUE LILY FAIRY LIGHTS")</f>
        <v>ANTIQUE LILY FAIRY LIGHTS</v>
      </c>
      <c r="D1366" s="2">
        <f>IFERROR(__xludf.DUMMYFUNCTION("""COMPUTED_VALUE"""),4.0)</f>
        <v>4</v>
      </c>
      <c r="E1366" s="6">
        <f>IFERROR(__xludf.DUMMYFUNCTION("""COMPUTED_VALUE"""),40148.554861111115)</f>
        <v>40148.55486</v>
      </c>
      <c r="F1366" s="2">
        <f>IFERROR(__xludf.DUMMYFUNCTION("""COMPUTED_VALUE"""),4.95)</f>
        <v>4.95</v>
      </c>
      <c r="G1366" s="2">
        <f>IFERROR(__xludf.DUMMYFUNCTION("""COMPUTED_VALUE"""),15326.0)</f>
        <v>15326</v>
      </c>
      <c r="H1366" s="2" t="str">
        <f>IFERROR(__xludf.DUMMYFUNCTION("""COMPUTED_VALUE"""),"United Kingdom")</f>
        <v>United Kingdom</v>
      </c>
      <c r="I1366" s="7">
        <f>IFERROR(__xludf.DUMMYFUNCTION("""COMPUTED_VALUE"""),40148.0)</f>
        <v>40148</v>
      </c>
      <c r="J1366" s="8">
        <f>IFERROR(__xludf.DUMMYFUNCTION("""COMPUTED_VALUE"""),0.554861111111677)</f>
        <v>0.5548611111</v>
      </c>
      <c r="K1366" s="2">
        <f>IFERROR(__xludf.DUMMYFUNCTION("""COMPUTED_VALUE"""),13.0)</f>
        <v>13</v>
      </c>
      <c r="L1366" s="2">
        <f>IFERROR(__xludf.DUMMYFUNCTION("""COMPUTED_VALUE"""),19.8)</f>
        <v>19.8</v>
      </c>
    </row>
    <row r="1367">
      <c r="A1367" s="2">
        <f>IFERROR(__xludf.DUMMYFUNCTION("""COMPUTED_VALUE"""),489567.0)</f>
        <v>489567</v>
      </c>
      <c r="B1367" s="2" t="str">
        <f>IFERROR(__xludf.DUMMYFUNCTION("""COMPUTED_VALUE"""),"21463")</f>
        <v>21463</v>
      </c>
      <c r="C1367" s="2" t="str">
        <f>IFERROR(__xludf.DUMMYFUNCTION("""COMPUTED_VALUE"""),"MIRRORED DISCO BALL")</f>
        <v>MIRRORED DISCO BALL</v>
      </c>
      <c r="D1367" s="2">
        <f>IFERROR(__xludf.DUMMYFUNCTION("""COMPUTED_VALUE"""),2.0)</f>
        <v>2</v>
      </c>
      <c r="E1367" s="6">
        <f>IFERROR(__xludf.DUMMYFUNCTION("""COMPUTED_VALUE"""),40148.554861111115)</f>
        <v>40148.55486</v>
      </c>
      <c r="F1367" s="2">
        <f>IFERROR(__xludf.DUMMYFUNCTION("""COMPUTED_VALUE"""),5.95)</f>
        <v>5.95</v>
      </c>
      <c r="G1367" s="2">
        <f>IFERROR(__xludf.DUMMYFUNCTION("""COMPUTED_VALUE"""),15326.0)</f>
        <v>15326</v>
      </c>
      <c r="H1367" s="2" t="str">
        <f>IFERROR(__xludf.DUMMYFUNCTION("""COMPUTED_VALUE"""),"United Kingdom")</f>
        <v>United Kingdom</v>
      </c>
      <c r="I1367" s="7">
        <f>IFERROR(__xludf.DUMMYFUNCTION("""COMPUTED_VALUE"""),40148.0)</f>
        <v>40148</v>
      </c>
      <c r="J1367" s="8">
        <f>IFERROR(__xludf.DUMMYFUNCTION("""COMPUTED_VALUE"""),0.554861111111677)</f>
        <v>0.5548611111</v>
      </c>
      <c r="K1367" s="2">
        <f>IFERROR(__xludf.DUMMYFUNCTION("""COMPUTED_VALUE"""),13.0)</f>
        <v>13</v>
      </c>
      <c r="L1367" s="2">
        <f>IFERROR(__xludf.DUMMYFUNCTION("""COMPUTED_VALUE"""),11.9)</f>
        <v>11.9</v>
      </c>
    </row>
    <row r="1368">
      <c r="A1368" s="2">
        <f>IFERROR(__xludf.DUMMYFUNCTION("""COMPUTED_VALUE"""),489567.0)</f>
        <v>489567</v>
      </c>
      <c r="B1368" s="2" t="str">
        <f>IFERROR(__xludf.DUMMYFUNCTION("""COMPUTED_VALUE"""),"85162A")</f>
        <v>85162A</v>
      </c>
      <c r="C1368" s="2" t="str">
        <f>IFERROR(__xludf.DUMMYFUNCTION("""COMPUTED_VALUE"""),"SILVER RETRODISC LAMPSHADE")</f>
        <v>SILVER RETRODISC LAMPSHADE</v>
      </c>
      <c r="D1368" s="2">
        <f>IFERROR(__xludf.DUMMYFUNCTION("""COMPUTED_VALUE"""),1.0)</f>
        <v>1</v>
      </c>
      <c r="E1368" s="6">
        <f>IFERROR(__xludf.DUMMYFUNCTION("""COMPUTED_VALUE"""),40148.554861111115)</f>
        <v>40148.55486</v>
      </c>
      <c r="F1368" s="2">
        <f>IFERROR(__xludf.DUMMYFUNCTION("""COMPUTED_VALUE"""),9.95)</f>
        <v>9.95</v>
      </c>
      <c r="G1368" s="2">
        <f>IFERROR(__xludf.DUMMYFUNCTION("""COMPUTED_VALUE"""),15326.0)</f>
        <v>15326</v>
      </c>
      <c r="H1368" s="2" t="str">
        <f>IFERROR(__xludf.DUMMYFUNCTION("""COMPUTED_VALUE"""),"United Kingdom")</f>
        <v>United Kingdom</v>
      </c>
      <c r="I1368" s="7">
        <f>IFERROR(__xludf.DUMMYFUNCTION("""COMPUTED_VALUE"""),40148.0)</f>
        <v>40148</v>
      </c>
      <c r="J1368" s="8">
        <f>IFERROR(__xludf.DUMMYFUNCTION("""COMPUTED_VALUE"""),0.554861111111677)</f>
        <v>0.5548611111</v>
      </c>
      <c r="K1368" s="2">
        <f>IFERROR(__xludf.DUMMYFUNCTION("""COMPUTED_VALUE"""),13.0)</f>
        <v>13</v>
      </c>
      <c r="L1368" s="2">
        <f>IFERROR(__xludf.DUMMYFUNCTION("""COMPUTED_VALUE"""),9.95)</f>
        <v>9.95</v>
      </c>
    </row>
    <row r="1369">
      <c r="A1369" s="2">
        <f>IFERROR(__xludf.DUMMYFUNCTION("""COMPUTED_VALUE"""),489567.0)</f>
        <v>489567</v>
      </c>
      <c r="B1369" s="2" t="str">
        <f>IFERROR(__xludf.DUMMYFUNCTION("""COMPUTED_VALUE"""),"21761")</f>
        <v>21761</v>
      </c>
      <c r="C1369" s="2" t="str">
        <f>IFERROR(__xludf.DUMMYFUNCTION("""COMPUTED_VALUE"""),"WOOD AND GLASS MEDICINE CABINET")</f>
        <v>WOOD AND GLASS MEDICINE CABINET</v>
      </c>
      <c r="D1369" s="2">
        <f>IFERROR(__xludf.DUMMYFUNCTION("""COMPUTED_VALUE"""),1.0)</f>
        <v>1</v>
      </c>
      <c r="E1369" s="6">
        <f>IFERROR(__xludf.DUMMYFUNCTION("""COMPUTED_VALUE"""),40148.554861111115)</f>
        <v>40148.55486</v>
      </c>
      <c r="F1369" s="2">
        <f>IFERROR(__xludf.DUMMYFUNCTION("""COMPUTED_VALUE"""),29.95)</f>
        <v>29.95</v>
      </c>
      <c r="G1369" s="2">
        <f>IFERROR(__xludf.DUMMYFUNCTION("""COMPUTED_VALUE"""),15326.0)</f>
        <v>15326</v>
      </c>
      <c r="H1369" s="2" t="str">
        <f>IFERROR(__xludf.DUMMYFUNCTION("""COMPUTED_VALUE"""),"United Kingdom")</f>
        <v>United Kingdom</v>
      </c>
      <c r="I1369" s="7">
        <f>IFERROR(__xludf.DUMMYFUNCTION("""COMPUTED_VALUE"""),40148.0)</f>
        <v>40148</v>
      </c>
      <c r="J1369" s="8">
        <f>IFERROR(__xludf.DUMMYFUNCTION("""COMPUTED_VALUE"""),0.554861111111677)</f>
        <v>0.5548611111</v>
      </c>
      <c r="K1369" s="2">
        <f>IFERROR(__xludf.DUMMYFUNCTION("""COMPUTED_VALUE"""),13.0)</f>
        <v>13</v>
      </c>
      <c r="L1369" s="2">
        <f>IFERROR(__xludf.DUMMYFUNCTION("""COMPUTED_VALUE"""),29.95)</f>
        <v>29.95</v>
      </c>
    </row>
    <row r="1370">
      <c r="A1370" s="2">
        <f>IFERROR(__xludf.DUMMYFUNCTION("""COMPUTED_VALUE"""),489567.0)</f>
        <v>489567</v>
      </c>
      <c r="B1370" s="2" t="str">
        <f>IFERROR(__xludf.DUMMYFUNCTION("""COMPUTED_VALUE"""),"84839")</f>
        <v>84839</v>
      </c>
      <c r="C1370" s="2" t="str">
        <f>IFERROR(__xludf.DUMMYFUNCTION("""COMPUTED_VALUE"""),"SWEETHEART KEY CABINET")</f>
        <v>SWEETHEART KEY CABINET</v>
      </c>
      <c r="D1370" s="2">
        <f>IFERROR(__xludf.DUMMYFUNCTION("""COMPUTED_VALUE"""),2.0)</f>
        <v>2</v>
      </c>
      <c r="E1370" s="6">
        <f>IFERROR(__xludf.DUMMYFUNCTION("""COMPUTED_VALUE"""),40148.554861111115)</f>
        <v>40148.55486</v>
      </c>
      <c r="F1370" s="2">
        <f>IFERROR(__xludf.DUMMYFUNCTION("""COMPUTED_VALUE"""),6.75)</f>
        <v>6.75</v>
      </c>
      <c r="G1370" s="2">
        <f>IFERROR(__xludf.DUMMYFUNCTION("""COMPUTED_VALUE"""),15326.0)</f>
        <v>15326</v>
      </c>
      <c r="H1370" s="2" t="str">
        <f>IFERROR(__xludf.DUMMYFUNCTION("""COMPUTED_VALUE"""),"United Kingdom")</f>
        <v>United Kingdom</v>
      </c>
      <c r="I1370" s="7">
        <f>IFERROR(__xludf.DUMMYFUNCTION("""COMPUTED_VALUE"""),40148.0)</f>
        <v>40148</v>
      </c>
      <c r="J1370" s="8">
        <f>IFERROR(__xludf.DUMMYFUNCTION("""COMPUTED_VALUE"""),0.554861111111677)</f>
        <v>0.5548611111</v>
      </c>
      <c r="K1370" s="2">
        <f>IFERROR(__xludf.DUMMYFUNCTION("""COMPUTED_VALUE"""),13.0)</f>
        <v>13</v>
      </c>
      <c r="L1370" s="2">
        <f>IFERROR(__xludf.DUMMYFUNCTION("""COMPUTED_VALUE"""),13.5)</f>
        <v>13.5</v>
      </c>
    </row>
    <row r="1371">
      <c r="A1371" s="2">
        <f>IFERROR(__xludf.DUMMYFUNCTION("""COMPUTED_VALUE"""),489567.0)</f>
        <v>489567</v>
      </c>
      <c r="B1371" s="2" t="str">
        <f>IFERROR(__xludf.DUMMYFUNCTION("""COMPUTED_VALUE"""),"85064")</f>
        <v>85064</v>
      </c>
      <c r="C1371" s="2" t="str">
        <f>IFERROR(__xludf.DUMMYFUNCTION("""COMPUTED_VALUE"""),"CREAM SWEETHEART LETTER RACK")</f>
        <v>CREAM SWEETHEART LETTER RACK</v>
      </c>
      <c r="D1371" s="2">
        <f>IFERROR(__xludf.DUMMYFUNCTION("""COMPUTED_VALUE"""),2.0)</f>
        <v>2</v>
      </c>
      <c r="E1371" s="6">
        <f>IFERROR(__xludf.DUMMYFUNCTION("""COMPUTED_VALUE"""),40148.554861111115)</f>
        <v>40148.55486</v>
      </c>
      <c r="F1371" s="2">
        <f>IFERROR(__xludf.DUMMYFUNCTION("""COMPUTED_VALUE"""),5.45)</f>
        <v>5.45</v>
      </c>
      <c r="G1371" s="2">
        <f>IFERROR(__xludf.DUMMYFUNCTION("""COMPUTED_VALUE"""),15326.0)</f>
        <v>15326</v>
      </c>
      <c r="H1371" s="2" t="str">
        <f>IFERROR(__xludf.DUMMYFUNCTION("""COMPUTED_VALUE"""),"United Kingdom")</f>
        <v>United Kingdom</v>
      </c>
      <c r="I1371" s="7">
        <f>IFERROR(__xludf.DUMMYFUNCTION("""COMPUTED_VALUE"""),40148.0)</f>
        <v>40148</v>
      </c>
      <c r="J1371" s="8">
        <f>IFERROR(__xludf.DUMMYFUNCTION("""COMPUTED_VALUE"""),0.554861111111677)</f>
        <v>0.5548611111</v>
      </c>
      <c r="K1371" s="2">
        <f>IFERROR(__xludf.DUMMYFUNCTION("""COMPUTED_VALUE"""),13.0)</f>
        <v>13</v>
      </c>
      <c r="L1371" s="2">
        <f>IFERROR(__xludf.DUMMYFUNCTION("""COMPUTED_VALUE"""),10.9)</f>
        <v>10.9</v>
      </c>
    </row>
    <row r="1372">
      <c r="A1372" s="2">
        <f>IFERROR(__xludf.DUMMYFUNCTION("""COMPUTED_VALUE"""),489569.0)</f>
        <v>489569</v>
      </c>
      <c r="B1372" s="2" t="str">
        <f>IFERROR(__xludf.DUMMYFUNCTION("""COMPUTED_VALUE"""),"22415")</f>
        <v>22415</v>
      </c>
      <c r="C1372" s="2" t="str">
        <f>IFERROR(__xludf.DUMMYFUNCTION("""COMPUTED_VALUE"""),"WHITE TISSUE REAM")</f>
        <v>WHITE TISSUE REAM</v>
      </c>
      <c r="D1372" s="2">
        <f>IFERROR(__xludf.DUMMYFUNCTION("""COMPUTED_VALUE"""),1.0)</f>
        <v>1</v>
      </c>
      <c r="E1372" s="6">
        <f>IFERROR(__xludf.DUMMYFUNCTION("""COMPUTED_VALUE"""),40148.555555555555)</f>
        <v>40148.55556</v>
      </c>
      <c r="F1372" s="2">
        <f>IFERROR(__xludf.DUMMYFUNCTION("""COMPUTED_VALUE"""),7.95)</f>
        <v>7.95</v>
      </c>
      <c r="G1372" s="2">
        <f>IFERROR(__xludf.DUMMYFUNCTION("""COMPUTED_VALUE"""),14478.0)</f>
        <v>14478</v>
      </c>
      <c r="H1372" s="2" t="str">
        <f>IFERROR(__xludf.DUMMYFUNCTION("""COMPUTED_VALUE"""),"United Kingdom")</f>
        <v>United Kingdom</v>
      </c>
      <c r="I1372" s="7">
        <f>IFERROR(__xludf.DUMMYFUNCTION("""COMPUTED_VALUE"""),40148.0)</f>
        <v>40148</v>
      </c>
      <c r="J1372" s="8">
        <f>IFERROR(__xludf.DUMMYFUNCTION("""COMPUTED_VALUE"""),0.5555555555547471)</f>
        <v>0.5555555556</v>
      </c>
      <c r="K1372" s="2">
        <f>IFERROR(__xludf.DUMMYFUNCTION("""COMPUTED_VALUE"""),13.0)</f>
        <v>13</v>
      </c>
      <c r="L1372" s="2">
        <f>IFERROR(__xludf.DUMMYFUNCTION("""COMPUTED_VALUE"""),7.95)</f>
        <v>7.95</v>
      </c>
    </row>
    <row r="1373">
      <c r="A1373" s="2">
        <f>IFERROR(__xludf.DUMMYFUNCTION("""COMPUTED_VALUE"""),489569.0)</f>
        <v>489569</v>
      </c>
      <c r="B1373" s="2" t="str">
        <f>IFERROR(__xludf.DUMMYFUNCTION("""COMPUTED_VALUE"""),"72801F")</f>
        <v>72801F</v>
      </c>
      <c r="C1373" s="2" t="str">
        <f>IFERROR(__xludf.DUMMYFUNCTION("""COMPUTED_VALUE"""),"S/4 FESTIVE RED DINNER CANDLES")</f>
        <v>S/4 FESTIVE RED DINNER CANDLES</v>
      </c>
      <c r="D1373" s="2">
        <f>IFERROR(__xludf.DUMMYFUNCTION("""COMPUTED_VALUE"""),6.0)</f>
        <v>6</v>
      </c>
      <c r="E1373" s="6">
        <f>IFERROR(__xludf.DUMMYFUNCTION("""COMPUTED_VALUE"""),40148.555555555555)</f>
        <v>40148.55556</v>
      </c>
      <c r="F1373" s="2">
        <f>IFERROR(__xludf.DUMMYFUNCTION("""COMPUTED_VALUE"""),1.25)</f>
        <v>1.25</v>
      </c>
      <c r="G1373" s="2">
        <f>IFERROR(__xludf.DUMMYFUNCTION("""COMPUTED_VALUE"""),14478.0)</f>
        <v>14478</v>
      </c>
      <c r="H1373" s="2" t="str">
        <f>IFERROR(__xludf.DUMMYFUNCTION("""COMPUTED_VALUE"""),"United Kingdom")</f>
        <v>United Kingdom</v>
      </c>
      <c r="I1373" s="7">
        <f>IFERROR(__xludf.DUMMYFUNCTION("""COMPUTED_VALUE"""),40148.0)</f>
        <v>40148</v>
      </c>
      <c r="J1373" s="8">
        <f>IFERROR(__xludf.DUMMYFUNCTION("""COMPUTED_VALUE"""),0.5555555555547471)</f>
        <v>0.5555555556</v>
      </c>
      <c r="K1373" s="2">
        <f>IFERROR(__xludf.DUMMYFUNCTION("""COMPUTED_VALUE"""),13.0)</f>
        <v>13</v>
      </c>
      <c r="L1373" s="2">
        <f>IFERROR(__xludf.DUMMYFUNCTION("""COMPUTED_VALUE"""),7.5)</f>
        <v>7.5</v>
      </c>
    </row>
    <row r="1374">
      <c r="A1374" s="2">
        <f>IFERROR(__xludf.DUMMYFUNCTION("""COMPUTED_VALUE"""),489569.0)</f>
        <v>489569</v>
      </c>
      <c r="B1374" s="2" t="str">
        <f>IFERROR(__xludf.DUMMYFUNCTION("""COMPUTED_VALUE"""),"84706C")</f>
        <v>84706C</v>
      </c>
      <c r="C1374" s="2" t="str">
        <f>IFERROR(__xludf.DUMMYFUNCTION("""COMPUTED_VALUE"""),"PINK FLOCK TABLE CLOCK")</f>
        <v>PINK FLOCK TABLE CLOCK</v>
      </c>
      <c r="D1374" s="2">
        <f>IFERROR(__xludf.DUMMYFUNCTION("""COMPUTED_VALUE"""),1.0)</f>
        <v>1</v>
      </c>
      <c r="E1374" s="6">
        <f>IFERROR(__xludf.DUMMYFUNCTION("""COMPUTED_VALUE"""),40148.555555555555)</f>
        <v>40148.55556</v>
      </c>
      <c r="F1374" s="2">
        <f>IFERROR(__xludf.DUMMYFUNCTION("""COMPUTED_VALUE"""),8.95)</f>
        <v>8.95</v>
      </c>
      <c r="G1374" s="2">
        <f>IFERROR(__xludf.DUMMYFUNCTION("""COMPUTED_VALUE"""),14478.0)</f>
        <v>14478</v>
      </c>
      <c r="H1374" s="2" t="str">
        <f>IFERROR(__xludf.DUMMYFUNCTION("""COMPUTED_VALUE"""),"United Kingdom")</f>
        <v>United Kingdom</v>
      </c>
      <c r="I1374" s="7">
        <f>IFERROR(__xludf.DUMMYFUNCTION("""COMPUTED_VALUE"""),40148.0)</f>
        <v>40148</v>
      </c>
      <c r="J1374" s="8">
        <f>IFERROR(__xludf.DUMMYFUNCTION("""COMPUTED_VALUE"""),0.5555555555547471)</f>
        <v>0.5555555556</v>
      </c>
      <c r="K1374" s="2">
        <f>IFERROR(__xludf.DUMMYFUNCTION("""COMPUTED_VALUE"""),13.0)</f>
        <v>13</v>
      </c>
      <c r="L1374" s="2">
        <f>IFERROR(__xludf.DUMMYFUNCTION("""COMPUTED_VALUE"""),8.95)</f>
        <v>8.95</v>
      </c>
    </row>
    <row r="1375">
      <c r="A1375" s="2">
        <f>IFERROR(__xludf.DUMMYFUNCTION("""COMPUTED_VALUE"""),489569.0)</f>
        <v>489569</v>
      </c>
      <c r="B1375" s="2" t="str">
        <f>IFERROR(__xludf.DUMMYFUNCTION("""COMPUTED_VALUE"""),"22294")</f>
        <v>22294</v>
      </c>
      <c r="C1375" s="2" t="str">
        <f>IFERROR(__xludf.DUMMYFUNCTION("""COMPUTED_VALUE"""),"HEART FILIGREE DOVE SMALL")</f>
        <v>HEART FILIGREE DOVE SMALL</v>
      </c>
      <c r="D1375" s="2">
        <f>IFERROR(__xludf.DUMMYFUNCTION("""COMPUTED_VALUE"""),24.0)</f>
        <v>24</v>
      </c>
      <c r="E1375" s="6">
        <f>IFERROR(__xludf.DUMMYFUNCTION("""COMPUTED_VALUE"""),40148.555555555555)</f>
        <v>40148.55556</v>
      </c>
      <c r="F1375" s="2">
        <f>IFERROR(__xludf.DUMMYFUNCTION("""COMPUTED_VALUE"""),1.25)</f>
        <v>1.25</v>
      </c>
      <c r="G1375" s="2">
        <f>IFERROR(__xludf.DUMMYFUNCTION("""COMPUTED_VALUE"""),14478.0)</f>
        <v>14478</v>
      </c>
      <c r="H1375" s="2" t="str">
        <f>IFERROR(__xludf.DUMMYFUNCTION("""COMPUTED_VALUE"""),"United Kingdom")</f>
        <v>United Kingdom</v>
      </c>
      <c r="I1375" s="7">
        <f>IFERROR(__xludf.DUMMYFUNCTION("""COMPUTED_VALUE"""),40148.0)</f>
        <v>40148</v>
      </c>
      <c r="J1375" s="8">
        <f>IFERROR(__xludf.DUMMYFUNCTION("""COMPUTED_VALUE"""),0.5555555555547471)</f>
        <v>0.5555555556</v>
      </c>
      <c r="K1375" s="2">
        <f>IFERROR(__xludf.DUMMYFUNCTION("""COMPUTED_VALUE"""),13.0)</f>
        <v>13</v>
      </c>
      <c r="L1375" s="2">
        <f>IFERROR(__xludf.DUMMYFUNCTION("""COMPUTED_VALUE"""),30.0)</f>
        <v>30</v>
      </c>
    </row>
    <row r="1376">
      <c r="A1376" s="2">
        <f>IFERROR(__xludf.DUMMYFUNCTION("""COMPUTED_VALUE"""),489569.0)</f>
        <v>489569</v>
      </c>
      <c r="B1376" s="2" t="str">
        <f>IFERROR(__xludf.DUMMYFUNCTION("""COMPUTED_VALUE"""),"22086")</f>
        <v>22086</v>
      </c>
      <c r="C1376" s="2" t="str">
        <f>IFERROR(__xludf.DUMMYFUNCTION("""COMPUTED_VALUE"""),"PAPER CHAIN KIT 50'S CHRISTMAS")</f>
        <v>PAPER CHAIN KIT 50'S CHRISTMAS</v>
      </c>
      <c r="D1376" s="2">
        <f>IFERROR(__xludf.DUMMYFUNCTION("""COMPUTED_VALUE"""),5.0)</f>
        <v>5</v>
      </c>
      <c r="E1376" s="6">
        <f>IFERROR(__xludf.DUMMYFUNCTION("""COMPUTED_VALUE"""),40148.555555555555)</f>
        <v>40148.55556</v>
      </c>
      <c r="F1376" s="2">
        <f>IFERROR(__xludf.DUMMYFUNCTION("""COMPUTED_VALUE"""),2.95)</f>
        <v>2.95</v>
      </c>
      <c r="G1376" s="2">
        <f>IFERROR(__xludf.DUMMYFUNCTION("""COMPUTED_VALUE"""),14478.0)</f>
        <v>14478</v>
      </c>
      <c r="H1376" s="2" t="str">
        <f>IFERROR(__xludf.DUMMYFUNCTION("""COMPUTED_VALUE"""),"United Kingdom")</f>
        <v>United Kingdom</v>
      </c>
      <c r="I1376" s="7">
        <f>IFERROR(__xludf.DUMMYFUNCTION("""COMPUTED_VALUE"""),40148.0)</f>
        <v>40148</v>
      </c>
      <c r="J1376" s="8">
        <f>IFERROR(__xludf.DUMMYFUNCTION("""COMPUTED_VALUE"""),0.5555555555547471)</f>
        <v>0.5555555556</v>
      </c>
      <c r="K1376" s="2">
        <f>IFERROR(__xludf.DUMMYFUNCTION("""COMPUTED_VALUE"""),13.0)</f>
        <v>13</v>
      </c>
      <c r="L1376" s="2">
        <f>IFERROR(__xludf.DUMMYFUNCTION("""COMPUTED_VALUE"""),14.75)</f>
        <v>14.75</v>
      </c>
    </row>
    <row r="1377">
      <c r="A1377" s="2">
        <f>IFERROR(__xludf.DUMMYFUNCTION("""COMPUTED_VALUE"""),489569.0)</f>
        <v>489569</v>
      </c>
      <c r="B1377" s="2" t="str">
        <f>IFERROR(__xludf.DUMMYFUNCTION("""COMPUTED_VALUE"""),"22156")</f>
        <v>22156</v>
      </c>
      <c r="C1377" s="2" t="str">
        <f>IFERROR(__xludf.DUMMYFUNCTION("""COMPUTED_VALUE"""),"HEART DECORATION WITH PEARLS")</f>
        <v>HEART DECORATION WITH PEARLS</v>
      </c>
      <c r="D1377" s="2">
        <f>IFERROR(__xludf.DUMMYFUNCTION("""COMPUTED_VALUE"""),36.0)</f>
        <v>36</v>
      </c>
      <c r="E1377" s="6">
        <f>IFERROR(__xludf.DUMMYFUNCTION("""COMPUTED_VALUE"""),40148.555555555555)</f>
        <v>40148.55556</v>
      </c>
      <c r="F1377" s="2">
        <f>IFERROR(__xludf.DUMMYFUNCTION("""COMPUTED_VALUE"""),0.85)</f>
        <v>0.85</v>
      </c>
      <c r="G1377" s="2">
        <f>IFERROR(__xludf.DUMMYFUNCTION("""COMPUTED_VALUE"""),14478.0)</f>
        <v>14478</v>
      </c>
      <c r="H1377" s="2" t="str">
        <f>IFERROR(__xludf.DUMMYFUNCTION("""COMPUTED_VALUE"""),"United Kingdom")</f>
        <v>United Kingdom</v>
      </c>
      <c r="I1377" s="7">
        <f>IFERROR(__xludf.DUMMYFUNCTION("""COMPUTED_VALUE"""),40148.0)</f>
        <v>40148</v>
      </c>
      <c r="J1377" s="8">
        <f>IFERROR(__xludf.DUMMYFUNCTION("""COMPUTED_VALUE"""),0.5555555555547471)</f>
        <v>0.5555555556</v>
      </c>
      <c r="K1377" s="2">
        <f>IFERROR(__xludf.DUMMYFUNCTION("""COMPUTED_VALUE"""),13.0)</f>
        <v>13</v>
      </c>
      <c r="L1377" s="2">
        <f>IFERROR(__xludf.DUMMYFUNCTION("""COMPUTED_VALUE"""),30.5999999999999)</f>
        <v>30.6</v>
      </c>
    </row>
    <row r="1378">
      <c r="A1378" s="2">
        <f>IFERROR(__xludf.DUMMYFUNCTION("""COMPUTED_VALUE"""),489569.0)</f>
        <v>489569</v>
      </c>
      <c r="B1378" s="2" t="str">
        <f>IFERROR(__xludf.DUMMYFUNCTION("""COMPUTED_VALUE"""),"22178")</f>
        <v>22178</v>
      </c>
      <c r="C1378" s="2" t="str">
        <f>IFERROR(__xludf.DUMMYFUNCTION("""COMPUTED_VALUE"""),"VICTORIAN GLASS HANGING T-LIGHT")</f>
        <v>VICTORIAN GLASS HANGING T-LIGHT</v>
      </c>
      <c r="D1378" s="2">
        <f>IFERROR(__xludf.DUMMYFUNCTION("""COMPUTED_VALUE"""),12.0)</f>
        <v>12</v>
      </c>
      <c r="E1378" s="6">
        <f>IFERROR(__xludf.DUMMYFUNCTION("""COMPUTED_VALUE"""),40148.555555555555)</f>
        <v>40148.55556</v>
      </c>
      <c r="F1378" s="2">
        <f>IFERROR(__xludf.DUMMYFUNCTION("""COMPUTED_VALUE"""),1.25)</f>
        <v>1.25</v>
      </c>
      <c r="G1378" s="2">
        <f>IFERROR(__xludf.DUMMYFUNCTION("""COMPUTED_VALUE"""),14478.0)</f>
        <v>14478</v>
      </c>
      <c r="H1378" s="2" t="str">
        <f>IFERROR(__xludf.DUMMYFUNCTION("""COMPUTED_VALUE"""),"United Kingdom")</f>
        <v>United Kingdom</v>
      </c>
      <c r="I1378" s="7">
        <f>IFERROR(__xludf.DUMMYFUNCTION("""COMPUTED_VALUE"""),40148.0)</f>
        <v>40148</v>
      </c>
      <c r="J1378" s="8">
        <f>IFERROR(__xludf.DUMMYFUNCTION("""COMPUTED_VALUE"""),0.5555555555547471)</f>
        <v>0.5555555556</v>
      </c>
      <c r="K1378" s="2">
        <f>IFERROR(__xludf.DUMMYFUNCTION("""COMPUTED_VALUE"""),13.0)</f>
        <v>13</v>
      </c>
      <c r="L1378" s="2">
        <f>IFERROR(__xludf.DUMMYFUNCTION("""COMPUTED_VALUE"""),15.0)</f>
        <v>15</v>
      </c>
    </row>
    <row r="1379">
      <c r="A1379" s="2">
        <f>IFERROR(__xludf.DUMMYFUNCTION("""COMPUTED_VALUE"""),489569.0)</f>
        <v>489569</v>
      </c>
      <c r="B1379" s="2" t="str">
        <f>IFERROR(__xludf.DUMMYFUNCTION("""COMPUTED_VALUE"""),"72760B")</f>
        <v>72760B</v>
      </c>
      <c r="C1379" s="2" t="str">
        <f>IFERROR(__xludf.DUMMYFUNCTION("""COMPUTED_VALUE"""),"VINTAGE CREAM 3 BASKET CAKE STAND")</f>
        <v>VINTAGE CREAM 3 BASKET CAKE STAND</v>
      </c>
      <c r="D1379" s="2">
        <f>IFERROR(__xludf.DUMMYFUNCTION("""COMPUTED_VALUE"""),1.0)</f>
        <v>1</v>
      </c>
      <c r="E1379" s="6">
        <f>IFERROR(__xludf.DUMMYFUNCTION("""COMPUTED_VALUE"""),40148.555555555555)</f>
        <v>40148.55556</v>
      </c>
      <c r="F1379" s="2">
        <f>IFERROR(__xludf.DUMMYFUNCTION("""COMPUTED_VALUE"""),9.95)</f>
        <v>9.95</v>
      </c>
      <c r="G1379" s="2">
        <f>IFERROR(__xludf.DUMMYFUNCTION("""COMPUTED_VALUE"""),14478.0)</f>
        <v>14478</v>
      </c>
      <c r="H1379" s="2" t="str">
        <f>IFERROR(__xludf.DUMMYFUNCTION("""COMPUTED_VALUE"""),"United Kingdom")</f>
        <v>United Kingdom</v>
      </c>
      <c r="I1379" s="7">
        <f>IFERROR(__xludf.DUMMYFUNCTION("""COMPUTED_VALUE"""),40148.0)</f>
        <v>40148</v>
      </c>
      <c r="J1379" s="8">
        <f>IFERROR(__xludf.DUMMYFUNCTION("""COMPUTED_VALUE"""),0.5555555555547471)</f>
        <v>0.5555555556</v>
      </c>
      <c r="K1379" s="2">
        <f>IFERROR(__xludf.DUMMYFUNCTION("""COMPUTED_VALUE"""),13.0)</f>
        <v>13</v>
      </c>
      <c r="L1379" s="2">
        <f>IFERROR(__xludf.DUMMYFUNCTION("""COMPUTED_VALUE"""),9.95)</f>
        <v>9.95</v>
      </c>
    </row>
    <row r="1380">
      <c r="A1380" s="2">
        <f>IFERROR(__xludf.DUMMYFUNCTION("""COMPUTED_VALUE"""),489569.0)</f>
        <v>489569</v>
      </c>
      <c r="B1380" s="2" t="str">
        <f>IFERROR(__xludf.DUMMYFUNCTION("""COMPUTED_VALUE"""),"21807")</f>
        <v>21807</v>
      </c>
      <c r="C1380" s="2" t="str">
        <f>IFERROR(__xludf.DUMMYFUNCTION("""COMPUTED_VALUE"""),"WHITE CHRISTMAS STAR DECORATION")</f>
        <v>WHITE CHRISTMAS STAR DECORATION</v>
      </c>
      <c r="D1380" s="2">
        <f>IFERROR(__xludf.DUMMYFUNCTION("""COMPUTED_VALUE"""),36.0)</f>
        <v>36</v>
      </c>
      <c r="E1380" s="6">
        <f>IFERROR(__xludf.DUMMYFUNCTION("""COMPUTED_VALUE"""),40148.555555555555)</f>
        <v>40148.55556</v>
      </c>
      <c r="F1380" s="2">
        <f>IFERROR(__xludf.DUMMYFUNCTION("""COMPUTED_VALUE"""),0.42)</f>
        <v>0.42</v>
      </c>
      <c r="G1380" s="2">
        <f>IFERROR(__xludf.DUMMYFUNCTION("""COMPUTED_VALUE"""),14478.0)</f>
        <v>14478</v>
      </c>
      <c r="H1380" s="2" t="str">
        <f>IFERROR(__xludf.DUMMYFUNCTION("""COMPUTED_VALUE"""),"United Kingdom")</f>
        <v>United Kingdom</v>
      </c>
      <c r="I1380" s="7">
        <f>IFERROR(__xludf.DUMMYFUNCTION("""COMPUTED_VALUE"""),40148.0)</f>
        <v>40148</v>
      </c>
      <c r="J1380" s="8">
        <f>IFERROR(__xludf.DUMMYFUNCTION("""COMPUTED_VALUE"""),0.5555555555547471)</f>
        <v>0.5555555556</v>
      </c>
      <c r="K1380" s="2">
        <f>IFERROR(__xludf.DUMMYFUNCTION("""COMPUTED_VALUE"""),13.0)</f>
        <v>13</v>
      </c>
      <c r="L1380" s="2">
        <f>IFERROR(__xludf.DUMMYFUNCTION("""COMPUTED_VALUE"""),15.12)</f>
        <v>15.12</v>
      </c>
    </row>
    <row r="1381">
      <c r="A1381" s="2">
        <f>IFERROR(__xludf.DUMMYFUNCTION("""COMPUTED_VALUE"""),489569.0)</f>
        <v>489569</v>
      </c>
      <c r="B1381" s="2" t="str">
        <f>IFERROR(__xludf.DUMMYFUNCTION("""COMPUTED_VALUE"""),"22154")</f>
        <v>22154</v>
      </c>
      <c r="C1381" s="2" t="str">
        <f>IFERROR(__xludf.DUMMYFUNCTION("""COMPUTED_VALUE"""),"ANGEL DECORATION 3 BUTTONS")</f>
        <v>ANGEL DECORATION 3 BUTTONS</v>
      </c>
      <c r="D1381" s="2">
        <f>IFERROR(__xludf.DUMMYFUNCTION("""COMPUTED_VALUE"""),48.0)</f>
        <v>48</v>
      </c>
      <c r="E1381" s="6">
        <f>IFERROR(__xludf.DUMMYFUNCTION("""COMPUTED_VALUE"""),40148.555555555555)</f>
        <v>40148.55556</v>
      </c>
      <c r="F1381" s="2">
        <f>IFERROR(__xludf.DUMMYFUNCTION("""COMPUTED_VALUE"""),0.42)</f>
        <v>0.42</v>
      </c>
      <c r="G1381" s="2">
        <f>IFERROR(__xludf.DUMMYFUNCTION("""COMPUTED_VALUE"""),14478.0)</f>
        <v>14478</v>
      </c>
      <c r="H1381" s="2" t="str">
        <f>IFERROR(__xludf.DUMMYFUNCTION("""COMPUTED_VALUE"""),"United Kingdom")</f>
        <v>United Kingdom</v>
      </c>
      <c r="I1381" s="7">
        <f>IFERROR(__xludf.DUMMYFUNCTION("""COMPUTED_VALUE"""),40148.0)</f>
        <v>40148</v>
      </c>
      <c r="J1381" s="8">
        <f>IFERROR(__xludf.DUMMYFUNCTION("""COMPUTED_VALUE"""),0.5555555555547471)</f>
        <v>0.5555555556</v>
      </c>
      <c r="K1381" s="2">
        <f>IFERROR(__xludf.DUMMYFUNCTION("""COMPUTED_VALUE"""),13.0)</f>
        <v>13</v>
      </c>
      <c r="L1381" s="2">
        <f>IFERROR(__xludf.DUMMYFUNCTION("""COMPUTED_VALUE"""),20.16)</f>
        <v>20.16</v>
      </c>
    </row>
    <row r="1382">
      <c r="A1382" s="2">
        <f>IFERROR(__xludf.DUMMYFUNCTION("""COMPUTED_VALUE"""),489569.0)</f>
        <v>489569</v>
      </c>
      <c r="B1382" s="2" t="str">
        <f>IFERROR(__xludf.DUMMYFUNCTION("""COMPUTED_VALUE"""),"21805")</f>
        <v>21805</v>
      </c>
      <c r="C1382" s="2" t="str">
        <f>IFERROR(__xludf.DUMMYFUNCTION("""COMPUTED_VALUE"""),"WHITE CHRISTMAS TREE DECORATION")</f>
        <v>WHITE CHRISTMAS TREE DECORATION</v>
      </c>
      <c r="D1382" s="2">
        <f>IFERROR(__xludf.DUMMYFUNCTION("""COMPUTED_VALUE"""),36.0)</f>
        <v>36</v>
      </c>
      <c r="E1382" s="6">
        <f>IFERROR(__xludf.DUMMYFUNCTION("""COMPUTED_VALUE"""),40148.555555555555)</f>
        <v>40148.55556</v>
      </c>
      <c r="F1382" s="2">
        <f>IFERROR(__xludf.DUMMYFUNCTION("""COMPUTED_VALUE"""),0.42)</f>
        <v>0.42</v>
      </c>
      <c r="G1382" s="2">
        <f>IFERROR(__xludf.DUMMYFUNCTION("""COMPUTED_VALUE"""),14478.0)</f>
        <v>14478</v>
      </c>
      <c r="H1382" s="2" t="str">
        <f>IFERROR(__xludf.DUMMYFUNCTION("""COMPUTED_VALUE"""),"United Kingdom")</f>
        <v>United Kingdom</v>
      </c>
      <c r="I1382" s="7">
        <f>IFERROR(__xludf.DUMMYFUNCTION("""COMPUTED_VALUE"""),40148.0)</f>
        <v>40148</v>
      </c>
      <c r="J1382" s="8">
        <f>IFERROR(__xludf.DUMMYFUNCTION("""COMPUTED_VALUE"""),0.5555555555547471)</f>
        <v>0.5555555556</v>
      </c>
      <c r="K1382" s="2">
        <f>IFERROR(__xludf.DUMMYFUNCTION("""COMPUTED_VALUE"""),13.0)</f>
        <v>13</v>
      </c>
      <c r="L1382" s="2">
        <f>IFERROR(__xludf.DUMMYFUNCTION("""COMPUTED_VALUE"""),15.12)</f>
        <v>15.12</v>
      </c>
    </row>
    <row r="1383">
      <c r="A1383" s="2">
        <f>IFERROR(__xludf.DUMMYFUNCTION("""COMPUTED_VALUE"""),489569.0)</f>
        <v>489569</v>
      </c>
      <c r="B1383" s="2" t="str">
        <f>IFERROR(__xludf.DUMMYFUNCTION("""COMPUTED_VALUE"""),"22155")</f>
        <v>22155</v>
      </c>
      <c r="C1383" s="2" t="str">
        <f>IFERROR(__xludf.DUMMYFUNCTION("""COMPUTED_VALUE"""),"STAR DECORATION RUSTIC")</f>
        <v>STAR DECORATION RUSTIC</v>
      </c>
      <c r="D1383" s="2">
        <f>IFERROR(__xludf.DUMMYFUNCTION("""COMPUTED_VALUE"""),48.0)</f>
        <v>48</v>
      </c>
      <c r="E1383" s="6">
        <f>IFERROR(__xludf.DUMMYFUNCTION("""COMPUTED_VALUE"""),40148.555555555555)</f>
        <v>40148.55556</v>
      </c>
      <c r="F1383" s="2">
        <f>IFERROR(__xludf.DUMMYFUNCTION("""COMPUTED_VALUE"""),0.42)</f>
        <v>0.42</v>
      </c>
      <c r="G1383" s="2">
        <f>IFERROR(__xludf.DUMMYFUNCTION("""COMPUTED_VALUE"""),14478.0)</f>
        <v>14478</v>
      </c>
      <c r="H1383" s="2" t="str">
        <f>IFERROR(__xludf.DUMMYFUNCTION("""COMPUTED_VALUE"""),"United Kingdom")</f>
        <v>United Kingdom</v>
      </c>
      <c r="I1383" s="7">
        <f>IFERROR(__xludf.DUMMYFUNCTION("""COMPUTED_VALUE"""),40148.0)</f>
        <v>40148</v>
      </c>
      <c r="J1383" s="8">
        <f>IFERROR(__xludf.DUMMYFUNCTION("""COMPUTED_VALUE"""),0.5555555555547471)</f>
        <v>0.5555555556</v>
      </c>
      <c r="K1383" s="2">
        <f>IFERROR(__xludf.DUMMYFUNCTION("""COMPUTED_VALUE"""),13.0)</f>
        <v>13</v>
      </c>
      <c r="L1383" s="2">
        <f>IFERROR(__xludf.DUMMYFUNCTION("""COMPUTED_VALUE"""),20.16)</f>
        <v>20.16</v>
      </c>
    </row>
    <row r="1384">
      <c r="A1384" s="2">
        <f>IFERROR(__xludf.DUMMYFUNCTION("""COMPUTED_VALUE"""),489569.0)</f>
        <v>489569</v>
      </c>
      <c r="B1384" s="2" t="str">
        <f>IFERROR(__xludf.DUMMYFUNCTION("""COMPUTED_VALUE"""),"84839")</f>
        <v>84839</v>
      </c>
      <c r="C1384" s="2" t="str">
        <f>IFERROR(__xludf.DUMMYFUNCTION("""COMPUTED_VALUE"""),"SWEETHEART KEY CABINET")</f>
        <v>SWEETHEART KEY CABINET</v>
      </c>
      <c r="D1384" s="2">
        <f>IFERROR(__xludf.DUMMYFUNCTION("""COMPUTED_VALUE"""),2.0)</f>
        <v>2</v>
      </c>
      <c r="E1384" s="6">
        <f>IFERROR(__xludf.DUMMYFUNCTION("""COMPUTED_VALUE"""),40148.555555555555)</f>
        <v>40148.55556</v>
      </c>
      <c r="F1384" s="2">
        <f>IFERROR(__xludf.DUMMYFUNCTION("""COMPUTED_VALUE"""),6.75)</f>
        <v>6.75</v>
      </c>
      <c r="G1384" s="2">
        <f>IFERROR(__xludf.DUMMYFUNCTION("""COMPUTED_VALUE"""),14478.0)</f>
        <v>14478</v>
      </c>
      <c r="H1384" s="2" t="str">
        <f>IFERROR(__xludf.DUMMYFUNCTION("""COMPUTED_VALUE"""),"United Kingdom")</f>
        <v>United Kingdom</v>
      </c>
      <c r="I1384" s="7">
        <f>IFERROR(__xludf.DUMMYFUNCTION("""COMPUTED_VALUE"""),40148.0)</f>
        <v>40148</v>
      </c>
      <c r="J1384" s="8">
        <f>IFERROR(__xludf.DUMMYFUNCTION("""COMPUTED_VALUE"""),0.5555555555547471)</f>
        <v>0.5555555556</v>
      </c>
      <c r="K1384" s="2">
        <f>IFERROR(__xludf.DUMMYFUNCTION("""COMPUTED_VALUE"""),13.0)</f>
        <v>13</v>
      </c>
      <c r="L1384" s="2">
        <f>IFERROR(__xludf.DUMMYFUNCTION("""COMPUTED_VALUE"""),13.5)</f>
        <v>13.5</v>
      </c>
    </row>
    <row r="1385">
      <c r="A1385" s="2">
        <f>IFERROR(__xludf.DUMMYFUNCTION("""COMPUTED_VALUE"""),489569.0)</f>
        <v>489569</v>
      </c>
      <c r="B1385" s="2" t="str">
        <f>IFERROR(__xludf.DUMMYFUNCTION("""COMPUTED_VALUE"""),"21868")</f>
        <v>21868</v>
      </c>
      <c r="C1385" s="2" t="str">
        <f>IFERROR(__xludf.DUMMYFUNCTION("""COMPUTED_VALUE"""),"POTTING SHED TEA MUG")</f>
        <v>POTTING SHED TEA MUG</v>
      </c>
      <c r="D1385" s="2">
        <f>IFERROR(__xludf.DUMMYFUNCTION("""COMPUTED_VALUE"""),6.0)</f>
        <v>6</v>
      </c>
      <c r="E1385" s="6">
        <f>IFERROR(__xludf.DUMMYFUNCTION("""COMPUTED_VALUE"""),40148.555555555555)</f>
        <v>40148.55556</v>
      </c>
      <c r="F1385" s="2">
        <f>IFERROR(__xludf.DUMMYFUNCTION("""COMPUTED_VALUE"""),1.25)</f>
        <v>1.25</v>
      </c>
      <c r="G1385" s="2">
        <f>IFERROR(__xludf.DUMMYFUNCTION("""COMPUTED_VALUE"""),14478.0)</f>
        <v>14478</v>
      </c>
      <c r="H1385" s="2" t="str">
        <f>IFERROR(__xludf.DUMMYFUNCTION("""COMPUTED_VALUE"""),"United Kingdom")</f>
        <v>United Kingdom</v>
      </c>
      <c r="I1385" s="7">
        <f>IFERROR(__xludf.DUMMYFUNCTION("""COMPUTED_VALUE"""),40148.0)</f>
        <v>40148</v>
      </c>
      <c r="J1385" s="8">
        <f>IFERROR(__xludf.DUMMYFUNCTION("""COMPUTED_VALUE"""),0.5555555555547471)</f>
        <v>0.5555555556</v>
      </c>
      <c r="K1385" s="2">
        <f>IFERROR(__xludf.DUMMYFUNCTION("""COMPUTED_VALUE"""),13.0)</f>
        <v>13</v>
      </c>
      <c r="L1385" s="2">
        <f>IFERROR(__xludf.DUMMYFUNCTION("""COMPUTED_VALUE"""),7.5)</f>
        <v>7.5</v>
      </c>
    </row>
    <row r="1386">
      <c r="A1386" s="2">
        <f>IFERROR(__xludf.DUMMYFUNCTION("""COMPUTED_VALUE"""),489569.0)</f>
        <v>489569</v>
      </c>
      <c r="B1386" s="2" t="str">
        <f>IFERROR(__xludf.DUMMYFUNCTION("""COMPUTED_VALUE"""),"21806")</f>
        <v>21806</v>
      </c>
      <c r="C1386" s="2" t="str">
        <f>IFERROR(__xludf.DUMMYFUNCTION("""COMPUTED_VALUE"""),"WHITE CHRISTMAS HEART DECORATION")</f>
        <v>WHITE CHRISTMAS HEART DECORATION</v>
      </c>
      <c r="D1386" s="2">
        <f>IFERROR(__xludf.DUMMYFUNCTION("""COMPUTED_VALUE"""),36.0)</f>
        <v>36</v>
      </c>
      <c r="E1386" s="6">
        <f>IFERROR(__xludf.DUMMYFUNCTION("""COMPUTED_VALUE"""),40148.555555555555)</f>
        <v>40148.55556</v>
      </c>
      <c r="F1386" s="2">
        <f>IFERROR(__xludf.DUMMYFUNCTION("""COMPUTED_VALUE"""),0.42)</f>
        <v>0.42</v>
      </c>
      <c r="G1386" s="2">
        <f>IFERROR(__xludf.DUMMYFUNCTION("""COMPUTED_VALUE"""),14478.0)</f>
        <v>14478</v>
      </c>
      <c r="H1386" s="2" t="str">
        <f>IFERROR(__xludf.DUMMYFUNCTION("""COMPUTED_VALUE"""),"United Kingdom")</f>
        <v>United Kingdom</v>
      </c>
      <c r="I1386" s="7">
        <f>IFERROR(__xludf.DUMMYFUNCTION("""COMPUTED_VALUE"""),40148.0)</f>
        <v>40148</v>
      </c>
      <c r="J1386" s="8">
        <f>IFERROR(__xludf.DUMMYFUNCTION("""COMPUTED_VALUE"""),0.5555555555547471)</f>
        <v>0.5555555556</v>
      </c>
      <c r="K1386" s="2">
        <f>IFERROR(__xludf.DUMMYFUNCTION("""COMPUTED_VALUE"""),13.0)</f>
        <v>13</v>
      </c>
      <c r="L1386" s="2">
        <f>IFERROR(__xludf.DUMMYFUNCTION("""COMPUTED_VALUE"""),15.12)</f>
        <v>15.12</v>
      </c>
    </row>
    <row r="1387">
      <c r="A1387" s="2">
        <f>IFERROR(__xludf.DUMMYFUNCTION("""COMPUTED_VALUE"""),489569.0)</f>
        <v>489569</v>
      </c>
      <c r="B1387" s="2" t="str">
        <f>IFERROR(__xludf.DUMMYFUNCTION("""COMPUTED_VALUE"""),"21804")</f>
        <v>21804</v>
      </c>
      <c r="C1387" s="2" t="str">
        <f>IFERROR(__xludf.DUMMYFUNCTION("""COMPUTED_VALUE"""),"WHITE CHRISTMAS GARLAND STARS TREES")</f>
        <v>WHITE CHRISTMAS GARLAND STARS TREES</v>
      </c>
      <c r="D1387" s="2">
        <f>IFERROR(__xludf.DUMMYFUNCTION("""COMPUTED_VALUE"""),12.0)</f>
        <v>12</v>
      </c>
      <c r="E1387" s="6">
        <f>IFERROR(__xludf.DUMMYFUNCTION("""COMPUTED_VALUE"""),40148.555555555555)</f>
        <v>40148.55556</v>
      </c>
      <c r="F1387" s="2">
        <f>IFERROR(__xludf.DUMMYFUNCTION("""COMPUTED_VALUE"""),3.75)</f>
        <v>3.75</v>
      </c>
      <c r="G1387" s="2">
        <f>IFERROR(__xludf.DUMMYFUNCTION("""COMPUTED_VALUE"""),14478.0)</f>
        <v>14478</v>
      </c>
      <c r="H1387" s="2" t="str">
        <f>IFERROR(__xludf.DUMMYFUNCTION("""COMPUTED_VALUE"""),"United Kingdom")</f>
        <v>United Kingdom</v>
      </c>
      <c r="I1387" s="7">
        <f>IFERROR(__xludf.DUMMYFUNCTION("""COMPUTED_VALUE"""),40148.0)</f>
        <v>40148</v>
      </c>
      <c r="J1387" s="8">
        <f>IFERROR(__xludf.DUMMYFUNCTION("""COMPUTED_VALUE"""),0.5555555555547471)</f>
        <v>0.5555555556</v>
      </c>
      <c r="K1387" s="2">
        <f>IFERROR(__xludf.DUMMYFUNCTION("""COMPUTED_VALUE"""),13.0)</f>
        <v>13</v>
      </c>
      <c r="L1387" s="2">
        <f>IFERROR(__xludf.DUMMYFUNCTION("""COMPUTED_VALUE"""),45.0)</f>
        <v>45</v>
      </c>
    </row>
    <row r="1388">
      <c r="A1388" s="2">
        <f>IFERROR(__xludf.DUMMYFUNCTION("""COMPUTED_VALUE"""),489569.0)</f>
        <v>489569</v>
      </c>
      <c r="B1388" s="2" t="str">
        <f>IFERROR(__xludf.DUMMYFUNCTION("""COMPUTED_VALUE"""),"21707")</f>
        <v>21707</v>
      </c>
      <c r="C1388" s="2" t="str">
        <f>IFERROR(__xludf.DUMMYFUNCTION("""COMPUTED_VALUE"""),"FOLDING UMBRELLA , BLACK/BLUE SPOT")</f>
        <v>FOLDING UMBRELLA , BLACK/BLUE SPOT</v>
      </c>
      <c r="D1388" s="2">
        <f>IFERROR(__xludf.DUMMYFUNCTION("""COMPUTED_VALUE"""),1.0)</f>
        <v>1</v>
      </c>
      <c r="E1388" s="6">
        <f>IFERROR(__xludf.DUMMYFUNCTION("""COMPUTED_VALUE"""),40148.555555555555)</f>
        <v>40148.55556</v>
      </c>
      <c r="F1388" s="2">
        <f>IFERROR(__xludf.DUMMYFUNCTION("""COMPUTED_VALUE"""),4.95)</f>
        <v>4.95</v>
      </c>
      <c r="G1388" s="2">
        <f>IFERROR(__xludf.DUMMYFUNCTION("""COMPUTED_VALUE"""),14478.0)</f>
        <v>14478</v>
      </c>
      <c r="H1388" s="2" t="str">
        <f>IFERROR(__xludf.DUMMYFUNCTION("""COMPUTED_VALUE"""),"United Kingdom")</f>
        <v>United Kingdom</v>
      </c>
      <c r="I1388" s="7">
        <f>IFERROR(__xludf.DUMMYFUNCTION("""COMPUTED_VALUE"""),40148.0)</f>
        <v>40148</v>
      </c>
      <c r="J1388" s="8">
        <f>IFERROR(__xludf.DUMMYFUNCTION("""COMPUTED_VALUE"""),0.5555555555547471)</f>
        <v>0.5555555556</v>
      </c>
      <c r="K1388" s="2">
        <f>IFERROR(__xludf.DUMMYFUNCTION("""COMPUTED_VALUE"""),13.0)</f>
        <v>13</v>
      </c>
      <c r="L1388" s="2">
        <f>IFERROR(__xludf.DUMMYFUNCTION("""COMPUTED_VALUE"""),4.95)</f>
        <v>4.95</v>
      </c>
    </row>
    <row r="1389">
      <c r="A1389" s="2">
        <f>IFERROR(__xludf.DUMMYFUNCTION("""COMPUTED_VALUE"""),489569.0)</f>
        <v>489569</v>
      </c>
      <c r="B1389" s="2" t="str">
        <f>IFERROR(__xludf.DUMMYFUNCTION("""COMPUTED_VALUE"""),"21034")</f>
        <v>21034</v>
      </c>
      <c r="C1389" s="2" t="str">
        <f>IFERROR(__xludf.DUMMYFUNCTION("""COMPUTED_VALUE"""),"REX CASH+CARRY JUMBO SHOPPER")</f>
        <v>REX CASH+CARRY JUMBO SHOPPER</v>
      </c>
      <c r="D1389" s="2">
        <f>IFERROR(__xludf.DUMMYFUNCTION("""COMPUTED_VALUE"""),1.0)</f>
        <v>1</v>
      </c>
      <c r="E1389" s="6">
        <f>IFERROR(__xludf.DUMMYFUNCTION("""COMPUTED_VALUE"""),40148.555555555555)</f>
        <v>40148.55556</v>
      </c>
      <c r="F1389" s="2">
        <f>IFERROR(__xludf.DUMMYFUNCTION("""COMPUTED_VALUE"""),0.95)</f>
        <v>0.95</v>
      </c>
      <c r="G1389" s="2">
        <f>IFERROR(__xludf.DUMMYFUNCTION("""COMPUTED_VALUE"""),14478.0)</f>
        <v>14478</v>
      </c>
      <c r="H1389" s="2" t="str">
        <f>IFERROR(__xludf.DUMMYFUNCTION("""COMPUTED_VALUE"""),"United Kingdom")</f>
        <v>United Kingdom</v>
      </c>
      <c r="I1389" s="7">
        <f>IFERROR(__xludf.DUMMYFUNCTION("""COMPUTED_VALUE"""),40148.0)</f>
        <v>40148</v>
      </c>
      <c r="J1389" s="8">
        <f>IFERROR(__xludf.DUMMYFUNCTION("""COMPUTED_VALUE"""),0.5555555555547471)</f>
        <v>0.5555555556</v>
      </c>
      <c r="K1389" s="2">
        <f>IFERROR(__xludf.DUMMYFUNCTION("""COMPUTED_VALUE"""),13.0)</f>
        <v>13</v>
      </c>
      <c r="L1389" s="2">
        <f>IFERROR(__xludf.DUMMYFUNCTION("""COMPUTED_VALUE"""),0.95)</f>
        <v>0.95</v>
      </c>
    </row>
    <row r="1390">
      <c r="A1390" s="2"/>
      <c r="B1390" s="2" t="str">
        <f>IFERROR(__xludf.DUMMYFUNCTION("""COMPUTED_VALUE"""),"22107")</f>
        <v>22107</v>
      </c>
      <c r="C1390" s="2" t="str">
        <f>IFERROR(__xludf.DUMMYFUNCTION("""COMPUTED_VALUE"""),"PIZZA PLATE IN BOX")</f>
        <v>PIZZA PLATE IN BOX</v>
      </c>
      <c r="D1390" s="2">
        <f>IFERROR(__xludf.DUMMYFUNCTION("""COMPUTED_VALUE"""),-1.0)</f>
        <v>-1</v>
      </c>
      <c r="E1390" s="6">
        <f>IFERROR(__xludf.DUMMYFUNCTION("""COMPUTED_VALUE"""),40148.555555555555)</f>
        <v>40148.55556</v>
      </c>
      <c r="F1390" s="2">
        <f>IFERROR(__xludf.DUMMYFUNCTION("""COMPUTED_VALUE"""),3.75)</f>
        <v>3.75</v>
      </c>
      <c r="G1390" s="2">
        <f>IFERROR(__xludf.DUMMYFUNCTION("""COMPUTED_VALUE"""),15005.0)</f>
        <v>15005</v>
      </c>
      <c r="H1390" s="2" t="str">
        <f>IFERROR(__xludf.DUMMYFUNCTION("""COMPUTED_VALUE"""),"United Kingdom")</f>
        <v>United Kingdom</v>
      </c>
      <c r="I1390" s="7">
        <f>IFERROR(__xludf.DUMMYFUNCTION("""COMPUTED_VALUE"""),40148.0)</f>
        <v>40148</v>
      </c>
      <c r="J1390" s="8">
        <f>IFERROR(__xludf.DUMMYFUNCTION("""COMPUTED_VALUE"""),0.5555555555547471)</f>
        <v>0.5555555556</v>
      </c>
      <c r="K1390" s="2">
        <f>IFERROR(__xludf.DUMMYFUNCTION("""COMPUTED_VALUE"""),13.0)</f>
        <v>13</v>
      </c>
      <c r="L1390" s="2">
        <f>IFERROR(__xludf.DUMMYFUNCTION("""COMPUTED_VALUE"""),-3.75)</f>
        <v>-3.75</v>
      </c>
    </row>
    <row r="1391">
      <c r="A1391" s="2"/>
      <c r="B1391" s="2" t="str">
        <f>IFERROR(__xludf.DUMMYFUNCTION("""COMPUTED_VALUE"""),"82483")</f>
        <v>82483</v>
      </c>
      <c r="C1391" s="2" t="str">
        <f>IFERROR(__xludf.DUMMYFUNCTION("""COMPUTED_VALUE"""),"WOOD 2 DRAWER CABINET WHITE FINISH")</f>
        <v>WOOD 2 DRAWER CABINET WHITE FINISH</v>
      </c>
      <c r="D1391" s="2">
        <f>IFERROR(__xludf.DUMMYFUNCTION("""COMPUTED_VALUE"""),-1.0)</f>
        <v>-1</v>
      </c>
      <c r="E1391" s="6">
        <f>IFERROR(__xludf.DUMMYFUNCTION("""COMPUTED_VALUE"""),40148.555555555555)</f>
        <v>40148.55556</v>
      </c>
      <c r="F1391" s="2">
        <f>IFERROR(__xludf.DUMMYFUNCTION("""COMPUTED_VALUE"""),5.95)</f>
        <v>5.95</v>
      </c>
      <c r="G1391" s="2">
        <f>IFERROR(__xludf.DUMMYFUNCTION("""COMPUTED_VALUE"""),15005.0)</f>
        <v>15005</v>
      </c>
      <c r="H1391" s="2" t="str">
        <f>IFERROR(__xludf.DUMMYFUNCTION("""COMPUTED_VALUE"""),"United Kingdom")</f>
        <v>United Kingdom</v>
      </c>
      <c r="I1391" s="7">
        <f>IFERROR(__xludf.DUMMYFUNCTION("""COMPUTED_VALUE"""),40148.0)</f>
        <v>40148</v>
      </c>
      <c r="J1391" s="8">
        <f>IFERROR(__xludf.DUMMYFUNCTION("""COMPUTED_VALUE"""),0.5555555555547471)</f>
        <v>0.5555555556</v>
      </c>
      <c r="K1391" s="2">
        <f>IFERROR(__xludf.DUMMYFUNCTION("""COMPUTED_VALUE"""),13.0)</f>
        <v>13</v>
      </c>
      <c r="L1391" s="2">
        <f>IFERROR(__xludf.DUMMYFUNCTION("""COMPUTED_VALUE"""),-5.95)</f>
        <v>-5.95</v>
      </c>
    </row>
    <row r="1392">
      <c r="A1392" s="2"/>
      <c r="B1392" s="2" t="str">
        <f>IFERROR(__xludf.DUMMYFUNCTION("""COMPUTED_VALUE"""),"22138")</f>
        <v>22138</v>
      </c>
      <c r="C1392" s="2" t="str">
        <f>IFERROR(__xludf.DUMMYFUNCTION("""COMPUTED_VALUE"""),"BAKING SET 9 PIECE RETROSPOT")</f>
        <v>BAKING SET 9 PIECE RETROSPOT</v>
      </c>
      <c r="D1392" s="2">
        <f>IFERROR(__xludf.DUMMYFUNCTION("""COMPUTED_VALUE"""),-1.0)</f>
        <v>-1</v>
      </c>
      <c r="E1392" s="6">
        <f>IFERROR(__xludf.DUMMYFUNCTION("""COMPUTED_VALUE"""),40148.555555555555)</f>
        <v>40148.55556</v>
      </c>
      <c r="F1392" s="2">
        <f>IFERROR(__xludf.DUMMYFUNCTION("""COMPUTED_VALUE"""),4.95)</f>
        <v>4.95</v>
      </c>
      <c r="G1392" s="2">
        <f>IFERROR(__xludf.DUMMYFUNCTION("""COMPUTED_VALUE"""),15005.0)</f>
        <v>15005</v>
      </c>
      <c r="H1392" s="2" t="str">
        <f>IFERROR(__xludf.DUMMYFUNCTION("""COMPUTED_VALUE"""),"United Kingdom")</f>
        <v>United Kingdom</v>
      </c>
      <c r="I1392" s="7">
        <f>IFERROR(__xludf.DUMMYFUNCTION("""COMPUTED_VALUE"""),40148.0)</f>
        <v>40148</v>
      </c>
      <c r="J1392" s="8">
        <f>IFERROR(__xludf.DUMMYFUNCTION("""COMPUTED_VALUE"""),0.5555555555547471)</f>
        <v>0.5555555556</v>
      </c>
      <c r="K1392" s="2">
        <f>IFERROR(__xludf.DUMMYFUNCTION("""COMPUTED_VALUE"""),13.0)</f>
        <v>13</v>
      </c>
      <c r="L1392" s="2">
        <f>IFERROR(__xludf.DUMMYFUNCTION("""COMPUTED_VALUE"""),-4.95)</f>
        <v>-4.95</v>
      </c>
    </row>
    <row r="1393">
      <c r="A1393" s="2"/>
      <c r="B1393" s="2" t="str">
        <f>IFERROR(__xludf.DUMMYFUNCTION("""COMPUTED_VALUE"""),"21218")</f>
        <v>21218</v>
      </c>
      <c r="C1393" s="2" t="str">
        <f>IFERROR(__xludf.DUMMYFUNCTION("""COMPUTED_VALUE"""),"RED SPOTTY BISCUIT TIN")</f>
        <v>RED SPOTTY BISCUIT TIN</v>
      </c>
      <c r="D1393" s="2">
        <f>IFERROR(__xludf.DUMMYFUNCTION("""COMPUTED_VALUE"""),-1.0)</f>
        <v>-1</v>
      </c>
      <c r="E1393" s="6">
        <f>IFERROR(__xludf.DUMMYFUNCTION("""COMPUTED_VALUE"""),40148.555555555555)</f>
        <v>40148.55556</v>
      </c>
      <c r="F1393" s="2">
        <f>IFERROR(__xludf.DUMMYFUNCTION("""COMPUTED_VALUE"""),3.75)</f>
        <v>3.75</v>
      </c>
      <c r="G1393" s="2">
        <f>IFERROR(__xludf.DUMMYFUNCTION("""COMPUTED_VALUE"""),15005.0)</f>
        <v>15005</v>
      </c>
      <c r="H1393" s="2" t="str">
        <f>IFERROR(__xludf.DUMMYFUNCTION("""COMPUTED_VALUE"""),"United Kingdom")</f>
        <v>United Kingdom</v>
      </c>
      <c r="I1393" s="7">
        <f>IFERROR(__xludf.DUMMYFUNCTION("""COMPUTED_VALUE"""),40148.0)</f>
        <v>40148</v>
      </c>
      <c r="J1393" s="8">
        <f>IFERROR(__xludf.DUMMYFUNCTION("""COMPUTED_VALUE"""),0.5555555555547471)</f>
        <v>0.5555555556</v>
      </c>
      <c r="K1393" s="2">
        <f>IFERROR(__xludf.DUMMYFUNCTION("""COMPUTED_VALUE"""),13.0)</f>
        <v>13</v>
      </c>
      <c r="L1393" s="2">
        <f>IFERROR(__xludf.DUMMYFUNCTION("""COMPUTED_VALUE"""),-3.75)</f>
        <v>-3.75</v>
      </c>
    </row>
    <row r="1394">
      <c r="A1394" s="2"/>
      <c r="B1394" s="2" t="str">
        <f>IFERROR(__xludf.DUMMYFUNCTION("""COMPUTED_VALUE"""),"79323W")</f>
        <v>79323W</v>
      </c>
      <c r="C1394" s="2" t="str">
        <f>IFERROR(__xludf.DUMMYFUNCTION("""COMPUTED_VALUE"""),"WHITE CHERRY LIGHTS")</f>
        <v>WHITE CHERRY LIGHTS</v>
      </c>
      <c r="D1394" s="2">
        <f>IFERROR(__xludf.DUMMYFUNCTION("""COMPUTED_VALUE"""),-1.0)</f>
        <v>-1</v>
      </c>
      <c r="E1394" s="6">
        <f>IFERROR(__xludf.DUMMYFUNCTION("""COMPUTED_VALUE"""),40148.56111111111)</f>
        <v>40148.56111</v>
      </c>
      <c r="F1394" s="2">
        <f>IFERROR(__xludf.DUMMYFUNCTION("""COMPUTED_VALUE"""),6.75)</f>
        <v>6.75</v>
      </c>
      <c r="G1394" s="2">
        <f>IFERROR(__xludf.DUMMYFUNCTION("""COMPUTED_VALUE"""),15967.0)</f>
        <v>15967</v>
      </c>
      <c r="H1394" s="2" t="str">
        <f>IFERROR(__xludf.DUMMYFUNCTION("""COMPUTED_VALUE"""),"United Kingdom")</f>
        <v>United Kingdom</v>
      </c>
      <c r="I1394" s="7">
        <f>IFERROR(__xludf.DUMMYFUNCTION("""COMPUTED_VALUE"""),40148.0)</f>
        <v>40148</v>
      </c>
      <c r="J1394" s="8">
        <f>IFERROR(__xludf.DUMMYFUNCTION("""COMPUTED_VALUE"""),0.5611111111102218)</f>
        <v>0.5611111111</v>
      </c>
      <c r="K1394" s="2">
        <f>IFERROR(__xludf.DUMMYFUNCTION("""COMPUTED_VALUE"""),13.0)</f>
        <v>13</v>
      </c>
      <c r="L1394" s="2">
        <f>IFERROR(__xludf.DUMMYFUNCTION("""COMPUTED_VALUE"""),-6.75)</f>
        <v>-6.75</v>
      </c>
    </row>
    <row r="1395">
      <c r="A1395" s="2"/>
      <c r="B1395" s="2" t="str">
        <f>IFERROR(__xludf.DUMMYFUNCTION("""COMPUTED_VALUE"""),"15056N")</f>
        <v>15056N</v>
      </c>
      <c r="C1395" s="2" t="str">
        <f>IFERROR(__xludf.DUMMYFUNCTION("""COMPUTED_VALUE"""),"EDWARDIAN PARASOL NATURAL")</f>
        <v>EDWARDIAN PARASOL NATURAL</v>
      </c>
      <c r="D1395" s="2">
        <f>IFERROR(__xludf.DUMMYFUNCTION("""COMPUTED_VALUE"""),-1.0)</f>
        <v>-1</v>
      </c>
      <c r="E1395" s="6">
        <f>IFERROR(__xludf.DUMMYFUNCTION("""COMPUTED_VALUE"""),40148.56111111111)</f>
        <v>40148.56111</v>
      </c>
      <c r="F1395" s="2">
        <f>IFERROR(__xludf.DUMMYFUNCTION("""COMPUTED_VALUE"""),5.95)</f>
        <v>5.95</v>
      </c>
      <c r="G1395" s="2">
        <f>IFERROR(__xludf.DUMMYFUNCTION("""COMPUTED_VALUE"""),15967.0)</f>
        <v>15967</v>
      </c>
      <c r="H1395" s="2" t="str">
        <f>IFERROR(__xludf.DUMMYFUNCTION("""COMPUTED_VALUE"""),"United Kingdom")</f>
        <v>United Kingdom</v>
      </c>
      <c r="I1395" s="7">
        <f>IFERROR(__xludf.DUMMYFUNCTION("""COMPUTED_VALUE"""),40148.0)</f>
        <v>40148</v>
      </c>
      <c r="J1395" s="8">
        <f>IFERROR(__xludf.DUMMYFUNCTION("""COMPUTED_VALUE"""),0.5611111111102218)</f>
        <v>0.5611111111</v>
      </c>
      <c r="K1395" s="2">
        <f>IFERROR(__xludf.DUMMYFUNCTION("""COMPUTED_VALUE"""),13.0)</f>
        <v>13</v>
      </c>
      <c r="L1395" s="2">
        <f>IFERROR(__xludf.DUMMYFUNCTION("""COMPUTED_VALUE"""),-5.95)</f>
        <v>-5.95</v>
      </c>
    </row>
    <row r="1396">
      <c r="A1396" s="2"/>
      <c r="B1396" s="2" t="str">
        <f>IFERROR(__xludf.DUMMYFUNCTION("""COMPUTED_VALUE"""),"85103")</f>
        <v>85103</v>
      </c>
      <c r="C1396" s="2" t="str">
        <f>IFERROR(__xludf.DUMMYFUNCTION("""COMPUTED_VALUE"""),"SILVER T-LIGHT SETTING")</f>
        <v>SILVER T-LIGHT SETTING</v>
      </c>
      <c r="D1396" s="2">
        <f>IFERROR(__xludf.DUMMYFUNCTION("""COMPUTED_VALUE"""),-1.0)</f>
        <v>-1</v>
      </c>
      <c r="E1396" s="6">
        <f>IFERROR(__xludf.DUMMYFUNCTION("""COMPUTED_VALUE"""),40148.56111111111)</f>
        <v>40148.56111</v>
      </c>
      <c r="F1396" s="2">
        <f>IFERROR(__xludf.DUMMYFUNCTION("""COMPUTED_VALUE"""),6.75)</f>
        <v>6.75</v>
      </c>
      <c r="G1396" s="2">
        <f>IFERROR(__xludf.DUMMYFUNCTION("""COMPUTED_VALUE"""),15967.0)</f>
        <v>15967</v>
      </c>
      <c r="H1396" s="2" t="str">
        <f>IFERROR(__xludf.DUMMYFUNCTION("""COMPUTED_VALUE"""),"United Kingdom")</f>
        <v>United Kingdom</v>
      </c>
      <c r="I1396" s="7">
        <f>IFERROR(__xludf.DUMMYFUNCTION("""COMPUTED_VALUE"""),40148.0)</f>
        <v>40148</v>
      </c>
      <c r="J1396" s="8">
        <f>IFERROR(__xludf.DUMMYFUNCTION("""COMPUTED_VALUE"""),0.5611111111102218)</f>
        <v>0.5611111111</v>
      </c>
      <c r="K1396" s="2">
        <f>IFERROR(__xludf.DUMMYFUNCTION("""COMPUTED_VALUE"""),13.0)</f>
        <v>13</v>
      </c>
      <c r="L1396" s="2">
        <f>IFERROR(__xludf.DUMMYFUNCTION("""COMPUTED_VALUE"""),-6.75)</f>
        <v>-6.75</v>
      </c>
    </row>
    <row r="1397">
      <c r="A1397" s="2"/>
      <c r="B1397" s="2" t="str">
        <f>IFERROR(__xludf.DUMMYFUNCTION("""COMPUTED_VALUE"""),"20894")</f>
        <v>20894</v>
      </c>
      <c r="C1397" s="2" t="str">
        <f>IFERROR(__xludf.DUMMYFUNCTION("""COMPUTED_VALUE"""),"HANGING BAUBLE T-LIGHT HOLDER LARGE")</f>
        <v>HANGING BAUBLE T-LIGHT HOLDER LARGE</v>
      </c>
      <c r="D1397" s="2">
        <f>IFERROR(__xludf.DUMMYFUNCTION("""COMPUTED_VALUE"""),-1.0)</f>
        <v>-1</v>
      </c>
      <c r="E1397" s="6">
        <f>IFERROR(__xludf.DUMMYFUNCTION("""COMPUTED_VALUE"""),40148.56111111111)</f>
        <v>40148.56111</v>
      </c>
      <c r="F1397" s="2">
        <f>IFERROR(__xludf.DUMMYFUNCTION("""COMPUTED_VALUE"""),2.95)</f>
        <v>2.95</v>
      </c>
      <c r="G1397" s="2">
        <f>IFERROR(__xludf.DUMMYFUNCTION("""COMPUTED_VALUE"""),15967.0)</f>
        <v>15967</v>
      </c>
      <c r="H1397" s="2" t="str">
        <f>IFERROR(__xludf.DUMMYFUNCTION("""COMPUTED_VALUE"""),"United Kingdom")</f>
        <v>United Kingdom</v>
      </c>
      <c r="I1397" s="7">
        <f>IFERROR(__xludf.DUMMYFUNCTION("""COMPUTED_VALUE"""),40148.0)</f>
        <v>40148</v>
      </c>
      <c r="J1397" s="8">
        <f>IFERROR(__xludf.DUMMYFUNCTION("""COMPUTED_VALUE"""),0.5611111111102218)</f>
        <v>0.5611111111</v>
      </c>
      <c r="K1397" s="2">
        <f>IFERROR(__xludf.DUMMYFUNCTION("""COMPUTED_VALUE"""),13.0)</f>
        <v>13</v>
      </c>
      <c r="L1397" s="2">
        <f>IFERROR(__xludf.DUMMYFUNCTION("""COMPUTED_VALUE"""),-2.95)</f>
        <v>-2.95</v>
      </c>
    </row>
    <row r="1398">
      <c r="A1398" s="2">
        <f>IFERROR(__xludf.DUMMYFUNCTION("""COMPUTED_VALUE"""),489571.0)</f>
        <v>489571</v>
      </c>
      <c r="B1398" s="2" t="str">
        <f>IFERROR(__xludf.DUMMYFUNCTION("""COMPUTED_VALUE"""),"22189")</f>
        <v>22189</v>
      </c>
      <c r="C1398" s="2" t="str">
        <f>IFERROR(__xludf.DUMMYFUNCTION("""COMPUTED_VALUE"""),"CREAM HEART CARD HOLDER")</f>
        <v>CREAM HEART CARD HOLDER</v>
      </c>
      <c r="D1398" s="2">
        <f>IFERROR(__xludf.DUMMYFUNCTION("""COMPUTED_VALUE"""),2.0)</f>
        <v>2</v>
      </c>
      <c r="E1398" s="6">
        <f>IFERROR(__xludf.DUMMYFUNCTION("""COMPUTED_VALUE"""),40148.56180555555)</f>
        <v>40148.56181</v>
      </c>
      <c r="F1398" s="2">
        <f>IFERROR(__xludf.DUMMYFUNCTION("""COMPUTED_VALUE"""),3.95)</f>
        <v>3.95</v>
      </c>
      <c r="G1398" s="2">
        <f>IFERROR(__xludf.DUMMYFUNCTION("""COMPUTED_VALUE"""),15967.0)</f>
        <v>15967</v>
      </c>
      <c r="H1398" s="2" t="str">
        <f>IFERROR(__xludf.DUMMYFUNCTION("""COMPUTED_VALUE"""),"United Kingdom")</f>
        <v>United Kingdom</v>
      </c>
      <c r="I1398" s="7">
        <f>IFERROR(__xludf.DUMMYFUNCTION("""COMPUTED_VALUE"""),40148.0)</f>
        <v>40148</v>
      </c>
      <c r="J1398" s="8">
        <f>IFERROR(__xludf.DUMMYFUNCTION("""COMPUTED_VALUE"""),0.5618055555569299)</f>
        <v>0.5618055556</v>
      </c>
      <c r="K1398" s="2">
        <f>IFERROR(__xludf.DUMMYFUNCTION("""COMPUTED_VALUE"""),13.0)</f>
        <v>13</v>
      </c>
      <c r="L1398" s="2">
        <f>IFERROR(__xludf.DUMMYFUNCTION("""COMPUTED_VALUE"""),7.9)</f>
        <v>7.9</v>
      </c>
    </row>
    <row r="1399">
      <c r="A1399" s="2">
        <f>IFERROR(__xludf.DUMMYFUNCTION("""COMPUTED_VALUE"""),489571.0)</f>
        <v>489571</v>
      </c>
      <c r="B1399" s="2" t="str">
        <f>IFERROR(__xludf.DUMMYFUNCTION("""COMPUTED_VALUE"""),"85036C")</f>
        <v>85036C</v>
      </c>
      <c r="C1399" s="2" t="str">
        <f>IFERROR(__xludf.DUMMYFUNCTION("""COMPUTED_VALUE"""),"ROSE 1 WICK MORRIS BOXED CANDLE")</f>
        <v>ROSE 1 WICK MORRIS BOXED CANDLE</v>
      </c>
      <c r="D1399" s="2">
        <f>IFERROR(__xludf.DUMMYFUNCTION("""COMPUTED_VALUE"""),1.0)</f>
        <v>1</v>
      </c>
      <c r="E1399" s="6">
        <f>IFERROR(__xludf.DUMMYFUNCTION("""COMPUTED_VALUE"""),40148.56180555555)</f>
        <v>40148.56181</v>
      </c>
      <c r="F1399" s="2">
        <f>IFERROR(__xludf.DUMMYFUNCTION("""COMPUTED_VALUE"""),4.25)</f>
        <v>4.25</v>
      </c>
      <c r="G1399" s="2">
        <f>IFERROR(__xludf.DUMMYFUNCTION("""COMPUTED_VALUE"""),15967.0)</f>
        <v>15967</v>
      </c>
      <c r="H1399" s="2" t="str">
        <f>IFERROR(__xludf.DUMMYFUNCTION("""COMPUTED_VALUE"""),"United Kingdom")</f>
        <v>United Kingdom</v>
      </c>
      <c r="I1399" s="7">
        <f>IFERROR(__xludf.DUMMYFUNCTION("""COMPUTED_VALUE"""),40148.0)</f>
        <v>40148</v>
      </c>
      <c r="J1399" s="8">
        <f>IFERROR(__xludf.DUMMYFUNCTION("""COMPUTED_VALUE"""),0.5618055555569299)</f>
        <v>0.5618055556</v>
      </c>
      <c r="K1399" s="2">
        <f>IFERROR(__xludf.DUMMYFUNCTION("""COMPUTED_VALUE"""),13.0)</f>
        <v>13</v>
      </c>
      <c r="L1399" s="2">
        <f>IFERROR(__xludf.DUMMYFUNCTION("""COMPUTED_VALUE"""),4.25)</f>
        <v>4.25</v>
      </c>
    </row>
    <row r="1400">
      <c r="A1400" s="2">
        <f>IFERROR(__xludf.DUMMYFUNCTION("""COMPUTED_VALUE"""),489571.0)</f>
        <v>489571</v>
      </c>
      <c r="B1400" s="2" t="str">
        <f>IFERROR(__xludf.DUMMYFUNCTION("""COMPUTED_VALUE"""),"20967")</f>
        <v>20967</v>
      </c>
      <c r="C1400" s="2" t="str">
        <f>IFERROR(__xludf.DUMMYFUNCTION("""COMPUTED_VALUE"""),"GREY FLORAL FELTCRAFT SHOULDER BAG")</f>
        <v>GREY FLORAL FELTCRAFT SHOULDER BAG</v>
      </c>
      <c r="D1400" s="2">
        <f>IFERROR(__xludf.DUMMYFUNCTION("""COMPUTED_VALUE"""),1.0)</f>
        <v>1</v>
      </c>
      <c r="E1400" s="6">
        <f>IFERROR(__xludf.DUMMYFUNCTION("""COMPUTED_VALUE"""),40148.56180555555)</f>
        <v>40148.56181</v>
      </c>
      <c r="F1400" s="2">
        <f>IFERROR(__xludf.DUMMYFUNCTION("""COMPUTED_VALUE"""),3.75)</f>
        <v>3.75</v>
      </c>
      <c r="G1400" s="2">
        <f>IFERROR(__xludf.DUMMYFUNCTION("""COMPUTED_VALUE"""),15967.0)</f>
        <v>15967</v>
      </c>
      <c r="H1400" s="2" t="str">
        <f>IFERROR(__xludf.DUMMYFUNCTION("""COMPUTED_VALUE"""),"United Kingdom")</f>
        <v>United Kingdom</v>
      </c>
      <c r="I1400" s="7">
        <f>IFERROR(__xludf.DUMMYFUNCTION("""COMPUTED_VALUE"""),40148.0)</f>
        <v>40148</v>
      </c>
      <c r="J1400" s="8">
        <f>IFERROR(__xludf.DUMMYFUNCTION("""COMPUTED_VALUE"""),0.5618055555569299)</f>
        <v>0.5618055556</v>
      </c>
      <c r="K1400" s="2">
        <f>IFERROR(__xludf.DUMMYFUNCTION("""COMPUTED_VALUE"""),13.0)</f>
        <v>13</v>
      </c>
      <c r="L1400" s="2">
        <f>IFERROR(__xludf.DUMMYFUNCTION("""COMPUTED_VALUE"""),3.75)</f>
        <v>3.75</v>
      </c>
    </row>
    <row r="1401">
      <c r="A1401" s="2">
        <f>IFERROR(__xludf.DUMMYFUNCTION("""COMPUTED_VALUE"""),489571.0)</f>
        <v>489571</v>
      </c>
      <c r="B1401" s="2" t="str">
        <f>IFERROR(__xludf.DUMMYFUNCTION("""COMPUTED_VALUE"""),"20975")</f>
        <v>20975</v>
      </c>
      <c r="C1401" s="2" t="str">
        <f>IFERROR(__xludf.DUMMYFUNCTION("""COMPUTED_VALUE"""),"12 PENCILS SMALL TUBE RED SPOTTY")</f>
        <v>12 PENCILS SMALL TUBE RED SPOTTY</v>
      </c>
      <c r="D1401" s="2">
        <f>IFERROR(__xludf.DUMMYFUNCTION("""COMPUTED_VALUE"""),1.0)</f>
        <v>1</v>
      </c>
      <c r="E1401" s="6">
        <f>IFERROR(__xludf.DUMMYFUNCTION("""COMPUTED_VALUE"""),40148.56180555555)</f>
        <v>40148.56181</v>
      </c>
      <c r="F1401" s="2">
        <f>IFERROR(__xludf.DUMMYFUNCTION("""COMPUTED_VALUE"""),0.65)</f>
        <v>0.65</v>
      </c>
      <c r="G1401" s="2">
        <f>IFERROR(__xludf.DUMMYFUNCTION("""COMPUTED_VALUE"""),15967.0)</f>
        <v>15967</v>
      </c>
      <c r="H1401" s="2" t="str">
        <f>IFERROR(__xludf.DUMMYFUNCTION("""COMPUTED_VALUE"""),"United Kingdom")</f>
        <v>United Kingdom</v>
      </c>
      <c r="I1401" s="7">
        <f>IFERROR(__xludf.DUMMYFUNCTION("""COMPUTED_VALUE"""),40148.0)</f>
        <v>40148</v>
      </c>
      <c r="J1401" s="8">
        <f>IFERROR(__xludf.DUMMYFUNCTION("""COMPUTED_VALUE"""),0.5618055555569299)</f>
        <v>0.5618055556</v>
      </c>
      <c r="K1401" s="2">
        <f>IFERROR(__xludf.DUMMYFUNCTION("""COMPUTED_VALUE"""),13.0)</f>
        <v>13</v>
      </c>
      <c r="L1401" s="2">
        <f>IFERROR(__xludf.DUMMYFUNCTION("""COMPUTED_VALUE"""),0.65)</f>
        <v>0.65</v>
      </c>
    </row>
    <row r="1402">
      <c r="A1402" s="2">
        <f>IFERROR(__xludf.DUMMYFUNCTION("""COMPUTED_VALUE"""),489571.0)</f>
        <v>489571</v>
      </c>
      <c r="B1402" s="2" t="str">
        <f>IFERROR(__xludf.DUMMYFUNCTION("""COMPUTED_VALUE"""),"79323W")</f>
        <v>79323W</v>
      </c>
      <c r="C1402" s="2" t="str">
        <f>IFERROR(__xludf.DUMMYFUNCTION("""COMPUTED_VALUE"""),"WHITE CHERRY LIGHTS")</f>
        <v>WHITE CHERRY LIGHTS</v>
      </c>
      <c r="D1402" s="2">
        <f>IFERROR(__xludf.DUMMYFUNCTION("""COMPUTED_VALUE"""),1.0)</f>
        <v>1</v>
      </c>
      <c r="E1402" s="6">
        <f>IFERROR(__xludf.DUMMYFUNCTION("""COMPUTED_VALUE"""),40148.56180555555)</f>
        <v>40148.56181</v>
      </c>
      <c r="F1402" s="2">
        <f>IFERROR(__xludf.DUMMYFUNCTION("""COMPUTED_VALUE"""),6.75)</f>
        <v>6.75</v>
      </c>
      <c r="G1402" s="2">
        <f>IFERROR(__xludf.DUMMYFUNCTION("""COMPUTED_VALUE"""),15967.0)</f>
        <v>15967</v>
      </c>
      <c r="H1402" s="2" t="str">
        <f>IFERROR(__xludf.DUMMYFUNCTION("""COMPUTED_VALUE"""),"United Kingdom")</f>
        <v>United Kingdom</v>
      </c>
      <c r="I1402" s="7">
        <f>IFERROR(__xludf.DUMMYFUNCTION("""COMPUTED_VALUE"""),40148.0)</f>
        <v>40148</v>
      </c>
      <c r="J1402" s="8">
        <f>IFERROR(__xludf.DUMMYFUNCTION("""COMPUTED_VALUE"""),0.5618055555569299)</f>
        <v>0.5618055556</v>
      </c>
      <c r="K1402" s="2">
        <f>IFERROR(__xludf.DUMMYFUNCTION("""COMPUTED_VALUE"""),13.0)</f>
        <v>13</v>
      </c>
      <c r="L1402" s="2">
        <f>IFERROR(__xludf.DUMMYFUNCTION("""COMPUTED_VALUE"""),6.75)</f>
        <v>6.75</v>
      </c>
    </row>
    <row r="1403">
      <c r="A1403" s="2">
        <f>IFERROR(__xludf.DUMMYFUNCTION("""COMPUTED_VALUE"""),489571.0)</f>
        <v>489571</v>
      </c>
      <c r="B1403" s="2" t="str">
        <f>IFERROR(__xludf.DUMMYFUNCTION("""COMPUTED_VALUE"""),"85099C")</f>
        <v>85099C</v>
      </c>
      <c r="C1403" s="2" t="str">
        <f>IFERROR(__xludf.DUMMYFUNCTION("""COMPUTED_VALUE"""),"JUMBO BAG BAROQUE BLACK WHITE")</f>
        <v>JUMBO BAG BAROQUE BLACK WHITE</v>
      </c>
      <c r="D1403" s="2">
        <f>IFERROR(__xludf.DUMMYFUNCTION("""COMPUTED_VALUE"""),2.0)</f>
        <v>2</v>
      </c>
      <c r="E1403" s="6">
        <f>IFERROR(__xludf.DUMMYFUNCTION("""COMPUTED_VALUE"""),40148.56180555555)</f>
        <v>40148.56181</v>
      </c>
      <c r="F1403" s="2">
        <f>IFERROR(__xludf.DUMMYFUNCTION("""COMPUTED_VALUE"""),1.95)</f>
        <v>1.95</v>
      </c>
      <c r="G1403" s="2">
        <f>IFERROR(__xludf.DUMMYFUNCTION("""COMPUTED_VALUE"""),15967.0)</f>
        <v>15967</v>
      </c>
      <c r="H1403" s="2" t="str">
        <f>IFERROR(__xludf.DUMMYFUNCTION("""COMPUTED_VALUE"""),"United Kingdom")</f>
        <v>United Kingdom</v>
      </c>
      <c r="I1403" s="7">
        <f>IFERROR(__xludf.DUMMYFUNCTION("""COMPUTED_VALUE"""),40148.0)</f>
        <v>40148</v>
      </c>
      <c r="J1403" s="8">
        <f>IFERROR(__xludf.DUMMYFUNCTION("""COMPUTED_VALUE"""),0.5618055555569299)</f>
        <v>0.5618055556</v>
      </c>
      <c r="K1403" s="2">
        <f>IFERROR(__xludf.DUMMYFUNCTION("""COMPUTED_VALUE"""),13.0)</f>
        <v>13</v>
      </c>
      <c r="L1403" s="2">
        <f>IFERROR(__xludf.DUMMYFUNCTION("""COMPUTED_VALUE"""),3.9)</f>
        <v>3.9</v>
      </c>
    </row>
    <row r="1404">
      <c r="A1404" s="2">
        <f>IFERROR(__xludf.DUMMYFUNCTION("""COMPUTED_VALUE"""),489571.0)</f>
        <v>489571</v>
      </c>
      <c r="B1404" s="2" t="str">
        <f>IFERROR(__xludf.DUMMYFUNCTION("""COMPUTED_VALUE"""),"22162")</f>
        <v>22162</v>
      </c>
      <c r="C1404" s="2" t="str">
        <f>IFERROR(__xludf.DUMMYFUNCTION("""COMPUTED_VALUE"""),"HEART GARLAND RUSTIC PADDED")</f>
        <v>HEART GARLAND RUSTIC PADDED</v>
      </c>
      <c r="D1404" s="2">
        <f>IFERROR(__xludf.DUMMYFUNCTION("""COMPUTED_VALUE"""),5.0)</f>
        <v>5</v>
      </c>
      <c r="E1404" s="6">
        <f>IFERROR(__xludf.DUMMYFUNCTION("""COMPUTED_VALUE"""),40148.56180555555)</f>
        <v>40148.56181</v>
      </c>
      <c r="F1404" s="2">
        <f>IFERROR(__xludf.DUMMYFUNCTION("""COMPUTED_VALUE"""),2.95)</f>
        <v>2.95</v>
      </c>
      <c r="G1404" s="2">
        <f>IFERROR(__xludf.DUMMYFUNCTION("""COMPUTED_VALUE"""),15967.0)</f>
        <v>15967</v>
      </c>
      <c r="H1404" s="2" t="str">
        <f>IFERROR(__xludf.DUMMYFUNCTION("""COMPUTED_VALUE"""),"United Kingdom")</f>
        <v>United Kingdom</v>
      </c>
      <c r="I1404" s="7">
        <f>IFERROR(__xludf.DUMMYFUNCTION("""COMPUTED_VALUE"""),40148.0)</f>
        <v>40148</v>
      </c>
      <c r="J1404" s="8">
        <f>IFERROR(__xludf.DUMMYFUNCTION("""COMPUTED_VALUE"""),0.5618055555569299)</f>
        <v>0.5618055556</v>
      </c>
      <c r="K1404" s="2">
        <f>IFERROR(__xludf.DUMMYFUNCTION("""COMPUTED_VALUE"""),13.0)</f>
        <v>13</v>
      </c>
      <c r="L1404" s="2">
        <f>IFERROR(__xludf.DUMMYFUNCTION("""COMPUTED_VALUE"""),14.75)</f>
        <v>14.75</v>
      </c>
    </row>
    <row r="1405">
      <c r="A1405" s="2">
        <f>IFERROR(__xludf.DUMMYFUNCTION("""COMPUTED_VALUE"""),489571.0)</f>
        <v>489571</v>
      </c>
      <c r="B1405" s="2" t="str">
        <f>IFERROR(__xludf.DUMMYFUNCTION("""COMPUTED_VALUE"""),"22296")</f>
        <v>22296</v>
      </c>
      <c r="C1405" s="2" t="str">
        <f>IFERROR(__xludf.DUMMYFUNCTION("""COMPUTED_VALUE"""),"HEART IVORY TRELLIS LARGE")</f>
        <v>HEART IVORY TRELLIS LARGE</v>
      </c>
      <c r="D1405" s="2">
        <f>IFERROR(__xludf.DUMMYFUNCTION("""COMPUTED_VALUE"""),4.0)</f>
        <v>4</v>
      </c>
      <c r="E1405" s="6">
        <f>IFERROR(__xludf.DUMMYFUNCTION("""COMPUTED_VALUE"""),40148.56180555555)</f>
        <v>40148.56181</v>
      </c>
      <c r="F1405" s="2">
        <f>IFERROR(__xludf.DUMMYFUNCTION("""COMPUTED_VALUE"""),1.65)</f>
        <v>1.65</v>
      </c>
      <c r="G1405" s="2">
        <f>IFERROR(__xludf.DUMMYFUNCTION("""COMPUTED_VALUE"""),15967.0)</f>
        <v>15967</v>
      </c>
      <c r="H1405" s="2" t="str">
        <f>IFERROR(__xludf.DUMMYFUNCTION("""COMPUTED_VALUE"""),"United Kingdom")</f>
        <v>United Kingdom</v>
      </c>
      <c r="I1405" s="7">
        <f>IFERROR(__xludf.DUMMYFUNCTION("""COMPUTED_VALUE"""),40148.0)</f>
        <v>40148</v>
      </c>
      <c r="J1405" s="8">
        <f>IFERROR(__xludf.DUMMYFUNCTION("""COMPUTED_VALUE"""),0.5618055555569299)</f>
        <v>0.5618055556</v>
      </c>
      <c r="K1405" s="2">
        <f>IFERROR(__xludf.DUMMYFUNCTION("""COMPUTED_VALUE"""),13.0)</f>
        <v>13</v>
      </c>
      <c r="L1405" s="2">
        <f>IFERROR(__xludf.DUMMYFUNCTION("""COMPUTED_VALUE"""),6.6)</f>
        <v>6.6</v>
      </c>
    </row>
    <row r="1406">
      <c r="A1406" s="2">
        <f>IFERROR(__xludf.DUMMYFUNCTION("""COMPUTED_VALUE"""),489571.0)</f>
        <v>489571</v>
      </c>
      <c r="B1406" s="2" t="str">
        <f>IFERROR(__xludf.DUMMYFUNCTION("""COMPUTED_VALUE"""),"22297")</f>
        <v>22297</v>
      </c>
      <c r="C1406" s="2" t="str">
        <f>IFERROR(__xludf.DUMMYFUNCTION("""COMPUTED_VALUE"""),"HEART IVORY TRELLIS SMALL")</f>
        <v>HEART IVORY TRELLIS SMALL</v>
      </c>
      <c r="D1406" s="2">
        <f>IFERROR(__xludf.DUMMYFUNCTION("""COMPUTED_VALUE"""),8.0)</f>
        <v>8</v>
      </c>
      <c r="E1406" s="6">
        <f>IFERROR(__xludf.DUMMYFUNCTION("""COMPUTED_VALUE"""),40148.56180555555)</f>
        <v>40148.56181</v>
      </c>
      <c r="F1406" s="2">
        <f>IFERROR(__xludf.DUMMYFUNCTION("""COMPUTED_VALUE"""),1.25)</f>
        <v>1.25</v>
      </c>
      <c r="G1406" s="2">
        <f>IFERROR(__xludf.DUMMYFUNCTION("""COMPUTED_VALUE"""),15967.0)</f>
        <v>15967</v>
      </c>
      <c r="H1406" s="2" t="str">
        <f>IFERROR(__xludf.DUMMYFUNCTION("""COMPUTED_VALUE"""),"United Kingdom")</f>
        <v>United Kingdom</v>
      </c>
      <c r="I1406" s="7">
        <f>IFERROR(__xludf.DUMMYFUNCTION("""COMPUTED_VALUE"""),40148.0)</f>
        <v>40148</v>
      </c>
      <c r="J1406" s="8">
        <f>IFERROR(__xludf.DUMMYFUNCTION("""COMPUTED_VALUE"""),0.5618055555569299)</f>
        <v>0.5618055556</v>
      </c>
      <c r="K1406" s="2">
        <f>IFERROR(__xludf.DUMMYFUNCTION("""COMPUTED_VALUE"""),13.0)</f>
        <v>13</v>
      </c>
      <c r="L1406" s="2">
        <f>IFERROR(__xludf.DUMMYFUNCTION("""COMPUTED_VALUE"""),10.0)</f>
        <v>10</v>
      </c>
    </row>
    <row r="1407">
      <c r="A1407" s="2">
        <f>IFERROR(__xludf.DUMMYFUNCTION("""COMPUTED_VALUE"""),489571.0)</f>
        <v>489571</v>
      </c>
      <c r="B1407" s="2" t="str">
        <f>IFERROR(__xludf.DUMMYFUNCTION("""COMPUTED_VALUE"""),"16237")</f>
        <v>16237</v>
      </c>
      <c r="C1407" s="2" t="str">
        <f>IFERROR(__xludf.DUMMYFUNCTION("""COMPUTED_VALUE"""),"SLEEPING CAT ERASERS")</f>
        <v>SLEEPING CAT ERASERS</v>
      </c>
      <c r="D1407" s="2">
        <f>IFERROR(__xludf.DUMMYFUNCTION("""COMPUTED_VALUE"""),1.0)</f>
        <v>1</v>
      </c>
      <c r="E1407" s="6">
        <f>IFERROR(__xludf.DUMMYFUNCTION("""COMPUTED_VALUE"""),40148.56180555555)</f>
        <v>40148.56181</v>
      </c>
      <c r="F1407" s="2">
        <f>IFERROR(__xludf.DUMMYFUNCTION("""COMPUTED_VALUE"""),0.21)</f>
        <v>0.21</v>
      </c>
      <c r="G1407" s="2">
        <f>IFERROR(__xludf.DUMMYFUNCTION("""COMPUTED_VALUE"""),15967.0)</f>
        <v>15967</v>
      </c>
      <c r="H1407" s="2" t="str">
        <f>IFERROR(__xludf.DUMMYFUNCTION("""COMPUTED_VALUE"""),"United Kingdom")</f>
        <v>United Kingdom</v>
      </c>
      <c r="I1407" s="7">
        <f>IFERROR(__xludf.DUMMYFUNCTION("""COMPUTED_VALUE"""),40148.0)</f>
        <v>40148</v>
      </c>
      <c r="J1407" s="8">
        <f>IFERROR(__xludf.DUMMYFUNCTION("""COMPUTED_VALUE"""),0.5618055555569299)</f>
        <v>0.5618055556</v>
      </c>
      <c r="K1407" s="2">
        <f>IFERROR(__xludf.DUMMYFUNCTION("""COMPUTED_VALUE"""),13.0)</f>
        <v>13</v>
      </c>
      <c r="L1407" s="2">
        <f>IFERROR(__xludf.DUMMYFUNCTION("""COMPUTED_VALUE"""),0.21)</f>
        <v>0.21</v>
      </c>
    </row>
    <row r="1408">
      <c r="A1408" s="2">
        <f>IFERROR(__xludf.DUMMYFUNCTION("""COMPUTED_VALUE"""),489571.0)</f>
        <v>489571</v>
      </c>
      <c r="B1408" s="2" t="str">
        <f>IFERROR(__xludf.DUMMYFUNCTION("""COMPUTED_VALUE"""),"84836")</f>
        <v>84836</v>
      </c>
      <c r="C1408" s="2" t="str">
        <f>IFERROR(__xludf.DUMMYFUNCTION("""COMPUTED_VALUE"""),"ZINC METAL HEART DECORATION")</f>
        <v>ZINC METAL HEART DECORATION</v>
      </c>
      <c r="D1408" s="2">
        <f>IFERROR(__xludf.DUMMYFUNCTION("""COMPUTED_VALUE"""),2.0)</f>
        <v>2</v>
      </c>
      <c r="E1408" s="6">
        <f>IFERROR(__xludf.DUMMYFUNCTION("""COMPUTED_VALUE"""),40148.56180555555)</f>
        <v>40148.56181</v>
      </c>
      <c r="F1408" s="2">
        <f>IFERROR(__xludf.DUMMYFUNCTION("""COMPUTED_VALUE"""),1.25)</f>
        <v>1.25</v>
      </c>
      <c r="G1408" s="2">
        <f>IFERROR(__xludf.DUMMYFUNCTION("""COMPUTED_VALUE"""),15967.0)</f>
        <v>15967</v>
      </c>
      <c r="H1408" s="2" t="str">
        <f>IFERROR(__xludf.DUMMYFUNCTION("""COMPUTED_VALUE"""),"United Kingdom")</f>
        <v>United Kingdom</v>
      </c>
      <c r="I1408" s="7">
        <f>IFERROR(__xludf.DUMMYFUNCTION("""COMPUTED_VALUE"""),40148.0)</f>
        <v>40148</v>
      </c>
      <c r="J1408" s="8">
        <f>IFERROR(__xludf.DUMMYFUNCTION("""COMPUTED_VALUE"""),0.5618055555569299)</f>
        <v>0.5618055556</v>
      </c>
      <c r="K1408" s="2">
        <f>IFERROR(__xludf.DUMMYFUNCTION("""COMPUTED_VALUE"""),13.0)</f>
        <v>13</v>
      </c>
      <c r="L1408" s="2">
        <f>IFERROR(__xludf.DUMMYFUNCTION("""COMPUTED_VALUE"""),2.5)</f>
        <v>2.5</v>
      </c>
    </row>
    <row r="1409">
      <c r="A1409" s="2">
        <f>IFERROR(__xludf.DUMMYFUNCTION("""COMPUTED_VALUE"""),489571.0)</f>
        <v>489571</v>
      </c>
      <c r="B1409" s="2" t="str">
        <f>IFERROR(__xludf.DUMMYFUNCTION("""COMPUTED_VALUE"""),"85104")</f>
        <v>85104</v>
      </c>
      <c r="C1409" s="2" t="str">
        <f>IFERROR(__xludf.DUMMYFUNCTION("""COMPUTED_VALUE"""),"SILVER GLASS T-LIGHT SET")</f>
        <v>SILVER GLASS T-LIGHT SET</v>
      </c>
      <c r="D1409" s="2">
        <f>IFERROR(__xludf.DUMMYFUNCTION("""COMPUTED_VALUE"""),1.0)</f>
        <v>1</v>
      </c>
      <c r="E1409" s="6">
        <f>IFERROR(__xludf.DUMMYFUNCTION("""COMPUTED_VALUE"""),40148.56180555555)</f>
        <v>40148.56181</v>
      </c>
      <c r="F1409" s="2">
        <f>IFERROR(__xludf.DUMMYFUNCTION("""COMPUTED_VALUE"""),2.95)</f>
        <v>2.95</v>
      </c>
      <c r="G1409" s="2">
        <f>IFERROR(__xludf.DUMMYFUNCTION("""COMPUTED_VALUE"""),15967.0)</f>
        <v>15967</v>
      </c>
      <c r="H1409" s="2" t="str">
        <f>IFERROR(__xludf.DUMMYFUNCTION("""COMPUTED_VALUE"""),"United Kingdom")</f>
        <v>United Kingdom</v>
      </c>
      <c r="I1409" s="7">
        <f>IFERROR(__xludf.DUMMYFUNCTION("""COMPUTED_VALUE"""),40148.0)</f>
        <v>40148</v>
      </c>
      <c r="J1409" s="8">
        <f>IFERROR(__xludf.DUMMYFUNCTION("""COMPUTED_VALUE"""),0.5618055555569299)</f>
        <v>0.5618055556</v>
      </c>
      <c r="K1409" s="2">
        <f>IFERROR(__xludf.DUMMYFUNCTION("""COMPUTED_VALUE"""),13.0)</f>
        <v>13</v>
      </c>
      <c r="L1409" s="2">
        <f>IFERROR(__xludf.DUMMYFUNCTION("""COMPUTED_VALUE"""),2.95)</f>
        <v>2.95</v>
      </c>
    </row>
    <row r="1410">
      <c r="A1410" s="2">
        <f>IFERROR(__xludf.DUMMYFUNCTION("""COMPUTED_VALUE"""),489571.0)</f>
        <v>489571</v>
      </c>
      <c r="B1410" s="2" t="str">
        <f>IFERROR(__xludf.DUMMYFUNCTION("""COMPUTED_VALUE"""),"84813")</f>
        <v>84813</v>
      </c>
      <c r="C1410" s="2" t="str">
        <f>IFERROR(__xludf.DUMMYFUNCTION("""COMPUTED_VALUE"""),"SET OF 4 DIAMOND NAPKIN RINGS")</f>
        <v>SET OF 4 DIAMOND NAPKIN RINGS</v>
      </c>
      <c r="D1410" s="2">
        <f>IFERROR(__xludf.DUMMYFUNCTION("""COMPUTED_VALUE"""),2.0)</f>
        <v>2</v>
      </c>
      <c r="E1410" s="6">
        <f>IFERROR(__xludf.DUMMYFUNCTION("""COMPUTED_VALUE"""),40148.56180555555)</f>
        <v>40148.56181</v>
      </c>
      <c r="F1410" s="2">
        <f>IFERROR(__xludf.DUMMYFUNCTION("""COMPUTED_VALUE"""),12.75)</f>
        <v>12.75</v>
      </c>
      <c r="G1410" s="2">
        <f>IFERROR(__xludf.DUMMYFUNCTION("""COMPUTED_VALUE"""),15967.0)</f>
        <v>15967</v>
      </c>
      <c r="H1410" s="2" t="str">
        <f>IFERROR(__xludf.DUMMYFUNCTION("""COMPUTED_VALUE"""),"United Kingdom")</f>
        <v>United Kingdom</v>
      </c>
      <c r="I1410" s="7">
        <f>IFERROR(__xludf.DUMMYFUNCTION("""COMPUTED_VALUE"""),40148.0)</f>
        <v>40148</v>
      </c>
      <c r="J1410" s="8">
        <f>IFERROR(__xludf.DUMMYFUNCTION("""COMPUTED_VALUE"""),0.5618055555569299)</f>
        <v>0.5618055556</v>
      </c>
      <c r="K1410" s="2">
        <f>IFERROR(__xludf.DUMMYFUNCTION("""COMPUTED_VALUE"""),13.0)</f>
        <v>13</v>
      </c>
      <c r="L1410" s="2">
        <f>IFERROR(__xludf.DUMMYFUNCTION("""COMPUTED_VALUE"""),25.5)</f>
        <v>25.5</v>
      </c>
    </row>
    <row r="1411">
      <c r="A1411" s="2">
        <f>IFERROR(__xludf.DUMMYFUNCTION("""COMPUTED_VALUE"""),489571.0)</f>
        <v>489571</v>
      </c>
      <c r="B1411" s="2" t="str">
        <f>IFERROR(__xludf.DUMMYFUNCTION("""COMPUTED_VALUE"""),"22273")</f>
        <v>22273</v>
      </c>
      <c r="C1411" s="2" t="str">
        <f>IFERROR(__xludf.DUMMYFUNCTION("""COMPUTED_VALUE"""),"FELTCRAFT DOLL MOLLY")</f>
        <v>FELTCRAFT DOLL MOLLY</v>
      </c>
      <c r="D1411" s="2">
        <f>IFERROR(__xludf.DUMMYFUNCTION("""COMPUTED_VALUE"""),1.0)</f>
        <v>1</v>
      </c>
      <c r="E1411" s="6">
        <f>IFERROR(__xludf.DUMMYFUNCTION("""COMPUTED_VALUE"""),40148.56180555555)</f>
        <v>40148.56181</v>
      </c>
      <c r="F1411" s="2">
        <f>IFERROR(__xludf.DUMMYFUNCTION("""COMPUTED_VALUE"""),2.95)</f>
        <v>2.95</v>
      </c>
      <c r="G1411" s="2">
        <f>IFERROR(__xludf.DUMMYFUNCTION("""COMPUTED_VALUE"""),15967.0)</f>
        <v>15967</v>
      </c>
      <c r="H1411" s="2" t="str">
        <f>IFERROR(__xludf.DUMMYFUNCTION("""COMPUTED_VALUE"""),"United Kingdom")</f>
        <v>United Kingdom</v>
      </c>
      <c r="I1411" s="7">
        <f>IFERROR(__xludf.DUMMYFUNCTION("""COMPUTED_VALUE"""),40148.0)</f>
        <v>40148</v>
      </c>
      <c r="J1411" s="8">
        <f>IFERROR(__xludf.DUMMYFUNCTION("""COMPUTED_VALUE"""),0.5618055555569299)</f>
        <v>0.5618055556</v>
      </c>
      <c r="K1411" s="2">
        <f>IFERROR(__xludf.DUMMYFUNCTION("""COMPUTED_VALUE"""),13.0)</f>
        <v>13</v>
      </c>
      <c r="L1411" s="2">
        <f>IFERROR(__xludf.DUMMYFUNCTION("""COMPUTED_VALUE"""),2.95)</f>
        <v>2.95</v>
      </c>
    </row>
    <row r="1412">
      <c r="A1412" s="2">
        <f>IFERROR(__xludf.DUMMYFUNCTION("""COMPUTED_VALUE"""),489571.0)</f>
        <v>489571</v>
      </c>
      <c r="B1412" s="2" t="str">
        <f>IFERROR(__xludf.DUMMYFUNCTION("""COMPUTED_VALUE"""),"22272")</f>
        <v>22272</v>
      </c>
      <c r="C1412" s="2" t="str">
        <f>IFERROR(__xludf.DUMMYFUNCTION("""COMPUTED_VALUE"""),"FELTCRAFT DOLL MARIA")</f>
        <v>FELTCRAFT DOLL MARIA</v>
      </c>
      <c r="D1412" s="2">
        <f>IFERROR(__xludf.DUMMYFUNCTION("""COMPUTED_VALUE"""),1.0)</f>
        <v>1</v>
      </c>
      <c r="E1412" s="6">
        <f>IFERROR(__xludf.DUMMYFUNCTION("""COMPUTED_VALUE"""),40148.56180555555)</f>
        <v>40148.56181</v>
      </c>
      <c r="F1412" s="2">
        <f>IFERROR(__xludf.DUMMYFUNCTION("""COMPUTED_VALUE"""),2.95)</f>
        <v>2.95</v>
      </c>
      <c r="G1412" s="2">
        <f>IFERROR(__xludf.DUMMYFUNCTION("""COMPUTED_VALUE"""),15967.0)</f>
        <v>15967</v>
      </c>
      <c r="H1412" s="2" t="str">
        <f>IFERROR(__xludf.DUMMYFUNCTION("""COMPUTED_VALUE"""),"United Kingdom")</f>
        <v>United Kingdom</v>
      </c>
      <c r="I1412" s="7">
        <f>IFERROR(__xludf.DUMMYFUNCTION("""COMPUTED_VALUE"""),40148.0)</f>
        <v>40148</v>
      </c>
      <c r="J1412" s="8">
        <f>IFERROR(__xludf.DUMMYFUNCTION("""COMPUTED_VALUE"""),0.5618055555569299)</f>
        <v>0.5618055556</v>
      </c>
      <c r="K1412" s="2">
        <f>IFERROR(__xludf.DUMMYFUNCTION("""COMPUTED_VALUE"""),13.0)</f>
        <v>13</v>
      </c>
      <c r="L1412" s="2">
        <f>IFERROR(__xludf.DUMMYFUNCTION("""COMPUTED_VALUE"""),2.95)</f>
        <v>2.95</v>
      </c>
    </row>
    <row r="1413">
      <c r="A1413" s="2">
        <f>IFERROR(__xludf.DUMMYFUNCTION("""COMPUTED_VALUE"""),489571.0)</f>
        <v>489571</v>
      </c>
      <c r="B1413" s="2" t="str">
        <f>IFERROR(__xludf.DUMMYFUNCTION("""COMPUTED_VALUE"""),"22271")</f>
        <v>22271</v>
      </c>
      <c r="C1413" s="2" t="str">
        <f>IFERROR(__xludf.DUMMYFUNCTION("""COMPUTED_VALUE"""),"FELTCRAFT DOLL ROSIE")</f>
        <v>FELTCRAFT DOLL ROSIE</v>
      </c>
      <c r="D1413" s="2">
        <f>IFERROR(__xludf.DUMMYFUNCTION("""COMPUTED_VALUE"""),1.0)</f>
        <v>1</v>
      </c>
      <c r="E1413" s="6">
        <f>IFERROR(__xludf.DUMMYFUNCTION("""COMPUTED_VALUE"""),40148.56180555555)</f>
        <v>40148.56181</v>
      </c>
      <c r="F1413" s="2">
        <f>IFERROR(__xludf.DUMMYFUNCTION("""COMPUTED_VALUE"""),2.95)</f>
        <v>2.95</v>
      </c>
      <c r="G1413" s="2">
        <f>IFERROR(__xludf.DUMMYFUNCTION("""COMPUTED_VALUE"""),15967.0)</f>
        <v>15967</v>
      </c>
      <c r="H1413" s="2" t="str">
        <f>IFERROR(__xludf.DUMMYFUNCTION("""COMPUTED_VALUE"""),"United Kingdom")</f>
        <v>United Kingdom</v>
      </c>
      <c r="I1413" s="7">
        <f>IFERROR(__xludf.DUMMYFUNCTION("""COMPUTED_VALUE"""),40148.0)</f>
        <v>40148</v>
      </c>
      <c r="J1413" s="8">
        <f>IFERROR(__xludf.DUMMYFUNCTION("""COMPUTED_VALUE"""),0.5618055555569299)</f>
        <v>0.5618055556</v>
      </c>
      <c r="K1413" s="2">
        <f>IFERROR(__xludf.DUMMYFUNCTION("""COMPUTED_VALUE"""),13.0)</f>
        <v>13</v>
      </c>
      <c r="L1413" s="2">
        <f>IFERROR(__xludf.DUMMYFUNCTION("""COMPUTED_VALUE"""),2.95)</f>
        <v>2.95</v>
      </c>
    </row>
    <row r="1414">
      <c r="A1414" s="2">
        <f>IFERROR(__xludf.DUMMYFUNCTION("""COMPUTED_VALUE"""),489571.0)</f>
        <v>489571</v>
      </c>
      <c r="B1414" s="2" t="str">
        <f>IFERROR(__xludf.DUMMYFUNCTION("""COMPUTED_VALUE"""),"21181")</f>
        <v>21181</v>
      </c>
      <c r="C1414" s="2" t="str">
        <f>IFERROR(__xludf.DUMMYFUNCTION("""COMPUTED_VALUE"""),"PLEASE ONE PERSON METAL SIGN")</f>
        <v>PLEASE ONE PERSON METAL SIGN</v>
      </c>
      <c r="D1414" s="2">
        <f>IFERROR(__xludf.DUMMYFUNCTION("""COMPUTED_VALUE"""),1.0)</f>
        <v>1</v>
      </c>
      <c r="E1414" s="6">
        <f>IFERROR(__xludf.DUMMYFUNCTION("""COMPUTED_VALUE"""),40148.56180555555)</f>
        <v>40148.56181</v>
      </c>
      <c r="F1414" s="2">
        <f>IFERROR(__xludf.DUMMYFUNCTION("""COMPUTED_VALUE"""),2.1)</f>
        <v>2.1</v>
      </c>
      <c r="G1414" s="2">
        <f>IFERROR(__xludf.DUMMYFUNCTION("""COMPUTED_VALUE"""),15967.0)</f>
        <v>15967</v>
      </c>
      <c r="H1414" s="2" t="str">
        <f>IFERROR(__xludf.DUMMYFUNCTION("""COMPUTED_VALUE"""),"United Kingdom")</f>
        <v>United Kingdom</v>
      </c>
      <c r="I1414" s="7">
        <f>IFERROR(__xludf.DUMMYFUNCTION("""COMPUTED_VALUE"""),40148.0)</f>
        <v>40148</v>
      </c>
      <c r="J1414" s="8">
        <f>IFERROR(__xludf.DUMMYFUNCTION("""COMPUTED_VALUE"""),0.5618055555569299)</f>
        <v>0.5618055556</v>
      </c>
      <c r="K1414" s="2">
        <f>IFERROR(__xludf.DUMMYFUNCTION("""COMPUTED_VALUE"""),13.0)</f>
        <v>13</v>
      </c>
      <c r="L1414" s="2">
        <f>IFERROR(__xludf.DUMMYFUNCTION("""COMPUTED_VALUE"""),2.1)</f>
        <v>2.1</v>
      </c>
    </row>
    <row r="1415">
      <c r="A1415" s="2">
        <f>IFERROR(__xludf.DUMMYFUNCTION("""COMPUTED_VALUE"""),489571.0)</f>
        <v>489571</v>
      </c>
      <c r="B1415" s="2" t="str">
        <f>IFERROR(__xludf.DUMMYFUNCTION("""COMPUTED_VALUE"""),"21484")</f>
        <v>21484</v>
      </c>
      <c r="C1415" s="2" t="str">
        <f>IFERROR(__xludf.DUMMYFUNCTION("""COMPUTED_VALUE"""),"CHICK GREY HOT WATER BOTTLE")</f>
        <v>CHICK GREY HOT WATER BOTTLE</v>
      </c>
      <c r="D1415" s="2">
        <f>IFERROR(__xludf.DUMMYFUNCTION("""COMPUTED_VALUE"""),1.0)</f>
        <v>1</v>
      </c>
      <c r="E1415" s="6">
        <f>IFERROR(__xludf.DUMMYFUNCTION("""COMPUTED_VALUE"""),40148.56180555555)</f>
        <v>40148.56181</v>
      </c>
      <c r="F1415" s="2">
        <f>IFERROR(__xludf.DUMMYFUNCTION("""COMPUTED_VALUE"""),3.45)</f>
        <v>3.45</v>
      </c>
      <c r="G1415" s="2">
        <f>IFERROR(__xludf.DUMMYFUNCTION("""COMPUTED_VALUE"""),15967.0)</f>
        <v>15967</v>
      </c>
      <c r="H1415" s="2" t="str">
        <f>IFERROR(__xludf.DUMMYFUNCTION("""COMPUTED_VALUE"""),"United Kingdom")</f>
        <v>United Kingdom</v>
      </c>
      <c r="I1415" s="7">
        <f>IFERROR(__xludf.DUMMYFUNCTION("""COMPUTED_VALUE"""),40148.0)</f>
        <v>40148</v>
      </c>
      <c r="J1415" s="8">
        <f>IFERROR(__xludf.DUMMYFUNCTION("""COMPUTED_VALUE"""),0.5618055555569299)</f>
        <v>0.5618055556</v>
      </c>
      <c r="K1415" s="2">
        <f>IFERROR(__xludf.DUMMYFUNCTION("""COMPUTED_VALUE"""),13.0)</f>
        <v>13</v>
      </c>
      <c r="L1415" s="2">
        <f>IFERROR(__xludf.DUMMYFUNCTION("""COMPUTED_VALUE"""),3.45)</f>
        <v>3.45</v>
      </c>
    </row>
    <row r="1416">
      <c r="A1416" s="2">
        <f>IFERROR(__xludf.DUMMYFUNCTION("""COMPUTED_VALUE"""),489571.0)</f>
        <v>489571</v>
      </c>
      <c r="B1416" s="2" t="str">
        <f>IFERROR(__xludf.DUMMYFUNCTION("""COMPUTED_VALUE"""),"21479")</f>
        <v>21479</v>
      </c>
      <c r="C1416" s="2" t="str">
        <f>IFERROR(__xludf.DUMMYFUNCTION("""COMPUTED_VALUE"""),"WHITE SKULL HOT WATER BOTTLE")</f>
        <v>WHITE SKULL HOT WATER BOTTLE</v>
      </c>
      <c r="D1416" s="2">
        <f>IFERROR(__xludf.DUMMYFUNCTION("""COMPUTED_VALUE"""),1.0)</f>
        <v>1</v>
      </c>
      <c r="E1416" s="6">
        <f>IFERROR(__xludf.DUMMYFUNCTION("""COMPUTED_VALUE"""),40148.56180555555)</f>
        <v>40148.56181</v>
      </c>
      <c r="F1416" s="2">
        <f>IFERROR(__xludf.DUMMYFUNCTION("""COMPUTED_VALUE"""),3.75)</f>
        <v>3.75</v>
      </c>
      <c r="G1416" s="2">
        <f>IFERROR(__xludf.DUMMYFUNCTION("""COMPUTED_VALUE"""),15967.0)</f>
        <v>15967</v>
      </c>
      <c r="H1416" s="2" t="str">
        <f>IFERROR(__xludf.DUMMYFUNCTION("""COMPUTED_VALUE"""),"United Kingdom")</f>
        <v>United Kingdom</v>
      </c>
      <c r="I1416" s="7">
        <f>IFERROR(__xludf.DUMMYFUNCTION("""COMPUTED_VALUE"""),40148.0)</f>
        <v>40148</v>
      </c>
      <c r="J1416" s="8">
        <f>IFERROR(__xludf.DUMMYFUNCTION("""COMPUTED_VALUE"""),0.5618055555569299)</f>
        <v>0.5618055556</v>
      </c>
      <c r="K1416" s="2">
        <f>IFERROR(__xludf.DUMMYFUNCTION("""COMPUTED_VALUE"""),13.0)</f>
        <v>13</v>
      </c>
      <c r="L1416" s="2">
        <f>IFERROR(__xludf.DUMMYFUNCTION("""COMPUTED_VALUE"""),3.75)</f>
        <v>3.75</v>
      </c>
    </row>
    <row r="1417">
      <c r="A1417" s="2">
        <f>IFERROR(__xludf.DUMMYFUNCTION("""COMPUTED_VALUE"""),489571.0)</f>
        <v>489571</v>
      </c>
      <c r="B1417" s="2" t="str">
        <f>IFERROR(__xludf.DUMMYFUNCTION("""COMPUTED_VALUE"""),"21621")</f>
        <v>21621</v>
      </c>
      <c r="C1417" s="2" t="str">
        <f>IFERROR(__xludf.DUMMYFUNCTION("""COMPUTED_VALUE"""),"VINTAGE UNION JACK BUNTING")</f>
        <v>VINTAGE UNION JACK BUNTING</v>
      </c>
      <c r="D1417" s="2">
        <f>IFERROR(__xludf.DUMMYFUNCTION("""COMPUTED_VALUE"""),2.0)</f>
        <v>2</v>
      </c>
      <c r="E1417" s="6">
        <f>IFERROR(__xludf.DUMMYFUNCTION("""COMPUTED_VALUE"""),40148.56180555555)</f>
        <v>40148.56181</v>
      </c>
      <c r="F1417" s="2">
        <f>IFERROR(__xludf.DUMMYFUNCTION("""COMPUTED_VALUE"""),8.5)</f>
        <v>8.5</v>
      </c>
      <c r="G1417" s="2">
        <f>IFERROR(__xludf.DUMMYFUNCTION("""COMPUTED_VALUE"""),15967.0)</f>
        <v>15967</v>
      </c>
      <c r="H1417" s="2" t="str">
        <f>IFERROR(__xludf.DUMMYFUNCTION("""COMPUTED_VALUE"""),"United Kingdom")</f>
        <v>United Kingdom</v>
      </c>
      <c r="I1417" s="7">
        <f>IFERROR(__xludf.DUMMYFUNCTION("""COMPUTED_VALUE"""),40148.0)</f>
        <v>40148</v>
      </c>
      <c r="J1417" s="8">
        <f>IFERROR(__xludf.DUMMYFUNCTION("""COMPUTED_VALUE"""),0.5618055555569299)</f>
        <v>0.5618055556</v>
      </c>
      <c r="K1417" s="2">
        <f>IFERROR(__xludf.DUMMYFUNCTION("""COMPUTED_VALUE"""),13.0)</f>
        <v>13</v>
      </c>
      <c r="L1417" s="2">
        <f>IFERROR(__xludf.DUMMYFUNCTION("""COMPUTED_VALUE"""),17.0)</f>
        <v>17</v>
      </c>
    </row>
    <row r="1418">
      <c r="A1418" s="2">
        <f>IFERROR(__xludf.DUMMYFUNCTION("""COMPUTED_VALUE"""),489571.0)</f>
        <v>489571</v>
      </c>
      <c r="B1418" s="2" t="str">
        <f>IFERROR(__xludf.DUMMYFUNCTION("""COMPUTED_VALUE"""),"21590")</f>
        <v>21590</v>
      </c>
      <c r="C1418" s="2" t="str">
        <f>IFERROR(__xludf.DUMMYFUNCTION("""COMPUTED_VALUE"""),"KINGS CHOICE CIGAR BOX MATCHES")</f>
        <v>KINGS CHOICE CIGAR BOX MATCHES</v>
      </c>
      <c r="D1418" s="2">
        <f>IFERROR(__xludf.DUMMYFUNCTION("""COMPUTED_VALUE"""),1.0)</f>
        <v>1</v>
      </c>
      <c r="E1418" s="6">
        <f>IFERROR(__xludf.DUMMYFUNCTION("""COMPUTED_VALUE"""),40148.56180555555)</f>
        <v>40148.56181</v>
      </c>
      <c r="F1418" s="2">
        <f>IFERROR(__xludf.DUMMYFUNCTION("""COMPUTED_VALUE"""),1.25)</f>
        <v>1.25</v>
      </c>
      <c r="G1418" s="2">
        <f>IFERROR(__xludf.DUMMYFUNCTION("""COMPUTED_VALUE"""),15967.0)</f>
        <v>15967</v>
      </c>
      <c r="H1418" s="2" t="str">
        <f>IFERROR(__xludf.DUMMYFUNCTION("""COMPUTED_VALUE"""),"United Kingdom")</f>
        <v>United Kingdom</v>
      </c>
      <c r="I1418" s="7">
        <f>IFERROR(__xludf.DUMMYFUNCTION("""COMPUTED_VALUE"""),40148.0)</f>
        <v>40148</v>
      </c>
      <c r="J1418" s="8">
        <f>IFERROR(__xludf.DUMMYFUNCTION("""COMPUTED_VALUE"""),0.5618055555569299)</f>
        <v>0.5618055556</v>
      </c>
      <c r="K1418" s="2">
        <f>IFERROR(__xludf.DUMMYFUNCTION("""COMPUTED_VALUE"""),13.0)</f>
        <v>13</v>
      </c>
      <c r="L1418" s="2">
        <f>IFERROR(__xludf.DUMMYFUNCTION("""COMPUTED_VALUE"""),1.25)</f>
        <v>1.25</v>
      </c>
    </row>
    <row r="1419">
      <c r="A1419" s="2">
        <f>IFERROR(__xludf.DUMMYFUNCTION("""COMPUTED_VALUE"""),489571.0)</f>
        <v>489571</v>
      </c>
      <c r="B1419" s="2" t="str">
        <f>IFERROR(__xludf.DUMMYFUNCTION("""COMPUTED_VALUE"""),"21587")</f>
        <v>21587</v>
      </c>
      <c r="C1419" s="2" t="str">
        <f>IFERROR(__xludf.DUMMYFUNCTION("""COMPUTED_VALUE"""),"COSY HOUR GIANT TUBE MATCHES")</f>
        <v>COSY HOUR GIANT TUBE MATCHES</v>
      </c>
      <c r="D1419" s="2">
        <f>IFERROR(__xludf.DUMMYFUNCTION("""COMPUTED_VALUE"""),1.0)</f>
        <v>1</v>
      </c>
      <c r="E1419" s="6">
        <f>IFERROR(__xludf.DUMMYFUNCTION("""COMPUTED_VALUE"""),40148.56180555555)</f>
        <v>40148.56181</v>
      </c>
      <c r="F1419" s="2">
        <f>IFERROR(__xludf.DUMMYFUNCTION("""COMPUTED_VALUE"""),2.55)</f>
        <v>2.55</v>
      </c>
      <c r="G1419" s="2">
        <f>IFERROR(__xludf.DUMMYFUNCTION("""COMPUTED_VALUE"""),15967.0)</f>
        <v>15967</v>
      </c>
      <c r="H1419" s="2" t="str">
        <f>IFERROR(__xludf.DUMMYFUNCTION("""COMPUTED_VALUE"""),"United Kingdom")</f>
        <v>United Kingdom</v>
      </c>
      <c r="I1419" s="7">
        <f>IFERROR(__xludf.DUMMYFUNCTION("""COMPUTED_VALUE"""),40148.0)</f>
        <v>40148</v>
      </c>
      <c r="J1419" s="8">
        <f>IFERROR(__xludf.DUMMYFUNCTION("""COMPUTED_VALUE"""),0.5618055555569299)</f>
        <v>0.5618055556</v>
      </c>
      <c r="K1419" s="2">
        <f>IFERROR(__xludf.DUMMYFUNCTION("""COMPUTED_VALUE"""),13.0)</f>
        <v>13</v>
      </c>
      <c r="L1419" s="2">
        <f>IFERROR(__xludf.DUMMYFUNCTION("""COMPUTED_VALUE"""),2.55)</f>
        <v>2.55</v>
      </c>
    </row>
    <row r="1420">
      <c r="A1420" s="2">
        <f>IFERROR(__xludf.DUMMYFUNCTION("""COMPUTED_VALUE"""),489571.0)</f>
        <v>489571</v>
      </c>
      <c r="B1420" s="2" t="str">
        <f>IFERROR(__xludf.DUMMYFUNCTION("""COMPUTED_VALUE"""),"21730")</f>
        <v>21730</v>
      </c>
      <c r="C1420" s="2" t="str">
        <f>IFERROR(__xludf.DUMMYFUNCTION("""COMPUTED_VALUE"""),"GLASS STAR FROSTED T-LIGHT HOLDER")</f>
        <v>GLASS STAR FROSTED T-LIGHT HOLDER</v>
      </c>
      <c r="D1420" s="2">
        <f>IFERROR(__xludf.DUMMYFUNCTION("""COMPUTED_VALUE"""),1.0)</f>
        <v>1</v>
      </c>
      <c r="E1420" s="6">
        <f>IFERROR(__xludf.DUMMYFUNCTION("""COMPUTED_VALUE"""),40148.56180555555)</f>
        <v>40148.56181</v>
      </c>
      <c r="F1420" s="2">
        <f>IFERROR(__xludf.DUMMYFUNCTION("""COMPUTED_VALUE"""),4.95)</f>
        <v>4.95</v>
      </c>
      <c r="G1420" s="2">
        <f>IFERROR(__xludf.DUMMYFUNCTION("""COMPUTED_VALUE"""),15967.0)</f>
        <v>15967</v>
      </c>
      <c r="H1420" s="2" t="str">
        <f>IFERROR(__xludf.DUMMYFUNCTION("""COMPUTED_VALUE"""),"United Kingdom")</f>
        <v>United Kingdom</v>
      </c>
      <c r="I1420" s="7">
        <f>IFERROR(__xludf.DUMMYFUNCTION("""COMPUTED_VALUE"""),40148.0)</f>
        <v>40148</v>
      </c>
      <c r="J1420" s="8">
        <f>IFERROR(__xludf.DUMMYFUNCTION("""COMPUTED_VALUE"""),0.5618055555569299)</f>
        <v>0.5618055556</v>
      </c>
      <c r="K1420" s="2">
        <f>IFERROR(__xludf.DUMMYFUNCTION("""COMPUTED_VALUE"""),13.0)</f>
        <v>13</v>
      </c>
      <c r="L1420" s="2">
        <f>IFERROR(__xludf.DUMMYFUNCTION("""COMPUTED_VALUE"""),4.95)</f>
        <v>4.95</v>
      </c>
    </row>
    <row r="1421">
      <c r="A1421" s="2">
        <f>IFERROR(__xludf.DUMMYFUNCTION("""COMPUTED_VALUE"""),489571.0)</f>
        <v>489571</v>
      </c>
      <c r="B1421" s="2" t="str">
        <f>IFERROR(__xludf.DUMMYFUNCTION("""COMPUTED_VALUE"""),"22138")</f>
        <v>22138</v>
      </c>
      <c r="C1421" s="2" t="str">
        <f>IFERROR(__xludf.DUMMYFUNCTION("""COMPUTED_VALUE"""),"BAKING SET 9 PIECE RETROSPOT")</f>
        <v>BAKING SET 9 PIECE RETROSPOT</v>
      </c>
      <c r="D1421" s="2">
        <f>IFERROR(__xludf.DUMMYFUNCTION("""COMPUTED_VALUE"""),1.0)</f>
        <v>1</v>
      </c>
      <c r="E1421" s="6">
        <f>IFERROR(__xludf.DUMMYFUNCTION("""COMPUTED_VALUE"""),40148.56180555555)</f>
        <v>40148.56181</v>
      </c>
      <c r="F1421" s="2">
        <f>IFERROR(__xludf.DUMMYFUNCTION("""COMPUTED_VALUE"""),4.95)</f>
        <v>4.95</v>
      </c>
      <c r="G1421" s="2">
        <f>IFERROR(__xludf.DUMMYFUNCTION("""COMPUTED_VALUE"""),15967.0)</f>
        <v>15967</v>
      </c>
      <c r="H1421" s="2" t="str">
        <f>IFERROR(__xludf.DUMMYFUNCTION("""COMPUTED_VALUE"""),"United Kingdom")</f>
        <v>United Kingdom</v>
      </c>
      <c r="I1421" s="7">
        <f>IFERROR(__xludf.DUMMYFUNCTION("""COMPUTED_VALUE"""),40148.0)</f>
        <v>40148</v>
      </c>
      <c r="J1421" s="8">
        <f>IFERROR(__xludf.DUMMYFUNCTION("""COMPUTED_VALUE"""),0.5618055555569299)</f>
        <v>0.5618055556</v>
      </c>
      <c r="K1421" s="2">
        <f>IFERROR(__xludf.DUMMYFUNCTION("""COMPUTED_VALUE"""),13.0)</f>
        <v>13</v>
      </c>
      <c r="L1421" s="2">
        <f>IFERROR(__xludf.DUMMYFUNCTION("""COMPUTED_VALUE"""),4.95)</f>
        <v>4.95</v>
      </c>
    </row>
    <row r="1422">
      <c r="A1422" s="2">
        <f>IFERROR(__xludf.DUMMYFUNCTION("""COMPUTED_VALUE"""),489571.0)</f>
        <v>489571</v>
      </c>
      <c r="B1422" s="2" t="str">
        <f>IFERROR(__xludf.DUMMYFUNCTION("""COMPUTED_VALUE"""),"20894")</f>
        <v>20894</v>
      </c>
      <c r="C1422" s="2" t="str">
        <f>IFERROR(__xludf.DUMMYFUNCTION("""COMPUTED_VALUE"""),"HANGING BAUBLE T-LIGHT HOLDER LARGE")</f>
        <v>HANGING BAUBLE T-LIGHT HOLDER LARGE</v>
      </c>
      <c r="D1422" s="2">
        <f>IFERROR(__xludf.DUMMYFUNCTION("""COMPUTED_VALUE"""),1.0)</f>
        <v>1</v>
      </c>
      <c r="E1422" s="6">
        <f>IFERROR(__xludf.DUMMYFUNCTION("""COMPUTED_VALUE"""),40148.56180555555)</f>
        <v>40148.56181</v>
      </c>
      <c r="F1422" s="2">
        <f>IFERROR(__xludf.DUMMYFUNCTION("""COMPUTED_VALUE"""),2.95)</f>
        <v>2.95</v>
      </c>
      <c r="G1422" s="2">
        <f>IFERROR(__xludf.DUMMYFUNCTION("""COMPUTED_VALUE"""),15967.0)</f>
        <v>15967</v>
      </c>
      <c r="H1422" s="2" t="str">
        <f>IFERROR(__xludf.DUMMYFUNCTION("""COMPUTED_VALUE"""),"United Kingdom")</f>
        <v>United Kingdom</v>
      </c>
      <c r="I1422" s="7">
        <f>IFERROR(__xludf.DUMMYFUNCTION("""COMPUTED_VALUE"""),40148.0)</f>
        <v>40148</v>
      </c>
      <c r="J1422" s="8">
        <f>IFERROR(__xludf.DUMMYFUNCTION("""COMPUTED_VALUE"""),0.5618055555569299)</f>
        <v>0.5618055556</v>
      </c>
      <c r="K1422" s="2">
        <f>IFERROR(__xludf.DUMMYFUNCTION("""COMPUTED_VALUE"""),13.0)</f>
        <v>13</v>
      </c>
      <c r="L1422" s="2">
        <f>IFERROR(__xludf.DUMMYFUNCTION("""COMPUTED_VALUE"""),2.95)</f>
        <v>2.95</v>
      </c>
    </row>
    <row r="1423">
      <c r="A1423" s="2">
        <f>IFERROR(__xludf.DUMMYFUNCTION("""COMPUTED_VALUE"""),489571.0)</f>
        <v>489571</v>
      </c>
      <c r="B1423" s="2" t="str">
        <f>IFERROR(__xludf.DUMMYFUNCTION("""COMPUTED_VALUE"""),"72799D")</f>
        <v>72799D</v>
      </c>
      <c r="C1423" s="2" t="str">
        <f>IFERROR(__xludf.DUMMYFUNCTION("""COMPUTED_VALUE"""),"BLUE PILLAR CANDLE SILVER FLOCK")</f>
        <v>BLUE PILLAR CANDLE SILVER FLOCK</v>
      </c>
      <c r="D1423" s="2">
        <f>IFERROR(__xludf.DUMMYFUNCTION("""COMPUTED_VALUE"""),2.0)</f>
        <v>2</v>
      </c>
      <c r="E1423" s="6">
        <f>IFERROR(__xludf.DUMMYFUNCTION("""COMPUTED_VALUE"""),40148.56180555555)</f>
        <v>40148.56181</v>
      </c>
      <c r="F1423" s="2">
        <f>IFERROR(__xludf.DUMMYFUNCTION("""COMPUTED_VALUE"""),2.95)</f>
        <v>2.95</v>
      </c>
      <c r="G1423" s="2">
        <f>IFERROR(__xludf.DUMMYFUNCTION("""COMPUTED_VALUE"""),15967.0)</f>
        <v>15967</v>
      </c>
      <c r="H1423" s="2" t="str">
        <f>IFERROR(__xludf.DUMMYFUNCTION("""COMPUTED_VALUE"""),"United Kingdom")</f>
        <v>United Kingdom</v>
      </c>
      <c r="I1423" s="7">
        <f>IFERROR(__xludf.DUMMYFUNCTION("""COMPUTED_VALUE"""),40148.0)</f>
        <v>40148</v>
      </c>
      <c r="J1423" s="8">
        <f>IFERROR(__xludf.DUMMYFUNCTION("""COMPUTED_VALUE"""),0.5618055555569299)</f>
        <v>0.5618055556</v>
      </c>
      <c r="K1423" s="2">
        <f>IFERROR(__xludf.DUMMYFUNCTION("""COMPUTED_VALUE"""),13.0)</f>
        <v>13</v>
      </c>
      <c r="L1423" s="2">
        <f>IFERROR(__xludf.DUMMYFUNCTION("""COMPUTED_VALUE"""),5.9)</f>
        <v>5.9</v>
      </c>
    </row>
    <row r="1424">
      <c r="A1424" s="2">
        <f>IFERROR(__xludf.DUMMYFUNCTION("""COMPUTED_VALUE"""),489571.0)</f>
        <v>489571</v>
      </c>
      <c r="B1424" s="2" t="str">
        <f>IFERROR(__xludf.DUMMYFUNCTION("""COMPUTED_VALUE"""),"21741")</f>
        <v>21741</v>
      </c>
      <c r="C1424" s="2" t="str">
        <f>IFERROR(__xludf.DUMMYFUNCTION("""COMPUTED_VALUE"""),"COSY SLIPPER SHOES LARGE GREEN")</f>
        <v>COSY SLIPPER SHOES LARGE GREEN</v>
      </c>
      <c r="D1424" s="2">
        <f>IFERROR(__xludf.DUMMYFUNCTION("""COMPUTED_VALUE"""),1.0)</f>
        <v>1</v>
      </c>
      <c r="E1424" s="6">
        <f>IFERROR(__xludf.DUMMYFUNCTION("""COMPUTED_VALUE"""),40148.56180555555)</f>
        <v>40148.56181</v>
      </c>
      <c r="F1424" s="2">
        <f>IFERROR(__xludf.DUMMYFUNCTION("""COMPUTED_VALUE"""),2.95)</f>
        <v>2.95</v>
      </c>
      <c r="G1424" s="2">
        <f>IFERROR(__xludf.DUMMYFUNCTION("""COMPUTED_VALUE"""),15967.0)</f>
        <v>15967</v>
      </c>
      <c r="H1424" s="2" t="str">
        <f>IFERROR(__xludf.DUMMYFUNCTION("""COMPUTED_VALUE"""),"United Kingdom")</f>
        <v>United Kingdom</v>
      </c>
      <c r="I1424" s="7">
        <f>IFERROR(__xludf.DUMMYFUNCTION("""COMPUTED_VALUE"""),40148.0)</f>
        <v>40148</v>
      </c>
      <c r="J1424" s="8">
        <f>IFERROR(__xludf.DUMMYFUNCTION("""COMPUTED_VALUE"""),0.5618055555569299)</f>
        <v>0.5618055556</v>
      </c>
      <c r="K1424" s="2">
        <f>IFERROR(__xludf.DUMMYFUNCTION("""COMPUTED_VALUE"""),13.0)</f>
        <v>13</v>
      </c>
      <c r="L1424" s="2">
        <f>IFERROR(__xludf.DUMMYFUNCTION("""COMPUTED_VALUE"""),2.95)</f>
        <v>2.95</v>
      </c>
    </row>
    <row r="1425">
      <c r="A1425" s="2">
        <f>IFERROR(__xludf.DUMMYFUNCTION("""COMPUTED_VALUE"""),489571.0)</f>
        <v>489571</v>
      </c>
      <c r="B1425" s="2" t="str">
        <f>IFERROR(__xludf.DUMMYFUNCTION("""COMPUTED_VALUE"""),"21740")</f>
        <v>21740</v>
      </c>
      <c r="C1425" s="2" t="str">
        <f>IFERROR(__xludf.DUMMYFUNCTION("""COMPUTED_VALUE"""),"COSY SLIPPER SHOES LARGE RED")</f>
        <v>COSY SLIPPER SHOES LARGE RED</v>
      </c>
      <c r="D1425" s="2">
        <f>IFERROR(__xludf.DUMMYFUNCTION("""COMPUTED_VALUE"""),1.0)</f>
        <v>1</v>
      </c>
      <c r="E1425" s="6">
        <f>IFERROR(__xludf.DUMMYFUNCTION("""COMPUTED_VALUE"""),40148.56180555555)</f>
        <v>40148.56181</v>
      </c>
      <c r="F1425" s="2">
        <f>IFERROR(__xludf.DUMMYFUNCTION("""COMPUTED_VALUE"""),2.95)</f>
        <v>2.95</v>
      </c>
      <c r="G1425" s="2">
        <f>IFERROR(__xludf.DUMMYFUNCTION("""COMPUTED_VALUE"""),15967.0)</f>
        <v>15967</v>
      </c>
      <c r="H1425" s="2" t="str">
        <f>IFERROR(__xludf.DUMMYFUNCTION("""COMPUTED_VALUE"""),"United Kingdom")</f>
        <v>United Kingdom</v>
      </c>
      <c r="I1425" s="7">
        <f>IFERROR(__xludf.DUMMYFUNCTION("""COMPUTED_VALUE"""),40148.0)</f>
        <v>40148</v>
      </c>
      <c r="J1425" s="8">
        <f>IFERROR(__xludf.DUMMYFUNCTION("""COMPUTED_VALUE"""),0.5618055555569299)</f>
        <v>0.5618055556</v>
      </c>
      <c r="K1425" s="2">
        <f>IFERROR(__xludf.DUMMYFUNCTION("""COMPUTED_VALUE"""),13.0)</f>
        <v>13</v>
      </c>
      <c r="L1425" s="2">
        <f>IFERROR(__xludf.DUMMYFUNCTION("""COMPUTED_VALUE"""),2.95)</f>
        <v>2.95</v>
      </c>
    </row>
    <row r="1426">
      <c r="A1426" s="2">
        <f>IFERROR(__xludf.DUMMYFUNCTION("""COMPUTED_VALUE"""),489571.0)</f>
        <v>489571</v>
      </c>
      <c r="B1426" s="2" t="str">
        <f>IFERROR(__xludf.DUMMYFUNCTION("""COMPUTED_VALUE"""),"85071D")</f>
        <v>85071D</v>
      </c>
      <c r="C1426" s="2" t="str">
        <f>IFERROR(__xludf.DUMMYFUNCTION("""COMPUTED_VALUE"""),"CHARLIE+LOLA MY ROOM DOOR SIGN")</f>
        <v>CHARLIE+LOLA MY ROOM DOOR SIGN</v>
      </c>
      <c r="D1426" s="2">
        <f>IFERROR(__xludf.DUMMYFUNCTION("""COMPUTED_VALUE"""),1.0)</f>
        <v>1</v>
      </c>
      <c r="E1426" s="6">
        <f>IFERROR(__xludf.DUMMYFUNCTION("""COMPUTED_VALUE"""),40148.56180555555)</f>
        <v>40148.56181</v>
      </c>
      <c r="F1426" s="2">
        <f>IFERROR(__xludf.DUMMYFUNCTION("""COMPUTED_VALUE"""),2.55)</f>
        <v>2.55</v>
      </c>
      <c r="G1426" s="2">
        <f>IFERROR(__xludf.DUMMYFUNCTION("""COMPUTED_VALUE"""),15967.0)</f>
        <v>15967</v>
      </c>
      <c r="H1426" s="2" t="str">
        <f>IFERROR(__xludf.DUMMYFUNCTION("""COMPUTED_VALUE"""),"United Kingdom")</f>
        <v>United Kingdom</v>
      </c>
      <c r="I1426" s="7">
        <f>IFERROR(__xludf.DUMMYFUNCTION("""COMPUTED_VALUE"""),40148.0)</f>
        <v>40148</v>
      </c>
      <c r="J1426" s="8">
        <f>IFERROR(__xludf.DUMMYFUNCTION("""COMPUTED_VALUE"""),0.5618055555569299)</f>
        <v>0.5618055556</v>
      </c>
      <c r="K1426" s="2">
        <f>IFERROR(__xludf.DUMMYFUNCTION("""COMPUTED_VALUE"""),13.0)</f>
        <v>13</v>
      </c>
      <c r="L1426" s="2">
        <f>IFERROR(__xludf.DUMMYFUNCTION("""COMPUTED_VALUE"""),2.55)</f>
        <v>2.55</v>
      </c>
    </row>
    <row r="1427">
      <c r="A1427" s="2">
        <f>IFERROR(__xludf.DUMMYFUNCTION("""COMPUTED_VALUE"""),489571.0)</f>
        <v>489571</v>
      </c>
      <c r="B1427" s="2" t="str">
        <f>IFERROR(__xludf.DUMMYFUNCTION("""COMPUTED_VALUE"""),"21724")</f>
        <v>21724</v>
      </c>
      <c r="C1427" s="2" t="str">
        <f>IFERROR(__xludf.DUMMYFUNCTION("""COMPUTED_VALUE"""),"PANDA AND BUNNIES STICKER SHEET")</f>
        <v>PANDA AND BUNNIES STICKER SHEET</v>
      </c>
      <c r="D1427" s="2">
        <f>IFERROR(__xludf.DUMMYFUNCTION("""COMPUTED_VALUE"""),1.0)</f>
        <v>1</v>
      </c>
      <c r="E1427" s="6">
        <f>IFERROR(__xludf.DUMMYFUNCTION("""COMPUTED_VALUE"""),40148.56180555555)</f>
        <v>40148.56181</v>
      </c>
      <c r="F1427" s="2">
        <f>IFERROR(__xludf.DUMMYFUNCTION("""COMPUTED_VALUE"""),0.85)</f>
        <v>0.85</v>
      </c>
      <c r="G1427" s="2">
        <f>IFERROR(__xludf.DUMMYFUNCTION("""COMPUTED_VALUE"""),15967.0)</f>
        <v>15967</v>
      </c>
      <c r="H1427" s="2" t="str">
        <f>IFERROR(__xludf.DUMMYFUNCTION("""COMPUTED_VALUE"""),"United Kingdom")</f>
        <v>United Kingdom</v>
      </c>
      <c r="I1427" s="7">
        <f>IFERROR(__xludf.DUMMYFUNCTION("""COMPUTED_VALUE"""),40148.0)</f>
        <v>40148</v>
      </c>
      <c r="J1427" s="8">
        <f>IFERROR(__xludf.DUMMYFUNCTION("""COMPUTED_VALUE"""),0.5618055555569299)</f>
        <v>0.5618055556</v>
      </c>
      <c r="K1427" s="2">
        <f>IFERROR(__xludf.DUMMYFUNCTION("""COMPUTED_VALUE"""),13.0)</f>
        <v>13</v>
      </c>
      <c r="L1427" s="2">
        <f>IFERROR(__xludf.DUMMYFUNCTION("""COMPUTED_VALUE"""),0.85)</f>
        <v>0.85</v>
      </c>
    </row>
    <row r="1428">
      <c r="A1428" s="2">
        <f>IFERROR(__xludf.DUMMYFUNCTION("""COMPUTED_VALUE"""),489572.0)</f>
        <v>489572</v>
      </c>
      <c r="B1428" s="2" t="str">
        <f>IFERROR(__xludf.DUMMYFUNCTION("""COMPUTED_VALUE"""),"22081")</f>
        <v>22081</v>
      </c>
      <c r="C1428" s="2" t="str">
        <f>IFERROR(__xludf.DUMMYFUNCTION("""COMPUTED_VALUE"""),"RIBBON REEL FLORA + FAUNA")</f>
        <v>RIBBON REEL FLORA + FAUNA</v>
      </c>
      <c r="D1428" s="2">
        <f>IFERROR(__xludf.DUMMYFUNCTION("""COMPUTED_VALUE"""),5.0)</f>
        <v>5</v>
      </c>
      <c r="E1428" s="6">
        <f>IFERROR(__xludf.DUMMYFUNCTION("""COMPUTED_VALUE"""),40148.56180555555)</f>
        <v>40148.56181</v>
      </c>
      <c r="F1428" s="2">
        <f>IFERROR(__xludf.DUMMYFUNCTION("""COMPUTED_VALUE"""),1.65)</f>
        <v>1.65</v>
      </c>
      <c r="G1428" s="2">
        <f>IFERROR(__xludf.DUMMYFUNCTION("""COMPUTED_VALUE"""),17611.0)</f>
        <v>17611</v>
      </c>
      <c r="H1428" s="2" t="str">
        <f>IFERROR(__xludf.DUMMYFUNCTION("""COMPUTED_VALUE"""),"United Kingdom")</f>
        <v>United Kingdom</v>
      </c>
      <c r="I1428" s="7">
        <f>IFERROR(__xludf.DUMMYFUNCTION("""COMPUTED_VALUE"""),40148.0)</f>
        <v>40148</v>
      </c>
      <c r="J1428" s="8">
        <f>IFERROR(__xludf.DUMMYFUNCTION("""COMPUTED_VALUE"""),0.5618055555569299)</f>
        <v>0.5618055556</v>
      </c>
      <c r="K1428" s="2">
        <f>IFERROR(__xludf.DUMMYFUNCTION("""COMPUTED_VALUE"""),13.0)</f>
        <v>13</v>
      </c>
      <c r="L1428" s="2">
        <f>IFERROR(__xludf.DUMMYFUNCTION("""COMPUTED_VALUE"""),8.25)</f>
        <v>8.25</v>
      </c>
    </row>
    <row r="1429">
      <c r="A1429" s="2">
        <f>IFERROR(__xludf.DUMMYFUNCTION("""COMPUTED_VALUE"""),489572.0)</f>
        <v>489572</v>
      </c>
      <c r="B1429" s="2" t="str">
        <f>IFERROR(__xludf.DUMMYFUNCTION("""COMPUTED_VALUE"""),"22415")</f>
        <v>22415</v>
      </c>
      <c r="C1429" s="2" t="str">
        <f>IFERROR(__xludf.DUMMYFUNCTION("""COMPUTED_VALUE"""),"WHITE TISSUE REAM")</f>
        <v>WHITE TISSUE REAM</v>
      </c>
      <c r="D1429" s="2">
        <f>IFERROR(__xludf.DUMMYFUNCTION("""COMPUTED_VALUE"""),1.0)</f>
        <v>1</v>
      </c>
      <c r="E1429" s="6">
        <f>IFERROR(__xludf.DUMMYFUNCTION("""COMPUTED_VALUE"""),40148.56180555555)</f>
        <v>40148.56181</v>
      </c>
      <c r="F1429" s="2">
        <f>IFERROR(__xludf.DUMMYFUNCTION("""COMPUTED_VALUE"""),7.95)</f>
        <v>7.95</v>
      </c>
      <c r="G1429" s="2">
        <f>IFERROR(__xludf.DUMMYFUNCTION("""COMPUTED_VALUE"""),17611.0)</f>
        <v>17611</v>
      </c>
      <c r="H1429" s="2" t="str">
        <f>IFERROR(__xludf.DUMMYFUNCTION("""COMPUTED_VALUE"""),"United Kingdom")</f>
        <v>United Kingdom</v>
      </c>
      <c r="I1429" s="7">
        <f>IFERROR(__xludf.DUMMYFUNCTION("""COMPUTED_VALUE"""),40148.0)</f>
        <v>40148</v>
      </c>
      <c r="J1429" s="8">
        <f>IFERROR(__xludf.DUMMYFUNCTION("""COMPUTED_VALUE"""),0.5618055555569299)</f>
        <v>0.5618055556</v>
      </c>
      <c r="K1429" s="2">
        <f>IFERROR(__xludf.DUMMYFUNCTION("""COMPUTED_VALUE"""),13.0)</f>
        <v>13</v>
      </c>
      <c r="L1429" s="2">
        <f>IFERROR(__xludf.DUMMYFUNCTION("""COMPUTED_VALUE"""),7.95)</f>
        <v>7.95</v>
      </c>
    </row>
    <row r="1430">
      <c r="A1430" s="2">
        <f>IFERROR(__xludf.DUMMYFUNCTION("""COMPUTED_VALUE"""),489572.0)</f>
        <v>489572</v>
      </c>
      <c r="B1430" s="2" t="str">
        <f>IFERROR(__xludf.DUMMYFUNCTION("""COMPUTED_VALUE"""),"48187")</f>
        <v>48187</v>
      </c>
      <c r="C1430" s="2" t="str">
        <f>IFERROR(__xludf.DUMMYFUNCTION("""COMPUTED_VALUE"""),"DOOR MAT NEW ENGLAND")</f>
        <v>DOOR MAT NEW ENGLAND</v>
      </c>
      <c r="D1430" s="2">
        <f>IFERROR(__xludf.DUMMYFUNCTION("""COMPUTED_VALUE"""),2.0)</f>
        <v>2</v>
      </c>
      <c r="E1430" s="6">
        <f>IFERROR(__xludf.DUMMYFUNCTION("""COMPUTED_VALUE"""),40148.56180555555)</f>
        <v>40148.56181</v>
      </c>
      <c r="F1430" s="2">
        <f>IFERROR(__xludf.DUMMYFUNCTION("""COMPUTED_VALUE"""),6.75)</f>
        <v>6.75</v>
      </c>
      <c r="G1430" s="2">
        <f>IFERROR(__xludf.DUMMYFUNCTION("""COMPUTED_VALUE"""),17611.0)</f>
        <v>17611</v>
      </c>
      <c r="H1430" s="2" t="str">
        <f>IFERROR(__xludf.DUMMYFUNCTION("""COMPUTED_VALUE"""),"United Kingdom")</f>
        <v>United Kingdom</v>
      </c>
      <c r="I1430" s="7">
        <f>IFERROR(__xludf.DUMMYFUNCTION("""COMPUTED_VALUE"""),40148.0)</f>
        <v>40148</v>
      </c>
      <c r="J1430" s="8">
        <f>IFERROR(__xludf.DUMMYFUNCTION("""COMPUTED_VALUE"""),0.5618055555569299)</f>
        <v>0.5618055556</v>
      </c>
      <c r="K1430" s="2">
        <f>IFERROR(__xludf.DUMMYFUNCTION("""COMPUTED_VALUE"""),13.0)</f>
        <v>13</v>
      </c>
      <c r="L1430" s="2">
        <f>IFERROR(__xludf.DUMMYFUNCTION("""COMPUTED_VALUE"""),13.5)</f>
        <v>13.5</v>
      </c>
    </row>
    <row r="1431">
      <c r="A1431" s="2">
        <f>IFERROR(__xludf.DUMMYFUNCTION("""COMPUTED_VALUE"""),489572.0)</f>
        <v>489572</v>
      </c>
      <c r="B1431" s="2" t="str">
        <f>IFERROR(__xludf.DUMMYFUNCTION("""COMPUTED_VALUE"""),"20685")</f>
        <v>20685</v>
      </c>
      <c r="C1431" s="2" t="str">
        <f>IFERROR(__xludf.DUMMYFUNCTION("""COMPUTED_VALUE"""),"RED SPOTTY COIR DOORMAT")</f>
        <v>RED SPOTTY COIR DOORMAT</v>
      </c>
      <c r="D1431" s="2">
        <f>IFERROR(__xludf.DUMMYFUNCTION("""COMPUTED_VALUE"""),2.0)</f>
        <v>2</v>
      </c>
      <c r="E1431" s="6">
        <f>IFERROR(__xludf.DUMMYFUNCTION("""COMPUTED_VALUE"""),40148.56180555555)</f>
        <v>40148.56181</v>
      </c>
      <c r="F1431" s="2">
        <f>IFERROR(__xludf.DUMMYFUNCTION("""COMPUTED_VALUE"""),6.75)</f>
        <v>6.75</v>
      </c>
      <c r="G1431" s="2">
        <f>IFERROR(__xludf.DUMMYFUNCTION("""COMPUTED_VALUE"""),17611.0)</f>
        <v>17611</v>
      </c>
      <c r="H1431" s="2" t="str">
        <f>IFERROR(__xludf.DUMMYFUNCTION("""COMPUTED_VALUE"""),"United Kingdom")</f>
        <v>United Kingdom</v>
      </c>
      <c r="I1431" s="7">
        <f>IFERROR(__xludf.DUMMYFUNCTION("""COMPUTED_VALUE"""),40148.0)</f>
        <v>40148</v>
      </c>
      <c r="J1431" s="8">
        <f>IFERROR(__xludf.DUMMYFUNCTION("""COMPUTED_VALUE"""),0.5618055555569299)</f>
        <v>0.5618055556</v>
      </c>
      <c r="K1431" s="2">
        <f>IFERROR(__xludf.DUMMYFUNCTION("""COMPUTED_VALUE"""),13.0)</f>
        <v>13</v>
      </c>
      <c r="L1431" s="2">
        <f>IFERROR(__xludf.DUMMYFUNCTION("""COMPUTED_VALUE"""),13.5)</f>
        <v>13.5</v>
      </c>
    </row>
    <row r="1432">
      <c r="A1432" s="2">
        <f>IFERROR(__xludf.DUMMYFUNCTION("""COMPUTED_VALUE"""),489572.0)</f>
        <v>489572</v>
      </c>
      <c r="B1432" s="2" t="str">
        <f>IFERROR(__xludf.DUMMYFUNCTION("""COMPUTED_VALUE"""),"48173C")</f>
        <v>48173C</v>
      </c>
      <c r="C1432" s="2" t="str">
        <f>IFERROR(__xludf.DUMMYFUNCTION("""COMPUTED_VALUE"""),"DOOR MAT BLACK FLOCK")</f>
        <v>DOOR MAT BLACK FLOCK</v>
      </c>
      <c r="D1432" s="2">
        <f>IFERROR(__xludf.DUMMYFUNCTION("""COMPUTED_VALUE"""),2.0)</f>
        <v>2</v>
      </c>
      <c r="E1432" s="6">
        <f>IFERROR(__xludf.DUMMYFUNCTION("""COMPUTED_VALUE"""),40148.56180555555)</f>
        <v>40148.56181</v>
      </c>
      <c r="F1432" s="2">
        <f>IFERROR(__xludf.DUMMYFUNCTION("""COMPUTED_VALUE"""),6.75)</f>
        <v>6.75</v>
      </c>
      <c r="G1432" s="2">
        <f>IFERROR(__xludf.DUMMYFUNCTION("""COMPUTED_VALUE"""),17611.0)</f>
        <v>17611</v>
      </c>
      <c r="H1432" s="2" t="str">
        <f>IFERROR(__xludf.DUMMYFUNCTION("""COMPUTED_VALUE"""),"United Kingdom")</f>
        <v>United Kingdom</v>
      </c>
      <c r="I1432" s="7">
        <f>IFERROR(__xludf.DUMMYFUNCTION("""COMPUTED_VALUE"""),40148.0)</f>
        <v>40148</v>
      </c>
      <c r="J1432" s="8">
        <f>IFERROR(__xludf.DUMMYFUNCTION("""COMPUTED_VALUE"""),0.5618055555569299)</f>
        <v>0.5618055556</v>
      </c>
      <c r="K1432" s="2">
        <f>IFERROR(__xludf.DUMMYFUNCTION("""COMPUTED_VALUE"""),13.0)</f>
        <v>13</v>
      </c>
      <c r="L1432" s="2">
        <f>IFERROR(__xludf.DUMMYFUNCTION("""COMPUTED_VALUE"""),13.5)</f>
        <v>13.5</v>
      </c>
    </row>
    <row r="1433">
      <c r="A1433" s="2">
        <f>IFERROR(__xludf.DUMMYFUNCTION("""COMPUTED_VALUE"""),489572.0)</f>
        <v>489572</v>
      </c>
      <c r="B1433" s="2" t="str">
        <f>IFERROR(__xludf.DUMMYFUNCTION("""COMPUTED_VALUE"""),"21524")</f>
        <v>21524</v>
      </c>
      <c r="C1433" s="2" t="str">
        <f>IFERROR(__xludf.DUMMYFUNCTION("""COMPUTED_VALUE"""),"SPOTTY HOME SWEET HOME DOORMAT")</f>
        <v>SPOTTY HOME SWEET HOME DOORMAT</v>
      </c>
      <c r="D1433" s="2">
        <f>IFERROR(__xludf.DUMMYFUNCTION("""COMPUTED_VALUE"""),1.0)</f>
        <v>1</v>
      </c>
      <c r="E1433" s="6">
        <f>IFERROR(__xludf.DUMMYFUNCTION("""COMPUTED_VALUE"""),40148.56180555555)</f>
        <v>40148.56181</v>
      </c>
      <c r="F1433" s="2">
        <f>IFERROR(__xludf.DUMMYFUNCTION("""COMPUTED_VALUE"""),6.75)</f>
        <v>6.75</v>
      </c>
      <c r="G1433" s="2">
        <f>IFERROR(__xludf.DUMMYFUNCTION("""COMPUTED_VALUE"""),17611.0)</f>
        <v>17611</v>
      </c>
      <c r="H1433" s="2" t="str">
        <f>IFERROR(__xludf.DUMMYFUNCTION("""COMPUTED_VALUE"""),"United Kingdom")</f>
        <v>United Kingdom</v>
      </c>
      <c r="I1433" s="7">
        <f>IFERROR(__xludf.DUMMYFUNCTION("""COMPUTED_VALUE"""),40148.0)</f>
        <v>40148</v>
      </c>
      <c r="J1433" s="8">
        <f>IFERROR(__xludf.DUMMYFUNCTION("""COMPUTED_VALUE"""),0.5618055555569299)</f>
        <v>0.5618055556</v>
      </c>
      <c r="K1433" s="2">
        <f>IFERROR(__xludf.DUMMYFUNCTION("""COMPUTED_VALUE"""),13.0)</f>
        <v>13</v>
      </c>
      <c r="L1433" s="2">
        <f>IFERROR(__xludf.DUMMYFUNCTION("""COMPUTED_VALUE"""),6.75)</f>
        <v>6.75</v>
      </c>
    </row>
    <row r="1434">
      <c r="A1434" s="2">
        <f>IFERROR(__xludf.DUMMYFUNCTION("""COMPUTED_VALUE"""),489572.0)</f>
        <v>489572</v>
      </c>
      <c r="B1434" s="2" t="str">
        <f>IFERROR(__xludf.DUMMYFUNCTION("""COMPUTED_VALUE"""),"48197")</f>
        <v>48197</v>
      </c>
      <c r="C1434" s="2" t="str">
        <f>IFERROR(__xludf.DUMMYFUNCTION("""COMPUTED_VALUE"""),"DOOR MAT BIRD ON THE WIRE")</f>
        <v>DOOR MAT BIRD ON THE WIRE</v>
      </c>
      <c r="D1434" s="2">
        <f>IFERROR(__xludf.DUMMYFUNCTION("""COMPUTED_VALUE"""),1.0)</f>
        <v>1</v>
      </c>
      <c r="E1434" s="6">
        <f>IFERROR(__xludf.DUMMYFUNCTION("""COMPUTED_VALUE"""),40148.56180555555)</f>
        <v>40148.56181</v>
      </c>
      <c r="F1434" s="2">
        <f>IFERROR(__xludf.DUMMYFUNCTION("""COMPUTED_VALUE"""),6.75)</f>
        <v>6.75</v>
      </c>
      <c r="G1434" s="2">
        <f>IFERROR(__xludf.DUMMYFUNCTION("""COMPUTED_VALUE"""),17611.0)</f>
        <v>17611</v>
      </c>
      <c r="H1434" s="2" t="str">
        <f>IFERROR(__xludf.DUMMYFUNCTION("""COMPUTED_VALUE"""),"United Kingdom")</f>
        <v>United Kingdom</v>
      </c>
      <c r="I1434" s="7">
        <f>IFERROR(__xludf.DUMMYFUNCTION("""COMPUTED_VALUE"""),40148.0)</f>
        <v>40148</v>
      </c>
      <c r="J1434" s="8">
        <f>IFERROR(__xludf.DUMMYFUNCTION("""COMPUTED_VALUE"""),0.5618055555569299)</f>
        <v>0.5618055556</v>
      </c>
      <c r="K1434" s="2">
        <f>IFERROR(__xludf.DUMMYFUNCTION("""COMPUTED_VALUE"""),13.0)</f>
        <v>13</v>
      </c>
      <c r="L1434" s="2">
        <f>IFERROR(__xludf.DUMMYFUNCTION("""COMPUTED_VALUE"""),6.75)</f>
        <v>6.75</v>
      </c>
    </row>
    <row r="1435">
      <c r="A1435" s="2">
        <f>IFERROR(__xludf.DUMMYFUNCTION("""COMPUTED_VALUE"""),489572.0)</f>
        <v>489572</v>
      </c>
      <c r="B1435" s="2" t="str">
        <f>IFERROR(__xludf.DUMMYFUNCTION("""COMPUTED_VALUE"""),"84684")</f>
        <v>84684</v>
      </c>
      <c r="C1435" s="2" t="str">
        <f>IFERROR(__xludf.DUMMYFUNCTION("""COMPUTED_VALUE"""),"BEACH HUT PHOTO FRAME")</f>
        <v>BEACH HUT PHOTO FRAME</v>
      </c>
      <c r="D1435" s="2">
        <f>IFERROR(__xludf.DUMMYFUNCTION("""COMPUTED_VALUE"""),2.0)</f>
        <v>2</v>
      </c>
      <c r="E1435" s="6">
        <f>IFERROR(__xludf.DUMMYFUNCTION("""COMPUTED_VALUE"""),40148.56180555555)</f>
        <v>40148.56181</v>
      </c>
      <c r="F1435" s="2">
        <f>IFERROR(__xludf.DUMMYFUNCTION("""COMPUTED_VALUE"""),2.55)</f>
        <v>2.55</v>
      </c>
      <c r="G1435" s="2">
        <f>IFERROR(__xludf.DUMMYFUNCTION("""COMPUTED_VALUE"""),17611.0)</f>
        <v>17611</v>
      </c>
      <c r="H1435" s="2" t="str">
        <f>IFERROR(__xludf.DUMMYFUNCTION("""COMPUTED_VALUE"""),"United Kingdom")</f>
        <v>United Kingdom</v>
      </c>
      <c r="I1435" s="7">
        <f>IFERROR(__xludf.DUMMYFUNCTION("""COMPUTED_VALUE"""),40148.0)</f>
        <v>40148</v>
      </c>
      <c r="J1435" s="8">
        <f>IFERROR(__xludf.DUMMYFUNCTION("""COMPUTED_VALUE"""),0.5618055555569299)</f>
        <v>0.5618055556</v>
      </c>
      <c r="K1435" s="2">
        <f>IFERROR(__xludf.DUMMYFUNCTION("""COMPUTED_VALUE"""),13.0)</f>
        <v>13</v>
      </c>
      <c r="L1435" s="2">
        <f>IFERROR(__xludf.DUMMYFUNCTION("""COMPUTED_VALUE"""),5.1)</f>
        <v>5.1</v>
      </c>
    </row>
    <row r="1436">
      <c r="A1436" s="2">
        <f>IFERROR(__xludf.DUMMYFUNCTION("""COMPUTED_VALUE"""),489572.0)</f>
        <v>489572</v>
      </c>
      <c r="B1436" s="2" t="str">
        <f>IFERROR(__xludf.DUMMYFUNCTION("""COMPUTED_VALUE"""),"20812")</f>
        <v>20812</v>
      </c>
      <c r="C1436" s="2" t="str">
        <f>IFERROR(__xludf.DUMMYFUNCTION("""COMPUTED_VALUE"""),"EMBOSSED FLOWER TRELLIS PHOTO FRAME")</f>
        <v>EMBOSSED FLOWER TRELLIS PHOTO FRAME</v>
      </c>
      <c r="D1436" s="2">
        <f>IFERROR(__xludf.DUMMYFUNCTION("""COMPUTED_VALUE"""),2.0)</f>
        <v>2</v>
      </c>
      <c r="E1436" s="6">
        <f>IFERROR(__xludf.DUMMYFUNCTION("""COMPUTED_VALUE"""),40148.56180555555)</f>
        <v>40148.56181</v>
      </c>
      <c r="F1436" s="2">
        <f>IFERROR(__xludf.DUMMYFUNCTION("""COMPUTED_VALUE"""),2.55)</f>
        <v>2.55</v>
      </c>
      <c r="G1436" s="2">
        <f>IFERROR(__xludf.DUMMYFUNCTION("""COMPUTED_VALUE"""),17611.0)</f>
        <v>17611</v>
      </c>
      <c r="H1436" s="2" t="str">
        <f>IFERROR(__xludf.DUMMYFUNCTION("""COMPUTED_VALUE"""),"United Kingdom")</f>
        <v>United Kingdom</v>
      </c>
      <c r="I1436" s="7">
        <f>IFERROR(__xludf.DUMMYFUNCTION("""COMPUTED_VALUE"""),40148.0)</f>
        <v>40148</v>
      </c>
      <c r="J1436" s="8">
        <f>IFERROR(__xludf.DUMMYFUNCTION("""COMPUTED_VALUE"""),0.5618055555569299)</f>
        <v>0.5618055556</v>
      </c>
      <c r="K1436" s="2">
        <f>IFERROR(__xludf.DUMMYFUNCTION("""COMPUTED_VALUE"""),13.0)</f>
        <v>13</v>
      </c>
      <c r="L1436" s="2">
        <f>IFERROR(__xludf.DUMMYFUNCTION("""COMPUTED_VALUE"""),5.1)</f>
        <v>5.1</v>
      </c>
    </row>
    <row r="1437">
      <c r="A1437" s="2">
        <f>IFERROR(__xludf.DUMMYFUNCTION("""COMPUTED_VALUE"""),489572.0)</f>
        <v>489572</v>
      </c>
      <c r="B1437" s="2" t="str">
        <f>IFERROR(__xludf.DUMMYFUNCTION("""COMPUTED_VALUE"""),"82494L")</f>
        <v>82494L</v>
      </c>
      <c r="C1437" s="2" t="str">
        <f>IFERROR(__xludf.DUMMYFUNCTION("""COMPUTED_VALUE"""),"WOODEN FRAME ANTIQUE WHITE")</f>
        <v>WOODEN FRAME ANTIQUE WHITE</v>
      </c>
      <c r="D1437" s="2">
        <f>IFERROR(__xludf.DUMMYFUNCTION("""COMPUTED_VALUE"""),2.0)</f>
        <v>2</v>
      </c>
      <c r="E1437" s="6">
        <f>IFERROR(__xludf.DUMMYFUNCTION("""COMPUTED_VALUE"""),40148.56180555555)</f>
        <v>40148.56181</v>
      </c>
      <c r="F1437" s="2">
        <f>IFERROR(__xludf.DUMMYFUNCTION("""COMPUTED_VALUE"""),2.95)</f>
        <v>2.95</v>
      </c>
      <c r="G1437" s="2">
        <f>IFERROR(__xludf.DUMMYFUNCTION("""COMPUTED_VALUE"""),17611.0)</f>
        <v>17611</v>
      </c>
      <c r="H1437" s="2" t="str">
        <f>IFERROR(__xludf.DUMMYFUNCTION("""COMPUTED_VALUE"""),"United Kingdom")</f>
        <v>United Kingdom</v>
      </c>
      <c r="I1437" s="7">
        <f>IFERROR(__xludf.DUMMYFUNCTION("""COMPUTED_VALUE"""),40148.0)</f>
        <v>40148</v>
      </c>
      <c r="J1437" s="8">
        <f>IFERROR(__xludf.DUMMYFUNCTION("""COMPUTED_VALUE"""),0.5618055555569299)</f>
        <v>0.5618055556</v>
      </c>
      <c r="K1437" s="2">
        <f>IFERROR(__xludf.DUMMYFUNCTION("""COMPUTED_VALUE"""),13.0)</f>
        <v>13</v>
      </c>
      <c r="L1437" s="2">
        <f>IFERROR(__xludf.DUMMYFUNCTION("""COMPUTED_VALUE"""),5.9)</f>
        <v>5.9</v>
      </c>
    </row>
    <row r="1438">
      <c r="A1438" s="2">
        <f>IFERROR(__xludf.DUMMYFUNCTION("""COMPUTED_VALUE"""),489572.0)</f>
        <v>489572</v>
      </c>
      <c r="B1438" s="2" t="str">
        <f>IFERROR(__xludf.DUMMYFUNCTION("""COMPUTED_VALUE"""),"22035")</f>
        <v>22035</v>
      </c>
      <c r="C1438" s="2" t="str">
        <f>IFERROR(__xludf.DUMMYFUNCTION("""COMPUTED_VALUE"""),"VINTAGE CARAVAN GREETING CARD")</f>
        <v>VINTAGE CARAVAN GREETING CARD</v>
      </c>
      <c r="D1438" s="2">
        <f>IFERROR(__xludf.DUMMYFUNCTION("""COMPUTED_VALUE"""),12.0)</f>
        <v>12</v>
      </c>
      <c r="E1438" s="6">
        <f>IFERROR(__xludf.DUMMYFUNCTION("""COMPUTED_VALUE"""),40148.56180555555)</f>
        <v>40148.56181</v>
      </c>
      <c r="F1438" s="2">
        <f>IFERROR(__xludf.DUMMYFUNCTION("""COMPUTED_VALUE"""),0.42)</f>
        <v>0.42</v>
      </c>
      <c r="G1438" s="2">
        <f>IFERROR(__xludf.DUMMYFUNCTION("""COMPUTED_VALUE"""),17611.0)</f>
        <v>17611</v>
      </c>
      <c r="H1438" s="2" t="str">
        <f>IFERROR(__xludf.DUMMYFUNCTION("""COMPUTED_VALUE"""),"United Kingdom")</f>
        <v>United Kingdom</v>
      </c>
      <c r="I1438" s="7">
        <f>IFERROR(__xludf.DUMMYFUNCTION("""COMPUTED_VALUE"""),40148.0)</f>
        <v>40148</v>
      </c>
      <c r="J1438" s="8">
        <f>IFERROR(__xludf.DUMMYFUNCTION("""COMPUTED_VALUE"""),0.5618055555569299)</f>
        <v>0.5618055556</v>
      </c>
      <c r="K1438" s="2">
        <f>IFERROR(__xludf.DUMMYFUNCTION("""COMPUTED_VALUE"""),13.0)</f>
        <v>13</v>
      </c>
      <c r="L1438" s="2">
        <f>IFERROR(__xludf.DUMMYFUNCTION("""COMPUTED_VALUE"""),5.04)</f>
        <v>5.04</v>
      </c>
    </row>
    <row r="1439">
      <c r="A1439" s="2">
        <f>IFERROR(__xludf.DUMMYFUNCTION("""COMPUTED_VALUE"""),489572.0)</f>
        <v>489572</v>
      </c>
      <c r="B1439" s="2" t="str">
        <f>IFERROR(__xludf.DUMMYFUNCTION("""COMPUTED_VALUE"""),"21508")</f>
        <v>21508</v>
      </c>
      <c r="C1439" s="2" t="str">
        <f>IFERROR(__xludf.DUMMYFUNCTION("""COMPUTED_VALUE"""),"VINTAGE KID DOLLY CARD")</f>
        <v>VINTAGE KID DOLLY CARD</v>
      </c>
      <c r="D1439" s="2">
        <f>IFERROR(__xludf.DUMMYFUNCTION("""COMPUTED_VALUE"""),12.0)</f>
        <v>12</v>
      </c>
      <c r="E1439" s="6">
        <f>IFERROR(__xludf.DUMMYFUNCTION("""COMPUTED_VALUE"""),40148.56180555555)</f>
        <v>40148.56181</v>
      </c>
      <c r="F1439" s="2">
        <f>IFERROR(__xludf.DUMMYFUNCTION("""COMPUTED_VALUE"""),0.42)</f>
        <v>0.42</v>
      </c>
      <c r="G1439" s="2">
        <f>IFERROR(__xludf.DUMMYFUNCTION("""COMPUTED_VALUE"""),17611.0)</f>
        <v>17611</v>
      </c>
      <c r="H1439" s="2" t="str">
        <f>IFERROR(__xludf.DUMMYFUNCTION("""COMPUTED_VALUE"""),"United Kingdom")</f>
        <v>United Kingdom</v>
      </c>
      <c r="I1439" s="7">
        <f>IFERROR(__xludf.DUMMYFUNCTION("""COMPUTED_VALUE"""),40148.0)</f>
        <v>40148</v>
      </c>
      <c r="J1439" s="8">
        <f>IFERROR(__xludf.DUMMYFUNCTION("""COMPUTED_VALUE"""),0.5618055555569299)</f>
        <v>0.5618055556</v>
      </c>
      <c r="K1439" s="2">
        <f>IFERROR(__xludf.DUMMYFUNCTION("""COMPUTED_VALUE"""),13.0)</f>
        <v>13</v>
      </c>
      <c r="L1439" s="2">
        <f>IFERROR(__xludf.DUMMYFUNCTION("""COMPUTED_VALUE"""),5.04)</f>
        <v>5.04</v>
      </c>
    </row>
    <row r="1440">
      <c r="A1440" s="2">
        <f>IFERROR(__xludf.DUMMYFUNCTION("""COMPUTED_VALUE"""),489572.0)</f>
        <v>489572</v>
      </c>
      <c r="B1440" s="2" t="str">
        <f>IFERROR(__xludf.DUMMYFUNCTION("""COMPUTED_VALUE"""),"22029")</f>
        <v>22029</v>
      </c>
      <c r="C1440" s="2" t="str">
        <f>IFERROR(__xludf.DUMMYFUNCTION("""COMPUTED_VALUE"""),"SPACE BOY BIRTHDAY CARD")</f>
        <v>SPACE BOY BIRTHDAY CARD</v>
      </c>
      <c r="D1440" s="2">
        <f>IFERROR(__xludf.DUMMYFUNCTION("""COMPUTED_VALUE"""),12.0)</f>
        <v>12</v>
      </c>
      <c r="E1440" s="6">
        <f>IFERROR(__xludf.DUMMYFUNCTION("""COMPUTED_VALUE"""),40148.56180555555)</f>
        <v>40148.56181</v>
      </c>
      <c r="F1440" s="2">
        <f>IFERROR(__xludf.DUMMYFUNCTION("""COMPUTED_VALUE"""),0.42)</f>
        <v>0.42</v>
      </c>
      <c r="G1440" s="2">
        <f>IFERROR(__xludf.DUMMYFUNCTION("""COMPUTED_VALUE"""),17611.0)</f>
        <v>17611</v>
      </c>
      <c r="H1440" s="2" t="str">
        <f>IFERROR(__xludf.DUMMYFUNCTION("""COMPUTED_VALUE"""),"United Kingdom")</f>
        <v>United Kingdom</v>
      </c>
      <c r="I1440" s="7">
        <f>IFERROR(__xludf.DUMMYFUNCTION("""COMPUTED_VALUE"""),40148.0)</f>
        <v>40148</v>
      </c>
      <c r="J1440" s="8">
        <f>IFERROR(__xludf.DUMMYFUNCTION("""COMPUTED_VALUE"""),0.5618055555569299)</f>
        <v>0.5618055556</v>
      </c>
      <c r="K1440" s="2">
        <f>IFERROR(__xludf.DUMMYFUNCTION("""COMPUTED_VALUE"""),13.0)</f>
        <v>13</v>
      </c>
      <c r="L1440" s="2">
        <f>IFERROR(__xludf.DUMMYFUNCTION("""COMPUTED_VALUE"""),5.04)</f>
        <v>5.04</v>
      </c>
    </row>
    <row r="1441">
      <c r="A1441" s="2">
        <f>IFERROR(__xludf.DUMMYFUNCTION("""COMPUTED_VALUE"""),489572.0)</f>
        <v>489572</v>
      </c>
      <c r="B1441" s="2" t="str">
        <f>IFERROR(__xludf.DUMMYFUNCTION("""COMPUTED_VALUE"""),"22027")</f>
        <v>22027</v>
      </c>
      <c r="C1441" s="2" t="str">
        <f>IFERROR(__xludf.DUMMYFUNCTION("""COMPUTED_VALUE"""),"TEA PARTY BIRTHDAY CARD")</f>
        <v>TEA PARTY BIRTHDAY CARD</v>
      </c>
      <c r="D1441" s="2">
        <f>IFERROR(__xludf.DUMMYFUNCTION("""COMPUTED_VALUE"""),12.0)</f>
        <v>12</v>
      </c>
      <c r="E1441" s="6">
        <f>IFERROR(__xludf.DUMMYFUNCTION("""COMPUTED_VALUE"""),40148.56180555555)</f>
        <v>40148.56181</v>
      </c>
      <c r="F1441" s="2">
        <f>IFERROR(__xludf.DUMMYFUNCTION("""COMPUTED_VALUE"""),0.42)</f>
        <v>0.42</v>
      </c>
      <c r="G1441" s="2">
        <f>IFERROR(__xludf.DUMMYFUNCTION("""COMPUTED_VALUE"""),17611.0)</f>
        <v>17611</v>
      </c>
      <c r="H1441" s="2" t="str">
        <f>IFERROR(__xludf.DUMMYFUNCTION("""COMPUTED_VALUE"""),"United Kingdom")</f>
        <v>United Kingdom</v>
      </c>
      <c r="I1441" s="7">
        <f>IFERROR(__xludf.DUMMYFUNCTION("""COMPUTED_VALUE"""),40148.0)</f>
        <v>40148</v>
      </c>
      <c r="J1441" s="8">
        <f>IFERROR(__xludf.DUMMYFUNCTION("""COMPUTED_VALUE"""),0.5618055555569299)</f>
        <v>0.5618055556</v>
      </c>
      <c r="K1441" s="2">
        <f>IFERROR(__xludf.DUMMYFUNCTION("""COMPUTED_VALUE"""),13.0)</f>
        <v>13</v>
      </c>
      <c r="L1441" s="2">
        <f>IFERROR(__xludf.DUMMYFUNCTION("""COMPUTED_VALUE"""),5.04)</f>
        <v>5.04</v>
      </c>
    </row>
    <row r="1442">
      <c r="A1442" s="2">
        <f>IFERROR(__xludf.DUMMYFUNCTION("""COMPUTED_VALUE"""),489572.0)</f>
        <v>489572</v>
      </c>
      <c r="B1442" s="2" t="str">
        <f>IFERROR(__xludf.DUMMYFUNCTION("""COMPUTED_VALUE"""),"82482")</f>
        <v>82482</v>
      </c>
      <c r="C1442" s="2" t="str">
        <f>IFERROR(__xludf.DUMMYFUNCTION("""COMPUTED_VALUE"""),"WOODEN PICTURE FRAME WHITE FINISH")</f>
        <v>WOODEN PICTURE FRAME WHITE FINISH</v>
      </c>
      <c r="D1442" s="2">
        <f>IFERROR(__xludf.DUMMYFUNCTION("""COMPUTED_VALUE"""),2.0)</f>
        <v>2</v>
      </c>
      <c r="E1442" s="6">
        <f>IFERROR(__xludf.DUMMYFUNCTION("""COMPUTED_VALUE"""),40148.56180555555)</f>
        <v>40148.56181</v>
      </c>
      <c r="F1442" s="2">
        <f>IFERROR(__xludf.DUMMYFUNCTION("""COMPUTED_VALUE"""),2.55)</f>
        <v>2.55</v>
      </c>
      <c r="G1442" s="2">
        <f>IFERROR(__xludf.DUMMYFUNCTION("""COMPUTED_VALUE"""),17611.0)</f>
        <v>17611</v>
      </c>
      <c r="H1442" s="2" t="str">
        <f>IFERROR(__xludf.DUMMYFUNCTION("""COMPUTED_VALUE"""),"United Kingdom")</f>
        <v>United Kingdom</v>
      </c>
      <c r="I1442" s="7">
        <f>IFERROR(__xludf.DUMMYFUNCTION("""COMPUTED_VALUE"""),40148.0)</f>
        <v>40148</v>
      </c>
      <c r="J1442" s="8">
        <f>IFERROR(__xludf.DUMMYFUNCTION("""COMPUTED_VALUE"""),0.5618055555569299)</f>
        <v>0.5618055556</v>
      </c>
      <c r="K1442" s="2">
        <f>IFERROR(__xludf.DUMMYFUNCTION("""COMPUTED_VALUE"""),13.0)</f>
        <v>13</v>
      </c>
      <c r="L1442" s="2">
        <f>IFERROR(__xludf.DUMMYFUNCTION("""COMPUTED_VALUE"""),5.1)</f>
        <v>5.1</v>
      </c>
    </row>
    <row r="1443">
      <c r="A1443" s="2">
        <f>IFERROR(__xludf.DUMMYFUNCTION("""COMPUTED_VALUE"""),489572.0)</f>
        <v>489572</v>
      </c>
      <c r="B1443" s="2" t="str">
        <f>IFERROR(__xludf.DUMMYFUNCTION("""COMPUTED_VALUE"""),"21333")</f>
        <v>21333</v>
      </c>
      <c r="C1443" s="2" t="str">
        <f>IFERROR(__xludf.DUMMYFUNCTION("""COMPUTED_VALUE"""),"CLASSIC WHITE FRAME")</f>
        <v>CLASSIC WHITE FRAME</v>
      </c>
      <c r="D1443" s="2">
        <f>IFERROR(__xludf.DUMMYFUNCTION("""COMPUTED_VALUE"""),2.0)</f>
        <v>2</v>
      </c>
      <c r="E1443" s="6">
        <f>IFERROR(__xludf.DUMMYFUNCTION("""COMPUTED_VALUE"""),40148.56180555555)</f>
        <v>40148.56181</v>
      </c>
      <c r="F1443" s="2">
        <f>IFERROR(__xludf.DUMMYFUNCTION("""COMPUTED_VALUE"""),2.95)</f>
        <v>2.95</v>
      </c>
      <c r="G1443" s="2">
        <f>IFERROR(__xludf.DUMMYFUNCTION("""COMPUTED_VALUE"""),17611.0)</f>
        <v>17611</v>
      </c>
      <c r="H1443" s="2" t="str">
        <f>IFERROR(__xludf.DUMMYFUNCTION("""COMPUTED_VALUE"""),"United Kingdom")</f>
        <v>United Kingdom</v>
      </c>
      <c r="I1443" s="7">
        <f>IFERROR(__xludf.DUMMYFUNCTION("""COMPUTED_VALUE"""),40148.0)</f>
        <v>40148</v>
      </c>
      <c r="J1443" s="8">
        <f>IFERROR(__xludf.DUMMYFUNCTION("""COMPUTED_VALUE"""),0.5618055555569299)</f>
        <v>0.5618055556</v>
      </c>
      <c r="K1443" s="2">
        <f>IFERROR(__xludf.DUMMYFUNCTION("""COMPUTED_VALUE"""),13.0)</f>
        <v>13</v>
      </c>
      <c r="L1443" s="2">
        <f>IFERROR(__xludf.DUMMYFUNCTION("""COMPUTED_VALUE"""),5.9)</f>
        <v>5.9</v>
      </c>
    </row>
    <row r="1444">
      <c r="A1444" s="2">
        <f>IFERROR(__xludf.DUMMYFUNCTION("""COMPUTED_VALUE"""),489572.0)</f>
        <v>489572</v>
      </c>
      <c r="B1444" s="2" t="str">
        <f>IFERROR(__xludf.DUMMYFUNCTION("""COMPUTED_VALUE"""),"22297")</f>
        <v>22297</v>
      </c>
      <c r="C1444" s="2" t="str">
        <f>IFERROR(__xludf.DUMMYFUNCTION("""COMPUTED_VALUE"""),"HEART IVORY TRELLIS SMALL")</f>
        <v>HEART IVORY TRELLIS SMALL</v>
      </c>
      <c r="D1444" s="2">
        <f>IFERROR(__xludf.DUMMYFUNCTION("""COMPUTED_VALUE"""),5.0)</f>
        <v>5</v>
      </c>
      <c r="E1444" s="6">
        <f>IFERROR(__xludf.DUMMYFUNCTION("""COMPUTED_VALUE"""),40148.56180555555)</f>
        <v>40148.56181</v>
      </c>
      <c r="F1444" s="2">
        <f>IFERROR(__xludf.DUMMYFUNCTION("""COMPUTED_VALUE"""),1.25)</f>
        <v>1.25</v>
      </c>
      <c r="G1444" s="2">
        <f>IFERROR(__xludf.DUMMYFUNCTION("""COMPUTED_VALUE"""),17611.0)</f>
        <v>17611</v>
      </c>
      <c r="H1444" s="2" t="str">
        <f>IFERROR(__xludf.DUMMYFUNCTION("""COMPUTED_VALUE"""),"United Kingdom")</f>
        <v>United Kingdom</v>
      </c>
      <c r="I1444" s="7">
        <f>IFERROR(__xludf.DUMMYFUNCTION("""COMPUTED_VALUE"""),40148.0)</f>
        <v>40148</v>
      </c>
      <c r="J1444" s="8">
        <f>IFERROR(__xludf.DUMMYFUNCTION("""COMPUTED_VALUE"""),0.5618055555569299)</f>
        <v>0.5618055556</v>
      </c>
      <c r="K1444" s="2">
        <f>IFERROR(__xludf.DUMMYFUNCTION("""COMPUTED_VALUE"""),13.0)</f>
        <v>13</v>
      </c>
      <c r="L1444" s="2">
        <f>IFERROR(__xludf.DUMMYFUNCTION("""COMPUTED_VALUE"""),6.25)</f>
        <v>6.25</v>
      </c>
    </row>
    <row r="1445">
      <c r="A1445" s="2">
        <f>IFERROR(__xludf.DUMMYFUNCTION("""COMPUTED_VALUE"""),489572.0)</f>
        <v>489572</v>
      </c>
      <c r="B1445" s="2" t="str">
        <f>IFERROR(__xludf.DUMMYFUNCTION("""COMPUTED_VALUE"""),"85059")</f>
        <v>85059</v>
      </c>
      <c r="C1445" s="2" t="str">
        <f>IFERROR(__xludf.DUMMYFUNCTION("""COMPUTED_VALUE"""),"FRENCH ENAMEL WATER BASIN")</f>
        <v>FRENCH ENAMEL WATER BASIN</v>
      </c>
      <c r="D1445" s="2">
        <f>IFERROR(__xludf.DUMMYFUNCTION("""COMPUTED_VALUE"""),2.0)</f>
        <v>2</v>
      </c>
      <c r="E1445" s="6">
        <f>IFERROR(__xludf.DUMMYFUNCTION("""COMPUTED_VALUE"""),40148.56180555555)</f>
        <v>40148.56181</v>
      </c>
      <c r="F1445" s="2">
        <f>IFERROR(__xludf.DUMMYFUNCTION("""COMPUTED_VALUE"""),3.75)</f>
        <v>3.75</v>
      </c>
      <c r="G1445" s="2">
        <f>IFERROR(__xludf.DUMMYFUNCTION("""COMPUTED_VALUE"""),17611.0)</f>
        <v>17611</v>
      </c>
      <c r="H1445" s="2" t="str">
        <f>IFERROR(__xludf.DUMMYFUNCTION("""COMPUTED_VALUE"""),"United Kingdom")</f>
        <v>United Kingdom</v>
      </c>
      <c r="I1445" s="7">
        <f>IFERROR(__xludf.DUMMYFUNCTION("""COMPUTED_VALUE"""),40148.0)</f>
        <v>40148</v>
      </c>
      <c r="J1445" s="8">
        <f>IFERROR(__xludf.DUMMYFUNCTION("""COMPUTED_VALUE"""),0.5618055555569299)</f>
        <v>0.5618055556</v>
      </c>
      <c r="K1445" s="2">
        <f>IFERROR(__xludf.DUMMYFUNCTION("""COMPUTED_VALUE"""),13.0)</f>
        <v>13</v>
      </c>
      <c r="L1445" s="2">
        <f>IFERROR(__xludf.DUMMYFUNCTION("""COMPUTED_VALUE"""),7.5)</f>
        <v>7.5</v>
      </c>
    </row>
    <row r="1446">
      <c r="A1446" s="2">
        <f>IFERROR(__xludf.DUMMYFUNCTION("""COMPUTED_VALUE"""),489572.0)</f>
        <v>489572</v>
      </c>
      <c r="B1446" s="2" t="str">
        <f>IFERROR(__xludf.DUMMYFUNCTION("""COMPUTED_VALUE"""),"21928")</f>
        <v>21928</v>
      </c>
      <c r="C1446" s="2" t="str">
        <f>IFERROR(__xludf.DUMMYFUNCTION("""COMPUTED_VALUE"""),"JUMBO BAG SCANDINAVIAN PAISLEY")</f>
        <v>JUMBO BAG SCANDINAVIAN PAISLEY</v>
      </c>
      <c r="D1446" s="2">
        <f>IFERROR(__xludf.DUMMYFUNCTION("""COMPUTED_VALUE"""),2.0)</f>
        <v>2</v>
      </c>
      <c r="E1446" s="6">
        <f>IFERROR(__xludf.DUMMYFUNCTION("""COMPUTED_VALUE"""),40148.56180555555)</f>
        <v>40148.56181</v>
      </c>
      <c r="F1446" s="2">
        <f>IFERROR(__xludf.DUMMYFUNCTION("""COMPUTED_VALUE"""),1.95)</f>
        <v>1.95</v>
      </c>
      <c r="G1446" s="2">
        <f>IFERROR(__xludf.DUMMYFUNCTION("""COMPUTED_VALUE"""),17611.0)</f>
        <v>17611</v>
      </c>
      <c r="H1446" s="2" t="str">
        <f>IFERROR(__xludf.DUMMYFUNCTION("""COMPUTED_VALUE"""),"United Kingdom")</f>
        <v>United Kingdom</v>
      </c>
      <c r="I1446" s="7">
        <f>IFERROR(__xludf.DUMMYFUNCTION("""COMPUTED_VALUE"""),40148.0)</f>
        <v>40148</v>
      </c>
      <c r="J1446" s="8">
        <f>IFERROR(__xludf.DUMMYFUNCTION("""COMPUTED_VALUE"""),0.5618055555569299)</f>
        <v>0.5618055556</v>
      </c>
      <c r="K1446" s="2">
        <f>IFERROR(__xludf.DUMMYFUNCTION("""COMPUTED_VALUE"""),13.0)</f>
        <v>13</v>
      </c>
      <c r="L1446" s="2">
        <f>IFERROR(__xludf.DUMMYFUNCTION("""COMPUTED_VALUE"""),3.9)</f>
        <v>3.9</v>
      </c>
    </row>
    <row r="1447">
      <c r="A1447" s="2">
        <f>IFERROR(__xludf.DUMMYFUNCTION("""COMPUTED_VALUE"""),489572.0)</f>
        <v>489572</v>
      </c>
      <c r="B1447" s="2" t="str">
        <f>IFERROR(__xludf.DUMMYFUNCTION("""COMPUTED_VALUE"""),"85099C")</f>
        <v>85099C</v>
      </c>
      <c r="C1447" s="2" t="str">
        <f>IFERROR(__xludf.DUMMYFUNCTION("""COMPUTED_VALUE"""),"JUMBO BAG BAROQUE BLACK WHITE")</f>
        <v>JUMBO BAG BAROQUE BLACK WHITE</v>
      </c>
      <c r="D1447" s="2">
        <f>IFERROR(__xludf.DUMMYFUNCTION("""COMPUTED_VALUE"""),2.0)</f>
        <v>2</v>
      </c>
      <c r="E1447" s="6">
        <f>IFERROR(__xludf.DUMMYFUNCTION("""COMPUTED_VALUE"""),40148.56180555555)</f>
        <v>40148.56181</v>
      </c>
      <c r="F1447" s="2">
        <f>IFERROR(__xludf.DUMMYFUNCTION("""COMPUTED_VALUE"""),1.95)</f>
        <v>1.95</v>
      </c>
      <c r="G1447" s="2">
        <f>IFERROR(__xludf.DUMMYFUNCTION("""COMPUTED_VALUE"""),17611.0)</f>
        <v>17611</v>
      </c>
      <c r="H1447" s="2" t="str">
        <f>IFERROR(__xludf.DUMMYFUNCTION("""COMPUTED_VALUE"""),"United Kingdom")</f>
        <v>United Kingdom</v>
      </c>
      <c r="I1447" s="7">
        <f>IFERROR(__xludf.DUMMYFUNCTION("""COMPUTED_VALUE"""),40148.0)</f>
        <v>40148</v>
      </c>
      <c r="J1447" s="8">
        <f>IFERROR(__xludf.DUMMYFUNCTION("""COMPUTED_VALUE"""),0.5618055555569299)</f>
        <v>0.5618055556</v>
      </c>
      <c r="K1447" s="2">
        <f>IFERROR(__xludf.DUMMYFUNCTION("""COMPUTED_VALUE"""),13.0)</f>
        <v>13</v>
      </c>
      <c r="L1447" s="2">
        <f>IFERROR(__xludf.DUMMYFUNCTION("""COMPUTED_VALUE"""),3.9)</f>
        <v>3.9</v>
      </c>
    </row>
    <row r="1448">
      <c r="A1448" s="2">
        <f>IFERROR(__xludf.DUMMYFUNCTION("""COMPUTED_VALUE"""),489572.0)</f>
        <v>489572</v>
      </c>
      <c r="B1448" s="2" t="str">
        <f>IFERROR(__xludf.DUMMYFUNCTION("""COMPUTED_VALUE"""),"22197")</f>
        <v>22197</v>
      </c>
      <c r="C1448" s="2" t="str">
        <f>IFERROR(__xludf.DUMMYFUNCTION("""COMPUTED_VALUE"""),"POPCORN HOLDER , SMALL")</f>
        <v>POPCORN HOLDER , SMALL</v>
      </c>
      <c r="D1448" s="2">
        <f>IFERROR(__xludf.DUMMYFUNCTION("""COMPUTED_VALUE"""),2.0)</f>
        <v>2</v>
      </c>
      <c r="E1448" s="6">
        <f>IFERROR(__xludf.DUMMYFUNCTION("""COMPUTED_VALUE"""),40148.56180555555)</f>
        <v>40148.56181</v>
      </c>
      <c r="F1448" s="2">
        <f>IFERROR(__xludf.DUMMYFUNCTION("""COMPUTED_VALUE"""),0.85)</f>
        <v>0.85</v>
      </c>
      <c r="G1448" s="2">
        <f>IFERROR(__xludf.DUMMYFUNCTION("""COMPUTED_VALUE"""),17611.0)</f>
        <v>17611</v>
      </c>
      <c r="H1448" s="2" t="str">
        <f>IFERROR(__xludf.DUMMYFUNCTION("""COMPUTED_VALUE"""),"United Kingdom")</f>
        <v>United Kingdom</v>
      </c>
      <c r="I1448" s="7">
        <f>IFERROR(__xludf.DUMMYFUNCTION("""COMPUTED_VALUE"""),40148.0)</f>
        <v>40148</v>
      </c>
      <c r="J1448" s="8">
        <f>IFERROR(__xludf.DUMMYFUNCTION("""COMPUTED_VALUE"""),0.5618055555569299)</f>
        <v>0.5618055556</v>
      </c>
      <c r="K1448" s="2">
        <f>IFERROR(__xludf.DUMMYFUNCTION("""COMPUTED_VALUE"""),13.0)</f>
        <v>13</v>
      </c>
      <c r="L1448" s="2">
        <f>IFERROR(__xludf.DUMMYFUNCTION("""COMPUTED_VALUE"""),1.7)</f>
        <v>1.7</v>
      </c>
    </row>
    <row r="1449">
      <c r="A1449" s="2">
        <f>IFERROR(__xludf.DUMMYFUNCTION("""COMPUTED_VALUE"""),489572.0)</f>
        <v>489572</v>
      </c>
      <c r="B1449" s="2" t="str">
        <f>IFERROR(__xludf.DUMMYFUNCTION("""COMPUTED_VALUE"""),"21465")</f>
        <v>21465</v>
      </c>
      <c r="C1449" s="2" t="str">
        <f>IFERROR(__xludf.DUMMYFUNCTION("""COMPUTED_VALUE"""),"PINK FLOWER CROCHET FOOD COVER")</f>
        <v>PINK FLOWER CROCHET FOOD COVER</v>
      </c>
      <c r="D1449" s="2">
        <f>IFERROR(__xludf.DUMMYFUNCTION("""COMPUTED_VALUE"""),1.0)</f>
        <v>1</v>
      </c>
      <c r="E1449" s="6">
        <f>IFERROR(__xludf.DUMMYFUNCTION("""COMPUTED_VALUE"""),40148.56180555555)</f>
        <v>40148.56181</v>
      </c>
      <c r="F1449" s="2">
        <f>IFERROR(__xludf.DUMMYFUNCTION("""COMPUTED_VALUE"""),3.75)</f>
        <v>3.75</v>
      </c>
      <c r="G1449" s="2">
        <f>IFERROR(__xludf.DUMMYFUNCTION("""COMPUTED_VALUE"""),17611.0)</f>
        <v>17611</v>
      </c>
      <c r="H1449" s="2" t="str">
        <f>IFERROR(__xludf.DUMMYFUNCTION("""COMPUTED_VALUE"""),"United Kingdom")</f>
        <v>United Kingdom</v>
      </c>
      <c r="I1449" s="7">
        <f>IFERROR(__xludf.DUMMYFUNCTION("""COMPUTED_VALUE"""),40148.0)</f>
        <v>40148</v>
      </c>
      <c r="J1449" s="8">
        <f>IFERROR(__xludf.DUMMYFUNCTION("""COMPUTED_VALUE"""),0.5618055555569299)</f>
        <v>0.5618055556</v>
      </c>
      <c r="K1449" s="2">
        <f>IFERROR(__xludf.DUMMYFUNCTION("""COMPUTED_VALUE"""),13.0)</f>
        <v>13</v>
      </c>
      <c r="L1449" s="2">
        <f>IFERROR(__xludf.DUMMYFUNCTION("""COMPUTED_VALUE"""),3.75)</f>
        <v>3.75</v>
      </c>
    </row>
    <row r="1450">
      <c r="A1450" s="2">
        <f>IFERROR(__xludf.DUMMYFUNCTION("""COMPUTED_VALUE"""),489572.0)</f>
        <v>489572</v>
      </c>
      <c r="B1450" s="2" t="str">
        <f>IFERROR(__xludf.DUMMYFUNCTION("""COMPUTED_VALUE"""),"21466")</f>
        <v>21466</v>
      </c>
      <c r="C1450" s="2" t="str">
        <f>IFERROR(__xludf.DUMMYFUNCTION("""COMPUTED_VALUE"""),"RED FLOWER CROCHET FOOD COVER")</f>
        <v>RED FLOWER CROCHET FOOD COVER</v>
      </c>
      <c r="D1450" s="2">
        <f>IFERROR(__xludf.DUMMYFUNCTION("""COMPUTED_VALUE"""),1.0)</f>
        <v>1</v>
      </c>
      <c r="E1450" s="6">
        <f>IFERROR(__xludf.DUMMYFUNCTION("""COMPUTED_VALUE"""),40148.56180555555)</f>
        <v>40148.56181</v>
      </c>
      <c r="F1450" s="2">
        <f>IFERROR(__xludf.DUMMYFUNCTION("""COMPUTED_VALUE"""),3.75)</f>
        <v>3.75</v>
      </c>
      <c r="G1450" s="2">
        <f>IFERROR(__xludf.DUMMYFUNCTION("""COMPUTED_VALUE"""),17611.0)</f>
        <v>17611</v>
      </c>
      <c r="H1450" s="2" t="str">
        <f>IFERROR(__xludf.DUMMYFUNCTION("""COMPUTED_VALUE"""),"United Kingdom")</f>
        <v>United Kingdom</v>
      </c>
      <c r="I1450" s="7">
        <f>IFERROR(__xludf.DUMMYFUNCTION("""COMPUTED_VALUE"""),40148.0)</f>
        <v>40148</v>
      </c>
      <c r="J1450" s="8">
        <f>IFERROR(__xludf.DUMMYFUNCTION("""COMPUTED_VALUE"""),0.5618055555569299)</f>
        <v>0.5618055556</v>
      </c>
      <c r="K1450" s="2">
        <f>IFERROR(__xludf.DUMMYFUNCTION("""COMPUTED_VALUE"""),13.0)</f>
        <v>13</v>
      </c>
      <c r="L1450" s="2">
        <f>IFERROR(__xludf.DUMMYFUNCTION("""COMPUTED_VALUE"""),3.75)</f>
        <v>3.75</v>
      </c>
    </row>
    <row r="1451">
      <c r="A1451" s="2">
        <f>IFERROR(__xludf.DUMMYFUNCTION("""COMPUTED_VALUE"""),489572.0)</f>
        <v>489572</v>
      </c>
      <c r="B1451" s="2" t="str">
        <f>IFERROR(__xludf.DUMMYFUNCTION("""COMPUTED_VALUE"""),"21467")</f>
        <v>21467</v>
      </c>
      <c r="C1451" s="2" t="str">
        <f>IFERROR(__xludf.DUMMYFUNCTION("""COMPUTED_VALUE"""),"CHERRY CROCHET FOOD COVER")</f>
        <v>CHERRY CROCHET FOOD COVER</v>
      </c>
      <c r="D1451" s="2">
        <f>IFERROR(__xludf.DUMMYFUNCTION("""COMPUTED_VALUE"""),1.0)</f>
        <v>1</v>
      </c>
      <c r="E1451" s="6">
        <f>IFERROR(__xludf.DUMMYFUNCTION("""COMPUTED_VALUE"""),40148.56180555555)</f>
        <v>40148.56181</v>
      </c>
      <c r="F1451" s="2">
        <f>IFERROR(__xludf.DUMMYFUNCTION("""COMPUTED_VALUE"""),3.75)</f>
        <v>3.75</v>
      </c>
      <c r="G1451" s="2">
        <f>IFERROR(__xludf.DUMMYFUNCTION("""COMPUTED_VALUE"""),17611.0)</f>
        <v>17611</v>
      </c>
      <c r="H1451" s="2" t="str">
        <f>IFERROR(__xludf.DUMMYFUNCTION("""COMPUTED_VALUE"""),"United Kingdom")</f>
        <v>United Kingdom</v>
      </c>
      <c r="I1451" s="7">
        <f>IFERROR(__xludf.DUMMYFUNCTION("""COMPUTED_VALUE"""),40148.0)</f>
        <v>40148</v>
      </c>
      <c r="J1451" s="8">
        <f>IFERROR(__xludf.DUMMYFUNCTION("""COMPUTED_VALUE"""),0.5618055555569299)</f>
        <v>0.5618055556</v>
      </c>
      <c r="K1451" s="2">
        <f>IFERROR(__xludf.DUMMYFUNCTION("""COMPUTED_VALUE"""),13.0)</f>
        <v>13</v>
      </c>
      <c r="L1451" s="2">
        <f>IFERROR(__xludf.DUMMYFUNCTION("""COMPUTED_VALUE"""),3.75)</f>
        <v>3.75</v>
      </c>
    </row>
    <row r="1452">
      <c r="A1452" s="2">
        <f>IFERROR(__xludf.DUMMYFUNCTION("""COMPUTED_VALUE"""),489572.0)</f>
        <v>489572</v>
      </c>
      <c r="B1452" s="2" t="str">
        <f>IFERROR(__xludf.DUMMYFUNCTION("""COMPUTED_VALUE"""),"21470")</f>
        <v>21470</v>
      </c>
      <c r="C1452" s="2" t="str">
        <f>IFERROR(__xludf.DUMMYFUNCTION("""COMPUTED_VALUE"""),"FLOWER VINE RAFFIA FOOD COVER")</f>
        <v>FLOWER VINE RAFFIA FOOD COVER</v>
      </c>
      <c r="D1452" s="2">
        <f>IFERROR(__xludf.DUMMYFUNCTION("""COMPUTED_VALUE"""),1.0)</f>
        <v>1</v>
      </c>
      <c r="E1452" s="6">
        <f>IFERROR(__xludf.DUMMYFUNCTION("""COMPUTED_VALUE"""),40148.56180555555)</f>
        <v>40148.56181</v>
      </c>
      <c r="F1452" s="2">
        <f>IFERROR(__xludf.DUMMYFUNCTION("""COMPUTED_VALUE"""),3.75)</f>
        <v>3.75</v>
      </c>
      <c r="G1452" s="2">
        <f>IFERROR(__xludf.DUMMYFUNCTION("""COMPUTED_VALUE"""),17611.0)</f>
        <v>17611</v>
      </c>
      <c r="H1452" s="2" t="str">
        <f>IFERROR(__xludf.DUMMYFUNCTION("""COMPUTED_VALUE"""),"United Kingdom")</f>
        <v>United Kingdom</v>
      </c>
      <c r="I1452" s="7">
        <f>IFERROR(__xludf.DUMMYFUNCTION("""COMPUTED_VALUE"""),40148.0)</f>
        <v>40148</v>
      </c>
      <c r="J1452" s="8">
        <f>IFERROR(__xludf.DUMMYFUNCTION("""COMPUTED_VALUE"""),0.5618055555569299)</f>
        <v>0.5618055556</v>
      </c>
      <c r="K1452" s="2">
        <f>IFERROR(__xludf.DUMMYFUNCTION("""COMPUTED_VALUE"""),13.0)</f>
        <v>13</v>
      </c>
      <c r="L1452" s="2">
        <f>IFERROR(__xludf.DUMMYFUNCTION("""COMPUTED_VALUE"""),3.75)</f>
        <v>3.75</v>
      </c>
    </row>
    <row r="1453">
      <c r="A1453" s="2">
        <f>IFERROR(__xludf.DUMMYFUNCTION("""COMPUTED_VALUE"""),489572.0)</f>
        <v>489572</v>
      </c>
      <c r="B1453" s="2" t="str">
        <f>IFERROR(__xludf.DUMMYFUNCTION("""COMPUTED_VALUE"""),"21472")</f>
        <v>21472</v>
      </c>
      <c r="C1453" s="2" t="str">
        <f>IFERROR(__xludf.DUMMYFUNCTION("""COMPUTED_VALUE"""),"LADYBIRD + BEE RAFFIA FOOD COVER")</f>
        <v>LADYBIRD + BEE RAFFIA FOOD COVER</v>
      </c>
      <c r="D1453" s="2">
        <f>IFERROR(__xludf.DUMMYFUNCTION("""COMPUTED_VALUE"""),1.0)</f>
        <v>1</v>
      </c>
      <c r="E1453" s="6">
        <f>IFERROR(__xludf.DUMMYFUNCTION("""COMPUTED_VALUE"""),40148.56180555555)</f>
        <v>40148.56181</v>
      </c>
      <c r="F1453" s="2">
        <f>IFERROR(__xludf.DUMMYFUNCTION("""COMPUTED_VALUE"""),3.75)</f>
        <v>3.75</v>
      </c>
      <c r="G1453" s="2">
        <f>IFERROR(__xludf.DUMMYFUNCTION("""COMPUTED_VALUE"""),17611.0)</f>
        <v>17611</v>
      </c>
      <c r="H1453" s="2" t="str">
        <f>IFERROR(__xludf.DUMMYFUNCTION("""COMPUTED_VALUE"""),"United Kingdom")</f>
        <v>United Kingdom</v>
      </c>
      <c r="I1453" s="7">
        <f>IFERROR(__xludf.DUMMYFUNCTION("""COMPUTED_VALUE"""),40148.0)</f>
        <v>40148</v>
      </c>
      <c r="J1453" s="8">
        <f>IFERROR(__xludf.DUMMYFUNCTION("""COMPUTED_VALUE"""),0.5618055555569299)</f>
        <v>0.5618055556</v>
      </c>
      <c r="K1453" s="2">
        <f>IFERROR(__xludf.DUMMYFUNCTION("""COMPUTED_VALUE"""),13.0)</f>
        <v>13</v>
      </c>
      <c r="L1453" s="2">
        <f>IFERROR(__xludf.DUMMYFUNCTION("""COMPUTED_VALUE"""),3.75)</f>
        <v>3.75</v>
      </c>
    </row>
    <row r="1454">
      <c r="A1454" s="2">
        <f>IFERROR(__xludf.DUMMYFUNCTION("""COMPUTED_VALUE"""),489572.0)</f>
        <v>489572</v>
      </c>
      <c r="B1454" s="2" t="str">
        <f>IFERROR(__xludf.DUMMYFUNCTION("""COMPUTED_VALUE"""),"21471")</f>
        <v>21471</v>
      </c>
      <c r="C1454" s="2" t="str">
        <f>IFERROR(__xludf.DUMMYFUNCTION("""COMPUTED_VALUE"""),"STRAWBERRY RAFFIA FOOD COVER")</f>
        <v>STRAWBERRY RAFFIA FOOD COVER</v>
      </c>
      <c r="D1454" s="2">
        <f>IFERROR(__xludf.DUMMYFUNCTION("""COMPUTED_VALUE"""),1.0)</f>
        <v>1</v>
      </c>
      <c r="E1454" s="6">
        <f>IFERROR(__xludf.DUMMYFUNCTION("""COMPUTED_VALUE"""),40148.56180555555)</f>
        <v>40148.56181</v>
      </c>
      <c r="F1454" s="2">
        <f>IFERROR(__xludf.DUMMYFUNCTION("""COMPUTED_VALUE"""),3.75)</f>
        <v>3.75</v>
      </c>
      <c r="G1454" s="2">
        <f>IFERROR(__xludf.DUMMYFUNCTION("""COMPUTED_VALUE"""),17611.0)</f>
        <v>17611</v>
      </c>
      <c r="H1454" s="2" t="str">
        <f>IFERROR(__xludf.DUMMYFUNCTION("""COMPUTED_VALUE"""),"United Kingdom")</f>
        <v>United Kingdom</v>
      </c>
      <c r="I1454" s="7">
        <f>IFERROR(__xludf.DUMMYFUNCTION("""COMPUTED_VALUE"""),40148.0)</f>
        <v>40148</v>
      </c>
      <c r="J1454" s="8">
        <f>IFERROR(__xludf.DUMMYFUNCTION("""COMPUTED_VALUE"""),0.5618055555569299)</f>
        <v>0.5618055556</v>
      </c>
      <c r="K1454" s="2">
        <f>IFERROR(__xludf.DUMMYFUNCTION("""COMPUTED_VALUE"""),13.0)</f>
        <v>13</v>
      </c>
      <c r="L1454" s="2">
        <f>IFERROR(__xludf.DUMMYFUNCTION("""COMPUTED_VALUE"""),3.75)</f>
        <v>3.75</v>
      </c>
    </row>
    <row r="1455">
      <c r="A1455" s="2">
        <f>IFERROR(__xludf.DUMMYFUNCTION("""COMPUTED_VALUE"""),489572.0)</f>
        <v>489572</v>
      </c>
      <c r="B1455" s="2" t="str">
        <f>IFERROR(__xludf.DUMMYFUNCTION("""COMPUTED_VALUE"""),"85014B")</f>
        <v>85014B</v>
      </c>
      <c r="C1455" s="2" t="str">
        <f>IFERROR(__xludf.DUMMYFUNCTION("""COMPUTED_VALUE"""),"RED/WHITE DOTS RUFFLED UMBRELLA")</f>
        <v>RED/WHITE DOTS RUFFLED UMBRELLA</v>
      </c>
      <c r="D1455" s="2">
        <f>IFERROR(__xludf.DUMMYFUNCTION("""COMPUTED_VALUE"""),1.0)</f>
        <v>1</v>
      </c>
      <c r="E1455" s="6">
        <f>IFERROR(__xludf.DUMMYFUNCTION("""COMPUTED_VALUE"""),40148.56180555555)</f>
        <v>40148.56181</v>
      </c>
      <c r="F1455" s="2">
        <f>IFERROR(__xludf.DUMMYFUNCTION("""COMPUTED_VALUE"""),5.95)</f>
        <v>5.95</v>
      </c>
      <c r="G1455" s="2">
        <f>IFERROR(__xludf.DUMMYFUNCTION("""COMPUTED_VALUE"""),17611.0)</f>
        <v>17611</v>
      </c>
      <c r="H1455" s="2" t="str">
        <f>IFERROR(__xludf.DUMMYFUNCTION("""COMPUTED_VALUE"""),"United Kingdom")</f>
        <v>United Kingdom</v>
      </c>
      <c r="I1455" s="7">
        <f>IFERROR(__xludf.DUMMYFUNCTION("""COMPUTED_VALUE"""),40148.0)</f>
        <v>40148</v>
      </c>
      <c r="J1455" s="8">
        <f>IFERROR(__xludf.DUMMYFUNCTION("""COMPUTED_VALUE"""),0.5618055555569299)</f>
        <v>0.5618055556</v>
      </c>
      <c r="K1455" s="2">
        <f>IFERROR(__xludf.DUMMYFUNCTION("""COMPUTED_VALUE"""),13.0)</f>
        <v>13</v>
      </c>
      <c r="L1455" s="2">
        <f>IFERROR(__xludf.DUMMYFUNCTION("""COMPUTED_VALUE"""),5.95)</f>
        <v>5.95</v>
      </c>
    </row>
    <row r="1456">
      <c r="A1456" s="2">
        <f>IFERROR(__xludf.DUMMYFUNCTION("""COMPUTED_VALUE"""),489572.0)</f>
        <v>489572</v>
      </c>
      <c r="B1456" s="2" t="str">
        <f>IFERROR(__xludf.DUMMYFUNCTION("""COMPUTED_VALUE"""),"85014C")</f>
        <v>85014C</v>
      </c>
      <c r="C1456" s="2" t="str">
        <f>IFERROR(__xludf.DUMMYFUNCTION("""COMPUTED_VALUE"""),"BLUE/BROWN DOTS RUFFLED UMBRELLA")</f>
        <v>BLUE/BROWN DOTS RUFFLED UMBRELLA</v>
      </c>
      <c r="D1456" s="2">
        <f>IFERROR(__xludf.DUMMYFUNCTION("""COMPUTED_VALUE"""),1.0)</f>
        <v>1</v>
      </c>
      <c r="E1456" s="6">
        <f>IFERROR(__xludf.DUMMYFUNCTION("""COMPUTED_VALUE"""),40148.56180555555)</f>
        <v>40148.56181</v>
      </c>
      <c r="F1456" s="2">
        <f>IFERROR(__xludf.DUMMYFUNCTION("""COMPUTED_VALUE"""),5.95)</f>
        <v>5.95</v>
      </c>
      <c r="G1456" s="2">
        <f>IFERROR(__xludf.DUMMYFUNCTION("""COMPUTED_VALUE"""),17611.0)</f>
        <v>17611</v>
      </c>
      <c r="H1456" s="2" t="str">
        <f>IFERROR(__xludf.DUMMYFUNCTION("""COMPUTED_VALUE"""),"United Kingdom")</f>
        <v>United Kingdom</v>
      </c>
      <c r="I1456" s="7">
        <f>IFERROR(__xludf.DUMMYFUNCTION("""COMPUTED_VALUE"""),40148.0)</f>
        <v>40148</v>
      </c>
      <c r="J1456" s="8">
        <f>IFERROR(__xludf.DUMMYFUNCTION("""COMPUTED_VALUE"""),0.5618055555569299)</f>
        <v>0.5618055556</v>
      </c>
      <c r="K1456" s="2">
        <f>IFERROR(__xludf.DUMMYFUNCTION("""COMPUTED_VALUE"""),13.0)</f>
        <v>13</v>
      </c>
      <c r="L1456" s="2">
        <f>IFERROR(__xludf.DUMMYFUNCTION("""COMPUTED_VALUE"""),5.95)</f>
        <v>5.95</v>
      </c>
    </row>
    <row r="1457">
      <c r="A1457" s="2">
        <f>IFERROR(__xludf.DUMMYFUNCTION("""COMPUTED_VALUE"""),489572.0)</f>
        <v>489572</v>
      </c>
      <c r="B1457" s="2" t="str">
        <f>IFERROR(__xludf.DUMMYFUNCTION("""COMPUTED_VALUE"""),"85014A")</f>
        <v>85014A</v>
      </c>
      <c r="C1457" s="2" t="str">
        <f>IFERROR(__xludf.DUMMYFUNCTION("""COMPUTED_VALUE"""),"BLACK/BLUE DOTS RUFFLED UMBRELLA")</f>
        <v>BLACK/BLUE DOTS RUFFLED UMBRELLA</v>
      </c>
      <c r="D1457" s="2">
        <f>IFERROR(__xludf.DUMMYFUNCTION("""COMPUTED_VALUE"""),1.0)</f>
        <v>1</v>
      </c>
      <c r="E1457" s="6">
        <f>IFERROR(__xludf.DUMMYFUNCTION("""COMPUTED_VALUE"""),40148.56180555555)</f>
        <v>40148.56181</v>
      </c>
      <c r="F1457" s="2">
        <f>IFERROR(__xludf.DUMMYFUNCTION("""COMPUTED_VALUE"""),5.95)</f>
        <v>5.95</v>
      </c>
      <c r="G1457" s="2">
        <f>IFERROR(__xludf.DUMMYFUNCTION("""COMPUTED_VALUE"""),17611.0)</f>
        <v>17611</v>
      </c>
      <c r="H1457" s="2" t="str">
        <f>IFERROR(__xludf.DUMMYFUNCTION("""COMPUTED_VALUE"""),"United Kingdom")</f>
        <v>United Kingdom</v>
      </c>
      <c r="I1457" s="7">
        <f>IFERROR(__xludf.DUMMYFUNCTION("""COMPUTED_VALUE"""),40148.0)</f>
        <v>40148</v>
      </c>
      <c r="J1457" s="8">
        <f>IFERROR(__xludf.DUMMYFUNCTION("""COMPUTED_VALUE"""),0.5618055555569299)</f>
        <v>0.5618055556</v>
      </c>
      <c r="K1457" s="2">
        <f>IFERROR(__xludf.DUMMYFUNCTION("""COMPUTED_VALUE"""),13.0)</f>
        <v>13</v>
      </c>
      <c r="L1457" s="2">
        <f>IFERROR(__xludf.DUMMYFUNCTION("""COMPUTED_VALUE"""),5.95)</f>
        <v>5.95</v>
      </c>
    </row>
    <row r="1458">
      <c r="A1458" s="2">
        <f>IFERROR(__xludf.DUMMYFUNCTION("""COMPUTED_VALUE"""),489572.0)</f>
        <v>489572</v>
      </c>
      <c r="B1458" s="2" t="str">
        <f>IFERROR(__xludf.DUMMYFUNCTION("""COMPUTED_VALUE"""),"85014D")</f>
        <v>85014D</v>
      </c>
      <c r="C1458" s="2" t="str">
        <f>IFERROR(__xludf.DUMMYFUNCTION("""COMPUTED_VALUE"""),"PINK/BROWN DOTS RUFFLED UMBRELLA")</f>
        <v>PINK/BROWN DOTS RUFFLED UMBRELLA</v>
      </c>
      <c r="D1458" s="2">
        <f>IFERROR(__xludf.DUMMYFUNCTION("""COMPUTED_VALUE"""),1.0)</f>
        <v>1</v>
      </c>
      <c r="E1458" s="6">
        <f>IFERROR(__xludf.DUMMYFUNCTION("""COMPUTED_VALUE"""),40148.56180555555)</f>
        <v>40148.56181</v>
      </c>
      <c r="F1458" s="2">
        <f>IFERROR(__xludf.DUMMYFUNCTION("""COMPUTED_VALUE"""),5.95)</f>
        <v>5.95</v>
      </c>
      <c r="G1458" s="2">
        <f>IFERROR(__xludf.DUMMYFUNCTION("""COMPUTED_VALUE"""),17611.0)</f>
        <v>17611</v>
      </c>
      <c r="H1458" s="2" t="str">
        <f>IFERROR(__xludf.DUMMYFUNCTION("""COMPUTED_VALUE"""),"United Kingdom")</f>
        <v>United Kingdom</v>
      </c>
      <c r="I1458" s="7">
        <f>IFERROR(__xludf.DUMMYFUNCTION("""COMPUTED_VALUE"""),40148.0)</f>
        <v>40148</v>
      </c>
      <c r="J1458" s="8">
        <f>IFERROR(__xludf.DUMMYFUNCTION("""COMPUTED_VALUE"""),0.5618055555569299)</f>
        <v>0.5618055556</v>
      </c>
      <c r="K1458" s="2">
        <f>IFERROR(__xludf.DUMMYFUNCTION("""COMPUTED_VALUE"""),13.0)</f>
        <v>13</v>
      </c>
      <c r="L1458" s="2">
        <f>IFERROR(__xludf.DUMMYFUNCTION("""COMPUTED_VALUE"""),5.95)</f>
        <v>5.95</v>
      </c>
    </row>
    <row r="1459">
      <c r="A1459" s="2">
        <f>IFERROR(__xludf.DUMMYFUNCTION("""COMPUTED_VALUE"""),489572.0)</f>
        <v>489572</v>
      </c>
      <c r="B1459" s="2" t="str">
        <f>IFERROR(__xludf.DUMMYFUNCTION("""COMPUTED_VALUE"""),"22300")</f>
        <v>22300</v>
      </c>
      <c r="C1459" s="2" t="str">
        <f>IFERROR(__xludf.DUMMYFUNCTION("""COMPUTED_VALUE"""),"COFFEE MUG DOG + BALL DESIGN")</f>
        <v>COFFEE MUG DOG + BALL DESIGN</v>
      </c>
      <c r="D1459" s="2">
        <f>IFERROR(__xludf.DUMMYFUNCTION("""COMPUTED_VALUE"""),6.0)</f>
        <v>6</v>
      </c>
      <c r="E1459" s="6">
        <f>IFERROR(__xludf.DUMMYFUNCTION("""COMPUTED_VALUE"""),40148.56180555555)</f>
        <v>40148.56181</v>
      </c>
      <c r="F1459" s="2">
        <f>IFERROR(__xludf.DUMMYFUNCTION("""COMPUTED_VALUE"""),2.55)</f>
        <v>2.55</v>
      </c>
      <c r="G1459" s="2">
        <f>IFERROR(__xludf.DUMMYFUNCTION("""COMPUTED_VALUE"""),17611.0)</f>
        <v>17611</v>
      </c>
      <c r="H1459" s="2" t="str">
        <f>IFERROR(__xludf.DUMMYFUNCTION("""COMPUTED_VALUE"""),"United Kingdom")</f>
        <v>United Kingdom</v>
      </c>
      <c r="I1459" s="7">
        <f>IFERROR(__xludf.DUMMYFUNCTION("""COMPUTED_VALUE"""),40148.0)</f>
        <v>40148</v>
      </c>
      <c r="J1459" s="8">
        <f>IFERROR(__xludf.DUMMYFUNCTION("""COMPUTED_VALUE"""),0.5618055555569299)</f>
        <v>0.5618055556</v>
      </c>
      <c r="K1459" s="2">
        <f>IFERROR(__xludf.DUMMYFUNCTION("""COMPUTED_VALUE"""),13.0)</f>
        <v>13</v>
      </c>
      <c r="L1459" s="2">
        <f>IFERROR(__xludf.DUMMYFUNCTION("""COMPUTED_VALUE"""),15.2999999999999)</f>
        <v>15.3</v>
      </c>
    </row>
    <row r="1460">
      <c r="A1460" s="2">
        <f>IFERROR(__xludf.DUMMYFUNCTION("""COMPUTED_VALUE"""),489572.0)</f>
        <v>489572</v>
      </c>
      <c r="B1460" s="2" t="str">
        <f>IFERROR(__xludf.DUMMYFUNCTION("""COMPUTED_VALUE"""),"84946")</f>
        <v>84946</v>
      </c>
      <c r="C1460" s="2" t="str">
        <f>IFERROR(__xludf.DUMMYFUNCTION("""COMPUTED_VALUE"""),"ANTIQUE SILVER TEA GLASS ETCHED")</f>
        <v>ANTIQUE SILVER TEA GLASS ETCHED</v>
      </c>
      <c r="D1460" s="2">
        <f>IFERROR(__xludf.DUMMYFUNCTION("""COMPUTED_VALUE"""),6.0)</f>
        <v>6</v>
      </c>
      <c r="E1460" s="6">
        <f>IFERROR(__xludf.DUMMYFUNCTION("""COMPUTED_VALUE"""),40148.56180555555)</f>
        <v>40148.56181</v>
      </c>
      <c r="F1460" s="2">
        <f>IFERROR(__xludf.DUMMYFUNCTION("""COMPUTED_VALUE"""),1.25)</f>
        <v>1.25</v>
      </c>
      <c r="G1460" s="2">
        <f>IFERROR(__xludf.DUMMYFUNCTION("""COMPUTED_VALUE"""),17611.0)</f>
        <v>17611</v>
      </c>
      <c r="H1460" s="2" t="str">
        <f>IFERROR(__xludf.DUMMYFUNCTION("""COMPUTED_VALUE"""),"United Kingdom")</f>
        <v>United Kingdom</v>
      </c>
      <c r="I1460" s="7">
        <f>IFERROR(__xludf.DUMMYFUNCTION("""COMPUTED_VALUE"""),40148.0)</f>
        <v>40148</v>
      </c>
      <c r="J1460" s="8">
        <f>IFERROR(__xludf.DUMMYFUNCTION("""COMPUTED_VALUE"""),0.5618055555569299)</f>
        <v>0.5618055556</v>
      </c>
      <c r="K1460" s="2">
        <f>IFERROR(__xludf.DUMMYFUNCTION("""COMPUTED_VALUE"""),13.0)</f>
        <v>13</v>
      </c>
      <c r="L1460" s="2">
        <f>IFERROR(__xludf.DUMMYFUNCTION("""COMPUTED_VALUE"""),7.5)</f>
        <v>7.5</v>
      </c>
    </row>
    <row r="1461">
      <c r="A1461" s="2">
        <f>IFERROR(__xludf.DUMMYFUNCTION("""COMPUTED_VALUE"""),489572.0)</f>
        <v>489572</v>
      </c>
      <c r="B1461" s="2" t="str">
        <f>IFERROR(__xludf.DUMMYFUNCTION("""COMPUTED_VALUE"""),"84977")</f>
        <v>84977</v>
      </c>
      <c r="C1461" s="2" t="str">
        <f>IFERROR(__xludf.DUMMYFUNCTION("""COMPUTED_VALUE"""),"WIRE FLOWER T-LIGHT HOLDER")</f>
        <v>WIRE FLOWER T-LIGHT HOLDER</v>
      </c>
      <c r="D1461" s="2">
        <f>IFERROR(__xludf.DUMMYFUNCTION("""COMPUTED_VALUE"""),6.0)</f>
        <v>6</v>
      </c>
      <c r="E1461" s="6">
        <f>IFERROR(__xludf.DUMMYFUNCTION("""COMPUTED_VALUE"""),40148.56180555555)</f>
        <v>40148.56181</v>
      </c>
      <c r="F1461" s="2">
        <f>IFERROR(__xludf.DUMMYFUNCTION("""COMPUTED_VALUE"""),1.25)</f>
        <v>1.25</v>
      </c>
      <c r="G1461" s="2">
        <f>IFERROR(__xludf.DUMMYFUNCTION("""COMPUTED_VALUE"""),17611.0)</f>
        <v>17611</v>
      </c>
      <c r="H1461" s="2" t="str">
        <f>IFERROR(__xludf.DUMMYFUNCTION("""COMPUTED_VALUE"""),"United Kingdom")</f>
        <v>United Kingdom</v>
      </c>
      <c r="I1461" s="7">
        <f>IFERROR(__xludf.DUMMYFUNCTION("""COMPUTED_VALUE"""),40148.0)</f>
        <v>40148</v>
      </c>
      <c r="J1461" s="8">
        <f>IFERROR(__xludf.DUMMYFUNCTION("""COMPUTED_VALUE"""),0.5618055555569299)</f>
        <v>0.5618055556</v>
      </c>
      <c r="K1461" s="2">
        <f>IFERROR(__xludf.DUMMYFUNCTION("""COMPUTED_VALUE"""),13.0)</f>
        <v>13</v>
      </c>
      <c r="L1461" s="2">
        <f>IFERROR(__xludf.DUMMYFUNCTION("""COMPUTED_VALUE"""),7.5)</f>
        <v>7.5</v>
      </c>
    </row>
    <row r="1462">
      <c r="A1462" s="2">
        <f>IFERROR(__xludf.DUMMYFUNCTION("""COMPUTED_VALUE"""),489572.0)</f>
        <v>489572</v>
      </c>
      <c r="B1462" s="2" t="str">
        <f>IFERROR(__xludf.DUMMYFUNCTION("""COMPUTED_VALUE"""),"21034")</f>
        <v>21034</v>
      </c>
      <c r="C1462" s="2" t="str">
        <f>IFERROR(__xludf.DUMMYFUNCTION("""COMPUTED_VALUE"""),"REX CASH+CARRY JUMBO SHOPPER")</f>
        <v>REX CASH+CARRY JUMBO SHOPPER</v>
      </c>
      <c r="D1462" s="2">
        <f>IFERROR(__xludf.DUMMYFUNCTION("""COMPUTED_VALUE"""),1.0)</f>
        <v>1</v>
      </c>
      <c r="E1462" s="6">
        <f>IFERROR(__xludf.DUMMYFUNCTION("""COMPUTED_VALUE"""),40148.56180555555)</f>
        <v>40148.56181</v>
      </c>
      <c r="F1462" s="2">
        <f>IFERROR(__xludf.DUMMYFUNCTION("""COMPUTED_VALUE"""),0.95)</f>
        <v>0.95</v>
      </c>
      <c r="G1462" s="2">
        <f>IFERROR(__xludf.DUMMYFUNCTION("""COMPUTED_VALUE"""),17611.0)</f>
        <v>17611</v>
      </c>
      <c r="H1462" s="2" t="str">
        <f>IFERROR(__xludf.DUMMYFUNCTION("""COMPUTED_VALUE"""),"United Kingdom")</f>
        <v>United Kingdom</v>
      </c>
      <c r="I1462" s="7">
        <f>IFERROR(__xludf.DUMMYFUNCTION("""COMPUTED_VALUE"""),40148.0)</f>
        <v>40148</v>
      </c>
      <c r="J1462" s="8">
        <f>IFERROR(__xludf.DUMMYFUNCTION("""COMPUTED_VALUE"""),0.5618055555569299)</f>
        <v>0.5618055556</v>
      </c>
      <c r="K1462" s="2">
        <f>IFERROR(__xludf.DUMMYFUNCTION("""COMPUTED_VALUE"""),13.0)</f>
        <v>13</v>
      </c>
      <c r="L1462" s="2">
        <f>IFERROR(__xludf.DUMMYFUNCTION("""COMPUTED_VALUE"""),0.95)</f>
        <v>0.95</v>
      </c>
    </row>
    <row r="1463">
      <c r="A1463" s="2">
        <f>IFERROR(__xludf.DUMMYFUNCTION("""COMPUTED_VALUE"""),489572.0)</f>
        <v>489572</v>
      </c>
      <c r="B1463" s="2" t="str">
        <f>IFERROR(__xludf.DUMMYFUNCTION("""COMPUTED_VALUE"""),"22178")</f>
        <v>22178</v>
      </c>
      <c r="C1463" s="2" t="str">
        <f>IFERROR(__xludf.DUMMYFUNCTION("""COMPUTED_VALUE"""),"VICTORIAN GLASS HANGING T-LIGHT")</f>
        <v>VICTORIAN GLASS HANGING T-LIGHT</v>
      </c>
      <c r="D1463" s="2">
        <f>IFERROR(__xludf.DUMMYFUNCTION("""COMPUTED_VALUE"""),6.0)</f>
        <v>6</v>
      </c>
      <c r="E1463" s="6">
        <f>IFERROR(__xludf.DUMMYFUNCTION("""COMPUTED_VALUE"""),40148.56180555555)</f>
        <v>40148.56181</v>
      </c>
      <c r="F1463" s="2">
        <f>IFERROR(__xludf.DUMMYFUNCTION("""COMPUTED_VALUE"""),1.25)</f>
        <v>1.25</v>
      </c>
      <c r="G1463" s="2">
        <f>IFERROR(__xludf.DUMMYFUNCTION("""COMPUTED_VALUE"""),17611.0)</f>
        <v>17611</v>
      </c>
      <c r="H1463" s="2" t="str">
        <f>IFERROR(__xludf.DUMMYFUNCTION("""COMPUTED_VALUE"""),"United Kingdom")</f>
        <v>United Kingdom</v>
      </c>
      <c r="I1463" s="7">
        <f>IFERROR(__xludf.DUMMYFUNCTION("""COMPUTED_VALUE"""),40148.0)</f>
        <v>40148</v>
      </c>
      <c r="J1463" s="8">
        <f>IFERROR(__xludf.DUMMYFUNCTION("""COMPUTED_VALUE"""),0.5618055555569299)</f>
        <v>0.5618055556</v>
      </c>
      <c r="K1463" s="2">
        <f>IFERROR(__xludf.DUMMYFUNCTION("""COMPUTED_VALUE"""),13.0)</f>
        <v>13</v>
      </c>
      <c r="L1463" s="2">
        <f>IFERROR(__xludf.DUMMYFUNCTION("""COMPUTED_VALUE"""),7.5)</f>
        <v>7.5</v>
      </c>
    </row>
    <row r="1464">
      <c r="A1464" s="2">
        <f>IFERROR(__xludf.DUMMYFUNCTION("""COMPUTED_VALUE"""),489572.0)</f>
        <v>489572</v>
      </c>
      <c r="B1464" s="2" t="str">
        <f>IFERROR(__xludf.DUMMYFUNCTION("""COMPUTED_VALUE"""),"21314")</f>
        <v>21314</v>
      </c>
      <c r="C1464" s="2" t="str">
        <f>IFERROR(__xludf.DUMMYFUNCTION("""COMPUTED_VALUE"""),"SMALL GLASS HEART TRINKET POT")</f>
        <v>SMALL GLASS HEART TRINKET POT</v>
      </c>
      <c r="D1464" s="2">
        <f>IFERROR(__xludf.DUMMYFUNCTION("""COMPUTED_VALUE"""),4.0)</f>
        <v>4</v>
      </c>
      <c r="E1464" s="6">
        <f>IFERROR(__xludf.DUMMYFUNCTION("""COMPUTED_VALUE"""),40148.56180555555)</f>
        <v>40148.56181</v>
      </c>
      <c r="F1464" s="2">
        <f>IFERROR(__xludf.DUMMYFUNCTION("""COMPUTED_VALUE"""),2.1)</f>
        <v>2.1</v>
      </c>
      <c r="G1464" s="2">
        <f>IFERROR(__xludf.DUMMYFUNCTION("""COMPUTED_VALUE"""),17611.0)</f>
        <v>17611</v>
      </c>
      <c r="H1464" s="2" t="str">
        <f>IFERROR(__xludf.DUMMYFUNCTION("""COMPUTED_VALUE"""),"United Kingdom")</f>
        <v>United Kingdom</v>
      </c>
      <c r="I1464" s="7">
        <f>IFERROR(__xludf.DUMMYFUNCTION("""COMPUTED_VALUE"""),40148.0)</f>
        <v>40148</v>
      </c>
      <c r="J1464" s="8">
        <f>IFERROR(__xludf.DUMMYFUNCTION("""COMPUTED_VALUE"""),0.5618055555569299)</f>
        <v>0.5618055556</v>
      </c>
      <c r="K1464" s="2">
        <f>IFERROR(__xludf.DUMMYFUNCTION("""COMPUTED_VALUE"""),13.0)</f>
        <v>13</v>
      </c>
      <c r="L1464" s="2">
        <f>IFERROR(__xludf.DUMMYFUNCTION("""COMPUTED_VALUE"""),8.4)</f>
        <v>8.4</v>
      </c>
    </row>
    <row r="1465">
      <c r="A1465" s="2">
        <f>IFERROR(__xludf.DUMMYFUNCTION("""COMPUTED_VALUE"""),489572.0)</f>
        <v>489572</v>
      </c>
      <c r="B1465" s="2" t="str">
        <f>IFERROR(__xludf.DUMMYFUNCTION("""COMPUTED_VALUE"""),"84975")</f>
        <v>84975</v>
      </c>
      <c r="C1465" s="2" t="str">
        <f>IFERROR(__xludf.DUMMYFUNCTION("""COMPUTED_VALUE"""),"HEART SHAPED MIRROR")</f>
        <v>HEART SHAPED MIRROR</v>
      </c>
      <c r="D1465" s="2">
        <f>IFERROR(__xludf.DUMMYFUNCTION("""COMPUTED_VALUE"""),6.0)</f>
        <v>6</v>
      </c>
      <c r="E1465" s="6">
        <f>IFERROR(__xludf.DUMMYFUNCTION("""COMPUTED_VALUE"""),40148.56180555555)</f>
        <v>40148.56181</v>
      </c>
      <c r="F1465" s="2">
        <f>IFERROR(__xludf.DUMMYFUNCTION("""COMPUTED_VALUE"""),1.69)</f>
        <v>1.69</v>
      </c>
      <c r="G1465" s="2">
        <f>IFERROR(__xludf.DUMMYFUNCTION("""COMPUTED_VALUE"""),17611.0)</f>
        <v>17611</v>
      </c>
      <c r="H1465" s="2" t="str">
        <f>IFERROR(__xludf.DUMMYFUNCTION("""COMPUTED_VALUE"""),"United Kingdom")</f>
        <v>United Kingdom</v>
      </c>
      <c r="I1465" s="7">
        <f>IFERROR(__xludf.DUMMYFUNCTION("""COMPUTED_VALUE"""),40148.0)</f>
        <v>40148</v>
      </c>
      <c r="J1465" s="8">
        <f>IFERROR(__xludf.DUMMYFUNCTION("""COMPUTED_VALUE"""),0.5618055555569299)</f>
        <v>0.5618055556</v>
      </c>
      <c r="K1465" s="2">
        <f>IFERROR(__xludf.DUMMYFUNCTION("""COMPUTED_VALUE"""),13.0)</f>
        <v>13</v>
      </c>
      <c r="L1465" s="2">
        <f>IFERROR(__xludf.DUMMYFUNCTION("""COMPUTED_VALUE"""),10.14)</f>
        <v>10.14</v>
      </c>
    </row>
    <row r="1466">
      <c r="A1466" s="2">
        <f>IFERROR(__xludf.DUMMYFUNCTION("""COMPUTED_VALUE"""),489572.0)</f>
        <v>489572</v>
      </c>
      <c r="B1466" s="2" t="str">
        <f>IFERROR(__xludf.DUMMYFUNCTION("""COMPUTED_VALUE"""),"21949")</f>
        <v>21949</v>
      </c>
      <c r="C1466" s="2" t="str">
        <f>IFERROR(__xludf.DUMMYFUNCTION("""COMPUTED_VALUE"""),"SET OF 6 STRAWBERRY CHOPSTICKS")</f>
        <v>SET OF 6 STRAWBERRY CHOPSTICKS</v>
      </c>
      <c r="D1466" s="2">
        <f>IFERROR(__xludf.DUMMYFUNCTION("""COMPUTED_VALUE"""),1.0)</f>
        <v>1</v>
      </c>
      <c r="E1466" s="6">
        <f>IFERROR(__xludf.DUMMYFUNCTION("""COMPUTED_VALUE"""),40148.56180555555)</f>
        <v>40148.56181</v>
      </c>
      <c r="F1466" s="2">
        <f>IFERROR(__xludf.DUMMYFUNCTION("""COMPUTED_VALUE"""),1.25)</f>
        <v>1.25</v>
      </c>
      <c r="G1466" s="2">
        <f>IFERROR(__xludf.DUMMYFUNCTION("""COMPUTED_VALUE"""),17611.0)</f>
        <v>17611</v>
      </c>
      <c r="H1466" s="2" t="str">
        <f>IFERROR(__xludf.DUMMYFUNCTION("""COMPUTED_VALUE"""),"United Kingdom")</f>
        <v>United Kingdom</v>
      </c>
      <c r="I1466" s="7">
        <f>IFERROR(__xludf.DUMMYFUNCTION("""COMPUTED_VALUE"""),40148.0)</f>
        <v>40148</v>
      </c>
      <c r="J1466" s="8">
        <f>IFERROR(__xludf.DUMMYFUNCTION("""COMPUTED_VALUE"""),0.5618055555569299)</f>
        <v>0.5618055556</v>
      </c>
      <c r="K1466" s="2">
        <f>IFERROR(__xludf.DUMMYFUNCTION("""COMPUTED_VALUE"""),13.0)</f>
        <v>13</v>
      </c>
      <c r="L1466" s="2">
        <f>IFERROR(__xludf.DUMMYFUNCTION("""COMPUTED_VALUE"""),1.25)</f>
        <v>1.25</v>
      </c>
    </row>
    <row r="1467">
      <c r="A1467" s="2">
        <f>IFERROR(__xludf.DUMMYFUNCTION("""COMPUTED_VALUE"""),489572.0)</f>
        <v>489572</v>
      </c>
      <c r="B1467" s="2" t="str">
        <f>IFERROR(__xludf.DUMMYFUNCTION("""COMPUTED_VALUE"""),"21948")</f>
        <v>21948</v>
      </c>
      <c r="C1467" s="2" t="str">
        <f>IFERROR(__xludf.DUMMYFUNCTION("""COMPUTED_VALUE"""),"SET OF 6 CAKE CHOPSTICKS")</f>
        <v>SET OF 6 CAKE CHOPSTICKS</v>
      </c>
      <c r="D1467" s="2">
        <f>IFERROR(__xludf.DUMMYFUNCTION("""COMPUTED_VALUE"""),5.0)</f>
        <v>5</v>
      </c>
      <c r="E1467" s="6">
        <f>IFERROR(__xludf.DUMMYFUNCTION("""COMPUTED_VALUE"""),40148.56180555555)</f>
        <v>40148.56181</v>
      </c>
      <c r="F1467" s="2">
        <f>IFERROR(__xludf.DUMMYFUNCTION("""COMPUTED_VALUE"""),1.25)</f>
        <v>1.25</v>
      </c>
      <c r="G1467" s="2">
        <f>IFERROR(__xludf.DUMMYFUNCTION("""COMPUTED_VALUE"""),17611.0)</f>
        <v>17611</v>
      </c>
      <c r="H1467" s="2" t="str">
        <f>IFERROR(__xludf.DUMMYFUNCTION("""COMPUTED_VALUE"""),"United Kingdom")</f>
        <v>United Kingdom</v>
      </c>
      <c r="I1467" s="7">
        <f>IFERROR(__xludf.DUMMYFUNCTION("""COMPUTED_VALUE"""),40148.0)</f>
        <v>40148</v>
      </c>
      <c r="J1467" s="8">
        <f>IFERROR(__xludf.DUMMYFUNCTION("""COMPUTED_VALUE"""),0.5618055555569299)</f>
        <v>0.5618055556</v>
      </c>
      <c r="K1467" s="2">
        <f>IFERROR(__xludf.DUMMYFUNCTION("""COMPUTED_VALUE"""),13.0)</f>
        <v>13</v>
      </c>
      <c r="L1467" s="2">
        <f>IFERROR(__xludf.DUMMYFUNCTION("""COMPUTED_VALUE"""),6.25)</f>
        <v>6.25</v>
      </c>
    </row>
    <row r="1468">
      <c r="A1468" s="2">
        <f>IFERROR(__xludf.DUMMYFUNCTION("""COMPUTED_VALUE"""),489572.0)</f>
        <v>489572</v>
      </c>
      <c r="B1468" s="2" t="str">
        <f>IFERROR(__xludf.DUMMYFUNCTION("""COMPUTED_VALUE"""),"21947")</f>
        <v>21947</v>
      </c>
      <c r="C1468" s="2" t="str">
        <f>IFERROR(__xludf.DUMMYFUNCTION("""COMPUTED_VALUE"""),"SET OF 6 HEART CHOPSTICKS")</f>
        <v>SET OF 6 HEART CHOPSTICKS</v>
      </c>
      <c r="D1468" s="2">
        <f>IFERROR(__xludf.DUMMYFUNCTION("""COMPUTED_VALUE"""),3.0)</f>
        <v>3</v>
      </c>
      <c r="E1468" s="6">
        <f>IFERROR(__xludf.DUMMYFUNCTION("""COMPUTED_VALUE"""),40148.56180555555)</f>
        <v>40148.56181</v>
      </c>
      <c r="F1468" s="2">
        <f>IFERROR(__xludf.DUMMYFUNCTION("""COMPUTED_VALUE"""),1.25)</f>
        <v>1.25</v>
      </c>
      <c r="G1468" s="2">
        <f>IFERROR(__xludf.DUMMYFUNCTION("""COMPUTED_VALUE"""),17611.0)</f>
        <v>17611</v>
      </c>
      <c r="H1468" s="2" t="str">
        <f>IFERROR(__xludf.DUMMYFUNCTION("""COMPUTED_VALUE"""),"United Kingdom")</f>
        <v>United Kingdom</v>
      </c>
      <c r="I1468" s="7">
        <f>IFERROR(__xludf.DUMMYFUNCTION("""COMPUTED_VALUE"""),40148.0)</f>
        <v>40148</v>
      </c>
      <c r="J1468" s="8">
        <f>IFERROR(__xludf.DUMMYFUNCTION("""COMPUTED_VALUE"""),0.5618055555569299)</f>
        <v>0.5618055556</v>
      </c>
      <c r="K1468" s="2">
        <f>IFERROR(__xludf.DUMMYFUNCTION("""COMPUTED_VALUE"""),13.0)</f>
        <v>13</v>
      </c>
      <c r="L1468" s="2">
        <f>IFERROR(__xludf.DUMMYFUNCTION("""COMPUTED_VALUE"""),3.75)</f>
        <v>3.75</v>
      </c>
    </row>
    <row r="1469">
      <c r="A1469" s="2">
        <f>IFERROR(__xludf.DUMMYFUNCTION("""COMPUTED_VALUE"""),489572.0)</f>
        <v>489572</v>
      </c>
      <c r="B1469" s="2" t="str">
        <f>IFERROR(__xludf.DUMMYFUNCTION("""COMPUTED_VALUE"""),"22079")</f>
        <v>22079</v>
      </c>
      <c r="C1469" s="2" t="str">
        <f>IFERROR(__xludf.DUMMYFUNCTION("""COMPUTED_VALUE"""),"RIBBON REEL HEARTS DESIGN")</f>
        <v>RIBBON REEL HEARTS DESIGN</v>
      </c>
      <c r="D1469" s="2">
        <f>IFERROR(__xludf.DUMMYFUNCTION("""COMPUTED_VALUE"""),5.0)</f>
        <v>5</v>
      </c>
      <c r="E1469" s="6">
        <f>IFERROR(__xludf.DUMMYFUNCTION("""COMPUTED_VALUE"""),40148.56180555555)</f>
        <v>40148.56181</v>
      </c>
      <c r="F1469" s="2">
        <f>IFERROR(__xludf.DUMMYFUNCTION("""COMPUTED_VALUE"""),1.65)</f>
        <v>1.65</v>
      </c>
      <c r="G1469" s="2">
        <f>IFERROR(__xludf.DUMMYFUNCTION("""COMPUTED_VALUE"""),17611.0)</f>
        <v>17611</v>
      </c>
      <c r="H1469" s="2" t="str">
        <f>IFERROR(__xludf.DUMMYFUNCTION("""COMPUTED_VALUE"""),"United Kingdom")</f>
        <v>United Kingdom</v>
      </c>
      <c r="I1469" s="7">
        <f>IFERROR(__xludf.DUMMYFUNCTION("""COMPUTED_VALUE"""),40148.0)</f>
        <v>40148</v>
      </c>
      <c r="J1469" s="8">
        <f>IFERROR(__xludf.DUMMYFUNCTION("""COMPUTED_VALUE"""),0.5618055555569299)</f>
        <v>0.5618055556</v>
      </c>
      <c r="K1469" s="2">
        <f>IFERROR(__xludf.DUMMYFUNCTION("""COMPUTED_VALUE"""),13.0)</f>
        <v>13</v>
      </c>
      <c r="L1469" s="2">
        <f>IFERROR(__xludf.DUMMYFUNCTION("""COMPUTED_VALUE"""),8.25)</f>
        <v>8.25</v>
      </c>
    </row>
    <row r="1470">
      <c r="A1470" s="2">
        <f>IFERROR(__xludf.DUMMYFUNCTION("""COMPUTED_VALUE"""),489572.0)</f>
        <v>489572</v>
      </c>
      <c r="B1470" s="2" t="str">
        <f>IFERROR(__xludf.DUMMYFUNCTION("""COMPUTED_VALUE"""),"22080")</f>
        <v>22080</v>
      </c>
      <c r="C1470" s="2" t="str">
        <f>IFERROR(__xludf.DUMMYFUNCTION("""COMPUTED_VALUE"""),"RIBBON REEL SPOTS DESIGN")</f>
        <v>RIBBON REEL SPOTS DESIGN</v>
      </c>
      <c r="D1470" s="2">
        <f>IFERROR(__xludf.DUMMYFUNCTION("""COMPUTED_VALUE"""),5.0)</f>
        <v>5</v>
      </c>
      <c r="E1470" s="6">
        <f>IFERROR(__xludf.DUMMYFUNCTION("""COMPUTED_VALUE"""),40148.56180555555)</f>
        <v>40148.56181</v>
      </c>
      <c r="F1470" s="2">
        <f>IFERROR(__xludf.DUMMYFUNCTION("""COMPUTED_VALUE"""),1.65)</f>
        <v>1.65</v>
      </c>
      <c r="G1470" s="2">
        <f>IFERROR(__xludf.DUMMYFUNCTION("""COMPUTED_VALUE"""),17611.0)</f>
        <v>17611</v>
      </c>
      <c r="H1470" s="2" t="str">
        <f>IFERROR(__xludf.DUMMYFUNCTION("""COMPUTED_VALUE"""),"United Kingdom")</f>
        <v>United Kingdom</v>
      </c>
      <c r="I1470" s="7">
        <f>IFERROR(__xludf.DUMMYFUNCTION("""COMPUTED_VALUE"""),40148.0)</f>
        <v>40148</v>
      </c>
      <c r="J1470" s="8">
        <f>IFERROR(__xludf.DUMMYFUNCTION("""COMPUTED_VALUE"""),0.5618055555569299)</f>
        <v>0.5618055556</v>
      </c>
      <c r="K1470" s="2">
        <f>IFERROR(__xludf.DUMMYFUNCTION("""COMPUTED_VALUE"""),13.0)</f>
        <v>13</v>
      </c>
      <c r="L1470" s="2">
        <f>IFERROR(__xludf.DUMMYFUNCTION("""COMPUTED_VALUE"""),8.25)</f>
        <v>8.25</v>
      </c>
    </row>
    <row r="1471">
      <c r="A1471" s="2">
        <f>IFERROR(__xludf.DUMMYFUNCTION("""COMPUTED_VALUE"""),489572.0)</f>
        <v>489572</v>
      </c>
      <c r="B1471" s="2" t="str">
        <f>IFERROR(__xludf.DUMMYFUNCTION("""COMPUTED_VALUE"""),"22082")</f>
        <v>22082</v>
      </c>
      <c r="C1471" s="2" t="str">
        <f>IFERROR(__xludf.DUMMYFUNCTION("""COMPUTED_VALUE"""),"RIBBON REEL STRIPES DESIGN")</f>
        <v>RIBBON REEL STRIPES DESIGN</v>
      </c>
      <c r="D1471" s="2">
        <f>IFERROR(__xludf.DUMMYFUNCTION("""COMPUTED_VALUE"""),5.0)</f>
        <v>5</v>
      </c>
      <c r="E1471" s="6">
        <f>IFERROR(__xludf.DUMMYFUNCTION("""COMPUTED_VALUE"""),40148.56180555555)</f>
        <v>40148.56181</v>
      </c>
      <c r="F1471" s="2">
        <f>IFERROR(__xludf.DUMMYFUNCTION("""COMPUTED_VALUE"""),1.65)</f>
        <v>1.65</v>
      </c>
      <c r="G1471" s="2">
        <f>IFERROR(__xludf.DUMMYFUNCTION("""COMPUTED_VALUE"""),17611.0)</f>
        <v>17611</v>
      </c>
      <c r="H1471" s="2" t="str">
        <f>IFERROR(__xludf.DUMMYFUNCTION("""COMPUTED_VALUE"""),"United Kingdom")</f>
        <v>United Kingdom</v>
      </c>
      <c r="I1471" s="7">
        <f>IFERROR(__xludf.DUMMYFUNCTION("""COMPUTED_VALUE"""),40148.0)</f>
        <v>40148</v>
      </c>
      <c r="J1471" s="8">
        <f>IFERROR(__xludf.DUMMYFUNCTION("""COMPUTED_VALUE"""),0.5618055555569299)</f>
        <v>0.5618055556</v>
      </c>
      <c r="K1471" s="2">
        <f>IFERROR(__xludf.DUMMYFUNCTION("""COMPUTED_VALUE"""),13.0)</f>
        <v>13</v>
      </c>
      <c r="L1471" s="2">
        <f>IFERROR(__xludf.DUMMYFUNCTION("""COMPUTED_VALUE"""),8.25)</f>
        <v>8.25</v>
      </c>
    </row>
    <row r="1472">
      <c r="A1472" s="2">
        <f>IFERROR(__xludf.DUMMYFUNCTION("""COMPUTED_VALUE"""),489572.0)</f>
        <v>489572</v>
      </c>
      <c r="B1472" s="2" t="str">
        <f>IFERROR(__xludf.DUMMYFUNCTION("""COMPUTED_VALUE"""),"21538")</f>
        <v>21538</v>
      </c>
      <c r="C1472" s="2" t="str">
        <f>IFERROR(__xludf.DUMMYFUNCTION("""COMPUTED_VALUE"""),"DAIRY MAID PUDDING BOWL")</f>
        <v>DAIRY MAID PUDDING BOWL</v>
      </c>
      <c r="D1472" s="2">
        <f>IFERROR(__xludf.DUMMYFUNCTION("""COMPUTED_VALUE"""),2.0)</f>
        <v>2</v>
      </c>
      <c r="E1472" s="6">
        <f>IFERROR(__xludf.DUMMYFUNCTION("""COMPUTED_VALUE"""),40148.56180555555)</f>
        <v>40148.56181</v>
      </c>
      <c r="F1472" s="2">
        <f>IFERROR(__xludf.DUMMYFUNCTION("""COMPUTED_VALUE"""),3.75)</f>
        <v>3.75</v>
      </c>
      <c r="G1472" s="2">
        <f>IFERROR(__xludf.DUMMYFUNCTION("""COMPUTED_VALUE"""),17611.0)</f>
        <v>17611</v>
      </c>
      <c r="H1472" s="2" t="str">
        <f>IFERROR(__xludf.DUMMYFUNCTION("""COMPUTED_VALUE"""),"United Kingdom")</f>
        <v>United Kingdom</v>
      </c>
      <c r="I1472" s="7">
        <f>IFERROR(__xludf.DUMMYFUNCTION("""COMPUTED_VALUE"""),40148.0)</f>
        <v>40148</v>
      </c>
      <c r="J1472" s="8">
        <f>IFERROR(__xludf.DUMMYFUNCTION("""COMPUTED_VALUE"""),0.5618055555569299)</f>
        <v>0.5618055556</v>
      </c>
      <c r="K1472" s="2">
        <f>IFERROR(__xludf.DUMMYFUNCTION("""COMPUTED_VALUE"""),13.0)</f>
        <v>13</v>
      </c>
      <c r="L1472" s="2">
        <f>IFERROR(__xludf.DUMMYFUNCTION("""COMPUTED_VALUE"""),7.5)</f>
        <v>7.5</v>
      </c>
    </row>
    <row r="1473">
      <c r="A1473" s="2">
        <f>IFERROR(__xludf.DUMMYFUNCTION("""COMPUTED_VALUE"""),489572.0)</f>
        <v>489572</v>
      </c>
      <c r="B1473" s="2" t="str">
        <f>IFERROR(__xludf.DUMMYFUNCTION("""COMPUTED_VALUE"""),"21534")</f>
        <v>21534</v>
      </c>
      <c r="C1473" s="2" t="str">
        <f>IFERROR(__xludf.DUMMYFUNCTION("""COMPUTED_VALUE"""),"DAIRY MAID LARGE MILK JUG")</f>
        <v>DAIRY MAID LARGE MILK JUG</v>
      </c>
      <c r="D1473" s="2">
        <f>IFERROR(__xludf.DUMMYFUNCTION("""COMPUTED_VALUE"""),2.0)</f>
        <v>2</v>
      </c>
      <c r="E1473" s="6">
        <f>IFERROR(__xludf.DUMMYFUNCTION("""COMPUTED_VALUE"""),40148.56180555555)</f>
        <v>40148.56181</v>
      </c>
      <c r="F1473" s="2">
        <f>IFERROR(__xludf.DUMMYFUNCTION("""COMPUTED_VALUE"""),4.95)</f>
        <v>4.95</v>
      </c>
      <c r="G1473" s="2">
        <f>IFERROR(__xludf.DUMMYFUNCTION("""COMPUTED_VALUE"""),17611.0)</f>
        <v>17611</v>
      </c>
      <c r="H1473" s="2" t="str">
        <f>IFERROR(__xludf.DUMMYFUNCTION("""COMPUTED_VALUE"""),"United Kingdom")</f>
        <v>United Kingdom</v>
      </c>
      <c r="I1473" s="7">
        <f>IFERROR(__xludf.DUMMYFUNCTION("""COMPUTED_VALUE"""),40148.0)</f>
        <v>40148</v>
      </c>
      <c r="J1473" s="8">
        <f>IFERROR(__xludf.DUMMYFUNCTION("""COMPUTED_VALUE"""),0.5618055555569299)</f>
        <v>0.5618055556</v>
      </c>
      <c r="K1473" s="2">
        <f>IFERROR(__xludf.DUMMYFUNCTION("""COMPUTED_VALUE"""),13.0)</f>
        <v>13</v>
      </c>
      <c r="L1473" s="2">
        <f>IFERROR(__xludf.DUMMYFUNCTION("""COMPUTED_VALUE"""),9.9)</f>
        <v>9.9</v>
      </c>
    </row>
    <row r="1474">
      <c r="A1474" s="2">
        <f>IFERROR(__xludf.DUMMYFUNCTION("""COMPUTED_VALUE"""),489572.0)</f>
        <v>489572</v>
      </c>
      <c r="B1474" s="2" t="str">
        <f>IFERROR(__xludf.DUMMYFUNCTION("""COMPUTED_VALUE"""),"21528")</f>
        <v>21528</v>
      </c>
      <c r="C1474" s="2" t="str">
        <f>IFERROR(__xludf.DUMMYFUNCTION("""COMPUTED_VALUE"""),"DAIRY MAID TRADITIONAL TEAPOT")</f>
        <v>DAIRY MAID TRADITIONAL TEAPOT</v>
      </c>
      <c r="D1474" s="2">
        <f>IFERROR(__xludf.DUMMYFUNCTION("""COMPUTED_VALUE"""),2.0)</f>
        <v>2</v>
      </c>
      <c r="E1474" s="6">
        <f>IFERROR(__xludf.DUMMYFUNCTION("""COMPUTED_VALUE"""),40148.56180555555)</f>
        <v>40148.56181</v>
      </c>
      <c r="F1474" s="2">
        <f>IFERROR(__xludf.DUMMYFUNCTION("""COMPUTED_VALUE"""),6.95)</f>
        <v>6.95</v>
      </c>
      <c r="G1474" s="2">
        <f>IFERROR(__xludf.DUMMYFUNCTION("""COMPUTED_VALUE"""),17611.0)</f>
        <v>17611</v>
      </c>
      <c r="H1474" s="2" t="str">
        <f>IFERROR(__xludf.DUMMYFUNCTION("""COMPUTED_VALUE"""),"United Kingdom")</f>
        <v>United Kingdom</v>
      </c>
      <c r="I1474" s="7">
        <f>IFERROR(__xludf.DUMMYFUNCTION("""COMPUTED_VALUE"""),40148.0)</f>
        <v>40148</v>
      </c>
      <c r="J1474" s="8">
        <f>IFERROR(__xludf.DUMMYFUNCTION("""COMPUTED_VALUE"""),0.5618055555569299)</f>
        <v>0.5618055556</v>
      </c>
      <c r="K1474" s="2">
        <f>IFERROR(__xludf.DUMMYFUNCTION("""COMPUTED_VALUE"""),13.0)</f>
        <v>13</v>
      </c>
      <c r="L1474" s="2">
        <f>IFERROR(__xludf.DUMMYFUNCTION("""COMPUTED_VALUE"""),13.9)</f>
        <v>13.9</v>
      </c>
    </row>
    <row r="1475">
      <c r="A1475" s="2">
        <f>IFERROR(__xludf.DUMMYFUNCTION("""COMPUTED_VALUE"""),489572.0)</f>
        <v>489572</v>
      </c>
      <c r="B1475" s="2" t="str">
        <f>IFERROR(__xludf.DUMMYFUNCTION("""COMPUTED_VALUE"""),"21548")</f>
        <v>21548</v>
      </c>
      <c r="C1475" s="2" t="str">
        <f>IFERROR(__xludf.DUMMYFUNCTION("""COMPUTED_VALUE"""),"CERAMIC BIRDHOUSE FINCH BLUE ROOF")</f>
        <v>CERAMIC BIRDHOUSE FINCH BLUE ROOF</v>
      </c>
      <c r="D1475" s="2">
        <f>IFERROR(__xludf.DUMMYFUNCTION("""COMPUTED_VALUE"""),1.0)</f>
        <v>1</v>
      </c>
      <c r="E1475" s="6">
        <f>IFERROR(__xludf.DUMMYFUNCTION("""COMPUTED_VALUE"""),40148.56180555555)</f>
        <v>40148.56181</v>
      </c>
      <c r="F1475" s="2">
        <f>IFERROR(__xludf.DUMMYFUNCTION("""COMPUTED_VALUE"""),2.95)</f>
        <v>2.95</v>
      </c>
      <c r="G1475" s="2">
        <f>IFERROR(__xludf.DUMMYFUNCTION("""COMPUTED_VALUE"""),17611.0)</f>
        <v>17611</v>
      </c>
      <c r="H1475" s="2" t="str">
        <f>IFERROR(__xludf.DUMMYFUNCTION("""COMPUTED_VALUE"""),"United Kingdom")</f>
        <v>United Kingdom</v>
      </c>
      <c r="I1475" s="7">
        <f>IFERROR(__xludf.DUMMYFUNCTION("""COMPUTED_VALUE"""),40148.0)</f>
        <v>40148</v>
      </c>
      <c r="J1475" s="8">
        <f>IFERROR(__xludf.DUMMYFUNCTION("""COMPUTED_VALUE"""),0.5618055555569299)</f>
        <v>0.5618055556</v>
      </c>
      <c r="K1475" s="2">
        <f>IFERROR(__xludf.DUMMYFUNCTION("""COMPUTED_VALUE"""),13.0)</f>
        <v>13</v>
      </c>
      <c r="L1475" s="2">
        <f>IFERROR(__xludf.DUMMYFUNCTION("""COMPUTED_VALUE"""),2.95)</f>
        <v>2.95</v>
      </c>
    </row>
    <row r="1476">
      <c r="A1476" s="2">
        <f>IFERROR(__xludf.DUMMYFUNCTION("""COMPUTED_VALUE"""),489572.0)</f>
        <v>489572</v>
      </c>
      <c r="B1476" s="2" t="str">
        <f>IFERROR(__xludf.DUMMYFUNCTION("""COMPUTED_VALUE"""),"21684")</f>
        <v>21684</v>
      </c>
      <c r="C1476" s="2" t="str">
        <f>IFERROR(__xludf.DUMMYFUNCTION("""COMPUTED_VALUE"""),"SMALL MEDINA STAMPED METAL BOWL")</f>
        <v>SMALL MEDINA STAMPED METAL BOWL</v>
      </c>
      <c r="D1476" s="2">
        <f>IFERROR(__xludf.DUMMYFUNCTION("""COMPUTED_VALUE"""),12.0)</f>
        <v>12</v>
      </c>
      <c r="E1476" s="6">
        <f>IFERROR(__xludf.DUMMYFUNCTION("""COMPUTED_VALUE"""),40148.56180555555)</f>
        <v>40148.56181</v>
      </c>
      <c r="F1476" s="2">
        <f>IFERROR(__xludf.DUMMYFUNCTION("""COMPUTED_VALUE"""),0.85)</f>
        <v>0.85</v>
      </c>
      <c r="G1476" s="2">
        <f>IFERROR(__xludf.DUMMYFUNCTION("""COMPUTED_VALUE"""),17611.0)</f>
        <v>17611</v>
      </c>
      <c r="H1476" s="2" t="str">
        <f>IFERROR(__xludf.DUMMYFUNCTION("""COMPUTED_VALUE"""),"United Kingdom")</f>
        <v>United Kingdom</v>
      </c>
      <c r="I1476" s="7">
        <f>IFERROR(__xludf.DUMMYFUNCTION("""COMPUTED_VALUE"""),40148.0)</f>
        <v>40148</v>
      </c>
      <c r="J1476" s="8">
        <f>IFERROR(__xludf.DUMMYFUNCTION("""COMPUTED_VALUE"""),0.5618055555569299)</f>
        <v>0.5618055556</v>
      </c>
      <c r="K1476" s="2">
        <f>IFERROR(__xludf.DUMMYFUNCTION("""COMPUTED_VALUE"""),13.0)</f>
        <v>13</v>
      </c>
      <c r="L1476" s="2">
        <f>IFERROR(__xludf.DUMMYFUNCTION("""COMPUTED_VALUE"""),10.2)</f>
        <v>10.2</v>
      </c>
    </row>
    <row r="1477">
      <c r="A1477" s="2">
        <f>IFERROR(__xludf.DUMMYFUNCTION("""COMPUTED_VALUE"""),489572.0)</f>
        <v>489572</v>
      </c>
      <c r="B1477" s="2" t="str">
        <f>IFERROR(__xludf.DUMMYFUNCTION("""COMPUTED_VALUE"""),"21549")</f>
        <v>21549</v>
      </c>
      <c r="C1477" s="2" t="str">
        <f>IFERROR(__xludf.DUMMYFUNCTION("""COMPUTED_VALUE"""),"CERAMIC BIRDHOUSE RED ROOF SMALL")</f>
        <v>CERAMIC BIRDHOUSE RED ROOF SMALL</v>
      </c>
      <c r="D1477" s="2">
        <f>IFERROR(__xludf.DUMMYFUNCTION("""COMPUTED_VALUE"""),1.0)</f>
        <v>1</v>
      </c>
      <c r="E1477" s="6">
        <f>IFERROR(__xludf.DUMMYFUNCTION("""COMPUTED_VALUE"""),40148.56180555555)</f>
        <v>40148.56181</v>
      </c>
      <c r="F1477" s="2">
        <f>IFERROR(__xludf.DUMMYFUNCTION("""COMPUTED_VALUE"""),2.95)</f>
        <v>2.95</v>
      </c>
      <c r="G1477" s="2">
        <f>IFERROR(__xludf.DUMMYFUNCTION("""COMPUTED_VALUE"""),17611.0)</f>
        <v>17611</v>
      </c>
      <c r="H1477" s="2" t="str">
        <f>IFERROR(__xludf.DUMMYFUNCTION("""COMPUTED_VALUE"""),"United Kingdom")</f>
        <v>United Kingdom</v>
      </c>
      <c r="I1477" s="7">
        <f>IFERROR(__xludf.DUMMYFUNCTION("""COMPUTED_VALUE"""),40148.0)</f>
        <v>40148</v>
      </c>
      <c r="J1477" s="8">
        <f>IFERROR(__xludf.DUMMYFUNCTION("""COMPUTED_VALUE"""),0.5618055555569299)</f>
        <v>0.5618055556</v>
      </c>
      <c r="K1477" s="2">
        <f>IFERROR(__xludf.DUMMYFUNCTION("""COMPUTED_VALUE"""),13.0)</f>
        <v>13</v>
      </c>
      <c r="L1477" s="2">
        <f>IFERROR(__xludf.DUMMYFUNCTION("""COMPUTED_VALUE"""),2.95)</f>
        <v>2.95</v>
      </c>
    </row>
    <row r="1478">
      <c r="A1478" s="2">
        <f>IFERROR(__xludf.DUMMYFUNCTION("""COMPUTED_VALUE"""),489572.0)</f>
        <v>489572</v>
      </c>
      <c r="B1478" s="2" t="str">
        <f>IFERROR(__xludf.DUMMYFUNCTION("""COMPUTED_VALUE"""),"21545")</f>
        <v>21545</v>
      </c>
      <c r="C1478" s="2" t="str">
        <f>IFERROR(__xludf.DUMMYFUNCTION("""COMPUTED_VALUE"""),"CERAMIC BIRDHOUSE BUTTERFLY SMALL")</f>
        <v>CERAMIC BIRDHOUSE BUTTERFLY SMALL</v>
      </c>
      <c r="D1478" s="2">
        <f>IFERROR(__xludf.DUMMYFUNCTION("""COMPUTED_VALUE"""),1.0)</f>
        <v>1</v>
      </c>
      <c r="E1478" s="6">
        <f>IFERROR(__xludf.DUMMYFUNCTION("""COMPUTED_VALUE"""),40148.56180555555)</f>
        <v>40148.56181</v>
      </c>
      <c r="F1478" s="2">
        <f>IFERROR(__xludf.DUMMYFUNCTION("""COMPUTED_VALUE"""),2.95)</f>
        <v>2.95</v>
      </c>
      <c r="G1478" s="2">
        <f>IFERROR(__xludf.DUMMYFUNCTION("""COMPUTED_VALUE"""),17611.0)</f>
        <v>17611</v>
      </c>
      <c r="H1478" s="2" t="str">
        <f>IFERROR(__xludf.DUMMYFUNCTION("""COMPUTED_VALUE"""),"United Kingdom")</f>
        <v>United Kingdom</v>
      </c>
      <c r="I1478" s="7">
        <f>IFERROR(__xludf.DUMMYFUNCTION("""COMPUTED_VALUE"""),40148.0)</f>
        <v>40148</v>
      </c>
      <c r="J1478" s="8">
        <f>IFERROR(__xludf.DUMMYFUNCTION("""COMPUTED_VALUE"""),0.5618055555569299)</f>
        <v>0.5618055556</v>
      </c>
      <c r="K1478" s="2">
        <f>IFERROR(__xludf.DUMMYFUNCTION("""COMPUTED_VALUE"""),13.0)</f>
        <v>13</v>
      </c>
      <c r="L1478" s="2">
        <f>IFERROR(__xludf.DUMMYFUNCTION("""COMPUTED_VALUE"""),2.95)</f>
        <v>2.95</v>
      </c>
    </row>
    <row r="1479">
      <c r="A1479" s="2">
        <f>IFERROR(__xludf.DUMMYFUNCTION("""COMPUTED_VALUE"""),489572.0)</f>
        <v>489572</v>
      </c>
      <c r="B1479" s="2" t="str">
        <f>IFERROR(__xludf.DUMMYFUNCTION("""COMPUTED_VALUE"""),"21547")</f>
        <v>21547</v>
      </c>
      <c r="C1479" s="2" t="str">
        <f>IFERROR(__xludf.DUMMYFUNCTION("""COMPUTED_VALUE"""),"CERAMIC BIRDHOUSE CRESTED TIT SMALL")</f>
        <v>CERAMIC BIRDHOUSE CRESTED TIT SMALL</v>
      </c>
      <c r="D1479" s="2">
        <f>IFERROR(__xludf.DUMMYFUNCTION("""COMPUTED_VALUE"""),1.0)</f>
        <v>1</v>
      </c>
      <c r="E1479" s="6">
        <f>IFERROR(__xludf.DUMMYFUNCTION("""COMPUTED_VALUE"""),40148.56180555555)</f>
        <v>40148.56181</v>
      </c>
      <c r="F1479" s="2">
        <f>IFERROR(__xludf.DUMMYFUNCTION("""COMPUTED_VALUE"""),2.95)</f>
        <v>2.95</v>
      </c>
      <c r="G1479" s="2">
        <f>IFERROR(__xludf.DUMMYFUNCTION("""COMPUTED_VALUE"""),17611.0)</f>
        <v>17611</v>
      </c>
      <c r="H1479" s="2" t="str">
        <f>IFERROR(__xludf.DUMMYFUNCTION("""COMPUTED_VALUE"""),"United Kingdom")</f>
        <v>United Kingdom</v>
      </c>
      <c r="I1479" s="7">
        <f>IFERROR(__xludf.DUMMYFUNCTION("""COMPUTED_VALUE"""),40148.0)</f>
        <v>40148</v>
      </c>
      <c r="J1479" s="8">
        <f>IFERROR(__xludf.DUMMYFUNCTION("""COMPUTED_VALUE"""),0.5618055555569299)</f>
        <v>0.5618055556</v>
      </c>
      <c r="K1479" s="2">
        <f>IFERROR(__xludf.DUMMYFUNCTION("""COMPUTED_VALUE"""),13.0)</f>
        <v>13</v>
      </c>
      <c r="L1479" s="2">
        <f>IFERROR(__xludf.DUMMYFUNCTION("""COMPUTED_VALUE"""),2.95)</f>
        <v>2.95</v>
      </c>
    </row>
    <row r="1480">
      <c r="A1480" s="2">
        <f>IFERROR(__xludf.DUMMYFUNCTION("""COMPUTED_VALUE"""),489572.0)</f>
        <v>489572</v>
      </c>
      <c r="B1480" s="2" t="str">
        <f>IFERROR(__xludf.DUMMYFUNCTION("""COMPUTED_VALUE"""),"21540")</f>
        <v>21540</v>
      </c>
      <c r="C1480" s="2" t="str">
        <f>IFERROR(__xludf.DUMMYFUNCTION("""COMPUTED_VALUE"""),"DAIRY MAID CERAMIC BUTTER DISH")</f>
        <v>DAIRY MAID CERAMIC BUTTER DISH</v>
      </c>
      <c r="D1480" s="2">
        <f>IFERROR(__xludf.DUMMYFUNCTION("""COMPUTED_VALUE"""),2.0)</f>
        <v>2</v>
      </c>
      <c r="E1480" s="6">
        <f>IFERROR(__xludf.DUMMYFUNCTION("""COMPUTED_VALUE"""),40148.56180555555)</f>
        <v>40148.56181</v>
      </c>
      <c r="F1480" s="2">
        <f>IFERROR(__xludf.DUMMYFUNCTION("""COMPUTED_VALUE"""),4.25)</f>
        <v>4.25</v>
      </c>
      <c r="G1480" s="2">
        <f>IFERROR(__xludf.DUMMYFUNCTION("""COMPUTED_VALUE"""),17611.0)</f>
        <v>17611</v>
      </c>
      <c r="H1480" s="2" t="str">
        <f>IFERROR(__xludf.DUMMYFUNCTION("""COMPUTED_VALUE"""),"United Kingdom")</f>
        <v>United Kingdom</v>
      </c>
      <c r="I1480" s="7">
        <f>IFERROR(__xludf.DUMMYFUNCTION("""COMPUTED_VALUE"""),40148.0)</f>
        <v>40148</v>
      </c>
      <c r="J1480" s="8">
        <f>IFERROR(__xludf.DUMMYFUNCTION("""COMPUTED_VALUE"""),0.5618055555569299)</f>
        <v>0.5618055556</v>
      </c>
      <c r="K1480" s="2">
        <f>IFERROR(__xludf.DUMMYFUNCTION("""COMPUTED_VALUE"""),13.0)</f>
        <v>13</v>
      </c>
      <c r="L1480" s="2">
        <f>IFERROR(__xludf.DUMMYFUNCTION("""COMPUTED_VALUE"""),8.5)</f>
        <v>8.5</v>
      </c>
    </row>
    <row r="1481">
      <c r="A1481" s="2">
        <f>IFERROR(__xludf.DUMMYFUNCTION("""COMPUTED_VALUE"""),489572.0)</f>
        <v>489572</v>
      </c>
      <c r="B1481" s="2" t="str">
        <f>IFERROR(__xludf.DUMMYFUNCTION("""COMPUTED_VALUE"""),"85054")</f>
        <v>85054</v>
      </c>
      <c r="C1481" s="2" t="str">
        <f>IFERROR(__xludf.DUMMYFUNCTION("""COMPUTED_VALUE"""),"FRENCH ENAMEL POT W LID")</f>
        <v>FRENCH ENAMEL POT W LID</v>
      </c>
      <c r="D1481" s="2">
        <f>IFERROR(__xludf.DUMMYFUNCTION("""COMPUTED_VALUE"""),2.0)</f>
        <v>2</v>
      </c>
      <c r="E1481" s="6">
        <f>IFERROR(__xludf.DUMMYFUNCTION("""COMPUTED_VALUE"""),40148.56180555555)</f>
        <v>40148.56181</v>
      </c>
      <c r="F1481" s="2">
        <f>IFERROR(__xludf.DUMMYFUNCTION("""COMPUTED_VALUE"""),2.95)</f>
        <v>2.95</v>
      </c>
      <c r="G1481" s="2">
        <f>IFERROR(__xludf.DUMMYFUNCTION("""COMPUTED_VALUE"""),17611.0)</f>
        <v>17611</v>
      </c>
      <c r="H1481" s="2" t="str">
        <f>IFERROR(__xludf.DUMMYFUNCTION("""COMPUTED_VALUE"""),"United Kingdom")</f>
        <v>United Kingdom</v>
      </c>
      <c r="I1481" s="7">
        <f>IFERROR(__xludf.DUMMYFUNCTION("""COMPUTED_VALUE"""),40148.0)</f>
        <v>40148</v>
      </c>
      <c r="J1481" s="8">
        <f>IFERROR(__xludf.DUMMYFUNCTION("""COMPUTED_VALUE"""),0.5618055555569299)</f>
        <v>0.5618055556</v>
      </c>
      <c r="K1481" s="2">
        <f>IFERROR(__xludf.DUMMYFUNCTION("""COMPUTED_VALUE"""),13.0)</f>
        <v>13</v>
      </c>
      <c r="L1481" s="2">
        <f>IFERROR(__xludf.DUMMYFUNCTION("""COMPUTED_VALUE"""),5.9)</f>
        <v>5.9</v>
      </c>
    </row>
    <row r="1482">
      <c r="A1482" s="2">
        <f>IFERROR(__xludf.DUMMYFUNCTION("""COMPUTED_VALUE"""),489572.0)</f>
        <v>489572</v>
      </c>
      <c r="B1482" s="2" t="str">
        <f>IFERROR(__xludf.DUMMYFUNCTION("""COMPUTED_VALUE"""),"85053")</f>
        <v>85053</v>
      </c>
      <c r="C1482" s="2" t="str">
        <f>IFERROR(__xludf.DUMMYFUNCTION("""COMPUTED_VALUE"""),"FRENCH ENAMEL CANDLEHOLDER")</f>
        <v>FRENCH ENAMEL CANDLEHOLDER</v>
      </c>
      <c r="D1482" s="2">
        <f>IFERROR(__xludf.DUMMYFUNCTION("""COMPUTED_VALUE"""),2.0)</f>
        <v>2</v>
      </c>
      <c r="E1482" s="6">
        <f>IFERROR(__xludf.DUMMYFUNCTION("""COMPUTED_VALUE"""),40148.56180555555)</f>
        <v>40148.56181</v>
      </c>
      <c r="F1482" s="2">
        <f>IFERROR(__xludf.DUMMYFUNCTION("""COMPUTED_VALUE"""),2.1)</f>
        <v>2.1</v>
      </c>
      <c r="G1482" s="2">
        <f>IFERROR(__xludf.DUMMYFUNCTION("""COMPUTED_VALUE"""),17611.0)</f>
        <v>17611</v>
      </c>
      <c r="H1482" s="2" t="str">
        <f>IFERROR(__xludf.DUMMYFUNCTION("""COMPUTED_VALUE"""),"United Kingdom")</f>
        <v>United Kingdom</v>
      </c>
      <c r="I1482" s="7">
        <f>IFERROR(__xludf.DUMMYFUNCTION("""COMPUTED_VALUE"""),40148.0)</f>
        <v>40148</v>
      </c>
      <c r="J1482" s="8">
        <f>IFERROR(__xludf.DUMMYFUNCTION("""COMPUTED_VALUE"""),0.5618055555569299)</f>
        <v>0.5618055556</v>
      </c>
      <c r="K1482" s="2">
        <f>IFERROR(__xludf.DUMMYFUNCTION("""COMPUTED_VALUE"""),13.0)</f>
        <v>13</v>
      </c>
      <c r="L1482" s="2">
        <f>IFERROR(__xludf.DUMMYFUNCTION("""COMPUTED_VALUE"""),4.2)</f>
        <v>4.2</v>
      </c>
    </row>
    <row r="1483">
      <c r="A1483" s="2">
        <f>IFERROR(__xludf.DUMMYFUNCTION("""COMPUTED_VALUE"""),489572.0)</f>
        <v>489572</v>
      </c>
      <c r="B1483" s="2" t="str">
        <f>IFERROR(__xludf.DUMMYFUNCTION("""COMPUTED_VALUE"""),"21532")</f>
        <v>21532</v>
      </c>
      <c r="C1483" s="2" t="str">
        <f>IFERROR(__xludf.DUMMYFUNCTION("""COMPUTED_VALUE"""),"DAIRY MAID SUGAR JAM BOWL")</f>
        <v>DAIRY MAID SUGAR JAM BOWL</v>
      </c>
      <c r="D1483" s="2">
        <f>IFERROR(__xludf.DUMMYFUNCTION("""COMPUTED_VALUE"""),2.0)</f>
        <v>2</v>
      </c>
      <c r="E1483" s="6">
        <f>IFERROR(__xludf.DUMMYFUNCTION("""COMPUTED_VALUE"""),40148.56180555555)</f>
        <v>40148.56181</v>
      </c>
      <c r="F1483" s="2">
        <f>IFERROR(__xludf.DUMMYFUNCTION("""COMPUTED_VALUE"""),2.1)</f>
        <v>2.1</v>
      </c>
      <c r="G1483" s="2">
        <f>IFERROR(__xludf.DUMMYFUNCTION("""COMPUTED_VALUE"""),17611.0)</f>
        <v>17611</v>
      </c>
      <c r="H1483" s="2" t="str">
        <f>IFERROR(__xludf.DUMMYFUNCTION("""COMPUTED_VALUE"""),"United Kingdom")</f>
        <v>United Kingdom</v>
      </c>
      <c r="I1483" s="7">
        <f>IFERROR(__xludf.DUMMYFUNCTION("""COMPUTED_VALUE"""),40148.0)</f>
        <v>40148</v>
      </c>
      <c r="J1483" s="8">
        <f>IFERROR(__xludf.DUMMYFUNCTION("""COMPUTED_VALUE"""),0.5618055555569299)</f>
        <v>0.5618055556</v>
      </c>
      <c r="K1483" s="2">
        <f>IFERROR(__xludf.DUMMYFUNCTION("""COMPUTED_VALUE"""),13.0)</f>
        <v>13</v>
      </c>
      <c r="L1483" s="2">
        <f>IFERROR(__xludf.DUMMYFUNCTION("""COMPUTED_VALUE"""),4.2)</f>
        <v>4.2</v>
      </c>
    </row>
    <row r="1484">
      <c r="A1484" s="2">
        <f>IFERROR(__xludf.DUMMYFUNCTION("""COMPUTED_VALUE"""),489572.0)</f>
        <v>489572</v>
      </c>
      <c r="B1484" s="2" t="str">
        <f>IFERROR(__xludf.DUMMYFUNCTION("""COMPUTED_VALUE"""),"21530")</f>
        <v>21530</v>
      </c>
      <c r="C1484" s="2" t="str">
        <f>IFERROR(__xludf.DUMMYFUNCTION("""COMPUTED_VALUE"""),"DAIRY MAID CERAMIC TOASTRACK")</f>
        <v>DAIRY MAID CERAMIC TOASTRACK</v>
      </c>
      <c r="D1484" s="2">
        <f>IFERROR(__xludf.DUMMYFUNCTION("""COMPUTED_VALUE"""),2.0)</f>
        <v>2</v>
      </c>
      <c r="E1484" s="6">
        <f>IFERROR(__xludf.DUMMYFUNCTION("""COMPUTED_VALUE"""),40148.56180555555)</f>
        <v>40148.56181</v>
      </c>
      <c r="F1484" s="2">
        <f>IFERROR(__xludf.DUMMYFUNCTION("""COMPUTED_VALUE"""),2.95)</f>
        <v>2.95</v>
      </c>
      <c r="G1484" s="2">
        <f>IFERROR(__xludf.DUMMYFUNCTION("""COMPUTED_VALUE"""),17611.0)</f>
        <v>17611</v>
      </c>
      <c r="H1484" s="2" t="str">
        <f>IFERROR(__xludf.DUMMYFUNCTION("""COMPUTED_VALUE"""),"United Kingdom")</f>
        <v>United Kingdom</v>
      </c>
      <c r="I1484" s="7">
        <f>IFERROR(__xludf.DUMMYFUNCTION("""COMPUTED_VALUE"""),40148.0)</f>
        <v>40148</v>
      </c>
      <c r="J1484" s="8">
        <f>IFERROR(__xludf.DUMMYFUNCTION("""COMPUTED_VALUE"""),0.5618055555569299)</f>
        <v>0.5618055556</v>
      </c>
      <c r="K1484" s="2">
        <f>IFERROR(__xludf.DUMMYFUNCTION("""COMPUTED_VALUE"""),13.0)</f>
        <v>13</v>
      </c>
      <c r="L1484" s="2">
        <f>IFERROR(__xludf.DUMMYFUNCTION("""COMPUTED_VALUE"""),5.9)</f>
        <v>5.9</v>
      </c>
    </row>
    <row r="1485">
      <c r="A1485" s="2">
        <f>IFERROR(__xludf.DUMMYFUNCTION("""COMPUTED_VALUE"""),489572.0)</f>
        <v>489572</v>
      </c>
      <c r="B1485" s="2" t="str">
        <f>IFERROR(__xludf.DUMMYFUNCTION("""COMPUTED_VALUE"""),"37444A")</f>
        <v>37444A</v>
      </c>
      <c r="C1485" s="2" t="str">
        <f>IFERROR(__xludf.DUMMYFUNCTION("""COMPUTED_VALUE"""),"YELLOW BREAKFAST CUP AND SAUCER")</f>
        <v>YELLOW BREAKFAST CUP AND SAUCER</v>
      </c>
      <c r="D1485" s="2">
        <f>IFERROR(__xludf.DUMMYFUNCTION("""COMPUTED_VALUE"""),2.0)</f>
        <v>2</v>
      </c>
      <c r="E1485" s="6">
        <f>IFERROR(__xludf.DUMMYFUNCTION("""COMPUTED_VALUE"""),40148.56180555555)</f>
        <v>40148.56181</v>
      </c>
      <c r="F1485" s="2">
        <f>IFERROR(__xludf.DUMMYFUNCTION("""COMPUTED_VALUE"""),2.95)</f>
        <v>2.95</v>
      </c>
      <c r="G1485" s="2">
        <f>IFERROR(__xludf.DUMMYFUNCTION("""COMPUTED_VALUE"""),17611.0)</f>
        <v>17611</v>
      </c>
      <c r="H1485" s="2" t="str">
        <f>IFERROR(__xludf.DUMMYFUNCTION("""COMPUTED_VALUE"""),"United Kingdom")</f>
        <v>United Kingdom</v>
      </c>
      <c r="I1485" s="7">
        <f>IFERROR(__xludf.DUMMYFUNCTION("""COMPUTED_VALUE"""),40148.0)</f>
        <v>40148</v>
      </c>
      <c r="J1485" s="8">
        <f>IFERROR(__xludf.DUMMYFUNCTION("""COMPUTED_VALUE"""),0.5618055555569299)</f>
        <v>0.5618055556</v>
      </c>
      <c r="K1485" s="2">
        <f>IFERROR(__xludf.DUMMYFUNCTION("""COMPUTED_VALUE"""),13.0)</f>
        <v>13</v>
      </c>
      <c r="L1485" s="2">
        <f>IFERROR(__xludf.DUMMYFUNCTION("""COMPUTED_VALUE"""),5.9)</f>
        <v>5.9</v>
      </c>
    </row>
    <row r="1486">
      <c r="A1486" s="2">
        <f>IFERROR(__xludf.DUMMYFUNCTION("""COMPUTED_VALUE"""),489572.0)</f>
        <v>489572</v>
      </c>
      <c r="B1486" s="2" t="str">
        <f>IFERROR(__xludf.DUMMYFUNCTION("""COMPUTED_VALUE"""),"37444B")</f>
        <v>37444B</v>
      </c>
      <c r="C1486" s="2" t="str">
        <f>IFERROR(__xludf.DUMMYFUNCTION("""COMPUTED_VALUE"""),"BLUE BREAKFAST CUP AND SAUCER")</f>
        <v>BLUE BREAKFAST CUP AND SAUCER</v>
      </c>
      <c r="D1486" s="2">
        <f>IFERROR(__xludf.DUMMYFUNCTION("""COMPUTED_VALUE"""),2.0)</f>
        <v>2</v>
      </c>
      <c r="E1486" s="6">
        <f>IFERROR(__xludf.DUMMYFUNCTION("""COMPUTED_VALUE"""),40148.56180555555)</f>
        <v>40148.56181</v>
      </c>
      <c r="F1486" s="2">
        <f>IFERROR(__xludf.DUMMYFUNCTION("""COMPUTED_VALUE"""),2.95)</f>
        <v>2.95</v>
      </c>
      <c r="G1486" s="2">
        <f>IFERROR(__xludf.DUMMYFUNCTION("""COMPUTED_VALUE"""),17611.0)</f>
        <v>17611</v>
      </c>
      <c r="H1486" s="2" t="str">
        <f>IFERROR(__xludf.DUMMYFUNCTION("""COMPUTED_VALUE"""),"United Kingdom")</f>
        <v>United Kingdom</v>
      </c>
      <c r="I1486" s="7">
        <f>IFERROR(__xludf.DUMMYFUNCTION("""COMPUTED_VALUE"""),40148.0)</f>
        <v>40148</v>
      </c>
      <c r="J1486" s="8">
        <f>IFERROR(__xludf.DUMMYFUNCTION("""COMPUTED_VALUE"""),0.5618055555569299)</f>
        <v>0.5618055556</v>
      </c>
      <c r="K1486" s="2">
        <f>IFERROR(__xludf.DUMMYFUNCTION("""COMPUTED_VALUE"""),13.0)</f>
        <v>13</v>
      </c>
      <c r="L1486" s="2">
        <f>IFERROR(__xludf.DUMMYFUNCTION("""COMPUTED_VALUE"""),5.9)</f>
        <v>5.9</v>
      </c>
    </row>
    <row r="1487">
      <c r="A1487" s="2">
        <f>IFERROR(__xludf.DUMMYFUNCTION("""COMPUTED_VALUE"""),489573.0)</f>
        <v>489573</v>
      </c>
      <c r="B1487" s="2" t="str">
        <f>IFERROR(__xludf.DUMMYFUNCTION("""COMPUTED_VALUE"""),"21955")</f>
        <v>21955</v>
      </c>
      <c r="C1487" s="2" t="str">
        <f>IFERROR(__xludf.DUMMYFUNCTION("""COMPUTED_VALUE"""),"UNION JACK GUNS &amp; ROSES DOORMAT")</f>
        <v>UNION JACK GUNS &amp; ROSES DOORMAT</v>
      </c>
      <c r="D1487" s="2">
        <f>IFERROR(__xludf.DUMMYFUNCTION("""COMPUTED_VALUE"""),3.0)</f>
        <v>3</v>
      </c>
      <c r="E1487" s="6">
        <f>IFERROR(__xludf.DUMMYFUNCTION("""COMPUTED_VALUE"""),40148.56180555555)</f>
        <v>40148.56181</v>
      </c>
      <c r="F1487" s="2">
        <f>IFERROR(__xludf.DUMMYFUNCTION("""COMPUTED_VALUE"""),6.75)</f>
        <v>6.75</v>
      </c>
      <c r="G1487" s="2">
        <f>IFERROR(__xludf.DUMMYFUNCTION("""COMPUTED_VALUE"""),15051.0)</f>
        <v>15051</v>
      </c>
      <c r="H1487" s="2" t="str">
        <f>IFERROR(__xludf.DUMMYFUNCTION("""COMPUTED_VALUE"""),"United Kingdom")</f>
        <v>United Kingdom</v>
      </c>
      <c r="I1487" s="7">
        <f>IFERROR(__xludf.DUMMYFUNCTION("""COMPUTED_VALUE"""),40148.0)</f>
        <v>40148</v>
      </c>
      <c r="J1487" s="8">
        <f>IFERROR(__xludf.DUMMYFUNCTION("""COMPUTED_VALUE"""),0.5618055555569299)</f>
        <v>0.5618055556</v>
      </c>
      <c r="K1487" s="2">
        <f>IFERROR(__xludf.DUMMYFUNCTION("""COMPUTED_VALUE"""),13.0)</f>
        <v>13</v>
      </c>
      <c r="L1487" s="2">
        <f>IFERROR(__xludf.DUMMYFUNCTION("""COMPUTED_VALUE"""),20.25)</f>
        <v>20.25</v>
      </c>
    </row>
    <row r="1488">
      <c r="A1488" s="2">
        <f>IFERROR(__xludf.DUMMYFUNCTION("""COMPUTED_VALUE"""),489573.0)</f>
        <v>489573</v>
      </c>
      <c r="B1488" s="2" t="str">
        <f>IFERROR(__xludf.DUMMYFUNCTION("""COMPUTED_VALUE"""),"22294")</f>
        <v>22294</v>
      </c>
      <c r="C1488" s="2" t="str">
        <f>IFERROR(__xludf.DUMMYFUNCTION("""COMPUTED_VALUE"""),"HEART FILIGREE DOVE SMALL")</f>
        <v>HEART FILIGREE DOVE SMALL</v>
      </c>
      <c r="D1488" s="2">
        <f>IFERROR(__xludf.DUMMYFUNCTION("""COMPUTED_VALUE"""),24.0)</f>
        <v>24</v>
      </c>
      <c r="E1488" s="6">
        <f>IFERROR(__xludf.DUMMYFUNCTION("""COMPUTED_VALUE"""),40148.56180555555)</f>
        <v>40148.56181</v>
      </c>
      <c r="F1488" s="2">
        <f>IFERROR(__xludf.DUMMYFUNCTION("""COMPUTED_VALUE"""),1.25)</f>
        <v>1.25</v>
      </c>
      <c r="G1488" s="2">
        <f>IFERROR(__xludf.DUMMYFUNCTION("""COMPUTED_VALUE"""),15051.0)</f>
        <v>15051</v>
      </c>
      <c r="H1488" s="2" t="str">
        <f>IFERROR(__xludf.DUMMYFUNCTION("""COMPUTED_VALUE"""),"United Kingdom")</f>
        <v>United Kingdom</v>
      </c>
      <c r="I1488" s="7">
        <f>IFERROR(__xludf.DUMMYFUNCTION("""COMPUTED_VALUE"""),40148.0)</f>
        <v>40148</v>
      </c>
      <c r="J1488" s="8">
        <f>IFERROR(__xludf.DUMMYFUNCTION("""COMPUTED_VALUE"""),0.5618055555569299)</f>
        <v>0.5618055556</v>
      </c>
      <c r="K1488" s="2">
        <f>IFERROR(__xludf.DUMMYFUNCTION("""COMPUTED_VALUE"""),13.0)</f>
        <v>13</v>
      </c>
      <c r="L1488" s="2">
        <f>IFERROR(__xludf.DUMMYFUNCTION("""COMPUTED_VALUE"""),30.0)</f>
        <v>30</v>
      </c>
    </row>
    <row r="1489">
      <c r="A1489" s="2">
        <f>IFERROR(__xludf.DUMMYFUNCTION("""COMPUTED_VALUE"""),489573.0)</f>
        <v>489573</v>
      </c>
      <c r="B1489" s="2" t="str">
        <f>IFERROR(__xludf.DUMMYFUNCTION("""COMPUTED_VALUE"""),"22042")</f>
        <v>22042</v>
      </c>
      <c r="C1489" s="2" t="str">
        <f>IFERROR(__xludf.DUMMYFUNCTION("""COMPUTED_VALUE"""),"CHRISTMAS CARD SINGING ANGEL")</f>
        <v>CHRISTMAS CARD SINGING ANGEL</v>
      </c>
      <c r="D1489" s="2">
        <f>IFERROR(__xludf.DUMMYFUNCTION("""COMPUTED_VALUE"""),12.0)</f>
        <v>12</v>
      </c>
      <c r="E1489" s="6">
        <f>IFERROR(__xludf.DUMMYFUNCTION("""COMPUTED_VALUE"""),40148.56180555555)</f>
        <v>40148.56181</v>
      </c>
      <c r="F1489" s="2">
        <f>IFERROR(__xludf.DUMMYFUNCTION("""COMPUTED_VALUE"""),0.42)</f>
        <v>0.42</v>
      </c>
      <c r="G1489" s="2">
        <f>IFERROR(__xludf.DUMMYFUNCTION("""COMPUTED_VALUE"""),15051.0)</f>
        <v>15051</v>
      </c>
      <c r="H1489" s="2" t="str">
        <f>IFERROR(__xludf.DUMMYFUNCTION("""COMPUTED_VALUE"""),"United Kingdom")</f>
        <v>United Kingdom</v>
      </c>
      <c r="I1489" s="7">
        <f>IFERROR(__xludf.DUMMYFUNCTION("""COMPUTED_VALUE"""),40148.0)</f>
        <v>40148</v>
      </c>
      <c r="J1489" s="8">
        <f>IFERROR(__xludf.DUMMYFUNCTION("""COMPUTED_VALUE"""),0.5618055555569299)</f>
        <v>0.5618055556</v>
      </c>
      <c r="K1489" s="2">
        <f>IFERROR(__xludf.DUMMYFUNCTION("""COMPUTED_VALUE"""),13.0)</f>
        <v>13</v>
      </c>
      <c r="L1489" s="2">
        <f>IFERROR(__xludf.DUMMYFUNCTION("""COMPUTED_VALUE"""),5.04)</f>
        <v>5.04</v>
      </c>
    </row>
    <row r="1490">
      <c r="A1490" s="2">
        <f>IFERROR(__xludf.DUMMYFUNCTION("""COMPUTED_VALUE"""),489573.0)</f>
        <v>489573</v>
      </c>
      <c r="B1490" s="2" t="str">
        <f>IFERROR(__xludf.DUMMYFUNCTION("""COMPUTED_VALUE"""),"84247C")</f>
        <v>84247C</v>
      </c>
      <c r="C1490" s="2" t="str">
        <f>IFERROR(__xludf.DUMMYFUNCTION("""COMPUTED_VALUE"""),"PACK/12 BLUE REINDEER CARD")</f>
        <v>PACK/12 BLUE REINDEER CARD</v>
      </c>
      <c r="D1490" s="2">
        <f>IFERROR(__xludf.DUMMYFUNCTION("""COMPUTED_VALUE"""),1.0)</f>
        <v>1</v>
      </c>
      <c r="E1490" s="6">
        <f>IFERROR(__xludf.DUMMYFUNCTION("""COMPUTED_VALUE"""),40148.56180555555)</f>
        <v>40148.56181</v>
      </c>
      <c r="F1490" s="2">
        <f>IFERROR(__xludf.DUMMYFUNCTION("""COMPUTED_VALUE"""),2.95)</f>
        <v>2.95</v>
      </c>
      <c r="G1490" s="2">
        <f>IFERROR(__xludf.DUMMYFUNCTION("""COMPUTED_VALUE"""),15051.0)</f>
        <v>15051</v>
      </c>
      <c r="H1490" s="2" t="str">
        <f>IFERROR(__xludf.DUMMYFUNCTION("""COMPUTED_VALUE"""),"United Kingdom")</f>
        <v>United Kingdom</v>
      </c>
      <c r="I1490" s="7">
        <f>IFERROR(__xludf.DUMMYFUNCTION("""COMPUTED_VALUE"""),40148.0)</f>
        <v>40148</v>
      </c>
      <c r="J1490" s="8">
        <f>IFERROR(__xludf.DUMMYFUNCTION("""COMPUTED_VALUE"""),0.5618055555569299)</f>
        <v>0.5618055556</v>
      </c>
      <c r="K1490" s="2">
        <f>IFERROR(__xludf.DUMMYFUNCTION("""COMPUTED_VALUE"""),13.0)</f>
        <v>13</v>
      </c>
      <c r="L1490" s="2">
        <f>IFERROR(__xludf.DUMMYFUNCTION("""COMPUTED_VALUE"""),2.95)</f>
        <v>2.95</v>
      </c>
    </row>
    <row r="1491">
      <c r="A1491" s="2">
        <f>IFERROR(__xludf.DUMMYFUNCTION("""COMPUTED_VALUE"""),489573.0)</f>
        <v>489573</v>
      </c>
      <c r="B1491" s="2" t="str">
        <f>IFERROR(__xludf.DUMMYFUNCTION("""COMPUTED_VALUE"""),"22034")</f>
        <v>22034</v>
      </c>
      <c r="C1491" s="2" t="str">
        <f>IFERROR(__xludf.DUMMYFUNCTION("""COMPUTED_VALUE"""),"ROBIN CHRISTMAS CARD")</f>
        <v>ROBIN CHRISTMAS CARD</v>
      </c>
      <c r="D1491" s="2">
        <f>IFERROR(__xludf.DUMMYFUNCTION("""COMPUTED_VALUE"""),12.0)</f>
        <v>12</v>
      </c>
      <c r="E1491" s="6">
        <f>IFERROR(__xludf.DUMMYFUNCTION("""COMPUTED_VALUE"""),40148.56180555555)</f>
        <v>40148.56181</v>
      </c>
      <c r="F1491" s="2">
        <f>IFERROR(__xludf.DUMMYFUNCTION("""COMPUTED_VALUE"""),0.42)</f>
        <v>0.42</v>
      </c>
      <c r="G1491" s="2">
        <f>IFERROR(__xludf.DUMMYFUNCTION("""COMPUTED_VALUE"""),15051.0)</f>
        <v>15051</v>
      </c>
      <c r="H1491" s="2" t="str">
        <f>IFERROR(__xludf.DUMMYFUNCTION("""COMPUTED_VALUE"""),"United Kingdom")</f>
        <v>United Kingdom</v>
      </c>
      <c r="I1491" s="7">
        <f>IFERROR(__xludf.DUMMYFUNCTION("""COMPUTED_VALUE"""),40148.0)</f>
        <v>40148</v>
      </c>
      <c r="J1491" s="8">
        <f>IFERROR(__xludf.DUMMYFUNCTION("""COMPUTED_VALUE"""),0.5618055555569299)</f>
        <v>0.5618055556</v>
      </c>
      <c r="K1491" s="2">
        <f>IFERROR(__xludf.DUMMYFUNCTION("""COMPUTED_VALUE"""),13.0)</f>
        <v>13</v>
      </c>
      <c r="L1491" s="2">
        <f>IFERROR(__xludf.DUMMYFUNCTION("""COMPUTED_VALUE"""),5.04)</f>
        <v>5.04</v>
      </c>
    </row>
    <row r="1492">
      <c r="A1492" s="2">
        <f>IFERROR(__xludf.DUMMYFUNCTION("""COMPUTED_VALUE"""),489573.0)</f>
        <v>489573</v>
      </c>
      <c r="B1492" s="2" t="str">
        <f>IFERROR(__xludf.DUMMYFUNCTION("""COMPUTED_VALUE"""),"84754")</f>
        <v>84754</v>
      </c>
      <c r="C1492" s="2" t="str">
        <f>IFERROR(__xludf.DUMMYFUNCTION("""COMPUTED_VALUE"""),"S/15 SILVER GLASS BAUBLES IN BAG")</f>
        <v>S/15 SILVER GLASS BAUBLES IN BAG</v>
      </c>
      <c r="D1492" s="2">
        <f>IFERROR(__xludf.DUMMYFUNCTION("""COMPUTED_VALUE"""),12.0)</f>
        <v>12</v>
      </c>
      <c r="E1492" s="6">
        <f>IFERROR(__xludf.DUMMYFUNCTION("""COMPUTED_VALUE"""),40148.56180555555)</f>
        <v>40148.56181</v>
      </c>
      <c r="F1492" s="2">
        <f>IFERROR(__xludf.DUMMYFUNCTION("""COMPUTED_VALUE"""),1.25)</f>
        <v>1.25</v>
      </c>
      <c r="G1492" s="2">
        <f>IFERROR(__xludf.DUMMYFUNCTION("""COMPUTED_VALUE"""),15051.0)</f>
        <v>15051</v>
      </c>
      <c r="H1492" s="2" t="str">
        <f>IFERROR(__xludf.DUMMYFUNCTION("""COMPUTED_VALUE"""),"United Kingdom")</f>
        <v>United Kingdom</v>
      </c>
      <c r="I1492" s="7">
        <f>IFERROR(__xludf.DUMMYFUNCTION("""COMPUTED_VALUE"""),40148.0)</f>
        <v>40148</v>
      </c>
      <c r="J1492" s="8">
        <f>IFERROR(__xludf.DUMMYFUNCTION("""COMPUTED_VALUE"""),0.5618055555569299)</f>
        <v>0.5618055556</v>
      </c>
      <c r="K1492" s="2">
        <f>IFERROR(__xludf.DUMMYFUNCTION("""COMPUTED_VALUE"""),13.0)</f>
        <v>13</v>
      </c>
      <c r="L1492" s="2">
        <f>IFERROR(__xludf.DUMMYFUNCTION("""COMPUTED_VALUE"""),15.0)</f>
        <v>15</v>
      </c>
    </row>
    <row r="1493">
      <c r="A1493" s="2">
        <f>IFERROR(__xludf.DUMMYFUNCTION("""COMPUTED_VALUE"""),489573.0)</f>
        <v>489573</v>
      </c>
      <c r="B1493" s="2" t="str">
        <f>IFERROR(__xludf.DUMMYFUNCTION("""COMPUTED_VALUE"""),"84949")</f>
        <v>84949</v>
      </c>
      <c r="C1493" s="2" t="str">
        <f>IFERROR(__xludf.DUMMYFUNCTION("""COMPUTED_VALUE"""),"SILVER HANGING T-LIGHT HOLDER")</f>
        <v>SILVER HANGING T-LIGHT HOLDER</v>
      </c>
      <c r="D1493" s="2">
        <f>IFERROR(__xludf.DUMMYFUNCTION("""COMPUTED_VALUE"""),6.0)</f>
        <v>6</v>
      </c>
      <c r="E1493" s="6">
        <f>IFERROR(__xludf.DUMMYFUNCTION("""COMPUTED_VALUE"""),40148.56180555555)</f>
        <v>40148.56181</v>
      </c>
      <c r="F1493" s="2">
        <f>IFERROR(__xludf.DUMMYFUNCTION("""COMPUTED_VALUE"""),1.65)</f>
        <v>1.65</v>
      </c>
      <c r="G1493" s="2">
        <f>IFERROR(__xludf.DUMMYFUNCTION("""COMPUTED_VALUE"""),15051.0)</f>
        <v>15051</v>
      </c>
      <c r="H1493" s="2" t="str">
        <f>IFERROR(__xludf.DUMMYFUNCTION("""COMPUTED_VALUE"""),"United Kingdom")</f>
        <v>United Kingdom</v>
      </c>
      <c r="I1493" s="7">
        <f>IFERROR(__xludf.DUMMYFUNCTION("""COMPUTED_VALUE"""),40148.0)</f>
        <v>40148</v>
      </c>
      <c r="J1493" s="8">
        <f>IFERROR(__xludf.DUMMYFUNCTION("""COMPUTED_VALUE"""),0.5618055555569299)</f>
        <v>0.5618055556</v>
      </c>
      <c r="K1493" s="2">
        <f>IFERROR(__xludf.DUMMYFUNCTION("""COMPUTED_VALUE"""),13.0)</f>
        <v>13</v>
      </c>
      <c r="L1493" s="2">
        <f>IFERROR(__xludf.DUMMYFUNCTION("""COMPUTED_VALUE"""),9.89999999999999)</f>
        <v>9.9</v>
      </c>
    </row>
    <row r="1494">
      <c r="A1494" s="2">
        <f>IFERROR(__xludf.DUMMYFUNCTION("""COMPUTED_VALUE"""),489573.0)</f>
        <v>489573</v>
      </c>
      <c r="B1494" s="2" t="str">
        <f>IFERROR(__xludf.DUMMYFUNCTION("""COMPUTED_VALUE"""),"22295")</f>
        <v>22295</v>
      </c>
      <c r="C1494" s="2" t="str">
        <f>IFERROR(__xludf.DUMMYFUNCTION("""COMPUTED_VALUE"""),"HEART FILIGREE DOVE LARGE")</f>
        <v>HEART FILIGREE DOVE LARGE</v>
      </c>
      <c r="D1494" s="2">
        <f>IFERROR(__xludf.DUMMYFUNCTION("""COMPUTED_VALUE"""),24.0)</f>
        <v>24</v>
      </c>
      <c r="E1494" s="6">
        <f>IFERROR(__xludf.DUMMYFUNCTION("""COMPUTED_VALUE"""),40148.56180555555)</f>
        <v>40148.56181</v>
      </c>
      <c r="F1494" s="2">
        <f>IFERROR(__xludf.DUMMYFUNCTION("""COMPUTED_VALUE"""),1.65)</f>
        <v>1.65</v>
      </c>
      <c r="G1494" s="2">
        <f>IFERROR(__xludf.DUMMYFUNCTION("""COMPUTED_VALUE"""),15051.0)</f>
        <v>15051</v>
      </c>
      <c r="H1494" s="2" t="str">
        <f>IFERROR(__xludf.DUMMYFUNCTION("""COMPUTED_VALUE"""),"United Kingdom")</f>
        <v>United Kingdom</v>
      </c>
      <c r="I1494" s="7">
        <f>IFERROR(__xludf.DUMMYFUNCTION("""COMPUTED_VALUE"""),40148.0)</f>
        <v>40148</v>
      </c>
      <c r="J1494" s="8">
        <f>IFERROR(__xludf.DUMMYFUNCTION("""COMPUTED_VALUE"""),0.5618055555569299)</f>
        <v>0.5618055556</v>
      </c>
      <c r="K1494" s="2">
        <f>IFERROR(__xludf.DUMMYFUNCTION("""COMPUTED_VALUE"""),13.0)</f>
        <v>13</v>
      </c>
      <c r="L1494" s="2">
        <f>IFERROR(__xludf.DUMMYFUNCTION("""COMPUTED_VALUE"""),39.5999999999999)</f>
        <v>39.6</v>
      </c>
    </row>
    <row r="1495">
      <c r="A1495" s="2">
        <f>IFERROR(__xludf.DUMMYFUNCTION("""COMPUTED_VALUE"""),489573.0)</f>
        <v>489573</v>
      </c>
      <c r="B1495" s="2" t="str">
        <f>IFERROR(__xludf.DUMMYFUNCTION("""COMPUTED_VALUE"""),"21912")</f>
        <v>21912</v>
      </c>
      <c r="C1495" s="2" t="str">
        <f>IFERROR(__xludf.DUMMYFUNCTION("""COMPUTED_VALUE"""),"VINTAGE SNAKES &amp; LADDERS")</f>
        <v>VINTAGE SNAKES &amp; LADDERS</v>
      </c>
      <c r="D1495" s="2">
        <f>IFERROR(__xludf.DUMMYFUNCTION("""COMPUTED_VALUE"""),3.0)</f>
        <v>3</v>
      </c>
      <c r="E1495" s="6">
        <f>IFERROR(__xludf.DUMMYFUNCTION("""COMPUTED_VALUE"""),40148.56180555555)</f>
        <v>40148.56181</v>
      </c>
      <c r="F1495" s="2">
        <f>IFERROR(__xludf.DUMMYFUNCTION("""COMPUTED_VALUE"""),3.75)</f>
        <v>3.75</v>
      </c>
      <c r="G1495" s="2">
        <f>IFERROR(__xludf.DUMMYFUNCTION("""COMPUTED_VALUE"""),15051.0)</f>
        <v>15051</v>
      </c>
      <c r="H1495" s="2" t="str">
        <f>IFERROR(__xludf.DUMMYFUNCTION("""COMPUTED_VALUE"""),"United Kingdom")</f>
        <v>United Kingdom</v>
      </c>
      <c r="I1495" s="7">
        <f>IFERROR(__xludf.DUMMYFUNCTION("""COMPUTED_VALUE"""),40148.0)</f>
        <v>40148</v>
      </c>
      <c r="J1495" s="8">
        <f>IFERROR(__xludf.DUMMYFUNCTION("""COMPUTED_VALUE"""),0.5618055555569299)</f>
        <v>0.5618055556</v>
      </c>
      <c r="K1495" s="2">
        <f>IFERROR(__xludf.DUMMYFUNCTION("""COMPUTED_VALUE"""),13.0)</f>
        <v>13</v>
      </c>
      <c r="L1495" s="2">
        <f>IFERROR(__xludf.DUMMYFUNCTION("""COMPUTED_VALUE"""),11.25)</f>
        <v>11.25</v>
      </c>
    </row>
    <row r="1496">
      <c r="A1496" s="2">
        <f>IFERROR(__xludf.DUMMYFUNCTION("""COMPUTED_VALUE"""),489573.0)</f>
        <v>489573</v>
      </c>
      <c r="B1496" s="2" t="str">
        <f>IFERROR(__xludf.DUMMYFUNCTION("""COMPUTED_VALUE"""),"21888")</f>
        <v>21888</v>
      </c>
      <c r="C1496" s="2" t="str">
        <f>IFERROR(__xludf.DUMMYFUNCTION("""COMPUTED_VALUE"""),"BINGO SET")</f>
        <v>BINGO SET</v>
      </c>
      <c r="D1496" s="2">
        <f>IFERROR(__xludf.DUMMYFUNCTION("""COMPUTED_VALUE"""),4.0)</f>
        <v>4</v>
      </c>
      <c r="E1496" s="6">
        <f>IFERROR(__xludf.DUMMYFUNCTION("""COMPUTED_VALUE"""),40148.56180555555)</f>
        <v>40148.56181</v>
      </c>
      <c r="F1496" s="2">
        <f>IFERROR(__xludf.DUMMYFUNCTION("""COMPUTED_VALUE"""),3.75)</f>
        <v>3.75</v>
      </c>
      <c r="G1496" s="2">
        <f>IFERROR(__xludf.DUMMYFUNCTION("""COMPUTED_VALUE"""),15051.0)</f>
        <v>15051</v>
      </c>
      <c r="H1496" s="2" t="str">
        <f>IFERROR(__xludf.DUMMYFUNCTION("""COMPUTED_VALUE"""),"United Kingdom")</f>
        <v>United Kingdom</v>
      </c>
      <c r="I1496" s="7">
        <f>IFERROR(__xludf.DUMMYFUNCTION("""COMPUTED_VALUE"""),40148.0)</f>
        <v>40148</v>
      </c>
      <c r="J1496" s="8">
        <f>IFERROR(__xludf.DUMMYFUNCTION("""COMPUTED_VALUE"""),0.5618055555569299)</f>
        <v>0.5618055556</v>
      </c>
      <c r="K1496" s="2">
        <f>IFERROR(__xludf.DUMMYFUNCTION("""COMPUTED_VALUE"""),13.0)</f>
        <v>13</v>
      </c>
      <c r="L1496" s="2">
        <f>IFERROR(__xludf.DUMMYFUNCTION("""COMPUTED_VALUE"""),15.0)</f>
        <v>15</v>
      </c>
    </row>
    <row r="1497">
      <c r="A1497" s="2">
        <f>IFERROR(__xludf.DUMMYFUNCTION("""COMPUTED_VALUE"""),489573.0)</f>
        <v>489573</v>
      </c>
      <c r="B1497" s="2" t="str">
        <f>IFERROR(__xludf.DUMMYFUNCTION("""COMPUTED_VALUE"""),"21754")</f>
        <v>21754</v>
      </c>
      <c r="C1497" s="2" t="str">
        <f>IFERROR(__xludf.DUMMYFUNCTION("""COMPUTED_VALUE"""),"HOME BUILDING BLOCK WORD")</f>
        <v>HOME BUILDING BLOCK WORD</v>
      </c>
      <c r="D1497" s="2">
        <f>IFERROR(__xludf.DUMMYFUNCTION("""COMPUTED_VALUE"""),5.0)</f>
        <v>5</v>
      </c>
      <c r="E1497" s="6">
        <f>IFERROR(__xludf.DUMMYFUNCTION("""COMPUTED_VALUE"""),40148.56180555555)</f>
        <v>40148.56181</v>
      </c>
      <c r="F1497" s="2">
        <f>IFERROR(__xludf.DUMMYFUNCTION("""COMPUTED_VALUE"""),5.95)</f>
        <v>5.95</v>
      </c>
      <c r="G1497" s="2">
        <f>IFERROR(__xludf.DUMMYFUNCTION("""COMPUTED_VALUE"""),15051.0)</f>
        <v>15051</v>
      </c>
      <c r="H1497" s="2" t="str">
        <f>IFERROR(__xludf.DUMMYFUNCTION("""COMPUTED_VALUE"""),"United Kingdom")</f>
        <v>United Kingdom</v>
      </c>
      <c r="I1497" s="7">
        <f>IFERROR(__xludf.DUMMYFUNCTION("""COMPUTED_VALUE"""),40148.0)</f>
        <v>40148</v>
      </c>
      <c r="J1497" s="8">
        <f>IFERROR(__xludf.DUMMYFUNCTION("""COMPUTED_VALUE"""),0.5618055555569299)</f>
        <v>0.5618055556</v>
      </c>
      <c r="K1497" s="2">
        <f>IFERROR(__xludf.DUMMYFUNCTION("""COMPUTED_VALUE"""),13.0)</f>
        <v>13</v>
      </c>
      <c r="L1497" s="2">
        <f>IFERROR(__xludf.DUMMYFUNCTION("""COMPUTED_VALUE"""),29.75)</f>
        <v>29.75</v>
      </c>
    </row>
    <row r="1498">
      <c r="A1498" s="2">
        <f>IFERROR(__xludf.DUMMYFUNCTION("""COMPUTED_VALUE"""),489573.0)</f>
        <v>489573</v>
      </c>
      <c r="B1498" s="2" t="str">
        <f>IFERROR(__xludf.DUMMYFUNCTION("""COMPUTED_VALUE"""),"21313")</f>
        <v>21313</v>
      </c>
      <c r="C1498" s="2" t="str">
        <f>IFERROR(__xludf.DUMMYFUNCTION("""COMPUTED_VALUE"""),"GLASS HEART T-LIGHT HOLDER")</f>
        <v>GLASS HEART T-LIGHT HOLDER</v>
      </c>
      <c r="D1498" s="2">
        <f>IFERROR(__xludf.DUMMYFUNCTION("""COMPUTED_VALUE"""),12.0)</f>
        <v>12</v>
      </c>
      <c r="E1498" s="6">
        <f>IFERROR(__xludf.DUMMYFUNCTION("""COMPUTED_VALUE"""),40148.56180555555)</f>
        <v>40148.56181</v>
      </c>
      <c r="F1498" s="2">
        <f>IFERROR(__xludf.DUMMYFUNCTION("""COMPUTED_VALUE"""),0.85)</f>
        <v>0.85</v>
      </c>
      <c r="G1498" s="2">
        <f>IFERROR(__xludf.DUMMYFUNCTION("""COMPUTED_VALUE"""),15051.0)</f>
        <v>15051</v>
      </c>
      <c r="H1498" s="2" t="str">
        <f>IFERROR(__xludf.DUMMYFUNCTION("""COMPUTED_VALUE"""),"United Kingdom")</f>
        <v>United Kingdom</v>
      </c>
      <c r="I1498" s="7">
        <f>IFERROR(__xludf.DUMMYFUNCTION("""COMPUTED_VALUE"""),40148.0)</f>
        <v>40148</v>
      </c>
      <c r="J1498" s="8">
        <f>IFERROR(__xludf.DUMMYFUNCTION("""COMPUTED_VALUE"""),0.5618055555569299)</f>
        <v>0.5618055556</v>
      </c>
      <c r="K1498" s="2">
        <f>IFERROR(__xludf.DUMMYFUNCTION("""COMPUTED_VALUE"""),13.0)</f>
        <v>13</v>
      </c>
      <c r="L1498" s="2">
        <f>IFERROR(__xludf.DUMMYFUNCTION("""COMPUTED_VALUE"""),10.2)</f>
        <v>10.2</v>
      </c>
    </row>
    <row r="1499">
      <c r="A1499" s="2">
        <f>IFERROR(__xludf.DUMMYFUNCTION("""COMPUTED_VALUE"""),489573.0)</f>
        <v>489573</v>
      </c>
      <c r="B1499" s="2" t="str">
        <f>IFERROR(__xludf.DUMMYFUNCTION("""COMPUTED_VALUE"""),"84509A")</f>
        <v>84509A</v>
      </c>
      <c r="C1499" s="2" t="str">
        <f>IFERROR(__xludf.DUMMYFUNCTION("""COMPUTED_VALUE"""),"ENGLISH ROSE PLACEMATS")</f>
        <v>ENGLISH ROSE PLACEMATS</v>
      </c>
      <c r="D1499" s="2">
        <f>IFERROR(__xludf.DUMMYFUNCTION("""COMPUTED_VALUE"""),1.0)</f>
        <v>1</v>
      </c>
      <c r="E1499" s="6">
        <f>IFERROR(__xludf.DUMMYFUNCTION("""COMPUTED_VALUE"""),40148.56180555555)</f>
        <v>40148.56181</v>
      </c>
      <c r="F1499" s="2">
        <f>IFERROR(__xludf.DUMMYFUNCTION("""COMPUTED_VALUE"""),3.75)</f>
        <v>3.75</v>
      </c>
      <c r="G1499" s="2">
        <f>IFERROR(__xludf.DUMMYFUNCTION("""COMPUTED_VALUE"""),15051.0)</f>
        <v>15051</v>
      </c>
      <c r="H1499" s="2" t="str">
        <f>IFERROR(__xludf.DUMMYFUNCTION("""COMPUTED_VALUE"""),"United Kingdom")</f>
        <v>United Kingdom</v>
      </c>
      <c r="I1499" s="7">
        <f>IFERROR(__xludf.DUMMYFUNCTION("""COMPUTED_VALUE"""),40148.0)</f>
        <v>40148</v>
      </c>
      <c r="J1499" s="8">
        <f>IFERROR(__xludf.DUMMYFUNCTION("""COMPUTED_VALUE"""),0.5618055555569299)</f>
        <v>0.5618055556</v>
      </c>
      <c r="K1499" s="2">
        <f>IFERROR(__xludf.DUMMYFUNCTION("""COMPUTED_VALUE"""),13.0)</f>
        <v>13</v>
      </c>
      <c r="L1499" s="2">
        <f>IFERROR(__xludf.DUMMYFUNCTION("""COMPUTED_VALUE"""),3.75)</f>
        <v>3.75</v>
      </c>
    </row>
    <row r="1500">
      <c r="A1500" s="2">
        <f>IFERROR(__xludf.DUMMYFUNCTION("""COMPUTED_VALUE"""),489573.0)</f>
        <v>489573</v>
      </c>
      <c r="B1500" s="2" t="str">
        <f>IFERROR(__xludf.DUMMYFUNCTION("""COMPUTED_VALUE"""),"84946")</f>
        <v>84946</v>
      </c>
      <c r="C1500" s="2" t="str">
        <f>IFERROR(__xludf.DUMMYFUNCTION("""COMPUTED_VALUE"""),"ANTIQUE SILVER TEA GLASS ETCHED")</f>
        <v>ANTIQUE SILVER TEA GLASS ETCHED</v>
      </c>
      <c r="D1500" s="2">
        <f>IFERROR(__xludf.DUMMYFUNCTION("""COMPUTED_VALUE"""),30.0)</f>
        <v>30</v>
      </c>
      <c r="E1500" s="6">
        <f>IFERROR(__xludf.DUMMYFUNCTION("""COMPUTED_VALUE"""),40148.56180555555)</f>
        <v>40148.56181</v>
      </c>
      <c r="F1500" s="2">
        <f>IFERROR(__xludf.DUMMYFUNCTION("""COMPUTED_VALUE"""),1.25)</f>
        <v>1.25</v>
      </c>
      <c r="G1500" s="2">
        <f>IFERROR(__xludf.DUMMYFUNCTION("""COMPUTED_VALUE"""),15051.0)</f>
        <v>15051</v>
      </c>
      <c r="H1500" s="2" t="str">
        <f>IFERROR(__xludf.DUMMYFUNCTION("""COMPUTED_VALUE"""),"United Kingdom")</f>
        <v>United Kingdom</v>
      </c>
      <c r="I1500" s="7">
        <f>IFERROR(__xludf.DUMMYFUNCTION("""COMPUTED_VALUE"""),40148.0)</f>
        <v>40148</v>
      </c>
      <c r="J1500" s="8">
        <f>IFERROR(__xludf.DUMMYFUNCTION("""COMPUTED_VALUE"""),0.5618055555569299)</f>
        <v>0.5618055556</v>
      </c>
      <c r="K1500" s="2">
        <f>IFERROR(__xludf.DUMMYFUNCTION("""COMPUTED_VALUE"""),13.0)</f>
        <v>13</v>
      </c>
      <c r="L1500" s="2">
        <f>IFERROR(__xludf.DUMMYFUNCTION("""COMPUTED_VALUE"""),37.5)</f>
        <v>37.5</v>
      </c>
    </row>
    <row r="1501">
      <c r="A1501" s="2">
        <f>IFERROR(__xludf.DUMMYFUNCTION("""COMPUTED_VALUE"""),489573.0)</f>
        <v>489573</v>
      </c>
      <c r="B1501" s="2" t="str">
        <f>IFERROR(__xludf.DUMMYFUNCTION("""COMPUTED_VALUE"""),"84510A")</f>
        <v>84510A</v>
      </c>
      <c r="C1501" s="2" t="str">
        <f>IFERROR(__xludf.DUMMYFUNCTION("""COMPUTED_VALUE"""),"SET OF 4 ENGLISH ROSE COASTERS")</f>
        <v>SET OF 4 ENGLISH ROSE COASTERS</v>
      </c>
      <c r="D1501" s="2">
        <f>IFERROR(__xludf.DUMMYFUNCTION("""COMPUTED_VALUE"""),1.0)</f>
        <v>1</v>
      </c>
      <c r="E1501" s="6">
        <f>IFERROR(__xludf.DUMMYFUNCTION("""COMPUTED_VALUE"""),40148.56180555555)</f>
        <v>40148.56181</v>
      </c>
      <c r="F1501" s="2">
        <f>IFERROR(__xludf.DUMMYFUNCTION("""COMPUTED_VALUE"""),1.25)</f>
        <v>1.25</v>
      </c>
      <c r="G1501" s="2">
        <f>IFERROR(__xludf.DUMMYFUNCTION("""COMPUTED_VALUE"""),15051.0)</f>
        <v>15051</v>
      </c>
      <c r="H1501" s="2" t="str">
        <f>IFERROR(__xludf.DUMMYFUNCTION("""COMPUTED_VALUE"""),"United Kingdom")</f>
        <v>United Kingdom</v>
      </c>
      <c r="I1501" s="7">
        <f>IFERROR(__xludf.DUMMYFUNCTION("""COMPUTED_VALUE"""),40148.0)</f>
        <v>40148</v>
      </c>
      <c r="J1501" s="8">
        <f>IFERROR(__xludf.DUMMYFUNCTION("""COMPUTED_VALUE"""),0.5618055555569299)</f>
        <v>0.5618055556</v>
      </c>
      <c r="K1501" s="2">
        <f>IFERROR(__xludf.DUMMYFUNCTION("""COMPUTED_VALUE"""),13.0)</f>
        <v>13</v>
      </c>
      <c r="L1501" s="2">
        <f>IFERROR(__xludf.DUMMYFUNCTION("""COMPUTED_VALUE"""),1.25)</f>
        <v>1.25</v>
      </c>
    </row>
    <row r="1502">
      <c r="A1502" s="2">
        <f>IFERROR(__xludf.DUMMYFUNCTION("""COMPUTED_VALUE"""),489573.0)</f>
        <v>489573</v>
      </c>
      <c r="B1502" s="2" t="str">
        <f>IFERROR(__xludf.DUMMYFUNCTION("""COMPUTED_VALUE"""),"21587")</f>
        <v>21587</v>
      </c>
      <c r="C1502" s="2" t="str">
        <f>IFERROR(__xludf.DUMMYFUNCTION("""COMPUTED_VALUE"""),"COSY HOUR GIANT TUBE MATCHES")</f>
        <v>COSY HOUR GIANT TUBE MATCHES</v>
      </c>
      <c r="D1502" s="2">
        <f>IFERROR(__xludf.DUMMYFUNCTION("""COMPUTED_VALUE"""),12.0)</f>
        <v>12</v>
      </c>
      <c r="E1502" s="6">
        <f>IFERROR(__xludf.DUMMYFUNCTION("""COMPUTED_VALUE"""),40148.56180555555)</f>
        <v>40148.56181</v>
      </c>
      <c r="F1502" s="2">
        <f>IFERROR(__xludf.DUMMYFUNCTION("""COMPUTED_VALUE"""),2.55)</f>
        <v>2.55</v>
      </c>
      <c r="G1502" s="2">
        <f>IFERROR(__xludf.DUMMYFUNCTION("""COMPUTED_VALUE"""),15051.0)</f>
        <v>15051</v>
      </c>
      <c r="H1502" s="2" t="str">
        <f>IFERROR(__xludf.DUMMYFUNCTION("""COMPUTED_VALUE"""),"United Kingdom")</f>
        <v>United Kingdom</v>
      </c>
      <c r="I1502" s="7">
        <f>IFERROR(__xludf.DUMMYFUNCTION("""COMPUTED_VALUE"""),40148.0)</f>
        <v>40148</v>
      </c>
      <c r="J1502" s="8">
        <f>IFERROR(__xludf.DUMMYFUNCTION("""COMPUTED_VALUE"""),0.5618055555569299)</f>
        <v>0.5618055556</v>
      </c>
      <c r="K1502" s="2">
        <f>IFERROR(__xludf.DUMMYFUNCTION("""COMPUTED_VALUE"""),13.0)</f>
        <v>13</v>
      </c>
      <c r="L1502" s="2">
        <f>IFERROR(__xludf.DUMMYFUNCTION("""COMPUTED_VALUE"""),30.5999999999999)</f>
        <v>30.6</v>
      </c>
    </row>
    <row r="1503">
      <c r="A1503" s="2">
        <f>IFERROR(__xludf.DUMMYFUNCTION("""COMPUTED_VALUE"""),489573.0)</f>
        <v>489573</v>
      </c>
      <c r="B1503" s="2" t="str">
        <f>IFERROR(__xludf.DUMMYFUNCTION("""COMPUTED_VALUE"""),"72008")</f>
        <v>72008</v>
      </c>
      <c r="C1503" s="2" t="str">
        <f>IFERROR(__xludf.DUMMYFUNCTION("""COMPUTED_VALUE"""),"FROSTED BOX 9 WHITE T-LIGHT CANDLES")</f>
        <v>FROSTED BOX 9 WHITE T-LIGHT CANDLES</v>
      </c>
      <c r="D1503" s="2">
        <f>IFERROR(__xludf.DUMMYFUNCTION("""COMPUTED_VALUE"""),12.0)</f>
        <v>12</v>
      </c>
      <c r="E1503" s="6">
        <f>IFERROR(__xludf.DUMMYFUNCTION("""COMPUTED_VALUE"""),40148.56180555555)</f>
        <v>40148.56181</v>
      </c>
      <c r="F1503" s="2">
        <f>IFERROR(__xludf.DUMMYFUNCTION("""COMPUTED_VALUE"""),0.42)</f>
        <v>0.42</v>
      </c>
      <c r="G1503" s="2">
        <f>IFERROR(__xludf.DUMMYFUNCTION("""COMPUTED_VALUE"""),15051.0)</f>
        <v>15051</v>
      </c>
      <c r="H1503" s="2" t="str">
        <f>IFERROR(__xludf.DUMMYFUNCTION("""COMPUTED_VALUE"""),"United Kingdom")</f>
        <v>United Kingdom</v>
      </c>
      <c r="I1503" s="7">
        <f>IFERROR(__xludf.DUMMYFUNCTION("""COMPUTED_VALUE"""),40148.0)</f>
        <v>40148</v>
      </c>
      <c r="J1503" s="8">
        <f>IFERROR(__xludf.DUMMYFUNCTION("""COMPUTED_VALUE"""),0.5618055555569299)</f>
        <v>0.5618055556</v>
      </c>
      <c r="K1503" s="2">
        <f>IFERROR(__xludf.DUMMYFUNCTION("""COMPUTED_VALUE"""),13.0)</f>
        <v>13</v>
      </c>
      <c r="L1503" s="2">
        <f>IFERROR(__xludf.DUMMYFUNCTION("""COMPUTED_VALUE"""),5.04)</f>
        <v>5.04</v>
      </c>
    </row>
    <row r="1504">
      <c r="A1504" s="2">
        <f>IFERROR(__xludf.DUMMYFUNCTION("""COMPUTED_VALUE"""),489573.0)</f>
        <v>489573</v>
      </c>
      <c r="B1504" s="2" t="str">
        <f>IFERROR(__xludf.DUMMYFUNCTION("""COMPUTED_VALUE"""),"22071")</f>
        <v>22071</v>
      </c>
      <c r="C1504" s="2" t="str">
        <f>IFERROR(__xludf.DUMMYFUNCTION("""COMPUTED_VALUE"""),"SMALL RETRO SPOT MUG IN BOX WHITE")</f>
        <v>SMALL RETRO SPOT MUG IN BOX WHITE</v>
      </c>
      <c r="D1504" s="2">
        <f>IFERROR(__xludf.DUMMYFUNCTION("""COMPUTED_VALUE"""),4.0)</f>
        <v>4</v>
      </c>
      <c r="E1504" s="6">
        <f>IFERROR(__xludf.DUMMYFUNCTION("""COMPUTED_VALUE"""),40148.56180555555)</f>
        <v>40148.56181</v>
      </c>
      <c r="F1504" s="2">
        <f>IFERROR(__xludf.DUMMYFUNCTION("""COMPUTED_VALUE"""),3.75)</f>
        <v>3.75</v>
      </c>
      <c r="G1504" s="2">
        <f>IFERROR(__xludf.DUMMYFUNCTION("""COMPUTED_VALUE"""),15051.0)</f>
        <v>15051</v>
      </c>
      <c r="H1504" s="2" t="str">
        <f>IFERROR(__xludf.DUMMYFUNCTION("""COMPUTED_VALUE"""),"United Kingdom")</f>
        <v>United Kingdom</v>
      </c>
      <c r="I1504" s="7">
        <f>IFERROR(__xludf.DUMMYFUNCTION("""COMPUTED_VALUE"""),40148.0)</f>
        <v>40148</v>
      </c>
      <c r="J1504" s="8">
        <f>IFERROR(__xludf.DUMMYFUNCTION("""COMPUTED_VALUE"""),0.5618055555569299)</f>
        <v>0.5618055556</v>
      </c>
      <c r="K1504" s="2">
        <f>IFERROR(__xludf.DUMMYFUNCTION("""COMPUTED_VALUE"""),13.0)</f>
        <v>13</v>
      </c>
      <c r="L1504" s="2">
        <f>IFERROR(__xludf.DUMMYFUNCTION("""COMPUTED_VALUE"""),15.0)</f>
        <v>15</v>
      </c>
    </row>
    <row r="1505">
      <c r="A1505" s="2">
        <f>IFERROR(__xludf.DUMMYFUNCTION("""COMPUTED_VALUE"""),489573.0)</f>
        <v>489573</v>
      </c>
      <c r="B1505" s="2" t="str">
        <f>IFERROR(__xludf.DUMMYFUNCTION("""COMPUTED_VALUE"""),"84340")</f>
        <v>84340</v>
      </c>
      <c r="C1505" s="2" t="str">
        <f>IFERROR(__xludf.DUMMYFUNCTION("""COMPUTED_VALUE"""),"LARGE FIBRE OPTIC CHRISTMAS TREE")</f>
        <v>LARGE FIBRE OPTIC CHRISTMAS TREE</v>
      </c>
      <c r="D1505" s="2">
        <f>IFERROR(__xludf.DUMMYFUNCTION("""COMPUTED_VALUE"""),1.0)</f>
        <v>1</v>
      </c>
      <c r="E1505" s="6">
        <f>IFERROR(__xludf.DUMMYFUNCTION("""COMPUTED_VALUE"""),40148.56180555555)</f>
        <v>40148.56181</v>
      </c>
      <c r="F1505" s="2">
        <f>IFERROR(__xludf.DUMMYFUNCTION("""COMPUTED_VALUE"""),2.55)</f>
        <v>2.55</v>
      </c>
      <c r="G1505" s="2">
        <f>IFERROR(__xludf.DUMMYFUNCTION("""COMPUTED_VALUE"""),15051.0)</f>
        <v>15051</v>
      </c>
      <c r="H1505" s="2" t="str">
        <f>IFERROR(__xludf.DUMMYFUNCTION("""COMPUTED_VALUE"""),"United Kingdom")</f>
        <v>United Kingdom</v>
      </c>
      <c r="I1505" s="7">
        <f>IFERROR(__xludf.DUMMYFUNCTION("""COMPUTED_VALUE"""),40148.0)</f>
        <v>40148</v>
      </c>
      <c r="J1505" s="8">
        <f>IFERROR(__xludf.DUMMYFUNCTION("""COMPUTED_VALUE"""),0.5618055555569299)</f>
        <v>0.5618055556</v>
      </c>
      <c r="K1505" s="2">
        <f>IFERROR(__xludf.DUMMYFUNCTION("""COMPUTED_VALUE"""),13.0)</f>
        <v>13</v>
      </c>
      <c r="L1505" s="2">
        <f>IFERROR(__xludf.DUMMYFUNCTION("""COMPUTED_VALUE"""),2.55)</f>
        <v>2.55</v>
      </c>
    </row>
    <row r="1506">
      <c r="A1506" s="2">
        <f>IFERROR(__xludf.DUMMYFUNCTION("""COMPUTED_VALUE"""),489573.0)</f>
        <v>489573</v>
      </c>
      <c r="B1506" s="2" t="str">
        <f>IFERROR(__xludf.DUMMYFUNCTION("""COMPUTED_VALUE"""),"22070")</f>
        <v>22070</v>
      </c>
      <c r="C1506" s="2" t="str">
        <f>IFERROR(__xludf.DUMMYFUNCTION("""COMPUTED_VALUE"""),"SMALL RETRO SPOT MUG IN BOX RED")</f>
        <v>SMALL RETRO SPOT MUG IN BOX RED</v>
      </c>
      <c r="D1506" s="2">
        <f>IFERROR(__xludf.DUMMYFUNCTION("""COMPUTED_VALUE"""),4.0)</f>
        <v>4</v>
      </c>
      <c r="E1506" s="6">
        <f>IFERROR(__xludf.DUMMYFUNCTION("""COMPUTED_VALUE"""),40148.56180555555)</f>
        <v>40148.56181</v>
      </c>
      <c r="F1506" s="2">
        <f>IFERROR(__xludf.DUMMYFUNCTION("""COMPUTED_VALUE"""),3.75)</f>
        <v>3.75</v>
      </c>
      <c r="G1506" s="2">
        <f>IFERROR(__xludf.DUMMYFUNCTION("""COMPUTED_VALUE"""),15051.0)</f>
        <v>15051</v>
      </c>
      <c r="H1506" s="2" t="str">
        <f>IFERROR(__xludf.DUMMYFUNCTION("""COMPUTED_VALUE"""),"United Kingdom")</f>
        <v>United Kingdom</v>
      </c>
      <c r="I1506" s="7">
        <f>IFERROR(__xludf.DUMMYFUNCTION("""COMPUTED_VALUE"""),40148.0)</f>
        <v>40148</v>
      </c>
      <c r="J1506" s="8">
        <f>IFERROR(__xludf.DUMMYFUNCTION("""COMPUTED_VALUE"""),0.5618055555569299)</f>
        <v>0.5618055556</v>
      </c>
      <c r="K1506" s="2">
        <f>IFERROR(__xludf.DUMMYFUNCTION("""COMPUTED_VALUE"""),13.0)</f>
        <v>13</v>
      </c>
      <c r="L1506" s="2">
        <f>IFERROR(__xludf.DUMMYFUNCTION("""COMPUTED_VALUE"""),15.0)</f>
        <v>15</v>
      </c>
    </row>
    <row r="1507">
      <c r="A1507" s="2">
        <f>IFERROR(__xludf.DUMMYFUNCTION("""COMPUTED_VALUE"""),489573.0)</f>
        <v>489573</v>
      </c>
      <c r="B1507" s="2" t="str">
        <f>IFERROR(__xludf.DUMMYFUNCTION("""COMPUTED_VALUE"""),"84997B")</f>
        <v>84997B</v>
      </c>
      <c r="C1507" s="2" t="str">
        <f>IFERROR(__xludf.DUMMYFUNCTION("""COMPUTED_VALUE"""),"RED 3 PIECE MINI DOTS CUTLERY SET")</f>
        <v>RED 3 PIECE MINI DOTS CUTLERY SET</v>
      </c>
      <c r="D1507" s="2">
        <f>IFERROR(__xludf.DUMMYFUNCTION("""COMPUTED_VALUE"""),4.0)</f>
        <v>4</v>
      </c>
      <c r="E1507" s="6">
        <f>IFERROR(__xludf.DUMMYFUNCTION("""COMPUTED_VALUE"""),40148.56180555555)</f>
        <v>40148.56181</v>
      </c>
      <c r="F1507" s="2">
        <f>IFERROR(__xludf.DUMMYFUNCTION("""COMPUTED_VALUE"""),3.75)</f>
        <v>3.75</v>
      </c>
      <c r="G1507" s="2">
        <f>IFERROR(__xludf.DUMMYFUNCTION("""COMPUTED_VALUE"""),15051.0)</f>
        <v>15051</v>
      </c>
      <c r="H1507" s="2" t="str">
        <f>IFERROR(__xludf.DUMMYFUNCTION("""COMPUTED_VALUE"""),"United Kingdom")</f>
        <v>United Kingdom</v>
      </c>
      <c r="I1507" s="7">
        <f>IFERROR(__xludf.DUMMYFUNCTION("""COMPUTED_VALUE"""),40148.0)</f>
        <v>40148</v>
      </c>
      <c r="J1507" s="8">
        <f>IFERROR(__xludf.DUMMYFUNCTION("""COMPUTED_VALUE"""),0.5618055555569299)</f>
        <v>0.5618055556</v>
      </c>
      <c r="K1507" s="2">
        <f>IFERROR(__xludf.DUMMYFUNCTION("""COMPUTED_VALUE"""),13.0)</f>
        <v>13</v>
      </c>
      <c r="L1507" s="2">
        <f>IFERROR(__xludf.DUMMYFUNCTION("""COMPUTED_VALUE"""),15.0)</f>
        <v>15</v>
      </c>
    </row>
    <row r="1508">
      <c r="A1508" s="2">
        <f>IFERROR(__xludf.DUMMYFUNCTION("""COMPUTED_VALUE"""),489573.0)</f>
        <v>489573</v>
      </c>
      <c r="B1508" s="2" t="str">
        <f>IFERROR(__xludf.DUMMYFUNCTION("""COMPUTED_VALUE"""),"84997C")</f>
        <v>84997C</v>
      </c>
      <c r="C1508" s="2" t="str">
        <f>IFERROR(__xludf.DUMMYFUNCTION("""COMPUTED_VALUE"""),"BLUE 3 PIECE MINI DOTS CUTLERY SET")</f>
        <v>BLUE 3 PIECE MINI DOTS CUTLERY SET</v>
      </c>
      <c r="D1508" s="2">
        <f>IFERROR(__xludf.DUMMYFUNCTION("""COMPUTED_VALUE"""),4.0)</f>
        <v>4</v>
      </c>
      <c r="E1508" s="6">
        <f>IFERROR(__xludf.DUMMYFUNCTION("""COMPUTED_VALUE"""),40148.56180555555)</f>
        <v>40148.56181</v>
      </c>
      <c r="F1508" s="2">
        <f>IFERROR(__xludf.DUMMYFUNCTION("""COMPUTED_VALUE"""),3.75)</f>
        <v>3.75</v>
      </c>
      <c r="G1508" s="2">
        <f>IFERROR(__xludf.DUMMYFUNCTION("""COMPUTED_VALUE"""),15051.0)</f>
        <v>15051</v>
      </c>
      <c r="H1508" s="2" t="str">
        <f>IFERROR(__xludf.DUMMYFUNCTION("""COMPUTED_VALUE"""),"United Kingdom")</f>
        <v>United Kingdom</v>
      </c>
      <c r="I1508" s="7">
        <f>IFERROR(__xludf.DUMMYFUNCTION("""COMPUTED_VALUE"""),40148.0)</f>
        <v>40148</v>
      </c>
      <c r="J1508" s="8">
        <f>IFERROR(__xludf.DUMMYFUNCTION("""COMPUTED_VALUE"""),0.5618055555569299)</f>
        <v>0.5618055556</v>
      </c>
      <c r="K1508" s="2">
        <f>IFERROR(__xludf.DUMMYFUNCTION("""COMPUTED_VALUE"""),13.0)</f>
        <v>13</v>
      </c>
      <c r="L1508" s="2">
        <f>IFERROR(__xludf.DUMMYFUNCTION("""COMPUTED_VALUE"""),15.0)</f>
        <v>15</v>
      </c>
    </row>
    <row r="1509">
      <c r="A1509" s="2">
        <f>IFERROR(__xludf.DUMMYFUNCTION("""COMPUTED_VALUE"""),489573.0)</f>
        <v>489573</v>
      </c>
      <c r="B1509" s="2" t="str">
        <f>IFERROR(__xludf.DUMMYFUNCTION("""COMPUTED_VALUE"""),"22186")</f>
        <v>22186</v>
      </c>
      <c r="C1509" s="2" t="str">
        <f>IFERROR(__xludf.DUMMYFUNCTION("""COMPUTED_VALUE"""),"RED STAR CARD HOLDER")</f>
        <v>RED STAR CARD HOLDER</v>
      </c>
      <c r="D1509" s="2">
        <f>IFERROR(__xludf.DUMMYFUNCTION("""COMPUTED_VALUE"""),11.0)</f>
        <v>11</v>
      </c>
      <c r="E1509" s="6">
        <f>IFERROR(__xludf.DUMMYFUNCTION("""COMPUTED_VALUE"""),40148.56180555555)</f>
        <v>40148.56181</v>
      </c>
      <c r="F1509" s="2">
        <f>IFERROR(__xludf.DUMMYFUNCTION("""COMPUTED_VALUE"""),2.95)</f>
        <v>2.95</v>
      </c>
      <c r="G1509" s="2">
        <f>IFERROR(__xludf.DUMMYFUNCTION("""COMPUTED_VALUE"""),15051.0)</f>
        <v>15051</v>
      </c>
      <c r="H1509" s="2" t="str">
        <f>IFERROR(__xludf.DUMMYFUNCTION("""COMPUTED_VALUE"""),"United Kingdom")</f>
        <v>United Kingdom</v>
      </c>
      <c r="I1509" s="7">
        <f>IFERROR(__xludf.DUMMYFUNCTION("""COMPUTED_VALUE"""),40148.0)</f>
        <v>40148</v>
      </c>
      <c r="J1509" s="8">
        <f>IFERROR(__xludf.DUMMYFUNCTION("""COMPUTED_VALUE"""),0.5618055555569299)</f>
        <v>0.5618055556</v>
      </c>
      <c r="K1509" s="2">
        <f>IFERROR(__xludf.DUMMYFUNCTION("""COMPUTED_VALUE"""),13.0)</f>
        <v>13</v>
      </c>
      <c r="L1509" s="2">
        <f>IFERROR(__xludf.DUMMYFUNCTION("""COMPUTED_VALUE"""),32.45)</f>
        <v>32.45</v>
      </c>
    </row>
    <row r="1510">
      <c r="A1510" s="2">
        <f>IFERROR(__xludf.DUMMYFUNCTION("""COMPUTED_VALUE"""),489573.0)</f>
        <v>489573</v>
      </c>
      <c r="B1510" s="2" t="str">
        <f>IFERROR(__xludf.DUMMYFUNCTION("""COMPUTED_VALUE"""),"22139")</f>
        <v>22139</v>
      </c>
      <c r="C1510" s="2" t="str">
        <f>IFERROR(__xludf.DUMMYFUNCTION("""COMPUTED_VALUE"""),"RETRO SPOT TEA SET CERAMIC 11 PC")</f>
        <v>RETRO SPOT TEA SET CERAMIC 11 PC</v>
      </c>
      <c r="D1510" s="2">
        <f>IFERROR(__xludf.DUMMYFUNCTION("""COMPUTED_VALUE"""),3.0)</f>
        <v>3</v>
      </c>
      <c r="E1510" s="6">
        <f>IFERROR(__xludf.DUMMYFUNCTION("""COMPUTED_VALUE"""),40148.56180555555)</f>
        <v>40148.56181</v>
      </c>
      <c r="F1510" s="2">
        <f>IFERROR(__xludf.DUMMYFUNCTION("""COMPUTED_VALUE"""),4.95)</f>
        <v>4.95</v>
      </c>
      <c r="G1510" s="2">
        <f>IFERROR(__xludf.DUMMYFUNCTION("""COMPUTED_VALUE"""),15051.0)</f>
        <v>15051</v>
      </c>
      <c r="H1510" s="2" t="str">
        <f>IFERROR(__xludf.DUMMYFUNCTION("""COMPUTED_VALUE"""),"United Kingdom")</f>
        <v>United Kingdom</v>
      </c>
      <c r="I1510" s="7">
        <f>IFERROR(__xludf.DUMMYFUNCTION("""COMPUTED_VALUE"""),40148.0)</f>
        <v>40148</v>
      </c>
      <c r="J1510" s="8">
        <f>IFERROR(__xludf.DUMMYFUNCTION("""COMPUTED_VALUE"""),0.5618055555569299)</f>
        <v>0.5618055556</v>
      </c>
      <c r="K1510" s="2">
        <f>IFERROR(__xludf.DUMMYFUNCTION("""COMPUTED_VALUE"""),13.0)</f>
        <v>13</v>
      </c>
      <c r="L1510" s="2">
        <f>IFERROR(__xludf.DUMMYFUNCTION("""COMPUTED_VALUE"""),14.85)</f>
        <v>14.85</v>
      </c>
    </row>
    <row r="1511">
      <c r="A1511" s="2">
        <f>IFERROR(__xludf.DUMMYFUNCTION("""COMPUTED_VALUE"""),489573.0)</f>
        <v>489573</v>
      </c>
      <c r="B1511" s="2" t="str">
        <f>IFERROR(__xludf.DUMMYFUNCTION("""COMPUTED_VALUE"""),"21625")</f>
        <v>21625</v>
      </c>
      <c r="C1511" s="2" t="str">
        <f>IFERROR(__xludf.DUMMYFUNCTION("""COMPUTED_VALUE"""),"VINTAGE UNION JACK APRON")</f>
        <v>VINTAGE UNION JACK APRON</v>
      </c>
      <c r="D1511" s="2">
        <f>IFERROR(__xludf.DUMMYFUNCTION("""COMPUTED_VALUE"""),7.0)</f>
        <v>7</v>
      </c>
      <c r="E1511" s="6">
        <f>IFERROR(__xludf.DUMMYFUNCTION("""COMPUTED_VALUE"""),40148.56180555555)</f>
        <v>40148.56181</v>
      </c>
      <c r="F1511" s="2">
        <f>IFERROR(__xludf.DUMMYFUNCTION("""COMPUTED_VALUE"""),6.95)</f>
        <v>6.95</v>
      </c>
      <c r="G1511" s="2">
        <f>IFERROR(__xludf.DUMMYFUNCTION("""COMPUTED_VALUE"""),15051.0)</f>
        <v>15051</v>
      </c>
      <c r="H1511" s="2" t="str">
        <f>IFERROR(__xludf.DUMMYFUNCTION("""COMPUTED_VALUE"""),"United Kingdom")</f>
        <v>United Kingdom</v>
      </c>
      <c r="I1511" s="7">
        <f>IFERROR(__xludf.DUMMYFUNCTION("""COMPUTED_VALUE"""),40148.0)</f>
        <v>40148</v>
      </c>
      <c r="J1511" s="8">
        <f>IFERROR(__xludf.DUMMYFUNCTION("""COMPUTED_VALUE"""),0.5618055555569299)</f>
        <v>0.5618055556</v>
      </c>
      <c r="K1511" s="2">
        <f>IFERROR(__xludf.DUMMYFUNCTION("""COMPUTED_VALUE"""),13.0)</f>
        <v>13</v>
      </c>
      <c r="L1511" s="2">
        <f>IFERROR(__xludf.DUMMYFUNCTION("""COMPUTED_VALUE"""),48.65)</f>
        <v>48.65</v>
      </c>
    </row>
    <row r="1512">
      <c r="A1512" s="2">
        <f>IFERROR(__xludf.DUMMYFUNCTION("""COMPUTED_VALUE"""),489573.0)</f>
        <v>489573</v>
      </c>
      <c r="B1512" s="2" t="str">
        <f>IFERROR(__xludf.DUMMYFUNCTION("""COMPUTED_VALUE"""),"21326")</f>
        <v>21326</v>
      </c>
      <c r="C1512" s="2" t="str">
        <f>IFERROR(__xludf.DUMMYFUNCTION("""COMPUTED_VALUE"""),"AGED GLASS SILVER T-LIGHT HOLDER")</f>
        <v>AGED GLASS SILVER T-LIGHT HOLDER</v>
      </c>
      <c r="D1512" s="2">
        <f>IFERROR(__xludf.DUMMYFUNCTION("""COMPUTED_VALUE"""),60.0)</f>
        <v>60</v>
      </c>
      <c r="E1512" s="6">
        <f>IFERROR(__xludf.DUMMYFUNCTION("""COMPUTED_VALUE"""),40148.56180555555)</f>
        <v>40148.56181</v>
      </c>
      <c r="F1512" s="2">
        <f>IFERROR(__xludf.DUMMYFUNCTION("""COMPUTED_VALUE"""),0.65)</f>
        <v>0.65</v>
      </c>
      <c r="G1512" s="2">
        <f>IFERROR(__xludf.DUMMYFUNCTION("""COMPUTED_VALUE"""),15051.0)</f>
        <v>15051</v>
      </c>
      <c r="H1512" s="2" t="str">
        <f>IFERROR(__xludf.DUMMYFUNCTION("""COMPUTED_VALUE"""),"United Kingdom")</f>
        <v>United Kingdom</v>
      </c>
      <c r="I1512" s="7">
        <f>IFERROR(__xludf.DUMMYFUNCTION("""COMPUTED_VALUE"""),40148.0)</f>
        <v>40148</v>
      </c>
      <c r="J1512" s="8">
        <f>IFERROR(__xludf.DUMMYFUNCTION("""COMPUTED_VALUE"""),0.5618055555569299)</f>
        <v>0.5618055556</v>
      </c>
      <c r="K1512" s="2">
        <f>IFERROR(__xludf.DUMMYFUNCTION("""COMPUTED_VALUE"""),13.0)</f>
        <v>13</v>
      </c>
      <c r="L1512" s="2">
        <f>IFERROR(__xludf.DUMMYFUNCTION("""COMPUTED_VALUE"""),39.0)</f>
        <v>39</v>
      </c>
    </row>
    <row r="1513">
      <c r="A1513" s="2">
        <f>IFERROR(__xludf.DUMMYFUNCTION("""COMPUTED_VALUE"""),489573.0)</f>
        <v>489573</v>
      </c>
      <c r="B1513" s="2" t="str">
        <f>IFERROR(__xludf.DUMMYFUNCTION("""COMPUTED_VALUE"""),"18096C")</f>
        <v>18096C</v>
      </c>
      <c r="C1513" s="2" t="str">
        <f>IFERROR(__xludf.DUMMYFUNCTION("""COMPUTED_VALUE"""),"WHITE ROUND PORCELAIN TLIGHT HOLDER")</f>
        <v>WHITE ROUND PORCELAIN TLIGHT HOLDER</v>
      </c>
      <c r="D1513" s="2">
        <f>IFERROR(__xludf.DUMMYFUNCTION("""COMPUTED_VALUE"""),6.0)</f>
        <v>6</v>
      </c>
      <c r="E1513" s="6">
        <f>IFERROR(__xludf.DUMMYFUNCTION("""COMPUTED_VALUE"""),40148.56180555555)</f>
        <v>40148.56181</v>
      </c>
      <c r="F1513" s="2">
        <f>IFERROR(__xludf.DUMMYFUNCTION("""COMPUTED_VALUE"""),2.55)</f>
        <v>2.55</v>
      </c>
      <c r="G1513" s="2">
        <f>IFERROR(__xludf.DUMMYFUNCTION("""COMPUTED_VALUE"""),15051.0)</f>
        <v>15051</v>
      </c>
      <c r="H1513" s="2" t="str">
        <f>IFERROR(__xludf.DUMMYFUNCTION("""COMPUTED_VALUE"""),"United Kingdom")</f>
        <v>United Kingdom</v>
      </c>
      <c r="I1513" s="7">
        <f>IFERROR(__xludf.DUMMYFUNCTION("""COMPUTED_VALUE"""),40148.0)</f>
        <v>40148</v>
      </c>
      <c r="J1513" s="8">
        <f>IFERROR(__xludf.DUMMYFUNCTION("""COMPUTED_VALUE"""),0.5618055555569299)</f>
        <v>0.5618055556</v>
      </c>
      <c r="K1513" s="2">
        <f>IFERROR(__xludf.DUMMYFUNCTION("""COMPUTED_VALUE"""),13.0)</f>
        <v>13</v>
      </c>
      <c r="L1513" s="2">
        <f>IFERROR(__xludf.DUMMYFUNCTION("""COMPUTED_VALUE"""),15.2999999999999)</f>
        <v>15.3</v>
      </c>
    </row>
    <row r="1514">
      <c r="A1514" s="2">
        <f>IFERROR(__xludf.DUMMYFUNCTION("""COMPUTED_VALUE"""),489573.0)</f>
        <v>489573</v>
      </c>
      <c r="B1514" s="2" t="str">
        <f>IFERROR(__xludf.DUMMYFUNCTION("""COMPUTED_VALUE"""),"18097C")</f>
        <v>18097C</v>
      </c>
      <c r="C1514" s="2" t="str">
        <f>IFERROR(__xludf.DUMMYFUNCTION("""COMPUTED_VALUE"""),"WHITE TALL PORCELAIN T-LIGHT HOLDER")</f>
        <v>WHITE TALL PORCELAIN T-LIGHT HOLDER</v>
      </c>
      <c r="D1514" s="2">
        <f>IFERROR(__xludf.DUMMYFUNCTION("""COMPUTED_VALUE"""),6.0)</f>
        <v>6</v>
      </c>
      <c r="E1514" s="6">
        <f>IFERROR(__xludf.DUMMYFUNCTION("""COMPUTED_VALUE"""),40148.56180555555)</f>
        <v>40148.56181</v>
      </c>
      <c r="F1514" s="2">
        <f>IFERROR(__xludf.DUMMYFUNCTION("""COMPUTED_VALUE"""),2.55)</f>
        <v>2.55</v>
      </c>
      <c r="G1514" s="2">
        <f>IFERROR(__xludf.DUMMYFUNCTION("""COMPUTED_VALUE"""),15051.0)</f>
        <v>15051</v>
      </c>
      <c r="H1514" s="2" t="str">
        <f>IFERROR(__xludf.DUMMYFUNCTION("""COMPUTED_VALUE"""),"United Kingdom")</f>
        <v>United Kingdom</v>
      </c>
      <c r="I1514" s="7">
        <f>IFERROR(__xludf.DUMMYFUNCTION("""COMPUTED_VALUE"""),40148.0)</f>
        <v>40148</v>
      </c>
      <c r="J1514" s="8">
        <f>IFERROR(__xludf.DUMMYFUNCTION("""COMPUTED_VALUE"""),0.5618055555569299)</f>
        <v>0.5618055556</v>
      </c>
      <c r="K1514" s="2">
        <f>IFERROR(__xludf.DUMMYFUNCTION("""COMPUTED_VALUE"""),13.0)</f>
        <v>13</v>
      </c>
      <c r="L1514" s="2">
        <f>IFERROR(__xludf.DUMMYFUNCTION("""COMPUTED_VALUE"""),15.2999999999999)</f>
        <v>15.3</v>
      </c>
    </row>
    <row r="1515">
      <c r="A1515" s="2">
        <f>IFERROR(__xludf.DUMMYFUNCTION("""COMPUTED_VALUE"""),489573.0)</f>
        <v>489573</v>
      </c>
      <c r="B1515" s="2" t="str">
        <f>IFERROR(__xludf.DUMMYFUNCTION("""COMPUTED_VALUE"""),"22113")</f>
        <v>22113</v>
      </c>
      <c r="C1515" s="2" t="str">
        <f>IFERROR(__xludf.DUMMYFUNCTION("""COMPUTED_VALUE"""),"GREY HEART HOT WATER BOTTLE")</f>
        <v>GREY HEART HOT WATER BOTTLE</v>
      </c>
      <c r="D1515" s="2">
        <f>IFERROR(__xludf.DUMMYFUNCTION("""COMPUTED_VALUE"""),12.0)</f>
        <v>12</v>
      </c>
      <c r="E1515" s="6">
        <f>IFERROR(__xludf.DUMMYFUNCTION("""COMPUTED_VALUE"""),40148.56180555555)</f>
        <v>40148.56181</v>
      </c>
      <c r="F1515" s="2">
        <f>IFERROR(__xludf.DUMMYFUNCTION("""COMPUTED_VALUE"""),3.45)</f>
        <v>3.45</v>
      </c>
      <c r="G1515" s="2">
        <f>IFERROR(__xludf.DUMMYFUNCTION("""COMPUTED_VALUE"""),15051.0)</f>
        <v>15051</v>
      </c>
      <c r="H1515" s="2" t="str">
        <f>IFERROR(__xludf.DUMMYFUNCTION("""COMPUTED_VALUE"""),"United Kingdom")</f>
        <v>United Kingdom</v>
      </c>
      <c r="I1515" s="7">
        <f>IFERROR(__xludf.DUMMYFUNCTION("""COMPUTED_VALUE"""),40148.0)</f>
        <v>40148</v>
      </c>
      <c r="J1515" s="8">
        <f>IFERROR(__xludf.DUMMYFUNCTION("""COMPUTED_VALUE"""),0.5618055555569299)</f>
        <v>0.5618055556</v>
      </c>
      <c r="K1515" s="2">
        <f>IFERROR(__xludf.DUMMYFUNCTION("""COMPUTED_VALUE"""),13.0)</f>
        <v>13</v>
      </c>
      <c r="L1515" s="2">
        <f>IFERROR(__xludf.DUMMYFUNCTION("""COMPUTED_VALUE"""),41.4)</f>
        <v>41.4</v>
      </c>
    </row>
    <row r="1516">
      <c r="A1516" s="2">
        <f>IFERROR(__xludf.DUMMYFUNCTION("""COMPUTED_VALUE"""),489573.0)</f>
        <v>489573</v>
      </c>
      <c r="B1516" s="2" t="str">
        <f>IFERROR(__xludf.DUMMYFUNCTION("""COMPUTED_VALUE"""),"85147")</f>
        <v>85147</v>
      </c>
      <c r="C1516" s="2" t="str">
        <f>IFERROR(__xludf.DUMMYFUNCTION("""COMPUTED_VALUE"""),"JARDIN ETCHED GLASS CANDLEHLDR LONG")</f>
        <v>JARDIN ETCHED GLASS CANDLEHLDR LONG</v>
      </c>
      <c r="D1516" s="2">
        <f>IFERROR(__xludf.DUMMYFUNCTION("""COMPUTED_VALUE"""),4.0)</f>
        <v>4</v>
      </c>
      <c r="E1516" s="6">
        <f>IFERROR(__xludf.DUMMYFUNCTION("""COMPUTED_VALUE"""),40148.56180555555)</f>
        <v>40148.56181</v>
      </c>
      <c r="F1516" s="2">
        <f>IFERROR(__xludf.DUMMYFUNCTION("""COMPUTED_VALUE"""),4.95)</f>
        <v>4.95</v>
      </c>
      <c r="G1516" s="2">
        <f>IFERROR(__xludf.DUMMYFUNCTION("""COMPUTED_VALUE"""),15051.0)</f>
        <v>15051</v>
      </c>
      <c r="H1516" s="2" t="str">
        <f>IFERROR(__xludf.DUMMYFUNCTION("""COMPUTED_VALUE"""),"United Kingdom")</f>
        <v>United Kingdom</v>
      </c>
      <c r="I1516" s="7">
        <f>IFERROR(__xludf.DUMMYFUNCTION("""COMPUTED_VALUE"""),40148.0)</f>
        <v>40148</v>
      </c>
      <c r="J1516" s="8">
        <f>IFERROR(__xludf.DUMMYFUNCTION("""COMPUTED_VALUE"""),0.5618055555569299)</f>
        <v>0.5618055556</v>
      </c>
      <c r="K1516" s="2">
        <f>IFERROR(__xludf.DUMMYFUNCTION("""COMPUTED_VALUE"""),13.0)</f>
        <v>13</v>
      </c>
      <c r="L1516" s="2">
        <f>IFERROR(__xludf.DUMMYFUNCTION("""COMPUTED_VALUE"""),19.8)</f>
        <v>19.8</v>
      </c>
    </row>
    <row r="1517">
      <c r="A1517" s="2">
        <f>IFERROR(__xludf.DUMMYFUNCTION("""COMPUTED_VALUE"""),489573.0)</f>
        <v>489573</v>
      </c>
      <c r="B1517" s="2" t="str">
        <f>IFERROR(__xludf.DUMMYFUNCTION("""COMPUTED_VALUE"""),"21868")</f>
        <v>21868</v>
      </c>
      <c r="C1517" s="2" t="str">
        <f>IFERROR(__xludf.DUMMYFUNCTION("""COMPUTED_VALUE"""),"POTTING SHED TEA MUG")</f>
        <v>POTTING SHED TEA MUG</v>
      </c>
      <c r="D1517" s="2">
        <f>IFERROR(__xludf.DUMMYFUNCTION("""COMPUTED_VALUE"""),3.0)</f>
        <v>3</v>
      </c>
      <c r="E1517" s="6">
        <f>IFERROR(__xludf.DUMMYFUNCTION("""COMPUTED_VALUE"""),40148.56180555555)</f>
        <v>40148.56181</v>
      </c>
      <c r="F1517" s="2">
        <f>IFERROR(__xludf.DUMMYFUNCTION("""COMPUTED_VALUE"""),1.25)</f>
        <v>1.25</v>
      </c>
      <c r="G1517" s="2">
        <f>IFERROR(__xludf.DUMMYFUNCTION("""COMPUTED_VALUE"""),15051.0)</f>
        <v>15051</v>
      </c>
      <c r="H1517" s="2" t="str">
        <f>IFERROR(__xludf.DUMMYFUNCTION("""COMPUTED_VALUE"""),"United Kingdom")</f>
        <v>United Kingdom</v>
      </c>
      <c r="I1517" s="7">
        <f>IFERROR(__xludf.DUMMYFUNCTION("""COMPUTED_VALUE"""),40148.0)</f>
        <v>40148</v>
      </c>
      <c r="J1517" s="8">
        <f>IFERROR(__xludf.DUMMYFUNCTION("""COMPUTED_VALUE"""),0.5618055555569299)</f>
        <v>0.5618055556</v>
      </c>
      <c r="K1517" s="2">
        <f>IFERROR(__xludf.DUMMYFUNCTION("""COMPUTED_VALUE"""),13.0)</f>
        <v>13</v>
      </c>
      <c r="L1517" s="2">
        <f>IFERROR(__xludf.DUMMYFUNCTION("""COMPUTED_VALUE"""),3.75)</f>
        <v>3.75</v>
      </c>
    </row>
    <row r="1518">
      <c r="A1518" s="2">
        <f>IFERROR(__xludf.DUMMYFUNCTION("""COMPUTED_VALUE"""),489573.0)</f>
        <v>489573</v>
      </c>
      <c r="B1518" s="2" t="str">
        <f>IFERROR(__xludf.DUMMYFUNCTION("""COMPUTED_VALUE"""),"22138")</f>
        <v>22138</v>
      </c>
      <c r="C1518" s="2" t="str">
        <f>IFERROR(__xludf.DUMMYFUNCTION("""COMPUTED_VALUE"""),"BAKING SET 9 PIECE RETROSPOT")</f>
        <v>BAKING SET 9 PIECE RETROSPOT</v>
      </c>
      <c r="D1518" s="2">
        <f>IFERROR(__xludf.DUMMYFUNCTION("""COMPUTED_VALUE"""),3.0)</f>
        <v>3</v>
      </c>
      <c r="E1518" s="6">
        <f>IFERROR(__xludf.DUMMYFUNCTION("""COMPUTED_VALUE"""),40148.56180555555)</f>
        <v>40148.56181</v>
      </c>
      <c r="F1518" s="2">
        <f>IFERROR(__xludf.DUMMYFUNCTION("""COMPUTED_VALUE"""),4.95)</f>
        <v>4.95</v>
      </c>
      <c r="G1518" s="2">
        <f>IFERROR(__xludf.DUMMYFUNCTION("""COMPUTED_VALUE"""),15051.0)</f>
        <v>15051</v>
      </c>
      <c r="H1518" s="2" t="str">
        <f>IFERROR(__xludf.DUMMYFUNCTION("""COMPUTED_VALUE"""),"United Kingdom")</f>
        <v>United Kingdom</v>
      </c>
      <c r="I1518" s="7">
        <f>IFERROR(__xludf.DUMMYFUNCTION("""COMPUTED_VALUE"""),40148.0)</f>
        <v>40148</v>
      </c>
      <c r="J1518" s="8">
        <f>IFERROR(__xludf.DUMMYFUNCTION("""COMPUTED_VALUE"""),0.5618055555569299)</f>
        <v>0.5618055556</v>
      </c>
      <c r="K1518" s="2">
        <f>IFERROR(__xludf.DUMMYFUNCTION("""COMPUTED_VALUE"""),13.0)</f>
        <v>13</v>
      </c>
      <c r="L1518" s="2">
        <f>IFERROR(__xludf.DUMMYFUNCTION("""COMPUTED_VALUE"""),14.85)</f>
        <v>14.85</v>
      </c>
    </row>
    <row r="1519">
      <c r="A1519" s="2">
        <f>IFERROR(__xludf.DUMMYFUNCTION("""COMPUTED_VALUE"""),489572.0)</f>
        <v>489572</v>
      </c>
      <c r="B1519" s="2" t="str">
        <f>IFERROR(__xludf.DUMMYFUNCTION("""COMPUTED_VALUE"""),"37444C")</f>
        <v>37444C</v>
      </c>
      <c r="C1519" s="2" t="str">
        <f>IFERROR(__xludf.DUMMYFUNCTION("""COMPUTED_VALUE"""),"PINK BREAKFAST CUP AND SAUCER")</f>
        <v>PINK BREAKFAST CUP AND SAUCER</v>
      </c>
      <c r="D1519" s="2">
        <f>IFERROR(__xludf.DUMMYFUNCTION("""COMPUTED_VALUE"""),2.0)</f>
        <v>2</v>
      </c>
      <c r="E1519" s="6">
        <f>IFERROR(__xludf.DUMMYFUNCTION("""COMPUTED_VALUE"""),40148.56180555555)</f>
        <v>40148.56181</v>
      </c>
      <c r="F1519" s="2">
        <f>IFERROR(__xludf.DUMMYFUNCTION("""COMPUTED_VALUE"""),2.95)</f>
        <v>2.95</v>
      </c>
      <c r="G1519" s="2">
        <f>IFERROR(__xludf.DUMMYFUNCTION("""COMPUTED_VALUE"""),17611.0)</f>
        <v>17611</v>
      </c>
      <c r="H1519" s="2" t="str">
        <f>IFERROR(__xludf.DUMMYFUNCTION("""COMPUTED_VALUE"""),"United Kingdom")</f>
        <v>United Kingdom</v>
      </c>
      <c r="I1519" s="7">
        <f>IFERROR(__xludf.DUMMYFUNCTION("""COMPUTED_VALUE"""),40148.0)</f>
        <v>40148</v>
      </c>
      <c r="J1519" s="8">
        <f>IFERROR(__xludf.DUMMYFUNCTION("""COMPUTED_VALUE"""),0.5618055555569299)</f>
        <v>0.5618055556</v>
      </c>
      <c r="K1519" s="2">
        <f>IFERROR(__xludf.DUMMYFUNCTION("""COMPUTED_VALUE"""),13.0)</f>
        <v>13</v>
      </c>
      <c r="L1519" s="2">
        <f>IFERROR(__xludf.DUMMYFUNCTION("""COMPUTED_VALUE"""),5.9)</f>
        <v>5.9</v>
      </c>
    </row>
    <row r="1520">
      <c r="A1520" s="2">
        <f>IFERROR(__xludf.DUMMYFUNCTION("""COMPUTED_VALUE"""),489572.0)</f>
        <v>489572</v>
      </c>
      <c r="B1520" s="2" t="str">
        <f>IFERROR(__xludf.DUMMYFUNCTION("""COMPUTED_VALUE"""),"85055")</f>
        <v>85055</v>
      </c>
      <c r="C1520" s="2" t="str">
        <f>IFERROR(__xludf.DUMMYFUNCTION("""COMPUTED_VALUE"""),"FRENCH ENAMEL UTENSIL HOLDER")</f>
        <v>FRENCH ENAMEL UTENSIL HOLDER</v>
      </c>
      <c r="D1520" s="2">
        <f>IFERROR(__xludf.DUMMYFUNCTION("""COMPUTED_VALUE"""),2.0)</f>
        <v>2</v>
      </c>
      <c r="E1520" s="6">
        <f>IFERROR(__xludf.DUMMYFUNCTION("""COMPUTED_VALUE"""),40148.56180555555)</f>
        <v>40148.56181</v>
      </c>
      <c r="F1520" s="2">
        <f>IFERROR(__xludf.DUMMYFUNCTION("""COMPUTED_VALUE"""),3.75)</f>
        <v>3.75</v>
      </c>
      <c r="G1520" s="2">
        <f>IFERROR(__xludf.DUMMYFUNCTION("""COMPUTED_VALUE"""),17611.0)</f>
        <v>17611</v>
      </c>
      <c r="H1520" s="2" t="str">
        <f>IFERROR(__xludf.DUMMYFUNCTION("""COMPUTED_VALUE"""),"United Kingdom")</f>
        <v>United Kingdom</v>
      </c>
      <c r="I1520" s="7">
        <f>IFERROR(__xludf.DUMMYFUNCTION("""COMPUTED_VALUE"""),40148.0)</f>
        <v>40148</v>
      </c>
      <c r="J1520" s="8">
        <f>IFERROR(__xludf.DUMMYFUNCTION("""COMPUTED_VALUE"""),0.5618055555569299)</f>
        <v>0.5618055556</v>
      </c>
      <c r="K1520" s="2">
        <f>IFERROR(__xludf.DUMMYFUNCTION("""COMPUTED_VALUE"""),13.0)</f>
        <v>13</v>
      </c>
      <c r="L1520" s="2">
        <f>IFERROR(__xludf.DUMMYFUNCTION("""COMPUTED_VALUE"""),7.5)</f>
        <v>7.5</v>
      </c>
    </row>
    <row r="1521">
      <c r="A1521" s="2">
        <f>IFERROR(__xludf.DUMMYFUNCTION("""COMPUTED_VALUE"""),489572.0)</f>
        <v>489572</v>
      </c>
      <c r="B1521" s="2" t="str">
        <f>IFERROR(__xludf.DUMMYFUNCTION("""COMPUTED_VALUE"""),"85028L")</f>
        <v>85028L</v>
      </c>
      <c r="C1521" s="2" t="str">
        <f>IFERROR(__xludf.DUMMYFUNCTION("""COMPUTED_VALUE"""),"FRENCH CHATEAU LARGE FRUIT BOWL")</f>
        <v>FRENCH CHATEAU LARGE FRUIT BOWL</v>
      </c>
      <c r="D1521" s="2">
        <f>IFERROR(__xludf.DUMMYFUNCTION("""COMPUTED_VALUE"""),2.0)</f>
        <v>2</v>
      </c>
      <c r="E1521" s="6">
        <f>IFERROR(__xludf.DUMMYFUNCTION("""COMPUTED_VALUE"""),40148.56180555555)</f>
        <v>40148.56181</v>
      </c>
      <c r="F1521" s="2">
        <f>IFERROR(__xludf.DUMMYFUNCTION("""COMPUTED_VALUE"""),7.95)</f>
        <v>7.95</v>
      </c>
      <c r="G1521" s="2">
        <f>IFERROR(__xludf.DUMMYFUNCTION("""COMPUTED_VALUE"""),17611.0)</f>
        <v>17611</v>
      </c>
      <c r="H1521" s="2" t="str">
        <f>IFERROR(__xludf.DUMMYFUNCTION("""COMPUTED_VALUE"""),"United Kingdom")</f>
        <v>United Kingdom</v>
      </c>
      <c r="I1521" s="7">
        <f>IFERROR(__xludf.DUMMYFUNCTION("""COMPUTED_VALUE"""),40148.0)</f>
        <v>40148</v>
      </c>
      <c r="J1521" s="8">
        <f>IFERROR(__xludf.DUMMYFUNCTION("""COMPUTED_VALUE"""),0.5618055555569299)</f>
        <v>0.5618055556</v>
      </c>
      <c r="K1521" s="2">
        <f>IFERROR(__xludf.DUMMYFUNCTION("""COMPUTED_VALUE"""),13.0)</f>
        <v>13</v>
      </c>
      <c r="L1521" s="2">
        <f>IFERROR(__xludf.DUMMYFUNCTION("""COMPUTED_VALUE"""),15.9)</f>
        <v>15.9</v>
      </c>
    </row>
    <row r="1522">
      <c r="A1522" s="2">
        <f>IFERROR(__xludf.DUMMYFUNCTION("""COMPUTED_VALUE"""),489572.0)</f>
        <v>489572</v>
      </c>
      <c r="B1522" s="2" t="str">
        <f>IFERROR(__xludf.DUMMYFUNCTION("""COMPUTED_VALUE"""),"85028S")</f>
        <v>85028S</v>
      </c>
      <c r="C1522" s="2" t="str">
        <f>IFERROR(__xludf.DUMMYFUNCTION("""COMPUTED_VALUE"""),"FRENCH CHATEAU SMALL FRUITBOWL")</f>
        <v>FRENCH CHATEAU SMALL FRUITBOWL</v>
      </c>
      <c r="D1522" s="2">
        <f>IFERROR(__xludf.DUMMYFUNCTION("""COMPUTED_VALUE"""),2.0)</f>
        <v>2</v>
      </c>
      <c r="E1522" s="6">
        <f>IFERROR(__xludf.DUMMYFUNCTION("""COMPUTED_VALUE"""),40148.56180555555)</f>
        <v>40148.56181</v>
      </c>
      <c r="F1522" s="2">
        <f>IFERROR(__xludf.DUMMYFUNCTION("""COMPUTED_VALUE"""),4.95)</f>
        <v>4.95</v>
      </c>
      <c r="G1522" s="2">
        <f>IFERROR(__xludf.DUMMYFUNCTION("""COMPUTED_VALUE"""),17611.0)</f>
        <v>17611</v>
      </c>
      <c r="H1522" s="2" t="str">
        <f>IFERROR(__xludf.DUMMYFUNCTION("""COMPUTED_VALUE"""),"United Kingdom")</f>
        <v>United Kingdom</v>
      </c>
      <c r="I1522" s="7">
        <f>IFERROR(__xludf.DUMMYFUNCTION("""COMPUTED_VALUE"""),40148.0)</f>
        <v>40148</v>
      </c>
      <c r="J1522" s="8">
        <f>IFERROR(__xludf.DUMMYFUNCTION("""COMPUTED_VALUE"""),0.5618055555569299)</f>
        <v>0.5618055556</v>
      </c>
      <c r="K1522" s="2">
        <f>IFERROR(__xludf.DUMMYFUNCTION("""COMPUTED_VALUE"""),13.0)</f>
        <v>13</v>
      </c>
      <c r="L1522" s="2">
        <f>IFERROR(__xludf.DUMMYFUNCTION("""COMPUTED_VALUE"""),9.9)</f>
        <v>9.9</v>
      </c>
    </row>
    <row r="1523">
      <c r="A1523" s="2">
        <f>IFERROR(__xludf.DUMMYFUNCTION("""COMPUTED_VALUE"""),489572.0)</f>
        <v>489572</v>
      </c>
      <c r="B1523" s="2" t="str">
        <f>IFERROR(__xludf.DUMMYFUNCTION("""COMPUTED_VALUE"""),"22145")</f>
        <v>22145</v>
      </c>
      <c r="C1523" s="2" t="str">
        <f>IFERROR(__xludf.DUMMYFUNCTION("""COMPUTED_VALUE"""),"CHRISTMAS CRAFT HEART STOCKING")</f>
        <v>CHRISTMAS CRAFT HEART STOCKING</v>
      </c>
      <c r="D1523" s="2">
        <f>IFERROR(__xludf.DUMMYFUNCTION("""COMPUTED_VALUE"""),2.0)</f>
        <v>2</v>
      </c>
      <c r="E1523" s="6">
        <f>IFERROR(__xludf.DUMMYFUNCTION("""COMPUTED_VALUE"""),40148.56180555555)</f>
        <v>40148.56181</v>
      </c>
      <c r="F1523" s="2">
        <f>IFERROR(__xludf.DUMMYFUNCTION("""COMPUTED_VALUE"""),2.1)</f>
        <v>2.1</v>
      </c>
      <c r="G1523" s="2">
        <f>IFERROR(__xludf.DUMMYFUNCTION("""COMPUTED_VALUE"""),17611.0)</f>
        <v>17611</v>
      </c>
      <c r="H1523" s="2" t="str">
        <f>IFERROR(__xludf.DUMMYFUNCTION("""COMPUTED_VALUE"""),"United Kingdom")</f>
        <v>United Kingdom</v>
      </c>
      <c r="I1523" s="7">
        <f>IFERROR(__xludf.DUMMYFUNCTION("""COMPUTED_VALUE"""),40148.0)</f>
        <v>40148</v>
      </c>
      <c r="J1523" s="8">
        <f>IFERROR(__xludf.DUMMYFUNCTION("""COMPUTED_VALUE"""),0.5618055555569299)</f>
        <v>0.5618055556</v>
      </c>
      <c r="K1523" s="2">
        <f>IFERROR(__xludf.DUMMYFUNCTION("""COMPUTED_VALUE"""),13.0)</f>
        <v>13</v>
      </c>
      <c r="L1523" s="2">
        <f>IFERROR(__xludf.DUMMYFUNCTION("""COMPUTED_VALUE"""),4.2)</f>
        <v>4.2</v>
      </c>
    </row>
    <row r="1524">
      <c r="A1524" s="2">
        <f>IFERROR(__xludf.DUMMYFUNCTION("""COMPUTED_VALUE"""),489572.0)</f>
        <v>489572</v>
      </c>
      <c r="B1524" s="2" t="str">
        <f>IFERROR(__xludf.DUMMYFUNCTION("""COMPUTED_VALUE"""),"22142")</f>
        <v>22142</v>
      </c>
      <c r="C1524" s="2" t="str">
        <f>IFERROR(__xludf.DUMMYFUNCTION("""COMPUTED_VALUE"""),"CHRISTMAS CRAFT WHITE FAIRY")</f>
        <v>CHRISTMAS CRAFT WHITE FAIRY</v>
      </c>
      <c r="D1524" s="2">
        <f>IFERROR(__xludf.DUMMYFUNCTION("""COMPUTED_VALUE"""),2.0)</f>
        <v>2</v>
      </c>
      <c r="E1524" s="6">
        <f>IFERROR(__xludf.DUMMYFUNCTION("""COMPUTED_VALUE"""),40148.56180555555)</f>
        <v>40148.56181</v>
      </c>
      <c r="F1524" s="2">
        <f>IFERROR(__xludf.DUMMYFUNCTION("""COMPUTED_VALUE"""),1.45)</f>
        <v>1.45</v>
      </c>
      <c r="G1524" s="2">
        <f>IFERROR(__xludf.DUMMYFUNCTION("""COMPUTED_VALUE"""),17611.0)</f>
        <v>17611</v>
      </c>
      <c r="H1524" s="2" t="str">
        <f>IFERROR(__xludf.DUMMYFUNCTION("""COMPUTED_VALUE"""),"United Kingdom")</f>
        <v>United Kingdom</v>
      </c>
      <c r="I1524" s="7">
        <f>IFERROR(__xludf.DUMMYFUNCTION("""COMPUTED_VALUE"""),40148.0)</f>
        <v>40148</v>
      </c>
      <c r="J1524" s="8">
        <f>IFERROR(__xludf.DUMMYFUNCTION("""COMPUTED_VALUE"""),0.5618055555569299)</f>
        <v>0.5618055556</v>
      </c>
      <c r="K1524" s="2">
        <f>IFERROR(__xludf.DUMMYFUNCTION("""COMPUTED_VALUE"""),13.0)</f>
        <v>13</v>
      </c>
      <c r="L1524" s="2">
        <f>IFERROR(__xludf.DUMMYFUNCTION("""COMPUTED_VALUE"""),2.9)</f>
        <v>2.9</v>
      </c>
    </row>
    <row r="1525">
      <c r="A1525" s="2">
        <f>IFERROR(__xludf.DUMMYFUNCTION("""COMPUTED_VALUE"""),489572.0)</f>
        <v>489572</v>
      </c>
      <c r="B1525" s="2" t="str">
        <f>IFERROR(__xludf.DUMMYFUNCTION("""COMPUTED_VALUE"""),"21491")</f>
        <v>21491</v>
      </c>
      <c r="C1525" s="2" t="str">
        <f>IFERROR(__xludf.DUMMYFUNCTION("""COMPUTED_VALUE"""),"SET OF THREE VINTAGE GIFT WRAPS")</f>
        <v>SET OF THREE VINTAGE GIFT WRAPS</v>
      </c>
      <c r="D1525" s="2">
        <f>IFERROR(__xludf.DUMMYFUNCTION("""COMPUTED_VALUE"""),1.0)</f>
        <v>1</v>
      </c>
      <c r="E1525" s="6">
        <f>IFERROR(__xludf.DUMMYFUNCTION("""COMPUTED_VALUE"""),40148.56180555555)</f>
        <v>40148.56181</v>
      </c>
      <c r="F1525" s="2">
        <f>IFERROR(__xludf.DUMMYFUNCTION("""COMPUTED_VALUE"""),1.95)</f>
        <v>1.95</v>
      </c>
      <c r="G1525" s="2">
        <f>IFERROR(__xludf.DUMMYFUNCTION("""COMPUTED_VALUE"""),17611.0)</f>
        <v>17611</v>
      </c>
      <c r="H1525" s="2" t="str">
        <f>IFERROR(__xludf.DUMMYFUNCTION("""COMPUTED_VALUE"""),"United Kingdom")</f>
        <v>United Kingdom</v>
      </c>
      <c r="I1525" s="7">
        <f>IFERROR(__xludf.DUMMYFUNCTION("""COMPUTED_VALUE"""),40148.0)</f>
        <v>40148</v>
      </c>
      <c r="J1525" s="8">
        <f>IFERROR(__xludf.DUMMYFUNCTION("""COMPUTED_VALUE"""),0.5618055555569299)</f>
        <v>0.5618055556</v>
      </c>
      <c r="K1525" s="2">
        <f>IFERROR(__xludf.DUMMYFUNCTION("""COMPUTED_VALUE"""),13.0)</f>
        <v>13</v>
      </c>
      <c r="L1525" s="2">
        <f>IFERROR(__xludf.DUMMYFUNCTION("""COMPUTED_VALUE"""),1.95)</f>
        <v>1.95</v>
      </c>
    </row>
    <row r="1526">
      <c r="A1526" s="2">
        <f>IFERROR(__xludf.DUMMYFUNCTION("""COMPUTED_VALUE"""),489572.0)</f>
        <v>489572</v>
      </c>
      <c r="B1526" s="2" t="str">
        <f>IFERROR(__xludf.DUMMYFUNCTION("""COMPUTED_VALUE"""),"21490")</f>
        <v>21490</v>
      </c>
      <c r="C1526" s="2" t="str">
        <f>IFERROR(__xludf.DUMMYFUNCTION("""COMPUTED_VALUE"""),"SET OF THREE 50'S GIFT WRAPS")</f>
        <v>SET OF THREE 50'S GIFT WRAPS</v>
      </c>
      <c r="D1526" s="2">
        <f>IFERROR(__xludf.DUMMYFUNCTION("""COMPUTED_VALUE"""),2.0)</f>
        <v>2</v>
      </c>
      <c r="E1526" s="6">
        <f>IFERROR(__xludf.DUMMYFUNCTION("""COMPUTED_VALUE"""),40148.56180555555)</f>
        <v>40148.56181</v>
      </c>
      <c r="F1526" s="2">
        <f>IFERROR(__xludf.DUMMYFUNCTION("""COMPUTED_VALUE"""),1.95)</f>
        <v>1.95</v>
      </c>
      <c r="G1526" s="2">
        <f>IFERROR(__xludf.DUMMYFUNCTION("""COMPUTED_VALUE"""),17611.0)</f>
        <v>17611</v>
      </c>
      <c r="H1526" s="2" t="str">
        <f>IFERROR(__xludf.DUMMYFUNCTION("""COMPUTED_VALUE"""),"United Kingdom")</f>
        <v>United Kingdom</v>
      </c>
      <c r="I1526" s="7">
        <f>IFERROR(__xludf.DUMMYFUNCTION("""COMPUTED_VALUE"""),40148.0)</f>
        <v>40148</v>
      </c>
      <c r="J1526" s="8">
        <f>IFERROR(__xludf.DUMMYFUNCTION("""COMPUTED_VALUE"""),0.5618055555569299)</f>
        <v>0.5618055556</v>
      </c>
      <c r="K1526" s="2">
        <f>IFERROR(__xludf.DUMMYFUNCTION("""COMPUTED_VALUE"""),13.0)</f>
        <v>13</v>
      </c>
      <c r="L1526" s="2">
        <f>IFERROR(__xludf.DUMMYFUNCTION("""COMPUTED_VALUE"""),3.9)</f>
        <v>3.9</v>
      </c>
    </row>
    <row r="1527">
      <c r="A1527" s="2">
        <f>IFERROR(__xludf.DUMMYFUNCTION("""COMPUTED_VALUE"""),489572.0)</f>
        <v>489572</v>
      </c>
      <c r="B1527" s="2" t="str">
        <f>IFERROR(__xludf.DUMMYFUNCTION("""COMPUTED_VALUE"""),"21214")</f>
        <v>21214</v>
      </c>
      <c r="C1527" s="2" t="str">
        <f>IFERROR(__xludf.DUMMYFUNCTION("""COMPUTED_VALUE"""),"SET OF 72 IVORY PAPER DOILIES")</f>
        <v>SET OF 72 IVORY PAPER DOILIES</v>
      </c>
      <c r="D1527" s="2">
        <f>IFERROR(__xludf.DUMMYFUNCTION("""COMPUTED_VALUE"""),2.0)</f>
        <v>2</v>
      </c>
      <c r="E1527" s="6">
        <f>IFERROR(__xludf.DUMMYFUNCTION("""COMPUTED_VALUE"""),40148.56180555555)</f>
        <v>40148.56181</v>
      </c>
      <c r="F1527" s="2">
        <f>IFERROR(__xludf.DUMMYFUNCTION("""COMPUTED_VALUE"""),1.45)</f>
        <v>1.45</v>
      </c>
      <c r="G1527" s="2">
        <f>IFERROR(__xludf.DUMMYFUNCTION("""COMPUTED_VALUE"""),17611.0)</f>
        <v>17611</v>
      </c>
      <c r="H1527" s="2" t="str">
        <f>IFERROR(__xludf.DUMMYFUNCTION("""COMPUTED_VALUE"""),"United Kingdom")</f>
        <v>United Kingdom</v>
      </c>
      <c r="I1527" s="7">
        <f>IFERROR(__xludf.DUMMYFUNCTION("""COMPUTED_VALUE"""),40148.0)</f>
        <v>40148</v>
      </c>
      <c r="J1527" s="8">
        <f>IFERROR(__xludf.DUMMYFUNCTION("""COMPUTED_VALUE"""),0.5618055555569299)</f>
        <v>0.5618055556</v>
      </c>
      <c r="K1527" s="2">
        <f>IFERROR(__xludf.DUMMYFUNCTION("""COMPUTED_VALUE"""),13.0)</f>
        <v>13</v>
      </c>
      <c r="L1527" s="2">
        <f>IFERROR(__xludf.DUMMYFUNCTION("""COMPUTED_VALUE"""),2.9)</f>
        <v>2.9</v>
      </c>
    </row>
    <row r="1528">
      <c r="A1528" s="2">
        <f>IFERROR(__xludf.DUMMYFUNCTION("""COMPUTED_VALUE"""),489572.0)</f>
        <v>489572</v>
      </c>
      <c r="B1528" s="2" t="str">
        <f>IFERROR(__xludf.DUMMYFUNCTION("""COMPUTED_VALUE"""),"84985B")</f>
        <v>84985B</v>
      </c>
      <c r="C1528" s="2" t="str">
        <f>IFERROR(__xludf.DUMMYFUNCTION("""COMPUTED_VALUE"""),"SET OF 72 BLACK PAPER DOILIES")</f>
        <v>SET OF 72 BLACK PAPER DOILIES</v>
      </c>
      <c r="D1528" s="2">
        <f>IFERROR(__xludf.DUMMYFUNCTION("""COMPUTED_VALUE"""),2.0)</f>
        <v>2</v>
      </c>
      <c r="E1528" s="6">
        <f>IFERROR(__xludf.DUMMYFUNCTION("""COMPUTED_VALUE"""),40148.56180555555)</f>
        <v>40148.56181</v>
      </c>
      <c r="F1528" s="2">
        <f>IFERROR(__xludf.DUMMYFUNCTION("""COMPUTED_VALUE"""),1.45)</f>
        <v>1.45</v>
      </c>
      <c r="G1528" s="2">
        <f>IFERROR(__xludf.DUMMYFUNCTION("""COMPUTED_VALUE"""),17611.0)</f>
        <v>17611</v>
      </c>
      <c r="H1528" s="2" t="str">
        <f>IFERROR(__xludf.DUMMYFUNCTION("""COMPUTED_VALUE"""),"United Kingdom")</f>
        <v>United Kingdom</v>
      </c>
      <c r="I1528" s="7">
        <f>IFERROR(__xludf.DUMMYFUNCTION("""COMPUTED_VALUE"""),40148.0)</f>
        <v>40148</v>
      </c>
      <c r="J1528" s="8">
        <f>IFERROR(__xludf.DUMMYFUNCTION("""COMPUTED_VALUE"""),0.5618055555569299)</f>
        <v>0.5618055556</v>
      </c>
      <c r="K1528" s="2">
        <f>IFERROR(__xludf.DUMMYFUNCTION("""COMPUTED_VALUE"""),13.0)</f>
        <v>13</v>
      </c>
      <c r="L1528" s="2">
        <f>IFERROR(__xludf.DUMMYFUNCTION("""COMPUTED_VALUE"""),2.9)</f>
        <v>2.9</v>
      </c>
    </row>
    <row r="1529">
      <c r="A1529" s="2">
        <f>IFERROR(__xludf.DUMMYFUNCTION("""COMPUTED_VALUE"""),489572.0)</f>
        <v>489572</v>
      </c>
      <c r="B1529" s="2" t="str">
        <f>IFERROR(__xludf.DUMMYFUNCTION("""COMPUTED_VALUE"""),"84985A")</f>
        <v>84985A</v>
      </c>
      <c r="C1529" s="2" t="str">
        <f>IFERROR(__xludf.DUMMYFUNCTION("""COMPUTED_VALUE"""),"SET OF 72 GREEN PAPER DOILIES")</f>
        <v>SET OF 72 GREEN PAPER DOILIES</v>
      </c>
      <c r="D1529" s="2">
        <f>IFERROR(__xludf.DUMMYFUNCTION("""COMPUTED_VALUE"""),2.0)</f>
        <v>2</v>
      </c>
      <c r="E1529" s="6">
        <f>IFERROR(__xludf.DUMMYFUNCTION("""COMPUTED_VALUE"""),40148.56180555555)</f>
        <v>40148.56181</v>
      </c>
      <c r="F1529" s="2">
        <f>IFERROR(__xludf.DUMMYFUNCTION("""COMPUTED_VALUE"""),1.45)</f>
        <v>1.45</v>
      </c>
      <c r="G1529" s="2">
        <f>IFERROR(__xludf.DUMMYFUNCTION("""COMPUTED_VALUE"""),17611.0)</f>
        <v>17611</v>
      </c>
      <c r="H1529" s="2" t="str">
        <f>IFERROR(__xludf.DUMMYFUNCTION("""COMPUTED_VALUE"""),"United Kingdom")</f>
        <v>United Kingdom</v>
      </c>
      <c r="I1529" s="7">
        <f>IFERROR(__xludf.DUMMYFUNCTION("""COMPUTED_VALUE"""),40148.0)</f>
        <v>40148</v>
      </c>
      <c r="J1529" s="8">
        <f>IFERROR(__xludf.DUMMYFUNCTION("""COMPUTED_VALUE"""),0.5618055555569299)</f>
        <v>0.5618055556</v>
      </c>
      <c r="K1529" s="2">
        <f>IFERROR(__xludf.DUMMYFUNCTION("""COMPUTED_VALUE"""),13.0)</f>
        <v>13</v>
      </c>
      <c r="L1529" s="2">
        <f>IFERROR(__xludf.DUMMYFUNCTION("""COMPUTED_VALUE"""),2.9)</f>
        <v>2.9</v>
      </c>
    </row>
    <row r="1530">
      <c r="A1530" s="2">
        <f>IFERROR(__xludf.DUMMYFUNCTION("""COMPUTED_VALUE"""),489572.0)</f>
        <v>489572</v>
      </c>
      <c r="B1530" s="2" t="str">
        <f>IFERROR(__xludf.DUMMYFUNCTION("""COMPUTED_VALUE"""),"20987")</f>
        <v>20987</v>
      </c>
      <c r="C1530" s="2" t="str">
        <f>IFERROR(__xludf.DUMMYFUNCTION("""COMPUTED_VALUE"""),"GEISHA GIRL CHOPSTICKS SET/5")</f>
        <v>GEISHA GIRL CHOPSTICKS SET/5</v>
      </c>
      <c r="D1530" s="2">
        <f>IFERROR(__xludf.DUMMYFUNCTION("""COMPUTED_VALUE"""),2.0)</f>
        <v>2</v>
      </c>
      <c r="E1530" s="6">
        <f>IFERROR(__xludf.DUMMYFUNCTION("""COMPUTED_VALUE"""),40148.56180555555)</f>
        <v>40148.56181</v>
      </c>
      <c r="F1530" s="2">
        <f>IFERROR(__xludf.DUMMYFUNCTION("""COMPUTED_VALUE"""),1.95)</f>
        <v>1.95</v>
      </c>
      <c r="G1530" s="2">
        <f>IFERROR(__xludf.DUMMYFUNCTION("""COMPUTED_VALUE"""),17611.0)</f>
        <v>17611</v>
      </c>
      <c r="H1530" s="2" t="str">
        <f>IFERROR(__xludf.DUMMYFUNCTION("""COMPUTED_VALUE"""),"United Kingdom")</f>
        <v>United Kingdom</v>
      </c>
      <c r="I1530" s="7">
        <f>IFERROR(__xludf.DUMMYFUNCTION("""COMPUTED_VALUE"""),40148.0)</f>
        <v>40148</v>
      </c>
      <c r="J1530" s="8">
        <f>IFERROR(__xludf.DUMMYFUNCTION("""COMPUTED_VALUE"""),0.5618055555569299)</f>
        <v>0.5618055556</v>
      </c>
      <c r="K1530" s="2">
        <f>IFERROR(__xludf.DUMMYFUNCTION("""COMPUTED_VALUE"""),13.0)</f>
        <v>13</v>
      </c>
      <c r="L1530" s="2">
        <f>IFERROR(__xludf.DUMMYFUNCTION("""COMPUTED_VALUE"""),3.9)</f>
        <v>3.9</v>
      </c>
    </row>
    <row r="1531">
      <c r="A1531" s="2">
        <f>IFERROR(__xludf.DUMMYFUNCTION("""COMPUTED_VALUE"""),489572.0)</f>
        <v>489572</v>
      </c>
      <c r="B1531" s="2" t="str">
        <f>IFERROR(__xludf.DUMMYFUNCTION("""COMPUTED_VALUE"""),"20989")</f>
        <v>20989</v>
      </c>
      <c r="C1531" s="2" t="str">
        <f>IFERROR(__xludf.DUMMYFUNCTION("""COMPUTED_VALUE"""),"URBAN CHIC CHOPSTICKS SET/5")</f>
        <v>URBAN CHIC CHOPSTICKS SET/5</v>
      </c>
      <c r="D1531" s="2">
        <f>IFERROR(__xludf.DUMMYFUNCTION("""COMPUTED_VALUE"""),2.0)</f>
        <v>2</v>
      </c>
      <c r="E1531" s="6">
        <f>IFERROR(__xludf.DUMMYFUNCTION("""COMPUTED_VALUE"""),40148.56180555555)</f>
        <v>40148.56181</v>
      </c>
      <c r="F1531" s="2">
        <f>IFERROR(__xludf.DUMMYFUNCTION("""COMPUTED_VALUE"""),1.95)</f>
        <v>1.95</v>
      </c>
      <c r="G1531" s="2">
        <f>IFERROR(__xludf.DUMMYFUNCTION("""COMPUTED_VALUE"""),17611.0)</f>
        <v>17611</v>
      </c>
      <c r="H1531" s="2" t="str">
        <f>IFERROR(__xludf.DUMMYFUNCTION("""COMPUTED_VALUE"""),"United Kingdom")</f>
        <v>United Kingdom</v>
      </c>
      <c r="I1531" s="7">
        <f>IFERROR(__xludf.DUMMYFUNCTION("""COMPUTED_VALUE"""),40148.0)</f>
        <v>40148</v>
      </c>
      <c r="J1531" s="8">
        <f>IFERROR(__xludf.DUMMYFUNCTION("""COMPUTED_VALUE"""),0.5618055555569299)</f>
        <v>0.5618055556</v>
      </c>
      <c r="K1531" s="2">
        <f>IFERROR(__xludf.DUMMYFUNCTION("""COMPUTED_VALUE"""),13.0)</f>
        <v>13</v>
      </c>
      <c r="L1531" s="2">
        <f>IFERROR(__xludf.DUMMYFUNCTION("""COMPUTED_VALUE"""),3.9)</f>
        <v>3.9</v>
      </c>
    </row>
    <row r="1532">
      <c r="A1532" s="2">
        <f>IFERROR(__xludf.DUMMYFUNCTION("""COMPUTED_VALUE"""),489572.0)</f>
        <v>489572</v>
      </c>
      <c r="B1532" s="2" t="str">
        <f>IFERROR(__xludf.DUMMYFUNCTION("""COMPUTED_VALUE"""),"47021G")</f>
        <v>47021G</v>
      </c>
      <c r="C1532" s="2" t="str">
        <f>IFERROR(__xludf.DUMMYFUNCTION("""COMPUTED_VALUE"""),"SET/6 BEAD COASTERS GAUZE BAG GOLD")</f>
        <v>SET/6 BEAD COASTERS GAUZE BAG GOLD</v>
      </c>
      <c r="D1532" s="2">
        <f>IFERROR(__xludf.DUMMYFUNCTION("""COMPUTED_VALUE"""),4.0)</f>
        <v>4</v>
      </c>
      <c r="E1532" s="6">
        <f>IFERROR(__xludf.DUMMYFUNCTION("""COMPUTED_VALUE"""),40148.56180555555)</f>
        <v>40148.56181</v>
      </c>
      <c r="F1532" s="2">
        <f>IFERROR(__xludf.DUMMYFUNCTION("""COMPUTED_VALUE"""),1.25)</f>
        <v>1.25</v>
      </c>
      <c r="G1532" s="2">
        <f>IFERROR(__xludf.DUMMYFUNCTION("""COMPUTED_VALUE"""),17611.0)</f>
        <v>17611</v>
      </c>
      <c r="H1532" s="2" t="str">
        <f>IFERROR(__xludf.DUMMYFUNCTION("""COMPUTED_VALUE"""),"United Kingdom")</f>
        <v>United Kingdom</v>
      </c>
      <c r="I1532" s="7">
        <f>IFERROR(__xludf.DUMMYFUNCTION("""COMPUTED_VALUE"""),40148.0)</f>
        <v>40148</v>
      </c>
      <c r="J1532" s="8">
        <f>IFERROR(__xludf.DUMMYFUNCTION("""COMPUTED_VALUE"""),0.5618055555569299)</f>
        <v>0.5618055556</v>
      </c>
      <c r="K1532" s="2">
        <f>IFERROR(__xludf.DUMMYFUNCTION("""COMPUTED_VALUE"""),13.0)</f>
        <v>13</v>
      </c>
      <c r="L1532" s="2">
        <f>IFERROR(__xludf.DUMMYFUNCTION("""COMPUTED_VALUE"""),5.0)</f>
        <v>5</v>
      </c>
    </row>
    <row r="1533">
      <c r="A1533" s="2">
        <f>IFERROR(__xludf.DUMMYFUNCTION("""COMPUTED_VALUE"""),489572.0)</f>
        <v>489572</v>
      </c>
      <c r="B1533" s="2" t="str">
        <f>IFERROR(__xludf.DUMMYFUNCTION("""COMPUTED_VALUE"""),"21911")</f>
        <v>21911</v>
      </c>
      <c r="C1533" s="2" t="str">
        <f>IFERROR(__xludf.DUMMYFUNCTION("""COMPUTED_VALUE"""),"GARDEN METAL SIGN")</f>
        <v>GARDEN METAL SIGN</v>
      </c>
      <c r="D1533" s="2">
        <f>IFERROR(__xludf.DUMMYFUNCTION("""COMPUTED_VALUE"""),4.0)</f>
        <v>4</v>
      </c>
      <c r="E1533" s="6">
        <f>IFERROR(__xludf.DUMMYFUNCTION("""COMPUTED_VALUE"""),40148.56180555555)</f>
        <v>40148.56181</v>
      </c>
      <c r="F1533" s="2">
        <f>IFERROR(__xludf.DUMMYFUNCTION("""COMPUTED_VALUE"""),1.65)</f>
        <v>1.65</v>
      </c>
      <c r="G1533" s="2">
        <f>IFERROR(__xludf.DUMMYFUNCTION("""COMPUTED_VALUE"""),17611.0)</f>
        <v>17611</v>
      </c>
      <c r="H1533" s="2" t="str">
        <f>IFERROR(__xludf.DUMMYFUNCTION("""COMPUTED_VALUE"""),"United Kingdom")</f>
        <v>United Kingdom</v>
      </c>
      <c r="I1533" s="7">
        <f>IFERROR(__xludf.DUMMYFUNCTION("""COMPUTED_VALUE"""),40148.0)</f>
        <v>40148</v>
      </c>
      <c r="J1533" s="8">
        <f>IFERROR(__xludf.DUMMYFUNCTION("""COMPUTED_VALUE"""),0.5618055555569299)</f>
        <v>0.5618055556</v>
      </c>
      <c r="K1533" s="2">
        <f>IFERROR(__xludf.DUMMYFUNCTION("""COMPUTED_VALUE"""),13.0)</f>
        <v>13</v>
      </c>
      <c r="L1533" s="2">
        <f>IFERROR(__xludf.DUMMYFUNCTION("""COMPUTED_VALUE"""),6.6)</f>
        <v>6.6</v>
      </c>
    </row>
    <row r="1534">
      <c r="A1534" s="2">
        <f>IFERROR(__xludf.DUMMYFUNCTION("""COMPUTED_VALUE"""),489572.0)</f>
        <v>489572</v>
      </c>
      <c r="B1534" s="2" t="str">
        <f>IFERROR(__xludf.DUMMYFUNCTION("""COMPUTED_VALUE"""),"21070")</f>
        <v>21070</v>
      </c>
      <c r="C1534" s="2" t="str">
        <f>IFERROR(__xludf.DUMMYFUNCTION("""COMPUTED_VALUE"""),"VINTAGE BILLBOARD MUG")</f>
        <v>VINTAGE BILLBOARD MUG</v>
      </c>
      <c r="D1534" s="2">
        <f>IFERROR(__xludf.DUMMYFUNCTION("""COMPUTED_VALUE"""),2.0)</f>
        <v>2</v>
      </c>
      <c r="E1534" s="6">
        <f>IFERROR(__xludf.DUMMYFUNCTION("""COMPUTED_VALUE"""),40148.56180555555)</f>
        <v>40148.56181</v>
      </c>
      <c r="F1534" s="2">
        <f>IFERROR(__xludf.DUMMYFUNCTION("""COMPUTED_VALUE"""),1.25)</f>
        <v>1.25</v>
      </c>
      <c r="G1534" s="2">
        <f>IFERROR(__xludf.DUMMYFUNCTION("""COMPUTED_VALUE"""),17611.0)</f>
        <v>17611</v>
      </c>
      <c r="H1534" s="2" t="str">
        <f>IFERROR(__xludf.DUMMYFUNCTION("""COMPUTED_VALUE"""),"United Kingdom")</f>
        <v>United Kingdom</v>
      </c>
      <c r="I1534" s="7">
        <f>IFERROR(__xludf.DUMMYFUNCTION("""COMPUTED_VALUE"""),40148.0)</f>
        <v>40148</v>
      </c>
      <c r="J1534" s="8">
        <f>IFERROR(__xludf.DUMMYFUNCTION("""COMPUTED_VALUE"""),0.5618055555569299)</f>
        <v>0.5618055556</v>
      </c>
      <c r="K1534" s="2">
        <f>IFERROR(__xludf.DUMMYFUNCTION("""COMPUTED_VALUE"""),13.0)</f>
        <v>13</v>
      </c>
      <c r="L1534" s="2">
        <f>IFERROR(__xludf.DUMMYFUNCTION("""COMPUTED_VALUE"""),2.5)</f>
        <v>2.5</v>
      </c>
    </row>
    <row r="1535">
      <c r="A1535" s="2">
        <f>IFERROR(__xludf.DUMMYFUNCTION("""COMPUTED_VALUE"""),489572.0)</f>
        <v>489572</v>
      </c>
      <c r="B1535" s="2" t="str">
        <f>IFERROR(__xludf.DUMMYFUNCTION("""COMPUTED_VALUE"""),"21066")</f>
        <v>21066</v>
      </c>
      <c r="C1535" s="2" t="str">
        <f>IFERROR(__xludf.DUMMYFUNCTION("""COMPUTED_VALUE"""),"VINTAGE RED MUG")</f>
        <v>VINTAGE RED MUG</v>
      </c>
      <c r="D1535" s="2">
        <f>IFERROR(__xludf.DUMMYFUNCTION("""COMPUTED_VALUE"""),2.0)</f>
        <v>2</v>
      </c>
      <c r="E1535" s="6">
        <f>IFERROR(__xludf.DUMMYFUNCTION("""COMPUTED_VALUE"""),40148.56180555555)</f>
        <v>40148.56181</v>
      </c>
      <c r="F1535" s="2">
        <f>IFERROR(__xludf.DUMMYFUNCTION("""COMPUTED_VALUE"""),1.25)</f>
        <v>1.25</v>
      </c>
      <c r="G1535" s="2">
        <f>IFERROR(__xludf.DUMMYFUNCTION("""COMPUTED_VALUE"""),17611.0)</f>
        <v>17611</v>
      </c>
      <c r="H1535" s="2" t="str">
        <f>IFERROR(__xludf.DUMMYFUNCTION("""COMPUTED_VALUE"""),"United Kingdom")</f>
        <v>United Kingdom</v>
      </c>
      <c r="I1535" s="7">
        <f>IFERROR(__xludf.DUMMYFUNCTION("""COMPUTED_VALUE"""),40148.0)</f>
        <v>40148</v>
      </c>
      <c r="J1535" s="8">
        <f>IFERROR(__xludf.DUMMYFUNCTION("""COMPUTED_VALUE"""),0.5618055555569299)</f>
        <v>0.5618055556</v>
      </c>
      <c r="K1535" s="2">
        <f>IFERROR(__xludf.DUMMYFUNCTION("""COMPUTED_VALUE"""),13.0)</f>
        <v>13</v>
      </c>
      <c r="L1535" s="2">
        <f>IFERROR(__xludf.DUMMYFUNCTION("""COMPUTED_VALUE"""),2.5)</f>
        <v>2.5</v>
      </c>
    </row>
    <row r="1536">
      <c r="A1536" s="2">
        <f>IFERROR(__xludf.DUMMYFUNCTION("""COMPUTED_VALUE"""),489572.0)</f>
        <v>489572</v>
      </c>
      <c r="B1536" s="2" t="str">
        <f>IFERROR(__xludf.DUMMYFUNCTION("""COMPUTED_VALUE"""),"21067")</f>
        <v>21067</v>
      </c>
      <c r="C1536" s="2" t="str">
        <f>IFERROR(__xludf.DUMMYFUNCTION("""COMPUTED_VALUE"""),"VINTAGE RED TEATIME MUG")</f>
        <v>VINTAGE RED TEATIME MUG</v>
      </c>
      <c r="D1536" s="2">
        <f>IFERROR(__xludf.DUMMYFUNCTION("""COMPUTED_VALUE"""),2.0)</f>
        <v>2</v>
      </c>
      <c r="E1536" s="6">
        <f>IFERROR(__xludf.DUMMYFUNCTION("""COMPUTED_VALUE"""),40148.56180555555)</f>
        <v>40148.56181</v>
      </c>
      <c r="F1536" s="2">
        <f>IFERROR(__xludf.DUMMYFUNCTION("""COMPUTED_VALUE"""),1.25)</f>
        <v>1.25</v>
      </c>
      <c r="G1536" s="2">
        <f>IFERROR(__xludf.DUMMYFUNCTION("""COMPUTED_VALUE"""),17611.0)</f>
        <v>17611</v>
      </c>
      <c r="H1536" s="2" t="str">
        <f>IFERROR(__xludf.DUMMYFUNCTION("""COMPUTED_VALUE"""),"United Kingdom")</f>
        <v>United Kingdom</v>
      </c>
      <c r="I1536" s="7">
        <f>IFERROR(__xludf.DUMMYFUNCTION("""COMPUTED_VALUE"""),40148.0)</f>
        <v>40148</v>
      </c>
      <c r="J1536" s="8">
        <f>IFERROR(__xludf.DUMMYFUNCTION("""COMPUTED_VALUE"""),0.5618055555569299)</f>
        <v>0.5618055556</v>
      </c>
      <c r="K1536" s="2">
        <f>IFERROR(__xludf.DUMMYFUNCTION("""COMPUTED_VALUE"""),13.0)</f>
        <v>13</v>
      </c>
      <c r="L1536" s="2">
        <f>IFERROR(__xludf.DUMMYFUNCTION("""COMPUTED_VALUE"""),2.5)</f>
        <v>2.5</v>
      </c>
    </row>
    <row r="1537">
      <c r="A1537" s="2">
        <f>IFERROR(__xludf.DUMMYFUNCTION("""COMPUTED_VALUE"""),489572.0)</f>
        <v>489572</v>
      </c>
      <c r="B1537" s="2" t="str">
        <f>IFERROR(__xludf.DUMMYFUNCTION("""COMPUTED_VALUE"""),"21069")</f>
        <v>21069</v>
      </c>
      <c r="C1537" s="2" t="str">
        <f>IFERROR(__xludf.DUMMYFUNCTION("""COMPUTED_VALUE"""),"VINTAGE BILLBOARD TEA MUG")</f>
        <v>VINTAGE BILLBOARD TEA MUG</v>
      </c>
      <c r="D1537" s="2">
        <f>IFERROR(__xludf.DUMMYFUNCTION("""COMPUTED_VALUE"""),2.0)</f>
        <v>2</v>
      </c>
      <c r="E1537" s="6">
        <f>IFERROR(__xludf.DUMMYFUNCTION("""COMPUTED_VALUE"""),40148.56180555555)</f>
        <v>40148.56181</v>
      </c>
      <c r="F1537" s="2">
        <f>IFERROR(__xludf.DUMMYFUNCTION("""COMPUTED_VALUE"""),1.25)</f>
        <v>1.25</v>
      </c>
      <c r="G1537" s="2">
        <f>IFERROR(__xludf.DUMMYFUNCTION("""COMPUTED_VALUE"""),17611.0)</f>
        <v>17611</v>
      </c>
      <c r="H1537" s="2" t="str">
        <f>IFERROR(__xludf.DUMMYFUNCTION("""COMPUTED_VALUE"""),"United Kingdom")</f>
        <v>United Kingdom</v>
      </c>
      <c r="I1537" s="7">
        <f>IFERROR(__xludf.DUMMYFUNCTION("""COMPUTED_VALUE"""),40148.0)</f>
        <v>40148</v>
      </c>
      <c r="J1537" s="8">
        <f>IFERROR(__xludf.DUMMYFUNCTION("""COMPUTED_VALUE"""),0.5618055555569299)</f>
        <v>0.5618055556</v>
      </c>
      <c r="K1537" s="2">
        <f>IFERROR(__xludf.DUMMYFUNCTION("""COMPUTED_VALUE"""),13.0)</f>
        <v>13</v>
      </c>
      <c r="L1537" s="2">
        <f>IFERROR(__xludf.DUMMYFUNCTION("""COMPUTED_VALUE"""),2.5)</f>
        <v>2.5</v>
      </c>
    </row>
    <row r="1538">
      <c r="A1538" s="2">
        <f>IFERROR(__xludf.DUMMYFUNCTION("""COMPUTED_VALUE"""),489572.0)</f>
        <v>489572</v>
      </c>
      <c r="B1538" s="2" t="str">
        <f>IFERROR(__xludf.DUMMYFUNCTION("""COMPUTED_VALUE"""),"21986")</f>
        <v>21986</v>
      </c>
      <c r="C1538" s="2" t="str">
        <f>IFERROR(__xludf.DUMMYFUNCTION("""COMPUTED_VALUE"""),"PACK OF 12 PINK SPOT TISSUES")</f>
        <v>PACK OF 12 PINK SPOT TISSUES</v>
      </c>
      <c r="D1538" s="2">
        <f>IFERROR(__xludf.DUMMYFUNCTION("""COMPUTED_VALUE"""),12.0)</f>
        <v>12</v>
      </c>
      <c r="E1538" s="6">
        <f>IFERROR(__xludf.DUMMYFUNCTION("""COMPUTED_VALUE"""),40148.56180555555)</f>
        <v>40148.56181</v>
      </c>
      <c r="F1538" s="2">
        <f>IFERROR(__xludf.DUMMYFUNCTION("""COMPUTED_VALUE"""),0.29)</f>
        <v>0.29</v>
      </c>
      <c r="G1538" s="2">
        <f>IFERROR(__xludf.DUMMYFUNCTION("""COMPUTED_VALUE"""),17611.0)</f>
        <v>17611</v>
      </c>
      <c r="H1538" s="2" t="str">
        <f>IFERROR(__xludf.DUMMYFUNCTION("""COMPUTED_VALUE"""),"United Kingdom")</f>
        <v>United Kingdom</v>
      </c>
      <c r="I1538" s="7">
        <f>IFERROR(__xludf.DUMMYFUNCTION("""COMPUTED_VALUE"""),40148.0)</f>
        <v>40148</v>
      </c>
      <c r="J1538" s="8">
        <f>IFERROR(__xludf.DUMMYFUNCTION("""COMPUTED_VALUE"""),0.5618055555569299)</f>
        <v>0.5618055556</v>
      </c>
      <c r="K1538" s="2">
        <f>IFERROR(__xludf.DUMMYFUNCTION("""COMPUTED_VALUE"""),13.0)</f>
        <v>13</v>
      </c>
      <c r="L1538" s="2">
        <f>IFERROR(__xludf.DUMMYFUNCTION("""COMPUTED_VALUE"""),3.47999999999999)</f>
        <v>3.48</v>
      </c>
    </row>
    <row r="1539">
      <c r="A1539" s="2">
        <f>IFERROR(__xludf.DUMMYFUNCTION("""COMPUTED_VALUE"""),489572.0)</f>
        <v>489572</v>
      </c>
      <c r="B1539" s="2" t="str">
        <f>IFERROR(__xludf.DUMMYFUNCTION("""COMPUTED_VALUE"""),"21985")</f>
        <v>21985</v>
      </c>
      <c r="C1539" s="2" t="str">
        <f>IFERROR(__xludf.DUMMYFUNCTION("""COMPUTED_VALUE"""),"PACK OF 12 HEARTS DESIGN TISSUES")</f>
        <v>PACK OF 12 HEARTS DESIGN TISSUES</v>
      </c>
      <c r="D1539" s="2">
        <f>IFERROR(__xludf.DUMMYFUNCTION("""COMPUTED_VALUE"""),12.0)</f>
        <v>12</v>
      </c>
      <c r="E1539" s="6">
        <f>IFERROR(__xludf.DUMMYFUNCTION("""COMPUTED_VALUE"""),40148.56180555555)</f>
        <v>40148.56181</v>
      </c>
      <c r="F1539" s="2">
        <f>IFERROR(__xludf.DUMMYFUNCTION("""COMPUTED_VALUE"""),0.29)</f>
        <v>0.29</v>
      </c>
      <c r="G1539" s="2">
        <f>IFERROR(__xludf.DUMMYFUNCTION("""COMPUTED_VALUE"""),17611.0)</f>
        <v>17611</v>
      </c>
      <c r="H1539" s="2" t="str">
        <f>IFERROR(__xludf.DUMMYFUNCTION("""COMPUTED_VALUE"""),"United Kingdom")</f>
        <v>United Kingdom</v>
      </c>
      <c r="I1539" s="7">
        <f>IFERROR(__xludf.DUMMYFUNCTION("""COMPUTED_VALUE"""),40148.0)</f>
        <v>40148</v>
      </c>
      <c r="J1539" s="8">
        <f>IFERROR(__xludf.DUMMYFUNCTION("""COMPUTED_VALUE"""),0.5618055555569299)</f>
        <v>0.5618055556</v>
      </c>
      <c r="K1539" s="2">
        <f>IFERROR(__xludf.DUMMYFUNCTION("""COMPUTED_VALUE"""),13.0)</f>
        <v>13</v>
      </c>
      <c r="L1539" s="2">
        <f>IFERROR(__xludf.DUMMYFUNCTION("""COMPUTED_VALUE"""),3.47999999999999)</f>
        <v>3.48</v>
      </c>
    </row>
    <row r="1540">
      <c r="A1540" s="2">
        <f>IFERROR(__xludf.DUMMYFUNCTION("""COMPUTED_VALUE"""),489572.0)</f>
        <v>489572</v>
      </c>
      <c r="B1540" s="2" t="str">
        <f>IFERROR(__xludf.DUMMYFUNCTION("""COMPUTED_VALUE"""),"21980")</f>
        <v>21980</v>
      </c>
      <c r="C1540" s="2" t="str">
        <f>IFERROR(__xludf.DUMMYFUNCTION("""COMPUTED_VALUE"""),"PACK OF 12 RED SPOTTY TISSUES")</f>
        <v>PACK OF 12 RED SPOTTY TISSUES</v>
      </c>
      <c r="D1540" s="2">
        <f>IFERROR(__xludf.DUMMYFUNCTION("""COMPUTED_VALUE"""),12.0)</f>
        <v>12</v>
      </c>
      <c r="E1540" s="6">
        <f>IFERROR(__xludf.DUMMYFUNCTION("""COMPUTED_VALUE"""),40148.56180555555)</f>
        <v>40148.56181</v>
      </c>
      <c r="F1540" s="2">
        <f>IFERROR(__xludf.DUMMYFUNCTION("""COMPUTED_VALUE"""),0.29)</f>
        <v>0.29</v>
      </c>
      <c r="G1540" s="2">
        <f>IFERROR(__xludf.DUMMYFUNCTION("""COMPUTED_VALUE"""),17611.0)</f>
        <v>17611</v>
      </c>
      <c r="H1540" s="2" t="str">
        <f>IFERROR(__xludf.DUMMYFUNCTION("""COMPUTED_VALUE"""),"United Kingdom")</f>
        <v>United Kingdom</v>
      </c>
      <c r="I1540" s="7">
        <f>IFERROR(__xludf.DUMMYFUNCTION("""COMPUTED_VALUE"""),40148.0)</f>
        <v>40148</v>
      </c>
      <c r="J1540" s="8">
        <f>IFERROR(__xludf.DUMMYFUNCTION("""COMPUTED_VALUE"""),0.5618055555569299)</f>
        <v>0.5618055556</v>
      </c>
      <c r="K1540" s="2">
        <f>IFERROR(__xludf.DUMMYFUNCTION("""COMPUTED_VALUE"""),13.0)</f>
        <v>13</v>
      </c>
      <c r="L1540" s="2">
        <f>IFERROR(__xludf.DUMMYFUNCTION("""COMPUTED_VALUE"""),3.47999999999999)</f>
        <v>3.48</v>
      </c>
    </row>
    <row r="1541">
      <c r="A1541" s="2">
        <f>IFERROR(__xludf.DUMMYFUNCTION("""COMPUTED_VALUE"""),489572.0)</f>
        <v>489572</v>
      </c>
      <c r="B1541" s="2" t="str">
        <f>IFERROR(__xludf.DUMMYFUNCTION("""COMPUTED_VALUE"""),"22325")</f>
        <v>22325</v>
      </c>
      <c r="C1541" s="2" t="str">
        <f>IFERROR(__xludf.DUMMYFUNCTION("""COMPUTED_VALUE"""),"MOBILE VINTAGE HEARTS")</f>
        <v>MOBILE VINTAGE HEARTS</v>
      </c>
      <c r="D1541" s="2">
        <f>IFERROR(__xludf.DUMMYFUNCTION("""COMPUTED_VALUE"""),3.0)</f>
        <v>3</v>
      </c>
      <c r="E1541" s="6">
        <f>IFERROR(__xludf.DUMMYFUNCTION("""COMPUTED_VALUE"""),40148.56180555555)</f>
        <v>40148.56181</v>
      </c>
      <c r="F1541" s="2">
        <f>IFERROR(__xludf.DUMMYFUNCTION("""COMPUTED_VALUE"""),4.95)</f>
        <v>4.95</v>
      </c>
      <c r="G1541" s="2">
        <f>IFERROR(__xludf.DUMMYFUNCTION("""COMPUTED_VALUE"""),17611.0)</f>
        <v>17611</v>
      </c>
      <c r="H1541" s="2" t="str">
        <f>IFERROR(__xludf.DUMMYFUNCTION("""COMPUTED_VALUE"""),"United Kingdom")</f>
        <v>United Kingdom</v>
      </c>
      <c r="I1541" s="7">
        <f>IFERROR(__xludf.DUMMYFUNCTION("""COMPUTED_VALUE"""),40148.0)</f>
        <v>40148</v>
      </c>
      <c r="J1541" s="8">
        <f>IFERROR(__xludf.DUMMYFUNCTION("""COMPUTED_VALUE"""),0.5618055555569299)</f>
        <v>0.5618055556</v>
      </c>
      <c r="K1541" s="2">
        <f>IFERROR(__xludf.DUMMYFUNCTION("""COMPUTED_VALUE"""),13.0)</f>
        <v>13</v>
      </c>
      <c r="L1541" s="2">
        <f>IFERROR(__xludf.DUMMYFUNCTION("""COMPUTED_VALUE"""),14.85)</f>
        <v>14.85</v>
      </c>
    </row>
    <row r="1542">
      <c r="A1542" s="2">
        <f>IFERROR(__xludf.DUMMYFUNCTION("""COMPUTED_VALUE"""),489572.0)</f>
        <v>489572</v>
      </c>
      <c r="B1542" s="2" t="str">
        <f>IFERROR(__xludf.DUMMYFUNCTION("""COMPUTED_VALUE"""),"22320")</f>
        <v>22320</v>
      </c>
      <c r="C1542" s="2" t="str">
        <f>IFERROR(__xludf.DUMMYFUNCTION("""COMPUTED_VALUE"""),"BIRDS MOBILE VINTAGE DESIGN")</f>
        <v>BIRDS MOBILE VINTAGE DESIGN</v>
      </c>
      <c r="D1542" s="2">
        <f>IFERROR(__xludf.DUMMYFUNCTION("""COMPUTED_VALUE"""),3.0)</f>
        <v>3</v>
      </c>
      <c r="E1542" s="6">
        <f>IFERROR(__xludf.DUMMYFUNCTION("""COMPUTED_VALUE"""),40148.56180555555)</f>
        <v>40148.56181</v>
      </c>
      <c r="F1542" s="2">
        <f>IFERROR(__xludf.DUMMYFUNCTION("""COMPUTED_VALUE"""),5.95)</f>
        <v>5.95</v>
      </c>
      <c r="G1542" s="2">
        <f>IFERROR(__xludf.DUMMYFUNCTION("""COMPUTED_VALUE"""),17611.0)</f>
        <v>17611</v>
      </c>
      <c r="H1542" s="2" t="str">
        <f>IFERROR(__xludf.DUMMYFUNCTION("""COMPUTED_VALUE"""),"United Kingdom")</f>
        <v>United Kingdom</v>
      </c>
      <c r="I1542" s="7">
        <f>IFERROR(__xludf.DUMMYFUNCTION("""COMPUTED_VALUE"""),40148.0)</f>
        <v>40148</v>
      </c>
      <c r="J1542" s="8">
        <f>IFERROR(__xludf.DUMMYFUNCTION("""COMPUTED_VALUE"""),0.5618055555569299)</f>
        <v>0.5618055556</v>
      </c>
      <c r="K1542" s="2">
        <f>IFERROR(__xludf.DUMMYFUNCTION("""COMPUTED_VALUE"""),13.0)</f>
        <v>13</v>
      </c>
      <c r="L1542" s="2">
        <f>IFERROR(__xludf.DUMMYFUNCTION("""COMPUTED_VALUE"""),17.85)</f>
        <v>17.85</v>
      </c>
    </row>
    <row r="1543">
      <c r="A1543" s="2">
        <f>IFERROR(__xludf.DUMMYFUNCTION("""COMPUTED_VALUE"""),489574.0)</f>
        <v>489574</v>
      </c>
      <c r="B1543" s="2" t="str">
        <f>IFERROR(__xludf.DUMMYFUNCTION("""COMPUTED_VALUE"""),"21524")</f>
        <v>21524</v>
      </c>
      <c r="C1543" s="2" t="str">
        <f>IFERROR(__xludf.DUMMYFUNCTION("""COMPUTED_VALUE"""),"SPOTTY HOME SWEET HOME DOORMAT")</f>
        <v>SPOTTY HOME SWEET HOME DOORMAT</v>
      </c>
      <c r="D1543" s="2">
        <f>IFERROR(__xludf.DUMMYFUNCTION("""COMPUTED_VALUE"""),2.0)</f>
        <v>2</v>
      </c>
      <c r="E1543" s="6">
        <f>IFERROR(__xludf.DUMMYFUNCTION("""COMPUTED_VALUE"""),40148.56319444445)</f>
        <v>40148.56319</v>
      </c>
      <c r="F1543" s="2">
        <f>IFERROR(__xludf.DUMMYFUNCTION("""COMPUTED_VALUE"""),6.75)</f>
        <v>6.75</v>
      </c>
      <c r="G1543" s="2">
        <f>IFERROR(__xludf.DUMMYFUNCTION("""COMPUTED_VALUE"""),13097.0)</f>
        <v>13097</v>
      </c>
      <c r="H1543" s="2" t="str">
        <f>IFERROR(__xludf.DUMMYFUNCTION("""COMPUTED_VALUE"""),"United Kingdom")</f>
        <v>United Kingdom</v>
      </c>
      <c r="I1543" s="7">
        <f>IFERROR(__xludf.DUMMYFUNCTION("""COMPUTED_VALUE"""),40148.0)</f>
        <v>40148</v>
      </c>
      <c r="J1543" s="8">
        <f>IFERROR(__xludf.DUMMYFUNCTION("""COMPUTED_VALUE"""),0.5631944444430701)</f>
        <v>0.5631944444</v>
      </c>
      <c r="K1543" s="2">
        <f>IFERROR(__xludf.DUMMYFUNCTION("""COMPUTED_VALUE"""),13.0)</f>
        <v>13</v>
      </c>
      <c r="L1543" s="2">
        <f>IFERROR(__xludf.DUMMYFUNCTION("""COMPUTED_VALUE"""),13.5)</f>
        <v>13.5</v>
      </c>
    </row>
    <row r="1544">
      <c r="A1544" s="2">
        <f>IFERROR(__xludf.DUMMYFUNCTION("""COMPUTED_VALUE"""),489574.0)</f>
        <v>489574</v>
      </c>
      <c r="B1544" s="2" t="str">
        <f>IFERROR(__xludf.DUMMYFUNCTION("""COMPUTED_VALUE"""),"48187")</f>
        <v>48187</v>
      </c>
      <c r="C1544" s="2" t="str">
        <f>IFERROR(__xludf.DUMMYFUNCTION("""COMPUTED_VALUE"""),"DOOR MAT NEW ENGLAND")</f>
        <v>DOOR MAT NEW ENGLAND</v>
      </c>
      <c r="D1544" s="2">
        <f>IFERROR(__xludf.DUMMYFUNCTION("""COMPUTED_VALUE"""),1.0)</f>
        <v>1</v>
      </c>
      <c r="E1544" s="6">
        <f>IFERROR(__xludf.DUMMYFUNCTION("""COMPUTED_VALUE"""),40148.56319444445)</f>
        <v>40148.56319</v>
      </c>
      <c r="F1544" s="2">
        <f>IFERROR(__xludf.DUMMYFUNCTION("""COMPUTED_VALUE"""),6.75)</f>
        <v>6.75</v>
      </c>
      <c r="G1544" s="2">
        <f>IFERROR(__xludf.DUMMYFUNCTION("""COMPUTED_VALUE"""),13097.0)</f>
        <v>13097</v>
      </c>
      <c r="H1544" s="2" t="str">
        <f>IFERROR(__xludf.DUMMYFUNCTION("""COMPUTED_VALUE"""),"United Kingdom")</f>
        <v>United Kingdom</v>
      </c>
      <c r="I1544" s="7">
        <f>IFERROR(__xludf.DUMMYFUNCTION("""COMPUTED_VALUE"""),40148.0)</f>
        <v>40148</v>
      </c>
      <c r="J1544" s="8">
        <f>IFERROR(__xludf.DUMMYFUNCTION("""COMPUTED_VALUE"""),0.5631944444430701)</f>
        <v>0.5631944444</v>
      </c>
      <c r="K1544" s="2">
        <f>IFERROR(__xludf.DUMMYFUNCTION("""COMPUTED_VALUE"""),13.0)</f>
        <v>13</v>
      </c>
      <c r="L1544" s="2">
        <f>IFERROR(__xludf.DUMMYFUNCTION("""COMPUTED_VALUE"""),6.75)</f>
        <v>6.75</v>
      </c>
    </row>
    <row r="1545">
      <c r="A1545" s="2">
        <f>IFERROR(__xludf.DUMMYFUNCTION("""COMPUTED_VALUE"""),489574.0)</f>
        <v>489574</v>
      </c>
      <c r="B1545" s="2" t="str">
        <f>IFERROR(__xludf.DUMMYFUNCTION("""COMPUTED_VALUE"""),"48185")</f>
        <v>48185</v>
      </c>
      <c r="C1545" s="2" t="str">
        <f>IFERROR(__xludf.DUMMYFUNCTION("""COMPUTED_VALUE"""),"DOOR MAT FAIRY CAKE")</f>
        <v>DOOR MAT FAIRY CAKE</v>
      </c>
      <c r="D1545" s="2">
        <f>IFERROR(__xludf.DUMMYFUNCTION("""COMPUTED_VALUE"""),1.0)</f>
        <v>1</v>
      </c>
      <c r="E1545" s="6">
        <f>IFERROR(__xludf.DUMMYFUNCTION("""COMPUTED_VALUE"""),40148.56319444445)</f>
        <v>40148.56319</v>
      </c>
      <c r="F1545" s="2">
        <f>IFERROR(__xludf.DUMMYFUNCTION("""COMPUTED_VALUE"""),6.75)</f>
        <v>6.75</v>
      </c>
      <c r="G1545" s="2">
        <f>IFERROR(__xludf.DUMMYFUNCTION("""COMPUTED_VALUE"""),13097.0)</f>
        <v>13097</v>
      </c>
      <c r="H1545" s="2" t="str">
        <f>IFERROR(__xludf.DUMMYFUNCTION("""COMPUTED_VALUE"""),"United Kingdom")</f>
        <v>United Kingdom</v>
      </c>
      <c r="I1545" s="7">
        <f>IFERROR(__xludf.DUMMYFUNCTION("""COMPUTED_VALUE"""),40148.0)</f>
        <v>40148</v>
      </c>
      <c r="J1545" s="8">
        <f>IFERROR(__xludf.DUMMYFUNCTION("""COMPUTED_VALUE"""),0.5631944444430701)</f>
        <v>0.5631944444</v>
      </c>
      <c r="K1545" s="2">
        <f>IFERROR(__xludf.DUMMYFUNCTION("""COMPUTED_VALUE"""),13.0)</f>
        <v>13</v>
      </c>
      <c r="L1545" s="2">
        <f>IFERROR(__xludf.DUMMYFUNCTION("""COMPUTED_VALUE"""),6.75)</f>
        <v>6.75</v>
      </c>
    </row>
    <row r="1546">
      <c r="A1546" s="2">
        <f>IFERROR(__xludf.DUMMYFUNCTION("""COMPUTED_VALUE"""),489574.0)</f>
        <v>489574</v>
      </c>
      <c r="B1546" s="2" t="str">
        <f>IFERROR(__xludf.DUMMYFUNCTION("""COMPUTED_VALUE"""),"20940")</f>
        <v>20940</v>
      </c>
      <c r="C1546" s="2" t="str">
        <f>IFERROR(__xludf.DUMMYFUNCTION("""COMPUTED_VALUE"""),"SET/6 GARDEN GNOME T-LIGHT CANDLES")</f>
        <v>SET/6 GARDEN GNOME T-LIGHT CANDLES</v>
      </c>
      <c r="D1546" s="2">
        <f>IFERROR(__xludf.DUMMYFUNCTION("""COMPUTED_VALUE"""),1.0)</f>
        <v>1</v>
      </c>
      <c r="E1546" s="6">
        <f>IFERROR(__xludf.DUMMYFUNCTION("""COMPUTED_VALUE"""),40148.56319444445)</f>
        <v>40148.56319</v>
      </c>
      <c r="F1546" s="2">
        <f>IFERROR(__xludf.DUMMYFUNCTION("""COMPUTED_VALUE"""),2.95)</f>
        <v>2.95</v>
      </c>
      <c r="G1546" s="2">
        <f>IFERROR(__xludf.DUMMYFUNCTION("""COMPUTED_VALUE"""),13097.0)</f>
        <v>13097</v>
      </c>
      <c r="H1546" s="2" t="str">
        <f>IFERROR(__xludf.DUMMYFUNCTION("""COMPUTED_VALUE"""),"United Kingdom")</f>
        <v>United Kingdom</v>
      </c>
      <c r="I1546" s="7">
        <f>IFERROR(__xludf.DUMMYFUNCTION("""COMPUTED_VALUE"""),40148.0)</f>
        <v>40148</v>
      </c>
      <c r="J1546" s="8">
        <f>IFERROR(__xludf.DUMMYFUNCTION("""COMPUTED_VALUE"""),0.5631944444430701)</f>
        <v>0.5631944444</v>
      </c>
      <c r="K1546" s="2">
        <f>IFERROR(__xludf.DUMMYFUNCTION("""COMPUTED_VALUE"""),13.0)</f>
        <v>13</v>
      </c>
      <c r="L1546" s="2">
        <f>IFERROR(__xludf.DUMMYFUNCTION("""COMPUTED_VALUE"""),2.95)</f>
        <v>2.95</v>
      </c>
    </row>
    <row r="1547">
      <c r="A1547" s="2">
        <f>IFERROR(__xludf.DUMMYFUNCTION("""COMPUTED_VALUE"""),489574.0)</f>
        <v>489574</v>
      </c>
      <c r="B1547" s="2" t="str">
        <f>IFERROR(__xludf.DUMMYFUNCTION("""COMPUTED_VALUE"""),"72798C")</f>
        <v>72798C</v>
      </c>
      <c r="C1547" s="2" t="str">
        <f>IFERROR(__xludf.DUMMYFUNCTION("""COMPUTED_VALUE"""),"SET/4 GARDEN ROSE DINNER CANDLE")</f>
        <v>SET/4 GARDEN ROSE DINNER CANDLE</v>
      </c>
      <c r="D1547" s="2">
        <f>IFERROR(__xludf.DUMMYFUNCTION("""COMPUTED_VALUE"""),1.0)</f>
        <v>1</v>
      </c>
      <c r="E1547" s="6">
        <f>IFERROR(__xludf.DUMMYFUNCTION("""COMPUTED_VALUE"""),40148.56319444445)</f>
        <v>40148.56319</v>
      </c>
      <c r="F1547" s="2">
        <f>IFERROR(__xludf.DUMMYFUNCTION("""COMPUTED_VALUE"""),1.65)</f>
        <v>1.65</v>
      </c>
      <c r="G1547" s="2">
        <f>IFERROR(__xludf.DUMMYFUNCTION("""COMPUTED_VALUE"""),13097.0)</f>
        <v>13097</v>
      </c>
      <c r="H1547" s="2" t="str">
        <f>IFERROR(__xludf.DUMMYFUNCTION("""COMPUTED_VALUE"""),"United Kingdom")</f>
        <v>United Kingdom</v>
      </c>
      <c r="I1547" s="7">
        <f>IFERROR(__xludf.DUMMYFUNCTION("""COMPUTED_VALUE"""),40148.0)</f>
        <v>40148</v>
      </c>
      <c r="J1547" s="8">
        <f>IFERROR(__xludf.DUMMYFUNCTION("""COMPUTED_VALUE"""),0.5631944444430701)</f>
        <v>0.5631944444</v>
      </c>
      <c r="K1547" s="2">
        <f>IFERROR(__xludf.DUMMYFUNCTION("""COMPUTED_VALUE"""),13.0)</f>
        <v>13</v>
      </c>
      <c r="L1547" s="2">
        <f>IFERROR(__xludf.DUMMYFUNCTION("""COMPUTED_VALUE"""),1.65)</f>
        <v>1.65</v>
      </c>
    </row>
    <row r="1548">
      <c r="A1548" s="2">
        <f>IFERROR(__xludf.DUMMYFUNCTION("""COMPUTED_VALUE"""),489574.0)</f>
        <v>489574</v>
      </c>
      <c r="B1548" s="2" t="str">
        <f>IFERROR(__xludf.DUMMYFUNCTION("""COMPUTED_VALUE"""),"40018F")</f>
        <v>40018F</v>
      </c>
      <c r="C1548" s="2" t="str">
        <f>IFERROR(__xludf.DUMMYFUNCTION("""COMPUTED_VALUE"""),"CHERRY DESIGN PAPERLANTERNS")</f>
        <v>CHERRY DESIGN PAPERLANTERNS</v>
      </c>
      <c r="D1548" s="2">
        <f>IFERROR(__xludf.DUMMYFUNCTION("""COMPUTED_VALUE"""),10.0)</f>
        <v>10</v>
      </c>
      <c r="E1548" s="6">
        <f>IFERROR(__xludf.DUMMYFUNCTION("""COMPUTED_VALUE"""),40148.56319444445)</f>
        <v>40148.56319</v>
      </c>
      <c r="F1548" s="2">
        <f>IFERROR(__xludf.DUMMYFUNCTION("""COMPUTED_VALUE"""),1.95)</f>
        <v>1.95</v>
      </c>
      <c r="G1548" s="2">
        <f>IFERROR(__xludf.DUMMYFUNCTION("""COMPUTED_VALUE"""),13097.0)</f>
        <v>13097</v>
      </c>
      <c r="H1548" s="2" t="str">
        <f>IFERROR(__xludf.DUMMYFUNCTION("""COMPUTED_VALUE"""),"United Kingdom")</f>
        <v>United Kingdom</v>
      </c>
      <c r="I1548" s="7">
        <f>IFERROR(__xludf.DUMMYFUNCTION("""COMPUTED_VALUE"""),40148.0)</f>
        <v>40148</v>
      </c>
      <c r="J1548" s="8">
        <f>IFERROR(__xludf.DUMMYFUNCTION("""COMPUTED_VALUE"""),0.5631944444430701)</f>
        <v>0.5631944444</v>
      </c>
      <c r="K1548" s="2">
        <f>IFERROR(__xludf.DUMMYFUNCTION("""COMPUTED_VALUE"""),13.0)</f>
        <v>13</v>
      </c>
      <c r="L1548" s="2">
        <f>IFERROR(__xludf.DUMMYFUNCTION("""COMPUTED_VALUE"""),19.5)</f>
        <v>19.5</v>
      </c>
    </row>
    <row r="1549">
      <c r="A1549" s="2">
        <f>IFERROR(__xludf.DUMMYFUNCTION("""COMPUTED_VALUE"""),489574.0)</f>
        <v>489574</v>
      </c>
      <c r="B1549" s="2" t="str">
        <f>IFERROR(__xludf.DUMMYFUNCTION("""COMPUTED_VALUE"""),"40018E")</f>
        <v>40018E</v>
      </c>
      <c r="C1549" s="2" t="str">
        <f>IFERROR(__xludf.DUMMYFUNCTION("""COMPUTED_VALUE"""),"TEA TIME PAPER LANTERNS")</f>
        <v>TEA TIME PAPER LANTERNS</v>
      </c>
      <c r="D1549" s="2">
        <f>IFERROR(__xludf.DUMMYFUNCTION("""COMPUTED_VALUE"""),10.0)</f>
        <v>10</v>
      </c>
      <c r="E1549" s="6">
        <f>IFERROR(__xludf.DUMMYFUNCTION("""COMPUTED_VALUE"""),40148.56319444445)</f>
        <v>40148.56319</v>
      </c>
      <c r="F1549" s="2">
        <f>IFERROR(__xludf.DUMMYFUNCTION("""COMPUTED_VALUE"""),1.95)</f>
        <v>1.95</v>
      </c>
      <c r="G1549" s="2">
        <f>IFERROR(__xludf.DUMMYFUNCTION("""COMPUTED_VALUE"""),13097.0)</f>
        <v>13097</v>
      </c>
      <c r="H1549" s="2" t="str">
        <f>IFERROR(__xludf.DUMMYFUNCTION("""COMPUTED_VALUE"""),"United Kingdom")</f>
        <v>United Kingdom</v>
      </c>
      <c r="I1549" s="7">
        <f>IFERROR(__xludf.DUMMYFUNCTION("""COMPUTED_VALUE"""),40148.0)</f>
        <v>40148</v>
      </c>
      <c r="J1549" s="8">
        <f>IFERROR(__xludf.DUMMYFUNCTION("""COMPUTED_VALUE"""),0.5631944444430701)</f>
        <v>0.5631944444</v>
      </c>
      <c r="K1549" s="2">
        <f>IFERROR(__xludf.DUMMYFUNCTION("""COMPUTED_VALUE"""),13.0)</f>
        <v>13</v>
      </c>
      <c r="L1549" s="2">
        <f>IFERROR(__xludf.DUMMYFUNCTION("""COMPUTED_VALUE"""),19.5)</f>
        <v>19.5</v>
      </c>
    </row>
    <row r="1550">
      <c r="A1550" s="2">
        <f>IFERROR(__xludf.DUMMYFUNCTION("""COMPUTED_VALUE"""),489574.0)</f>
        <v>489574</v>
      </c>
      <c r="B1550" s="2" t="str">
        <f>IFERROR(__xludf.DUMMYFUNCTION("""COMPUTED_VALUE"""),"85014B")</f>
        <v>85014B</v>
      </c>
      <c r="C1550" s="2" t="str">
        <f>IFERROR(__xludf.DUMMYFUNCTION("""COMPUTED_VALUE"""),"RED/WHITE DOTS RUFFLED UMBRELLA")</f>
        <v>RED/WHITE DOTS RUFFLED UMBRELLA</v>
      </c>
      <c r="D1550" s="2">
        <f>IFERROR(__xludf.DUMMYFUNCTION("""COMPUTED_VALUE"""),2.0)</f>
        <v>2</v>
      </c>
      <c r="E1550" s="6">
        <f>IFERROR(__xludf.DUMMYFUNCTION("""COMPUTED_VALUE"""),40148.56319444445)</f>
        <v>40148.56319</v>
      </c>
      <c r="F1550" s="2">
        <f>IFERROR(__xludf.DUMMYFUNCTION("""COMPUTED_VALUE"""),5.95)</f>
        <v>5.95</v>
      </c>
      <c r="G1550" s="2">
        <f>IFERROR(__xludf.DUMMYFUNCTION("""COMPUTED_VALUE"""),13097.0)</f>
        <v>13097</v>
      </c>
      <c r="H1550" s="2" t="str">
        <f>IFERROR(__xludf.DUMMYFUNCTION("""COMPUTED_VALUE"""),"United Kingdom")</f>
        <v>United Kingdom</v>
      </c>
      <c r="I1550" s="7">
        <f>IFERROR(__xludf.DUMMYFUNCTION("""COMPUTED_VALUE"""),40148.0)</f>
        <v>40148</v>
      </c>
      <c r="J1550" s="8">
        <f>IFERROR(__xludf.DUMMYFUNCTION("""COMPUTED_VALUE"""),0.5631944444430701)</f>
        <v>0.5631944444</v>
      </c>
      <c r="K1550" s="2">
        <f>IFERROR(__xludf.DUMMYFUNCTION("""COMPUTED_VALUE"""),13.0)</f>
        <v>13</v>
      </c>
      <c r="L1550" s="2">
        <f>IFERROR(__xludf.DUMMYFUNCTION("""COMPUTED_VALUE"""),11.9)</f>
        <v>11.9</v>
      </c>
    </row>
    <row r="1551">
      <c r="A1551" s="2">
        <f>IFERROR(__xludf.DUMMYFUNCTION("""COMPUTED_VALUE"""),489574.0)</f>
        <v>489574</v>
      </c>
      <c r="B1551" s="2" t="str">
        <f>IFERROR(__xludf.DUMMYFUNCTION("""COMPUTED_VALUE"""),"85014D")</f>
        <v>85014D</v>
      </c>
      <c r="C1551" s="2" t="str">
        <f>IFERROR(__xludf.DUMMYFUNCTION("""COMPUTED_VALUE"""),"PINK/BROWN DOTS RUFFLED UMBRELLA")</f>
        <v>PINK/BROWN DOTS RUFFLED UMBRELLA</v>
      </c>
      <c r="D1551" s="2">
        <f>IFERROR(__xludf.DUMMYFUNCTION("""COMPUTED_VALUE"""),2.0)</f>
        <v>2</v>
      </c>
      <c r="E1551" s="6">
        <f>IFERROR(__xludf.DUMMYFUNCTION("""COMPUTED_VALUE"""),40148.56319444445)</f>
        <v>40148.56319</v>
      </c>
      <c r="F1551" s="2">
        <f>IFERROR(__xludf.DUMMYFUNCTION("""COMPUTED_VALUE"""),5.95)</f>
        <v>5.95</v>
      </c>
      <c r="G1551" s="2">
        <f>IFERROR(__xludf.DUMMYFUNCTION("""COMPUTED_VALUE"""),13097.0)</f>
        <v>13097</v>
      </c>
      <c r="H1551" s="2" t="str">
        <f>IFERROR(__xludf.DUMMYFUNCTION("""COMPUTED_VALUE"""),"United Kingdom")</f>
        <v>United Kingdom</v>
      </c>
      <c r="I1551" s="7">
        <f>IFERROR(__xludf.DUMMYFUNCTION("""COMPUTED_VALUE"""),40148.0)</f>
        <v>40148</v>
      </c>
      <c r="J1551" s="8">
        <f>IFERROR(__xludf.DUMMYFUNCTION("""COMPUTED_VALUE"""),0.5631944444430701)</f>
        <v>0.5631944444</v>
      </c>
      <c r="K1551" s="2">
        <f>IFERROR(__xludf.DUMMYFUNCTION("""COMPUTED_VALUE"""),13.0)</f>
        <v>13</v>
      </c>
      <c r="L1551" s="2">
        <f>IFERROR(__xludf.DUMMYFUNCTION("""COMPUTED_VALUE"""),11.9)</f>
        <v>11.9</v>
      </c>
    </row>
    <row r="1552">
      <c r="A1552" s="2">
        <f>IFERROR(__xludf.DUMMYFUNCTION("""COMPUTED_VALUE"""),489574.0)</f>
        <v>489574</v>
      </c>
      <c r="B1552" s="2" t="str">
        <f>IFERROR(__xludf.DUMMYFUNCTION("""COMPUTED_VALUE"""),"85014C")</f>
        <v>85014C</v>
      </c>
      <c r="C1552" s="2" t="str">
        <f>IFERROR(__xludf.DUMMYFUNCTION("""COMPUTED_VALUE"""),"BLUE/BROWN DOTS RUFFLED UMBRELLA")</f>
        <v>BLUE/BROWN DOTS RUFFLED UMBRELLA</v>
      </c>
      <c r="D1552" s="2">
        <f>IFERROR(__xludf.DUMMYFUNCTION("""COMPUTED_VALUE"""),2.0)</f>
        <v>2</v>
      </c>
      <c r="E1552" s="6">
        <f>IFERROR(__xludf.DUMMYFUNCTION("""COMPUTED_VALUE"""),40148.56319444445)</f>
        <v>40148.56319</v>
      </c>
      <c r="F1552" s="2">
        <f>IFERROR(__xludf.DUMMYFUNCTION("""COMPUTED_VALUE"""),5.95)</f>
        <v>5.95</v>
      </c>
      <c r="G1552" s="2">
        <f>IFERROR(__xludf.DUMMYFUNCTION("""COMPUTED_VALUE"""),13097.0)</f>
        <v>13097</v>
      </c>
      <c r="H1552" s="2" t="str">
        <f>IFERROR(__xludf.DUMMYFUNCTION("""COMPUTED_VALUE"""),"United Kingdom")</f>
        <v>United Kingdom</v>
      </c>
      <c r="I1552" s="7">
        <f>IFERROR(__xludf.DUMMYFUNCTION("""COMPUTED_VALUE"""),40148.0)</f>
        <v>40148</v>
      </c>
      <c r="J1552" s="8">
        <f>IFERROR(__xludf.DUMMYFUNCTION("""COMPUTED_VALUE"""),0.5631944444430701)</f>
        <v>0.5631944444</v>
      </c>
      <c r="K1552" s="2">
        <f>IFERROR(__xludf.DUMMYFUNCTION("""COMPUTED_VALUE"""),13.0)</f>
        <v>13</v>
      </c>
      <c r="L1552" s="2">
        <f>IFERROR(__xludf.DUMMYFUNCTION("""COMPUTED_VALUE"""),11.9)</f>
        <v>11.9</v>
      </c>
    </row>
    <row r="1553">
      <c r="A1553" s="2">
        <f>IFERROR(__xludf.DUMMYFUNCTION("""COMPUTED_VALUE"""),489574.0)</f>
        <v>489574</v>
      </c>
      <c r="B1553" s="2" t="str">
        <f>IFERROR(__xludf.DUMMYFUNCTION("""COMPUTED_VALUE"""),"85014A")</f>
        <v>85014A</v>
      </c>
      <c r="C1553" s="2" t="str">
        <f>IFERROR(__xludf.DUMMYFUNCTION("""COMPUTED_VALUE"""),"BLACK/BLUE DOTS RUFFLED UMBRELLA")</f>
        <v>BLACK/BLUE DOTS RUFFLED UMBRELLA</v>
      </c>
      <c r="D1553" s="2">
        <f>IFERROR(__xludf.DUMMYFUNCTION("""COMPUTED_VALUE"""),2.0)</f>
        <v>2</v>
      </c>
      <c r="E1553" s="6">
        <f>IFERROR(__xludf.DUMMYFUNCTION("""COMPUTED_VALUE"""),40148.56319444445)</f>
        <v>40148.56319</v>
      </c>
      <c r="F1553" s="2">
        <f>IFERROR(__xludf.DUMMYFUNCTION("""COMPUTED_VALUE"""),5.95)</f>
        <v>5.95</v>
      </c>
      <c r="G1553" s="2">
        <f>IFERROR(__xludf.DUMMYFUNCTION("""COMPUTED_VALUE"""),13097.0)</f>
        <v>13097</v>
      </c>
      <c r="H1553" s="2" t="str">
        <f>IFERROR(__xludf.DUMMYFUNCTION("""COMPUTED_VALUE"""),"United Kingdom")</f>
        <v>United Kingdom</v>
      </c>
      <c r="I1553" s="7">
        <f>IFERROR(__xludf.DUMMYFUNCTION("""COMPUTED_VALUE"""),40148.0)</f>
        <v>40148</v>
      </c>
      <c r="J1553" s="8">
        <f>IFERROR(__xludf.DUMMYFUNCTION("""COMPUTED_VALUE"""),0.5631944444430701)</f>
        <v>0.5631944444</v>
      </c>
      <c r="K1553" s="2">
        <f>IFERROR(__xludf.DUMMYFUNCTION("""COMPUTED_VALUE"""),13.0)</f>
        <v>13</v>
      </c>
      <c r="L1553" s="2">
        <f>IFERROR(__xludf.DUMMYFUNCTION("""COMPUTED_VALUE"""),11.9)</f>
        <v>11.9</v>
      </c>
    </row>
    <row r="1554">
      <c r="A1554" s="2">
        <f>IFERROR(__xludf.DUMMYFUNCTION("""COMPUTED_VALUE"""),489574.0)</f>
        <v>489574</v>
      </c>
      <c r="B1554" s="2" t="str">
        <f>IFERROR(__xludf.DUMMYFUNCTION("""COMPUTED_VALUE"""),"85178")</f>
        <v>85178</v>
      </c>
      <c r="C1554" s="2" t="str">
        <f>IFERROR(__xludf.DUMMYFUNCTION("""COMPUTED_VALUE"""),"VICTORIAN SEWING KIT")</f>
        <v>VICTORIAN SEWING KIT</v>
      </c>
      <c r="D1554" s="2">
        <f>IFERROR(__xludf.DUMMYFUNCTION("""COMPUTED_VALUE"""),10.0)</f>
        <v>10</v>
      </c>
      <c r="E1554" s="6">
        <f>IFERROR(__xludf.DUMMYFUNCTION("""COMPUTED_VALUE"""),40148.56319444445)</f>
        <v>40148.56319</v>
      </c>
      <c r="F1554" s="2">
        <f>IFERROR(__xludf.DUMMYFUNCTION("""COMPUTED_VALUE"""),1.25)</f>
        <v>1.25</v>
      </c>
      <c r="G1554" s="2">
        <f>IFERROR(__xludf.DUMMYFUNCTION("""COMPUTED_VALUE"""),13097.0)</f>
        <v>13097</v>
      </c>
      <c r="H1554" s="2" t="str">
        <f>IFERROR(__xludf.DUMMYFUNCTION("""COMPUTED_VALUE"""),"United Kingdom")</f>
        <v>United Kingdom</v>
      </c>
      <c r="I1554" s="7">
        <f>IFERROR(__xludf.DUMMYFUNCTION("""COMPUTED_VALUE"""),40148.0)</f>
        <v>40148</v>
      </c>
      <c r="J1554" s="8">
        <f>IFERROR(__xludf.DUMMYFUNCTION("""COMPUTED_VALUE"""),0.5631944444430701)</f>
        <v>0.5631944444</v>
      </c>
      <c r="K1554" s="2">
        <f>IFERROR(__xludf.DUMMYFUNCTION("""COMPUTED_VALUE"""),13.0)</f>
        <v>13</v>
      </c>
      <c r="L1554" s="2">
        <f>IFERROR(__xludf.DUMMYFUNCTION("""COMPUTED_VALUE"""),12.5)</f>
        <v>12.5</v>
      </c>
    </row>
    <row r="1555">
      <c r="A1555" s="2">
        <f>IFERROR(__xludf.DUMMYFUNCTION("""COMPUTED_VALUE"""),489574.0)</f>
        <v>489574</v>
      </c>
      <c r="B1555" s="2" t="str">
        <f>IFERROR(__xludf.DUMMYFUNCTION("""COMPUTED_VALUE"""),"85176")</f>
        <v>85176</v>
      </c>
      <c r="C1555" s="2" t="str">
        <f>IFERROR(__xludf.DUMMYFUNCTION("""COMPUTED_VALUE"""),"SEWING SUSAN 21 NEEDLE SET")</f>
        <v>SEWING SUSAN 21 NEEDLE SET</v>
      </c>
      <c r="D1555" s="2">
        <f>IFERROR(__xludf.DUMMYFUNCTION("""COMPUTED_VALUE"""),12.0)</f>
        <v>12</v>
      </c>
      <c r="E1555" s="6">
        <f>IFERROR(__xludf.DUMMYFUNCTION("""COMPUTED_VALUE"""),40148.56319444445)</f>
        <v>40148.56319</v>
      </c>
      <c r="F1555" s="2">
        <f>IFERROR(__xludf.DUMMYFUNCTION("""COMPUTED_VALUE"""),0.85)</f>
        <v>0.85</v>
      </c>
      <c r="G1555" s="2">
        <f>IFERROR(__xludf.DUMMYFUNCTION("""COMPUTED_VALUE"""),13097.0)</f>
        <v>13097</v>
      </c>
      <c r="H1555" s="2" t="str">
        <f>IFERROR(__xludf.DUMMYFUNCTION("""COMPUTED_VALUE"""),"United Kingdom")</f>
        <v>United Kingdom</v>
      </c>
      <c r="I1555" s="7">
        <f>IFERROR(__xludf.DUMMYFUNCTION("""COMPUTED_VALUE"""),40148.0)</f>
        <v>40148</v>
      </c>
      <c r="J1555" s="8">
        <f>IFERROR(__xludf.DUMMYFUNCTION("""COMPUTED_VALUE"""),0.5631944444430701)</f>
        <v>0.5631944444</v>
      </c>
      <c r="K1555" s="2">
        <f>IFERROR(__xludf.DUMMYFUNCTION("""COMPUTED_VALUE"""),13.0)</f>
        <v>13</v>
      </c>
      <c r="L1555" s="2">
        <f>IFERROR(__xludf.DUMMYFUNCTION("""COMPUTED_VALUE"""),10.2)</f>
        <v>10.2</v>
      </c>
    </row>
    <row r="1556">
      <c r="A1556" s="2">
        <f>IFERROR(__xludf.DUMMYFUNCTION("""COMPUTED_VALUE"""),489574.0)</f>
        <v>489574</v>
      </c>
      <c r="B1556" s="2" t="str">
        <f>IFERROR(__xludf.DUMMYFUNCTION("""COMPUTED_VALUE"""),"22035")</f>
        <v>22035</v>
      </c>
      <c r="C1556" s="2" t="str">
        <f>IFERROR(__xludf.DUMMYFUNCTION("""COMPUTED_VALUE"""),"VINTAGE CARAVAN GREETING CARD")</f>
        <v>VINTAGE CARAVAN GREETING CARD</v>
      </c>
      <c r="D1556" s="2">
        <f>IFERROR(__xludf.DUMMYFUNCTION("""COMPUTED_VALUE"""),24.0)</f>
        <v>24</v>
      </c>
      <c r="E1556" s="6">
        <f>IFERROR(__xludf.DUMMYFUNCTION("""COMPUTED_VALUE"""),40148.56319444445)</f>
        <v>40148.56319</v>
      </c>
      <c r="F1556" s="2">
        <f>IFERROR(__xludf.DUMMYFUNCTION("""COMPUTED_VALUE"""),0.42)</f>
        <v>0.42</v>
      </c>
      <c r="G1556" s="2">
        <f>IFERROR(__xludf.DUMMYFUNCTION("""COMPUTED_VALUE"""),13097.0)</f>
        <v>13097</v>
      </c>
      <c r="H1556" s="2" t="str">
        <f>IFERROR(__xludf.DUMMYFUNCTION("""COMPUTED_VALUE"""),"United Kingdom")</f>
        <v>United Kingdom</v>
      </c>
      <c r="I1556" s="7">
        <f>IFERROR(__xludf.DUMMYFUNCTION("""COMPUTED_VALUE"""),40148.0)</f>
        <v>40148</v>
      </c>
      <c r="J1556" s="8">
        <f>IFERROR(__xludf.DUMMYFUNCTION("""COMPUTED_VALUE"""),0.5631944444430701)</f>
        <v>0.5631944444</v>
      </c>
      <c r="K1556" s="2">
        <f>IFERROR(__xludf.DUMMYFUNCTION("""COMPUTED_VALUE"""),13.0)</f>
        <v>13</v>
      </c>
      <c r="L1556" s="2">
        <f>IFERROR(__xludf.DUMMYFUNCTION("""COMPUTED_VALUE"""),10.08)</f>
        <v>10.08</v>
      </c>
    </row>
    <row r="1557">
      <c r="A1557" s="2">
        <f>IFERROR(__xludf.DUMMYFUNCTION("""COMPUTED_VALUE"""),489574.0)</f>
        <v>489574</v>
      </c>
      <c r="B1557" s="2" t="str">
        <f>IFERROR(__xludf.DUMMYFUNCTION("""COMPUTED_VALUE"""),"22037")</f>
        <v>22037</v>
      </c>
      <c r="C1557" s="2" t="str">
        <f>IFERROR(__xludf.DUMMYFUNCTION("""COMPUTED_VALUE"""),"ROBOT BIRTHDAY CARD")</f>
        <v>ROBOT BIRTHDAY CARD</v>
      </c>
      <c r="D1557" s="2">
        <f>IFERROR(__xludf.DUMMYFUNCTION("""COMPUTED_VALUE"""),24.0)</f>
        <v>24</v>
      </c>
      <c r="E1557" s="6">
        <f>IFERROR(__xludf.DUMMYFUNCTION("""COMPUTED_VALUE"""),40148.56319444445)</f>
        <v>40148.56319</v>
      </c>
      <c r="F1557" s="2">
        <f>IFERROR(__xludf.DUMMYFUNCTION("""COMPUTED_VALUE"""),0.42)</f>
        <v>0.42</v>
      </c>
      <c r="G1557" s="2">
        <f>IFERROR(__xludf.DUMMYFUNCTION("""COMPUTED_VALUE"""),13097.0)</f>
        <v>13097</v>
      </c>
      <c r="H1557" s="2" t="str">
        <f>IFERROR(__xludf.DUMMYFUNCTION("""COMPUTED_VALUE"""),"United Kingdom")</f>
        <v>United Kingdom</v>
      </c>
      <c r="I1557" s="7">
        <f>IFERROR(__xludf.DUMMYFUNCTION("""COMPUTED_VALUE"""),40148.0)</f>
        <v>40148</v>
      </c>
      <c r="J1557" s="8">
        <f>IFERROR(__xludf.DUMMYFUNCTION("""COMPUTED_VALUE"""),0.5631944444430701)</f>
        <v>0.5631944444</v>
      </c>
      <c r="K1557" s="2">
        <f>IFERROR(__xludf.DUMMYFUNCTION("""COMPUTED_VALUE"""),13.0)</f>
        <v>13</v>
      </c>
      <c r="L1557" s="2">
        <f>IFERROR(__xludf.DUMMYFUNCTION("""COMPUTED_VALUE"""),10.08)</f>
        <v>10.08</v>
      </c>
    </row>
    <row r="1558">
      <c r="A1558" s="2">
        <f>IFERROR(__xludf.DUMMYFUNCTION("""COMPUTED_VALUE"""),489574.0)</f>
        <v>489574</v>
      </c>
      <c r="B1558" s="2" t="str">
        <f>IFERROR(__xludf.DUMMYFUNCTION("""COMPUTED_VALUE"""),"21893")</f>
        <v>21893</v>
      </c>
      <c r="C1558" s="2" t="str">
        <f>IFERROR(__xludf.DUMMYFUNCTION("""COMPUTED_VALUE"""),"POTTING SHED SEED TIN")</f>
        <v>POTTING SHED SEED TIN</v>
      </c>
      <c r="D1558" s="2">
        <f>IFERROR(__xludf.DUMMYFUNCTION("""COMPUTED_VALUE"""),3.0)</f>
        <v>3</v>
      </c>
      <c r="E1558" s="6">
        <f>IFERROR(__xludf.DUMMYFUNCTION("""COMPUTED_VALUE"""),40148.56319444445)</f>
        <v>40148.56319</v>
      </c>
      <c r="F1558" s="2">
        <f>IFERROR(__xludf.DUMMYFUNCTION("""COMPUTED_VALUE"""),4.25)</f>
        <v>4.25</v>
      </c>
      <c r="G1558" s="2">
        <f>IFERROR(__xludf.DUMMYFUNCTION("""COMPUTED_VALUE"""),13097.0)</f>
        <v>13097</v>
      </c>
      <c r="H1558" s="2" t="str">
        <f>IFERROR(__xludf.DUMMYFUNCTION("""COMPUTED_VALUE"""),"United Kingdom")</f>
        <v>United Kingdom</v>
      </c>
      <c r="I1558" s="7">
        <f>IFERROR(__xludf.DUMMYFUNCTION("""COMPUTED_VALUE"""),40148.0)</f>
        <v>40148</v>
      </c>
      <c r="J1558" s="8">
        <f>IFERROR(__xludf.DUMMYFUNCTION("""COMPUTED_VALUE"""),0.5631944444430701)</f>
        <v>0.5631944444</v>
      </c>
      <c r="K1558" s="2">
        <f>IFERROR(__xludf.DUMMYFUNCTION("""COMPUTED_VALUE"""),13.0)</f>
        <v>13</v>
      </c>
      <c r="L1558" s="2">
        <f>IFERROR(__xludf.DUMMYFUNCTION("""COMPUTED_VALUE"""),12.75)</f>
        <v>12.75</v>
      </c>
    </row>
    <row r="1559">
      <c r="A1559" s="2">
        <f>IFERROR(__xludf.DUMMYFUNCTION("""COMPUTED_VALUE"""),489574.0)</f>
        <v>489574</v>
      </c>
      <c r="B1559" s="2" t="str">
        <f>IFERROR(__xludf.DUMMYFUNCTION("""COMPUTED_VALUE"""),"21745")</f>
        <v>21745</v>
      </c>
      <c r="C1559" s="2" t="str">
        <f>IFERROR(__xludf.DUMMYFUNCTION("""COMPUTED_VALUE"""),"GAOLERS KEYS DECORATIVE GARDEN")</f>
        <v>GAOLERS KEYS DECORATIVE GARDEN</v>
      </c>
      <c r="D1559" s="2">
        <f>IFERROR(__xludf.DUMMYFUNCTION("""COMPUTED_VALUE"""),4.0)</f>
        <v>4</v>
      </c>
      <c r="E1559" s="6">
        <f>IFERROR(__xludf.DUMMYFUNCTION("""COMPUTED_VALUE"""),40148.56319444445)</f>
        <v>40148.56319</v>
      </c>
      <c r="F1559" s="2">
        <f>IFERROR(__xludf.DUMMYFUNCTION("""COMPUTED_VALUE"""),3.75)</f>
        <v>3.75</v>
      </c>
      <c r="G1559" s="2">
        <f>IFERROR(__xludf.DUMMYFUNCTION("""COMPUTED_VALUE"""),13097.0)</f>
        <v>13097</v>
      </c>
      <c r="H1559" s="2" t="str">
        <f>IFERROR(__xludf.DUMMYFUNCTION("""COMPUTED_VALUE"""),"United Kingdom")</f>
        <v>United Kingdom</v>
      </c>
      <c r="I1559" s="7">
        <f>IFERROR(__xludf.DUMMYFUNCTION("""COMPUTED_VALUE"""),40148.0)</f>
        <v>40148</v>
      </c>
      <c r="J1559" s="8">
        <f>IFERROR(__xludf.DUMMYFUNCTION("""COMPUTED_VALUE"""),0.5631944444430701)</f>
        <v>0.5631944444</v>
      </c>
      <c r="K1559" s="2">
        <f>IFERROR(__xludf.DUMMYFUNCTION("""COMPUTED_VALUE"""),13.0)</f>
        <v>13</v>
      </c>
      <c r="L1559" s="2">
        <f>IFERROR(__xludf.DUMMYFUNCTION("""COMPUTED_VALUE"""),15.0)</f>
        <v>15</v>
      </c>
    </row>
    <row r="1560">
      <c r="A1560" s="2">
        <f>IFERROR(__xludf.DUMMYFUNCTION("""COMPUTED_VALUE"""),489574.0)</f>
        <v>489574</v>
      </c>
      <c r="B1560" s="2" t="str">
        <f>IFERROR(__xludf.DUMMYFUNCTION("""COMPUTED_VALUE"""),"17084J")</f>
        <v>17084J</v>
      </c>
      <c r="C1560" s="2" t="str">
        <f>IFERROR(__xludf.DUMMYFUNCTION("""COMPUTED_VALUE"""),"LOVE POTION MASALA INCENSE")</f>
        <v>LOVE POTION MASALA INCENSE</v>
      </c>
      <c r="D1560" s="2">
        <f>IFERROR(__xludf.DUMMYFUNCTION("""COMPUTED_VALUE"""),2.0)</f>
        <v>2</v>
      </c>
      <c r="E1560" s="6">
        <f>IFERROR(__xludf.DUMMYFUNCTION("""COMPUTED_VALUE"""),40148.56319444445)</f>
        <v>40148.56319</v>
      </c>
      <c r="F1560" s="2">
        <f>IFERROR(__xludf.DUMMYFUNCTION("""COMPUTED_VALUE"""),0.21)</f>
        <v>0.21</v>
      </c>
      <c r="G1560" s="2">
        <f>IFERROR(__xludf.DUMMYFUNCTION("""COMPUTED_VALUE"""),13097.0)</f>
        <v>13097</v>
      </c>
      <c r="H1560" s="2" t="str">
        <f>IFERROR(__xludf.DUMMYFUNCTION("""COMPUTED_VALUE"""),"United Kingdom")</f>
        <v>United Kingdom</v>
      </c>
      <c r="I1560" s="7">
        <f>IFERROR(__xludf.DUMMYFUNCTION("""COMPUTED_VALUE"""),40148.0)</f>
        <v>40148</v>
      </c>
      <c r="J1560" s="8">
        <f>IFERROR(__xludf.DUMMYFUNCTION("""COMPUTED_VALUE"""),0.5631944444430701)</f>
        <v>0.5631944444</v>
      </c>
      <c r="K1560" s="2">
        <f>IFERROR(__xludf.DUMMYFUNCTION("""COMPUTED_VALUE"""),13.0)</f>
        <v>13</v>
      </c>
      <c r="L1560" s="2">
        <f>IFERROR(__xludf.DUMMYFUNCTION("""COMPUTED_VALUE"""),0.42)</f>
        <v>0.42</v>
      </c>
    </row>
    <row r="1561">
      <c r="A1561" s="2">
        <f>IFERROR(__xludf.DUMMYFUNCTION("""COMPUTED_VALUE"""),489574.0)</f>
        <v>489574</v>
      </c>
      <c r="B1561" s="2" t="str">
        <f>IFERROR(__xludf.DUMMYFUNCTION("""COMPUTED_VALUE"""),"71279")</f>
        <v>71279</v>
      </c>
      <c r="C1561" s="2" t="str">
        <f>IFERROR(__xludf.DUMMYFUNCTION("""COMPUTED_VALUE"""),"PINK GLASS CANDLEHOLDER")</f>
        <v>PINK GLASS CANDLEHOLDER</v>
      </c>
      <c r="D1561" s="2">
        <f>IFERROR(__xludf.DUMMYFUNCTION("""COMPUTED_VALUE"""),2.0)</f>
        <v>2</v>
      </c>
      <c r="E1561" s="6">
        <f>IFERROR(__xludf.DUMMYFUNCTION("""COMPUTED_VALUE"""),40148.56319444445)</f>
        <v>40148.56319</v>
      </c>
      <c r="F1561" s="2">
        <f>IFERROR(__xludf.DUMMYFUNCTION("""COMPUTED_VALUE"""),2.95)</f>
        <v>2.95</v>
      </c>
      <c r="G1561" s="2">
        <f>IFERROR(__xludf.DUMMYFUNCTION("""COMPUTED_VALUE"""),13097.0)</f>
        <v>13097</v>
      </c>
      <c r="H1561" s="2" t="str">
        <f>IFERROR(__xludf.DUMMYFUNCTION("""COMPUTED_VALUE"""),"United Kingdom")</f>
        <v>United Kingdom</v>
      </c>
      <c r="I1561" s="7">
        <f>IFERROR(__xludf.DUMMYFUNCTION("""COMPUTED_VALUE"""),40148.0)</f>
        <v>40148</v>
      </c>
      <c r="J1561" s="8">
        <f>IFERROR(__xludf.DUMMYFUNCTION("""COMPUTED_VALUE"""),0.5631944444430701)</f>
        <v>0.5631944444</v>
      </c>
      <c r="K1561" s="2">
        <f>IFERROR(__xludf.DUMMYFUNCTION("""COMPUTED_VALUE"""),13.0)</f>
        <v>13</v>
      </c>
      <c r="L1561" s="2">
        <f>IFERROR(__xludf.DUMMYFUNCTION("""COMPUTED_VALUE"""),5.9)</f>
        <v>5.9</v>
      </c>
    </row>
    <row r="1562">
      <c r="A1562" s="2">
        <f>IFERROR(__xludf.DUMMYFUNCTION("""COMPUTED_VALUE"""),489574.0)</f>
        <v>489574</v>
      </c>
      <c r="B1562" s="2" t="str">
        <f>IFERROR(__xludf.DUMMYFUNCTION("""COMPUTED_VALUE"""),"21417")</f>
        <v>21417</v>
      </c>
      <c r="C1562" s="2" t="str">
        <f>IFERROR(__xludf.DUMMYFUNCTION("""COMPUTED_VALUE"""),"COCKLE SHELL DISH")</f>
        <v>COCKLE SHELL DISH</v>
      </c>
      <c r="D1562" s="2">
        <f>IFERROR(__xludf.DUMMYFUNCTION("""COMPUTED_VALUE"""),2.0)</f>
        <v>2</v>
      </c>
      <c r="E1562" s="6">
        <f>IFERROR(__xludf.DUMMYFUNCTION("""COMPUTED_VALUE"""),40148.56319444445)</f>
        <v>40148.56319</v>
      </c>
      <c r="F1562" s="2">
        <f>IFERROR(__xludf.DUMMYFUNCTION("""COMPUTED_VALUE"""),2.1)</f>
        <v>2.1</v>
      </c>
      <c r="G1562" s="2">
        <f>IFERROR(__xludf.DUMMYFUNCTION("""COMPUTED_VALUE"""),13097.0)</f>
        <v>13097</v>
      </c>
      <c r="H1562" s="2" t="str">
        <f>IFERROR(__xludf.DUMMYFUNCTION("""COMPUTED_VALUE"""),"United Kingdom")</f>
        <v>United Kingdom</v>
      </c>
      <c r="I1562" s="7">
        <f>IFERROR(__xludf.DUMMYFUNCTION("""COMPUTED_VALUE"""),40148.0)</f>
        <v>40148</v>
      </c>
      <c r="J1562" s="8">
        <f>IFERROR(__xludf.DUMMYFUNCTION("""COMPUTED_VALUE"""),0.5631944444430701)</f>
        <v>0.5631944444</v>
      </c>
      <c r="K1562" s="2">
        <f>IFERROR(__xludf.DUMMYFUNCTION("""COMPUTED_VALUE"""),13.0)</f>
        <v>13</v>
      </c>
      <c r="L1562" s="2">
        <f>IFERROR(__xludf.DUMMYFUNCTION("""COMPUTED_VALUE"""),4.2)</f>
        <v>4.2</v>
      </c>
    </row>
    <row r="1563">
      <c r="A1563" s="2">
        <f>IFERROR(__xludf.DUMMYFUNCTION("""COMPUTED_VALUE"""),489574.0)</f>
        <v>489574</v>
      </c>
      <c r="B1563" s="2" t="str">
        <f>IFERROR(__xludf.DUMMYFUNCTION("""COMPUTED_VALUE"""),"22083")</f>
        <v>22083</v>
      </c>
      <c r="C1563" s="2" t="str">
        <f>IFERROR(__xludf.DUMMYFUNCTION("""COMPUTED_VALUE"""),"PAPER CHAIN KIT RETRO SPOT")</f>
        <v>PAPER CHAIN KIT RETRO SPOT</v>
      </c>
      <c r="D1563" s="2">
        <f>IFERROR(__xludf.DUMMYFUNCTION("""COMPUTED_VALUE"""),5.0)</f>
        <v>5</v>
      </c>
      <c r="E1563" s="6">
        <f>IFERROR(__xludf.DUMMYFUNCTION("""COMPUTED_VALUE"""),40148.56319444445)</f>
        <v>40148.56319</v>
      </c>
      <c r="F1563" s="2">
        <f>IFERROR(__xludf.DUMMYFUNCTION("""COMPUTED_VALUE"""),2.95)</f>
        <v>2.95</v>
      </c>
      <c r="G1563" s="2">
        <f>IFERROR(__xludf.DUMMYFUNCTION("""COMPUTED_VALUE"""),13097.0)</f>
        <v>13097</v>
      </c>
      <c r="H1563" s="2" t="str">
        <f>IFERROR(__xludf.DUMMYFUNCTION("""COMPUTED_VALUE"""),"United Kingdom")</f>
        <v>United Kingdom</v>
      </c>
      <c r="I1563" s="7">
        <f>IFERROR(__xludf.DUMMYFUNCTION("""COMPUTED_VALUE"""),40148.0)</f>
        <v>40148</v>
      </c>
      <c r="J1563" s="8">
        <f>IFERROR(__xludf.DUMMYFUNCTION("""COMPUTED_VALUE"""),0.5631944444430701)</f>
        <v>0.5631944444</v>
      </c>
      <c r="K1563" s="2">
        <f>IFERROR(__xludf.DUMMYFUNCTION("""COMPUTED_VALUE"""),13.0)</f>
        <v>13</v>
      </c>
      <c r="L1563" s="2">
        <f>IFERROR(__xludf.DUMMYFUNCTION("""COMPUTED_VALUE"""),14.75)</f>
        <v>14.75</v>
      </c>
    </row>
    <row r="1564">
      <c r="A1564" s="2">
        <f>IFERROR(__xludf.DUMMYFUNCTION("""COMPUTED_VALUE"""),489574.0)</f>
        <v>489574</v>
      </c>
      <c r="B1564" s="2" t="str">
        <f>IFERROR(__xludf.DUMMYFUNCTION("""COMPUTED_VALUE"""),"22125")</f>
        <v>22125</v>
      </c>
      <c r="C1564" s="2" t="str">
        <f>IFERROR(__xludf.DUMMYFUNCTION("""COMPUTED_VALUE"""),"UNION JACK HOT WATER BOTTLE")</f>
        <v>UNION JACK HOT WATER BOTTLE</v>
      </c>
      <c r="D1564" s="2">
        <f>IFERROR(__xludf.DUMMYFUNCTION("""COMPUTED_VALUE"""),2.0)</f>
        <v>2</v>
      </c>
      <c r="E1564" s="6">
        <f>IFERROR(__xludf.DUMMYFUNCTION("""COMPUTED_VALUE"""),40148.56319444445)</f>
        <v>40148.56319</v>
      </c>
      <c r="F1564" s="2">
        <f>IFERROR(__xludf.DUMMYFUNCTION("""COMPUTED_VALUE"""),5.95)</f>
        <v>5.95</v>
      </c>
      <c r="G1564" s="2">
        <f>IFERROR(__xludf.DUMMYFUNCTION("""COMPUTED_VALUE"""),13097.0)</f>
        <v>13097</v>
      </c>
      <c r="H1564" s="2" t="str">
        <f>IFERROR(__xludf.DUMMYFUNCTION("""COMPUTED_VALUE"""),"United Kingdom")</f>
        <v>United Kingdom</v>
      </c>
      <c r="I1564" s="7">
        <f>IFERROR(__xludf.DUMMYFUNCTION("""COMPUTED_VALUE"""),40148.0)</f>
        <v>40148</v>
      </c>
      <c r="J1564" s="8">
        <f>IFERROR(__xludf.DUMMYFUNCTION("""COMPUTED_VALUE"""),0.5631944444430701)</f>
        <v>0.5631944444</v>
      </c>
      <c r="K1564" s="2">
        <f>IFERROR(__xludf.DUMMYFUNCTION("""COMPUTED_VALUE"""),13.0)</f>
        <v>13</v>
      </c>
      <c r="L1564" s="2">
        <f>IFERROR(__xludf.DUMMYFUNCTION("""COMPUTED_VALUE"""),11.9)</f>
        <v>11.9</v>
      </c>
    </row>
    <row r="1565">
      <c r="A1565" s="2">
        <f>IFERROR(__xludf.DUMMYFUNCTION("""COMPUTED_VALUE"""),489574.0)</f>
        <v>489574</v>
      </c>
      <c r="B1565" s="2" t="str">
        <f>IFERROR(__xludf.DUMMYFUNCTION("""COMPUTED_VALUE"""),"22088")</f>
        <v>22088</v>
      </c>
      <c r="C1565" s="2" t="str">
        <f>IFERROR(__xludf.DUMMYFUNCTION("""COMPUTED_VALUE"""),"PAPER BUNTING COLOURED LACE")</f>
        <v>PAPER BUNTING COLOURED LACE</v>
      </c>
      <c r="D1565" s="2">
        <f>IFERROR(__xludf.DUMMYFUNCTION("""COMPUTED_VALUE"""),1.0)</f>
        <v>1</v>
      </c>
      <c r="E1565" s="6">
        <f>IFERROR(__xludf.DUMMYFUNCTION("""COMPUTED_VALUE"""),40148.56319444445)</f>
        <v>40148.56319</v>
      </c>
      <c r="F1565" s="2">
        <f>IFERROR(__xludf.DUMMYFUNCTION("""COMPUTED_VALUE"""),2.95)</f>
        <v>2.95</v>
      </c>
      <c r="G1565" s="2">
        <f>IFERROR(__xludf.DUMMYFUNCTION("""COMPUTED_VALUE"""),13097.0)</f>
        <v>13097</v>
      </c>
      <c r="H1565" s="2" t="str">
        <f>IFERROR(__xludf.DUMMYFUNCTION("""COMPUTED_VALUE"""),"United Kingdom")</f>
        <v>United Kingdom</v>
      </c>
      <c r="I1565" s="7">
        <f>IFERROR(__xludf.DUMMYFUNCTION("""COMPUTED_VALUE"""),40148.0)</f>
        <v>40148</v>
      </c>
      <c r="J1565" s="8">
        <f>IFERROR(__xludf.DUMMYFUNCTION("""COMPUTED_VALUE"""),0.5631944444430701)</f>
        <v>0.5631944444</v>
      </c>
      <c r="K1565" s="2">
        <f>IFERROR(__xludf.DUMMYFUNCTION("""COMPUTED_VALUE"""),13.0)</f>
        <v>13</v>
      </c>
      <c r="L1565" s="2">
        <f>IFERROR(__xludf.DUMMYFUNCTION("""COMPUTED_VALUE"""),2.95)</f>
        <v>2.95</v>
      </c>
    </row>
    <row r="1566">
      <c r="A1566" s="2">
        <f>IFERROR(__xludf.DUMMYFUNCTION("""COMPUTED_VALUE"""),489574.0)</f>
        <v>489574</v>
      </c>
      <c r="B1566" s="2" t="str">
        <f>IFERROR(__xludf.DUMMYFUNCTION("""COMPUTED_VALUE"""),"22093")</f>
        <v>22093</v>
      </c>
      <c r="C1566" s="2" t="str">
        <f>IFERROR(__xludf.DUMMYFUNCTION("""COMPUTED_VALUE"""),"MOTORING TISSUE BOX")</f>
        <v>MOTORING TISSUE BOX</v>
      </c>
      <c r="D1566" s="2">
        <f>IFERROR(__xludf.DUMMYFUNCTION("""COMPUTED_VALUE"""),3.0)</f>
        <v>3</v>
      </c>
      <c r="E1566" s="6">
        <f>IFERROR(__xludf.DUMMYFUNCTION("""COMPUTED_VALUE"""),40148.56319444445)</f>
        <v>40148.56319</v>
      </c>
      <c r="F1566" s="2">
        <f>IFERROR(__xludf.DUMMYFUNCTION("""COMPUTED_VALUE"""),1.25)</f>
        <v>1.25</v>
      </c>
      <c r="G1566" s="2">
        <f>IFERROR(__xludf.DUMMYFUNCTION("""COMPUTED_VALUE"""),13097.0)</f>
        <v>13097</v>
      </c>
      <c r="H1566" s="2" t="str">
        <f>IFERROR(__xludf.DUMMYFUNCTION("""COMPUTED_VALUE"""),"United Kingdom")</f>
        <v>United Kingdom</v>
      </c>
      <c r="I1566" s="7">
        <f>IFERROR(__xludf.DUMMYFUNCTION("""COMPUTED_VALUE"""),40148.0)</f>
        <v>40148</v>
      </c>
      <c r="J1566" s="8">
        <f>IFERROR(__xludf.DUMMYFUNCTION("""COMPUTED_VALUE"""),0.5631944444430701)</f>
        <v>0.5631944444</v>
      </c>
      <c r="K1566" s="2">
        <f>IFERROR(__xludf.DUMMYFUNCTION("""COMPUTED_VALUE"""),13.0)</f>
        <v>13</v>
      </c>
      <c r="L1566" s="2">
        <f>IFERROR(__xludf.DUMMYFUNCTION("""COMPUTED_VALUE"""),3.75)</f>
        <v>3.75</v>
      </c>
    </row>
    <row r="1567">
      <c r="A1567" s="2">
        <f>IFERROR(__xludf.DUMMYFUNCTION("""COMPUTED_VALUE"""),489574.0)</f>
        <v>489574</v>
      </c>
      <c r="B1567" s="2" t="str">
        <f>IFERROR(__xludf.DUMMYFUNCTION("""COMPUTED_VALUE"""),"84288B")</f>
        <v>84288B</v>
      </c>
      <c r="C1567" s="2" t="str">
        <f>IFERROR(__xludf.DUMMYFUNCTION("""COMPUTED_VALUE"""),"SET/2 BLUE NOODLE BASKETS")</f>
        <v>SET/2 BLUE NOODLE BASKETS</v>
      </c>
      <c r="D1567" s="2">
        <f>IFERROR(__xludf.DUMMYFUNCTION("""COMPUTED_VALUE"""),1.0)</f>
        <v>1</v>
      </c>
      <c r="E1567" s="6">
        <f>IFERROR(__xludf.DUMMYFUNCTION("""COMPUTED_VALUE"""),40148.56319444445)</f>
        <v>40148.56319</v>
      </c>
      <c r="F1567" s="2">
        <f>IFERROR(__xludf.DUMMYFUNCTION("""COMPUTED_VALUE"""),1.95)</f>
        <v>1.95</v>
      </c>
      <c r="G1567" s="2">
        <f>IFERROR(__xludf.DUMMYFUNCTION("""COMPUTED_VALUE"""),13097.0)</f>
        <v>13097</v>
      </c>
      <c r="H1567" s="2" t="str">
        <f>IFERROR(__xludf.DUMMYFUNCTION("""COMPUTED_VALUE"""),"United Kingdom")</f>
        <v>United Kingdom</v>
      </c>
      <c r="I1567" s="7">
        <f>IFERROR(__xludf.DUMMYFUNCTION("""COMPUTED_VALUE"""),40148.0)</f>
        <v>40148</v>
      </c>
      <c r="J1567" s="8">
        <f>IFERROR(__xludf.DUMMYFUNCTION("""COMPUTED_VALUE"""),0.5631944444430701)</f>
        <v>0.5631944444</v>
      </c>
      <c r="K1567" s="2">
        <f>IFERROR(__xludf.DUMMYFUNCTION("""COMPUTED_VALUE"""),13.0)</f>
        <v>13</v>
      </c>
      <c r="L1567" s="2">
        <f>IFERROR(__xludf.DUMMYFUNCTION("""COMPUTED_VALUE"""),1.95)</f>
        <v>1.95</v>
      </c>
    </row>
    <row r="1568">
      <c r="A1568" s="2">
        <f>IFERROR(__xludf.DUMMYFUNCTION("""COMPUTED_VALUE"""),489574.0)</f>
        <v>489574</v>
      </c>
      <c r="B1568" s="2" t="str">
        <f>IFERROR(__xludf.DUMMYFUNCTION("""COMPUTED_VALUE"""),"21741")</f>
        <v>21741</v>
      </c>
      <c r="C1568" s="2" t="str">
        <f>IFERROR(__xludf.DUMMYFUNCTION("""COMPUTED_VALUE"""),"COSY SLIPPER SHOES LARGE GREEN")</f>
        <v>COSY SLIPPER SHOES LARGE GREEN</v>
      </c>
      <c r="D1568" s="2">
        <f>IFERROR(__xludf.DUMMYFUNCTION("""COMPUTED_VALUE"""),3.0)</f>
        <v>3</v>
      </c>
      <c r="E1568" s="6">
        <f>IFERROR(__xludf.DUMMYFUNCTION("""COMPUTED_VALUE"""),40148.56319444445)</f>
        <v>40148.56319</v>
      </c>
      <c r="F1568" s="2">
        <f>IFERROR(__xludf.DUMMYFUNCTION("""COMPUTED_VALUE"""),2.95)</f>
        <v>2.95</v>
      </c>
      <c r="G1568" s="2">
        <f>IFERROR(__xludf.DUMMYFUNCTION("""COMPUTED_VALUE"""),13097.0)</f>
        <v>13097</v>
      </c>
      <c r="H1568" s="2" t="str">
        <f>IFERROR(__xludf.DUMMYFUNCTION("""COMPUTED_VALUE"""),"United Kingdom")</f>
        <v>United Kingdom</v>
      </c>
      <c r="I1568" s="7">
        <f>IFERROR(__xludf.DUMMYFUNCTION("""COMPUTED_VALUE"""),40148.0)</f>
        <v>40148</v>
      </c>
      <c r="J1568" s="8">
        <f>IFERROR(__xludf.DUMMYFUNCTION("""COMPUTED_VALUE"""),0.5631944444430701)</f>
        <v>0.5631944444</v>
      </c>
      <c r="K1568" s="2">
        <f>IFERROR(__xludf.DUMMYFUNCTION("""COMPUTED_VALUE"""),13.0)</f>
        <v>13</v>
      </c>
      <c r="L1568" s="2">
        <f>IFERROR(__xludf.DUMMYFUNCTION("""COMPUTED_VALUE"""),8.85)</f>
        <v>8.85</v>
      </c>
    </row>
    <row r="1569">
      <c r="A1569" s="2">
        <f>IFERROR(__xludf.DUMMYFUNCTION("""COMPUTED_VALUE"""),489574.0)</f>
        <v>489574</v>
      </c>
      <c r="B1569" s="2" t="str">
        <f>IFERROR(__xludf.DUMMYFUNCTION("""COMPUTED_VALUE"""),"21740")</f>
        <v>21740</v>
      </c>
      <c r="C1569" s="2" t="str">
        <f>IFERROR(__xludf.DUMMYFUNCTION("""COMPUTED_VALUE"""),"COSY SLIPPER SHOES LARGE RED")</f>
        <v>COSY SLIPPER SHOES LARGE RED</v>
      </c>
      <c r="D1569" s="2">
        <f>IFERROR(__xludf.DUMMYFUNCTION("""COMPUTED_VALUE"""),3.0)</f>
        <v>3</v>
      </c>
      <c r="E1569" s="6">
        <f>IFERROR(__xludf.DUMMYFUNCTION("""COMPUTED_VALUE"""),40148.56319444445)</f>
        <v>40148.56319</v>
      </c>
      <c r="F1569" s="2">
        <f>IFERROR(__xludf.DUMMYFUNCTION("""COMPUTED_VALUE"""),2.95)</f>
        <v>2.95</v>
      </c>
      <c r="G1569" s="2">
        <f>IFERROR(__xludf.DUMMYFUNCTION("""COMPUTED_VALUE"""),13097.0)</f>
        <v>13097</v>
      </c>
      <c r="H1569" s="2" t="str">
        <f>IFERROR(__xludf.DUMMYFUNCTION("""COMPUTED_VALUE"""),"United Kingdom")</f>
        <v>United Kingdom</v>
      </c>
      <c r="I1569" s="7">
        <f>IFERROR(__xludf.DUMMYFUNCTION("""COMPUTED_VALUE"""),40148.0)</f>
        <v>40148</v>
      </c>
      <c r="J1569" s="8">
        <f>IFERROR(__xludf.DUMMYFUNCTION("""COMPUTED_VALUE"""),0.5631944444430701)</f>
        <v>0.5631944444</v>
      </c>
      <c r="K1569" s="2">
        <f>IFERROR(__xludf.DUMMYFUNCTION("""COMPUTED_VALUE"""),13.0)</f>
        <v>13</v>
      </c>
      <c r="L1569" s="2">
        <f>IFERROR(__xludf.DUMMYFUNCTION("""COMPUTED_VALUE"""),8.85)</f>
        <v>8.85</v>
      </c>
    </row>
    <row r="1570">
      <c r="A1570" s="2">
        <f>IFERROR(__xludf.DUMMYFUNCTION("""COMPUTED_VALUE"""),489574.0)</f>
        <v>489574</v>
      </c>
      <c r="B1570" s="2" t="str">
        <f>IFERROR(__xludf.DUMMYFUNCTION("""COMPUTED_VALUE"""),"35924")</f>
        <v>35924</v>
      </c>
      <c r="C1570" s="2" t="str">
        <f>IFERROR(__xludf.DUMMYFUNCTION("""COMPUTED_VALUE"""),"HANGING FAIRY CAKE DECORATION")</f>
        <v>HANGING FAIRY CAKE DECORATION</v>
      </c>
      <c r="D1570" s="2">
        <f>IFERROR(__xludf.DUMMYFUNCTION("""COMPUTED_VALUE"""),3.0)</f>
        <v>3</v>
      </c>
      <c r="E1570" s="6">
        <f>IFERROR(__xludf.DUMMYFUNCTION("""COMPUTED_VALUE"""),40148.56319444445)</f>
        <v>40148.56319</v>
      </c>
      <c r="F1570" s="2">
        <f>IFERROR(__xludf.DUMMYFUNCTION("""COMPUTED_VALUE"""),2.1)</f>
        <v>2.1</v>
      </c>
      <c r="G1570" s="2">
        <f>IFERROR(__xludf.DUMMYFUNCTION("""COMPUTED_VALUE"""),13097.0)</f>
        <v>13097</v>
      </c>
      <c r="H1570" s="2" t="str">
        <f>IFERROR(__xludf.DUMMYFUNCTION("""COMPUTED_VALUE"""),"United Kingdom")</f>
        <v>United Kingdom</v>
      </c>
      <c r="I1570" s="7">
        <f>IFERROR(__xludf.DUMMYFUNCTION("""COMPUTED_VALUE"""),40148.0)</f>
        <v>40148</v>
      </c>
      <c r="J1570" s="8">
        <f>IFERROR(__xludf.DUMMYFUNCTION("""COMPUTED_VALUE"""),0.5631944444430701)</f>
        <v>0.5631944444</v>
      </c>
      <c r="K1570" s="2">
        <f>IFERROR(__xludf.DUMMYFUNCTION("""COMPUTED_VALUE"""),13.0)</f>
        <v>13</v>
      </c>
      <c r="L1570" s="2">
        <f>IFERROR(__xludf.DUMMYFUNCTION("""COMPUTED_VALUE"""),6.3)</f>
        <v>6.3</v>
      </c>
    </row>
    <row r="1571">
      <c r="A1571" s="2">
        <f>IFERROR(__xludf.DUMMYFUNCTION("""COMPUTED_VALUE"""),489574.0)</f>
        <v>489574</v>
      </c>
      <c r="B1571" s="2" t="str">
        <f>IFERROR(__xludf.DUMMYFUNCTION("""COMPUTED_VALUE"""),"20941")</f>
        <v>20941</v>
      </c>
      <c r="C1571" s="2" t="str">
        <f>IFERROR(__xludf.DUMMYFUNCTION("""COMPUTED_VALUE"""),"FROG CANDLE")</f>
        <v>FROG CANDLE</v>
      </c>
      <c r="D1571" s="2">
        <f>IFERROR(__xludf.DUMMYFUNCTION("""COMPUTED_VALUE"""),4.0)</f>
        <v>4</v>
      </c>
      <c r="E1571" s="6">
        <f>IFERROR(__xludf.DUMMYFUNCTION("""COMPUTED_VALUE"""),40148.56319444445)</f>
        <v>40148.56319</v>
      </c>
      <c r="F1571" s="2">
        <f>IFERROR(__xludf.DUMMYFUNCTION("""COMPUTED_VALUE"""),1.25)</f>
        <v>1.25</v>
      </c>
      <c r="G1571" s="2">
        <f>IFERROR(__xludf.DUMMYFUNCTION("""COMPUTED_VALUE"""),13097.0)</f>
        <v>13097</v>
      </c>
      <c r="H1571" s="2" t="str">
        <f>IFERROR(__xludf.DUMMYFUNCTION("""COMPUTED_VALUE"""),"United Kingdom")</f>
        <v>United Kingdom</v>
      </c>
      <c r="I1571" s="7">
        <f>IFERROR(__xludf.DUMMYFUNCTION("""COMPUTED_VALUE"""),40148.0)</f>
        <v>40148</v>
      </c>
      <c r="J1571" s="8">
        <f>IFERROR(__xludf.DUMMYFUNCTION("""COMPUTED_VALUE"""),0.5631944444430701)</f>
        <v>0.5631944444</v>
      </c>
      <c r="K1571" s="2">
        <f>IFERROR(__xludf.DUMMYFUNCTION("""COMPUTED_VALUE"""),13.0)</f>
        <v>13</v>
      </c>
      <c r="L1571" s="2">
        <f>IFERROR(__xludf.DUMMYFUNCTION("""COMPUTED_VALUE"""),5.0)</f>
        <v>5</v>
      </c>
    </row>
    <row r="1572">
      <c r="A1572" s="2">
        <f>IFERROR(__xludf.DUMMYFUNCTION("""COMPUTED_VALUE"""),489574.0)</f>
        <v>489574</v>
      </c>
      <c r="B1572" s="2" t="str">
        <f>IFERROR(__xludf.DUMMYFUNCTION("""COMPUTED_VALUE"""),"22138")</f>
        <v>22138</v>
      </c>
      <c r="C1572" s="2" t="str">
        <f>IFERROR(__xludf.DUMMYFUNCTION("""COMPUTED_VALUE"""),"BAKING SET 9 PIECE RETROSPOT")</f>
        <v>BAKING SET 9 PIECE RETROSPOT</v>
      </c>
      <c r="D1572" s="2">
        <f>IFERROR(__xludf.DUMMYFUNCTION("""COMPUTED_VALUE"""),4.0)</f>
        <v>4</v>
      </c>
      <c r="E1572" s="6">
        <f>IFERROR(__xludf.DUMMYFUNCTION("""COMPUTED_VALUE"""),40148.56319444445)</f>
        <v>40148.56319</v>
      </c>
      <c r="F1572" s="2">
        <f>IFERROR(__xludf.DUMMYFUNCTION("""COMPUTED_VALUE"""),4.95)</f>
        <v>4.95</v>
      </c>
      <c r="G1572" s="2">
        <f>IFERROR(__xludf.DUMMYFUNCTION("""COMPUTED_VALUE"""),13097.0)</f>
        <v>13097</v>
      </c>
      <c r="H1572" s="2" t="str">
        <f>IFERROR(__xludf.DUMMYFUNCTION("""COMPUTED_VALUE"""),"United Kingdom")</f>
        <v>United Kingdom</v>
      </c>
      <c r="I1572" s="7">
        <f>IFERROR(__xludf.DUMMYFUNCTION("""COMPUTED_VALUE"""),40148.0)</f>
        <v>40148</v>
      </c>
      <c r="J1572" s="8">
        <f>IFERROR(__xludf.DUMMYFUNCTION("""COMPUTED_VALUE"""),0.5631944444430701)</f>
        <v>0.5631944444</v>
      </c>
      <c r="K1572" s="2">
        <f>IFERROR(__xludf.DUMMYFUNCTION("""COMPUTED_VALUE"""),13.0)</f>
        <v>13</v>
      </c>
      <c r="L1572" s="2">
        <f>IFERROR(__xludf.DUMMYFUNCTION("""COMPUTED_VALUE"""),19.8)</f>
        <v>19.8</v>
      </c>
    </row>
    <row r="1573">
      <c r="A1573" s="2">
        <f>IFERROR(__xludf.DUMMYFUNCTION("""COMPUTED_VALUE"""),489574.0)</f>
        <v>489574</v>
      </c>
      <c r="B1573" s="2" t="str">
        <f>IFERROR(__xludf.DUMMYFUNCTION("""COMPUTED_VALUE"""),"21868")</f>
        <v>21868</v>
      </c>
      <c r="C1573" s="2" t="str">
        <f>IFERROR(__xludf.DUMMYFUNCTION("""COMPUTED_VALUE"""),"POTTING SHED TEA MUG")</f>
        <v>POTTING SHED TEA MUG</v>
      </c>
      <c r="D1573" s="2">
        <f>IFERROR(__xludf.DUMMYFUNCTION("""COMPUTED_VALUE"""),6.0)</f>
        <v>6</v>
      </c>
      <c r="E1573" s="6">
        <f>IFERROR(__xludf.DUMMYFUNCTION("""COMPUTED_VALUE"""),40148.56319444445)</f>
        <v>40148.56319</v>
      </c>
      <c r="F1573" s="2">
        <f>IFERROR(__xludf.DUMMYFUNCTION("""COMPUTED_VALUE"""),1.25)</f>
        <v>1.25</v>
      </c>
      <c r="G1573" s="2">
        <f>IFERROR(__xludf.DUMMYFUNCTION("""COMPUTED_VALUE"""),13097.0)</f>
        <v>13097</v>
      </c>
      <c r="H1573" s="2" t="str">
        <f>IFERROR(__xludf.DUMMYFUNCTION("""COMPUTED_VALUE"""),"United Kingdom")</f>
        <v>United Kingdom</v>
      </c>
      <c r="I1573" s="7">
        <f>IFERROR(__xludf.DUMMYFUNCTION("""COMPUTED_VALUE"""),40148.0)</f>
        <v>40148</v>
      </c>
      <c r="J1573" s="8">
        <f>IFERROR(__xludf.DUMMYFUNCTION("""COMPUTED_VALUE"""),0.5631944444430701)</f>
        <v>0.5631944444</v>
      </c>
      <c r="K1573" s="2">
        <f>IFERROR(__xludf.DUMMYFUNCTION("""COMPUTED_VALUE"""),13.0)</f>
        <v>13</v>
      </c>
      <c r="L1573" s="2">
        <f>IFERROR(__xludf.DUMMYFUNCTION("""COMPUTED_VALUE"""),7.5)</f>
        <v>7.5</v>
      </c>
    </row>
    <row r="1574">
      <c r="A1574" s="2">
        <f>IFERROR(__xludf.DUMMYFUNCTION("""COMPUTED_VALUE"""),489574.0)</f>
        <v>489574</v>
      </c>
      <c r="B1574" s="2" t="str">
        <f>IFERROR(__xludf.DUMMYFUNCTION("""COMPUTED_VALUE"""),"82567")</f>
        <v>82567</v>
      </c>
      <c r="C1574" s="2" t="str">
        <f>IFERROR(__xludf.DUMMYFUNCTION("""COMPUTED_VALUE"""),"AIRLINE LOUNGE,METAL SIGN")</f>
        <v>AIRLINE LOUNGE,METAL SIGN</v>
      </c>
      <c r="D1574" s="2">
        <f>IFERROR(__xludf.DUMMYFUNCTION("""COMPUTED_VALUE"""),2.0)</f>
        <v>2</v>
      </c>
      <c r="E1574" s="6">
        <f>IFERROR(__xludf.DUMMYFUNCTION("""COMPUTED_VALUE"""),40148.56319444445)</f>
        <v>40148.56319</v>
      </c>
      <c r="F1574" s="2">
        <f>IFERROR(__xludf.DUMMYFUNCTION("""COMPUTED_VALUE"""),2.1)</f>
        <v>2.1</v>
      </c>
      <c r="G1574" s="2">
        <f>IFERROR(__xludf.DUMMYFUNCTION("""COMPUTED_VALUE"""),13097.0)</f>
        <v>13097</v>
      </c>
      <c r="H1574" s="2" t="str">
        <f>IFERROR(__xludf.DUMMYFUNCTION("""COMPUTED_VALUE"""),"United Kingdom")</f>
        <v>United Kingdom</v>
      </c>
      <c r="I1574" s="7">
        <f>IFERROR(__xludf.DUMMYFUNCTION("""COMPUTED_VALUE"""),40148.0)</f>
        <v>40148</v>
      </c>
      <c r="J1574" s="8">
        <f>IFERROR(__xludf.DUMMYFUNCTION("""COMPUTED_VALUE"""),0.5631944444430701)</f>
        <v>0.5631944444</v>
      </c>
      <c r="K1574" s="2">
        <f>IFERROR(__xludf.DUMMYFUNCTION("""COMPUTED_VALUE"""),13.0)</f>
        <v>13</v>
      </c>
      <c r="L1574" s="2">
        <f>IFERROR(__xludf.DUMMYFUNCTION("""COMPUTED_VALUE"""),4.2)</f>
        <v>4.2</v>
      </c>
    </row>
    <row r="1575">
      <c r="A1575" s="2">
        <f>IFERROR(__xludf.DUMMYFUNCTION("""COMPUTED_VALUE"""),489574.0)</f>
        <v>489574</v>
      </c>
      <c r="B1575" s="2" t="str">
        <f>IFERROR(__xludf.DUMMYFUNCTION("""COMPUTED_VALUE"""),"22088")</f>
        <v>22088</v>
      </c>
      <c r="C1575" s="2" t="str">
        <f>IFERROR(__xludf.DUMMYFUNCTION("""COMPUTED_VALUE"""),"PAPER BUNTING COLOURED LACE")</f>
        <v>PAPER BUNTING COLOURED LACE</v>
      </c>
      <c r="D1575" s="2">
        <f>IFERROR(__xludf.DUMMYFUNCTION("""COMPUTED_VALUE"""),2.0)</f>
        <v>2</v>
      </c>
      <c r="E1575" s="6">
        <f>IFERROR(__xludf.DUMMYFUNCTION("""COMPUTED_VALUE"""),40148.56319444445)</f>
        <v>40148.56319</v>
      </c>
      <c r="F1575" s="2">
        <f>IFERROR(__xludf.DUMMYFUNCTION("""COMPUTED_VALUE"""),2.95)</f>
        <v>2.95</v>
      </c>
      <c r="G1575" s="2">
        <f>IFERROR(__xludf.DUMMYFUNCTION("""COMPUTED_VALUE"""),13097.0)</f>
        <v>13097</v>
      </c>
      <c r="H1575" s="2" t="str">
        <f>IFERROR(__xludf.DUMMYFUNCTION("""COMPUTED_VALUE"""),"United Kingdom")</f>
        <v>United Kingdom</v>
      </c>
      <c r="I1575" s="7">
        <f>IFERROR(__xludf.DUMMYFUNCTION("""COMPUTED_VALUE"""),40148.0)</f>
        <v>40148</v>
      </c>
      <c r="J1575" s="8">
        <f>IFERROR(__xludf.DUMMYFUNCTION("""COMPUTED_VALUE"""),0.5631944444430701)</f>
        <v>0.5631944444</v>
      </c>
      <c r="K1575" s="2">
        <f>IFERROR(__xludf.DUMMYFUNCTION("""COMPUTED_VALUE"""),13.0)</f>
        <v>13</v>
      </c>
      <c r="L1575" s="2">
        <f>IFERROR(__xludf.DUMMYFUNCTION("""COMPUTED_VALUE"""),5.9)</f>
        <v>5.9</v>
      </c>
    </row>
    <row r="1576">
      <c r="A1576" s="2">
        <f>IFERROR(__xludf.DUMMYFUNCTION("""COMPUTED_VALUE"""),489574.0)</f>
        <v>489574</v>
      </c>
      <c r="B1576" s="2" t="str">
        <f>IFERROR(__xludf.DUMMYFUNCTION("""COMPUTED_VALUE"""),"22222")</f>
        <v>22222</v>
      </c>
      <c r="C1576" s="2" t="str">
        <f>IFERROR(__xludf.DUMMYFUNCTION("""COMPUTED_VALUE"""),"CAKE PLATE LOVEBIRD WHITE")</f>
        <v>CAKE PLATE LOVEBIRD WHITE</v>
      </c>
      <c r="D1576" s="2">
        <f>IFERROR(__xludf.DUMMYFUNCTION("""COMPUTED_VALUE"""),2.0)</f>
        <v>2</v>
      </c>
      <c r="E1576" s="6">
        <f>IFERROR(__xludf.DUMMYFUNCTION("""COMPUTED_VALUE"""),40148.56319444445)</f>
        <v>40148.56319</v>
      </c>
      <c r="F1576" s="2">
        <f>IFERROR(__xludf.DUMMYFUNCTION("""COMPUTED_VALUE"""),4.95)</f>
        <v>4.95</v>
      </c>
      <c r="G1576" s="2">
        <f>IFERROR(__xludf.DUMMYFUNCTION("""COMPUTED_VALUE"""),13097.0)</f>
        <v>13097</v>
      </c>
      <c r="H1576" s="2" t="str">
        <f>IFERROR(__xludf.DUMMYFUNCTION("""COMPUTED_VALUE"""),"United Kingdom")</f>
        <v>United Kingdom</v>
      </c>
      <c r="I1576" s="7">
        <f>IFERROR(__xludf.DUMMYFUNCTION("""COMPUTED_VALUE"""),40148.0)</f>
        <v>40148</v>
      </c>
      <c r="J1576" s="8">
        <f>IFERROR(__xludf.DUMMYFUNCTION("""COMPUTED_VALUE"""),0.5631944444430701)</f>
        <v>0.5631944444</v>
      </c>
      <c r="K1576" s="2">
        <f>IFERROR(__xludf.DUMMYFUNCTION("""COMPUTED_VALUE"""),13.0)</f>
        <v>13</v>
      </c>
      <c r="L1576" s="2">
        <f>IFERROR(__xludf.DUMMYFUNCTION("""COMPUTED_VALUE"""),9.9)</f>
        <v>9.9</v>
      </c>
    </row>
    <row r="1577">
      <c r="A1577" s="2">
        <f>IFERROR(__xludf.DUMMYFUNCTION("""COMPUTED_VALUE"""),489574.0)</f>
        <v>489574</v>
      </c>
      <c r="B1577" s="2" t="str">
        <f>IFERROR(__xludf.DUMMYFUNCTION("""COMPUTED_VALUE"""),"85232A")</f>
        <v>85232A</v>
      </c>
      <c r="C1577" s="2" t="str">
        <f>IFERROR(__xludf.DUMMYFUNCTION("""COMPUTED_VALUE"""),"SET/3 POLKA DOT STACKING TINS")</f>
        <v>SET/3 POLKA DOT STACKING TINS</v>
      </c>
      <c r="D1577" s="2">
        <f>IFERROR(__xludf.DUMMYFUNCTION("""COMPUTED_VALUE"""),1.0)</f>
        <v>1</v>
      </c>
      <c r="E1577" s="6">
        <f>IFERROR(__xludf.DUMMYFUNCTION("""COMPUTED_VALUE"""),40148.56319444445)</f>
        <v>40148.56319</v>
      </c>
      <c r="F1577" s="2">
        <f>IFERROR(__xludf.DUMMYFUNCTION("""COMPUTED_VALUE"""),4.95)</f>
        <v>4.95</v>
      </c>
      <c r="G1577" s="2">
        <f>IFERROR(__xludf.DUMMYFUNCTION("""COMPUTED_VALUE"""),13097.0)</f>
        <v>13097</v>
      </c>
      <c r="H1577" s="2" t="str">
        <f>IFERROR(__xludf.DUMMYFUNCTION("""COMPUTED_VALUE"""),"United Kingdom")</f>
        <v>United Kingdom</v>
      </c>
      <c r="I1577" s="7">
        <f>IFERROR(__xludf.DUMMYFUNCTION("""COMPUTED_VALUE"""),40148.0)</f>
        <v>40148</v>
      </c>
      <c r="J1577" s="8">
        <f>IFERROR(__xludf.DUMMYFUNCTION("""COMPUTED_VALUE"""),0.5631944444430701)</f>
        <v>0.5631944444</v>
      </c>
      <c r="K1577" s="2">
        <f>IFERROR(__xludf.DUMMYFUNCTION("""COMPUTED_VALUE"""),13.0)</f>
        <v>13</v>
      </c>
      <c r="L1577" s="2">
        <f>IFERROR(__xludf.DUMMYFUNCTION("""COMPUTED_VALUE"""),4.95)</f>
        <v>4.95</v>
      </c>
    </row>
    <row r="1578">
      <c r="A1578" s="2">
        <f>IFERROR(__xludf.DUMMYFUNCTION("""COMPUTED_VALUE"""),489574.0)</f>
        <v>489574</v>
      </c>
      <c r="B1578" s="2" t="str">
        <f>IFERROR(__xludf.DUMMYFUNCTION("""COMPUTED_VALUE"""),"21548")</f>
        <v>21548</v>
      </c>
      <c r="C1578" s="2" t="str">
        <f>IFERROR(__xludf.DUMMYFUNCTION("""COMPUTED_VALUE"""),"CERAMIC BIRDHOUSE FINCH BLUE ROOF")</f>
        <v>CERAMIC BIRDHOUSE FINCH BLUE ROOF</v>
      </c>
      <c r="D1578" s="2">
        <f>IFERROR(__xludf.DUMMYFUNCTION("""COMPUTED_VALUE"""),1.0)</f>
        <v>1</v>
      </c>
      <c r="E1578" s="6">
        <f>IFERROR(__xludf.DUMMYFUNCTION("""COMPUTED_VALUE"""),40148.56319444445)</f>
        <v>40148.56319</v>
      </c>
      <c r="F1578" s="2">
        <f>IFERROR(__xludf.DUMMYFUNCTION("""COMPUTED_VALUE"""),2.95)</f>
        <v>2.95</v>
      </c>
      <c r="G1578" s="2">
        <f>IFERROR(__xludf.DUMMYFUNCTION("""COMPUTED_VALUE"""),13097.0)</f>
        <v>13097</v>
      </c>
      <c r="H1578" s="2" t="str">
        <f>IFERROR(__xludf.DUMMYFUNCTION("""COMPUTED_VALUE"""),"United Kingdom")</f>
        <v>United Kingdom</v>
      </c>
      <c r="I1578" s="7">
        <f>IFERROR(__xludf.DUMMYFUNCTION("""COMPUTED_VALUE"""),40148.0)</f>
        <v>40148</v>
      </c>
      <c r="J1578" s="8">
        <f>IFERROR(__xludf.DUMMYFUNCTION("""COMPUTED_VALUE"""),0.5631944444430701)</f>
        <v>0.5631944444</v>
      </c>
      <c r="K1578" s="2">
        <f>IFERROR(__xludf.DUMMYFUNCTION("""COMPUTED_VALUE"""),13.0)</f>
        <v>13</v>
      </c>
      <c r="L1578" s="2">
        <f>IFERROR(__xludf.DUMMYFUNCTION("""COMPUTED_VALUE"""),2.95)</f>
        <v>2.95</v>
      </c>
    </row>
    <row r="1579">
      <c r="A1579" s="2">
        <f>IFERROR(__xludf.DUMMYFUNCTION("""COMPUTED_VALUE"""),489574.0)</f>
        <v>489574</v>
      </c>
      <c r="B1579" s="2" t="str">
        <f>IFERROR(__xludf.DUMMYFUNCTION("""COMPUTED_VALUE"""),"21547")</f>
        <v>21547</v>
      </c>
      <c r="C1579" s="2" t="str">
        <f>IFERROR(__xludf.DUMMYFUNCTION("""COMPUTED_VALUE"""),"CERAMIC BIRDHOUSE CRESTED TIT SMALL")</f>
        <v>CERAMIC BIRDHOUSE CRESTED TIT SMALL</v>
      </c>
      <c r="D1579" s="2">
        <f>IFERROR(__xludf.DUMMYFUNCTION("""COMPUTED_VALUE"""),1.0)</f>
        <v>1</v>
      </c>
      <c r="E1579" s="6">
        <f>IFERROR(__xludf.DUMMYFUNCTION("""COMPUTED_VALUE"""),40148.56319444445)</f>
        <v>40148.56319</v>
      </c>
      <c r="F1579" s="2">
        <f>IFERROR(__xludf.DUMMYFUNCTION("""COMPUTED_VALUE"""),2.95)</f>
        <v>2.95</v>
      </c>
      <c r="G1579" s="2">
        <f>IFERROR(__xludf.DUMMYFUNCTION("""COMPUTED_VALUE"""),13097.0)</f>
        <v>13097</v>
      </c>
      <c r="H1579" s="2" t="str">
        <f>IFERROR(__xludf.DUMMYFUNCTION("""COMPUTED_VALUE"""),"United Kingdom")</f>
        <v>United Kingdom</v>
      </c>
      <c r="I1579" s="7">
        <f>IFERROR(__xludf.DUMMYFUNCTION("""COMPUTED_VALUE"""),40148.0)</f>
        <v>40148</v>
      </c>
      <c r="J1579" s="8">
        <f>IFERROR(__xludf.DUMMYFUNCTION("""COMPUTED_VALUE"""),0.5631944444430701)</f>
        <v>0.5631944444</v>
      </c>
      <c r="K1579" s="2">
        <f>IFERROR(__xludf.DUMMYFUNCTION("""COMPUTED_VALUE"""),13.0)</f>
        <v>13</v>
      </c>
      <c r="L1579" s="2">
        <f>IFERROR(__xludf.DUMMYFUNCTION("""COMPUTED_VALUE"""),2.95)</f>
        <v>2.95</v>
      </c>
    </row>
    <row r="1580">
      <c r="A1580" s="2">
        <f>IFERROR(__xludf.DUMMYFUNCTION("""COMPUTED_VALUE"""),489574.0)</f>
        <v>489574</v>
      </c>
      <c r="B1580" s="2" t="str">
        <f>IFERROR(__xludf.DUMMYFUNCTION("""COMPUTED_VALUE"""),"21534")</f>
        <v>21534</v>
      </c>
      <c r="C1580" s="2" t="str">
        <f>IFERROR(__xludf.DUMMYFUNCTION("""COMPUTED_VALUE"""),"DAIRY MAID LARGE MILK JUG")</f>
        <v>DAIRY MAID LARGE MILK JUG</v>
      </c>
      <c r="D1580" s="2">
        <f>IFERROR(__xludf.DUMMYFUNCTION("""COMPUTED_VALUE"""),3.0)</f>
        <v>3</v>
      </c>
      <c r="E1580" s="6">
        <f>IFERROR(__xludf.DUMMYFUNCTION("""COMPUTED_VALUE"""),40148.56319444445)</f>
        <v>40148.56319</v>
      </c>
      <c r="F1580" s="2">
        <f>IFERROR(__xludf.DUMMYFUNCTION("""COMPUTED_VALUE"""),4.95)</f>
        <v>4.95</v>
      </c>
      <c r="G1580" s="2">
        <f>IFERROR(__xludf.DUMMYFUNCTION("""COMPUTED_VALUE"""),13097.0)</f>
        <v>13097</v>
      </c>
      <c r="H1580" s="2" t="str">
        <f>IFERROR(__xludf.DUMMYFUNCTION("""COMPUTED_VALUE"""),"United Kingdom")</f>
        <v>United Kingdom</v>
      </c>
      <c r="I1580" s="7">
        <f>IFERROR(__xludf.DUMMYFUNCTION("""COMPUTED_VALUE"""),40148.0)</f>
        <v>40148</v>
      </c>
      <c r="J1580" s="8">
        <f>IFERROR(__xludf.DUMMYFUNCTION("""COMPUTED_VALUE"""),0.5631944444430701)</f>
        <v>0.5631944444</v>
      </c>
      <c r="K1580" s="2">
        <f>IFERROR(__xludf.DUMMYFUNCTION("""COMPUTED_VALUE"""),13.0)</f>
        <v>13</v>
      </c>
      <c r="L1580" s="2">
        <f>IFERROR(__xludf.DUMMYFUNCTION("""COMPUTED_VALUE"""),14.85)</f>
        <v>14.85</v>
      </c>
    </row>
    <row r="1581">
      <c r="A1581" s="2">
        <f>IFERROR(__xludf.DUMMYFUNCTION("""COMPUTED_VALUE"""),489574.0)</f>
        <v>489574</v>
      </c>
      <c r="B1581" s="2" t="str">
        <f>IFERROR(__xludf.DUMMYFUNCTION("""COMPUTED_VALUE"""),"21553")</f>
        <v>21553</v>
      </c>
      <c r="C1581" s="2" t="str">
        <f>IFERROR(__xludf.DUMMYFUNCTION("""COMPUTED_VALUE"""),"CERAMIC BIRDHOUSE FINCH BLUE LARGE")</f>
        <v>CERAMIC BIRDHOUSE FINCH BLUE LARGE</v>
      </c>
      <c r="D1581" s="2">
        <f>IFERROR(__xludf.DUMMYFUNCTION("""COMPUTED_VALUE"""),1.0)</f>
        <v>1</v>
      </c>
      <c r="E1581" s="6">
        <f>IFERROR(__xludf.DUMMYFUNCTION("""COMPUTED_VALUE"""),40148.56319444445)</f>
        <v>40148.56319</v>
      </c>
      <c r="F1581" s="2">
        <f>IFERROR(__xludf.DUMMYFUNCTION("""COMPUTED_VALUE"""),5.95)</f>
        <v>5.95</v>
      </c>
      <c r="G1581" s="2">
        <f>IFERROR(__xludf.DUMMYFUNCTION("""COMPUTED_VALUE"""),13097.0)</f>
        <v>13097</v>
      </c>
      <c r="H1581" s="2" t="str">
        <f>IFERROR(__xludf.DUMMYFUNCTION("""COMPUTED_VALUE"""),"United Kingdom")</f>
        <v>United Kingdom</v>
      </c>
      <c r="I1581" s="7">
        <f>IFERROR(__xludf.DUMMYFUNCTION("""COMPUTED_VALUE"""),40148.0)</f>
        <v>40148</v>
      </c>
      <c r="J1581" s="8">
        <f>IFERROR(__xludf.DUMMYFUNCTION("""COMPUTED_VALUE"""),0.5631944444430701)</f>
        <v>0.5631944444</v>
      </c>
      <c r="K1581" s="2">
        <f>IFERROR(__xludf.DUMMYFUNCTION("""COMPUTED_VALUE"""),13.0)</f>
        <v>13</v>
      </c>
      <c r="L1581" s="2">
        <f>IFERROR(__xludf.DUMMYFUNCTION("""COMPUTED_VALUE"""),5.95)</f>
        <v>5.95</v>
      </c>
    </row>
    <row r="1582">
      <c r="A1582" s="2">
        <f>IFERROR(__xludf.DUMMYFUNCTION("""COMPUTED_VALUE"""),489574.0)</f>
        <v>489574</v>
      </c>
      <c r="B1582" s="2" t="str">
        <f>IFERROR(__xludf.DUMMYFUNCTION("""COMPUTED_VALUE"""),"21554")</f>
        <v>21554</v>
      </c>
      <c r="C1582" s="2" t="str">
        <f>IFERROR(__xludf.DUMMYFUNCTION("""COMPUTED_VALUE"""),"CERAMIC BIRDHOUSE RED ROOF LARGE")</f>
        <v>CERAMIC BIRDHOUSE RED ROOF LARGE</v>
      </c>
      <c r="D1582" s="2">
        <f>IFERROR(__xludf.DUMMYFUNCTION("""COMPUTED_VALUE"""),1.0)</f>
        <v>1</v>
      </c>
      <c r="E1582" s="6">
        <f>IFERROR(__xludf.DUMMYFUNCTION("""COMPUTED_VALUE"""),40148.56319444445)</f>
        <v>40148.56319</v>
      </c>
      <c r="F1582" s="2">
        <f>IFERROR(__xludf.DUMMYFUNCTION("""COMPUTED_VALUE"""),5.95)</f>
        <v>5.95</v>
      </c>
      <c r="G1582" s="2">
        <f>IFERROR(__xludf.DUMMYFUNCTION("""COMPUTED_VALUE"""),13097.0)</f>
        <v>13097</v>
      </c>
      <c r="H1582" s="2" t="str">
        <f>IFERROR(__xludf.DUMMYFUNCTION("""COMPUTED_VALUE"""),"United Kingdom")</f>
        <v>United Kingdom</v>
      </c>
      <c r="I1582" s="7">
        <f>IFERROR(__xludf.DUMMYFUNCTION("""COMPUTED_VALUE"""),40148.0)</f>
        <v>40148</v>
      </c>
      <c r="J1582" s="8">
        <f>IFERROR(__xludf.DUMMYFUNCTION("""COMPUTED_VALUE"""),0.5631944444430701)</f>
        <v>0.5631944444</v>
      </c>
      <c r="K1582" s="2">
        <f>IFERROR(__xludf.DUMMYFUNCTION("""COMPUTED_VALUE"""),13.0)</f>
        <v>13</v>
      </c>
      <c r="L1582" s="2">
        <f>IFERROR(__xludf.DUMMYFUNCTION("""COMPUTED_VALUE"""),5.95)</f>
        <v>5.95</v>
      </c>
    </row>
    <row r="1583">
      <c r="A1583" s="2">
        <f>IFERROR(__xludf.DUMMYFUNCTION("""COMPUTED_VALUE"""),489574.0)</f>
        <v>489574</v>
      </c>
      <c r="B1583" s="2" t="str">
        <f>IFERROR(__xludf.DUMMYFUNCTION("""COMPUTED_VALUE"""),"21481")</f>
        <v>21481</v>
      </c>
      <c r="C1583" s="2" t="str">
        <f>IFERROR(__xludf.DUMMYFUNCTION("""COMPUTED_VALUE"""),"FAWN BLUE HOT WATER BOTTLE")</f>
        <v>FAWN BLUE HOT WATER BOTTLE</v>
      </c>
      <c r="D1583" s="2">
        <f>IFERROR(__xludf.DUMMYFUNCTION("""COMPUTED_VALUE"""),2.0)</f>
        <v>2</v>
      </c>
      <c r="E1583" s="6">
        <f>IFERROR(__xludf.DUMMYFUNCTION("""COMPUTED_VALUE"""),40148.56319444445)</f>
        <v>40148.56319</v>
      </c>
      <c r="F1583" s="2">
        <f>IFERROR(__xludf.DUMMYFUNCTION("""COMPUTED_VALUE"""),2.95)</f>
        <v>2.95</v>
      </c>
      <c r="G1583" s="2">
        <f>IFERROR(__xludf.DUMMYFUNCTION("""COMPUTED_VALUE"""),13097.0)</f>
        <v>13097</v>
      </c>
      <c r="H1583" s="2" t="str">
        <f>IFERROR(__xludf.DUMMYFUNCTION("""COMPUTED_VALUE"""),"United Kingdom")</f>
        <v>United Kingdom</v>
      </c>
      <c r="I1583" s="7">
        <f>IFERROR(__xludf.DUMMYFUNCTION("""COMPUTED_VALUE"""),40148.0)</f>
        <v>40148</v>
      </c>
      <c r="J1583" s="8">
        <f>IFERROR(__xludf.DUMMYFUNCTION("""COMPUTED_VALUE"""),0.5631944444430701)</f>
        <v>0.5631944444</v>
      </c>
      <c r="K1583" s="2">
        <f>IFERROR(__xludf.DUMMYFUNCTION("""COMPUTED_VALUE"""),13.0)</f>
        <v>13</v>
      </c>
      <c r="L1583" s="2">
        <f>IFERROR(__xludf.DUMMYFUNCTION("""COMPUTED_VALUE"""),5.9)</f>
        <v>5.9</v>
      </c>
    </row>
    <row r="1584">
      <c r="A1584" s="2">
        <f>IFERROR(__xludf.DUMMYFUNCTION("""COMPUTED_VALUE"""),489574.0)</f>
        <v>489574</v>
      </c>
      <c r="B1584" s="2" t="str">
        <f>IFERROR(__xludf.DUMMYFUNCTION("""COMPUTED_VALUE"""),"21482")</f>
        <v>21482</v>
      </c>
      <c r="C1584" s="2" t="str">
        <f>IFERROR(__xludf.DUMMYFUNCTION("""COMPUTED_VALUE"""),"MUSHROOM BLUE HOT WATER BOTTLE")</f>
        <v>MUSHROOM BLUE HOT WATER BOTTLE</v>
      </c>
      <c r="D1584" s="2">
        <f>IFERROR(__xludf.DUMMYFUNCTION("""COMPUTED_VALUE"""),3.0)</f>
        <v>3</v>
      </c>
      <c r="E1584" s="6">
        <f>IFERROR(__xludf.DUMMYFUNCTION("""COMPUTED_VALUE"""),40148.56319444445)</f>
        <v>40148.56319</v>
      </c>
      <c r="F1584" s="2">
        <f>IFERROR(__xludf.DUMMYFUNCTION("""COMPUTED_VALUE"""),2.95)</f>
        <v>2.95</v>
      </c>
      <c r="G1584" s="2">
        <f>IFERROR(__xludf.DUMMYFUNCTION("""COMPUTED_VALUE"""),13097.0)</f>
        <v>13097</v>
      </c>
      <c r="H1584" s="2" t="str">
        <f>IFERROR(__xludf.DUMMYFUNCTION("""COMPUTED_VALUE"""),"United Kingdom")</f>
        <v>United Kingdom</v>
      </c>
      <c r="I1584" s="7">
        <f>IFERROR(__xludf.DUMMYFUNCTION("""COMPUTED_VALUE"""),40148.0)</f>
        <v>40148</v>
      </c>
      <c r="J1584" s="8">
        <f>IFERROR(__xludf.DUMMYFUNCTION("""COMPUTED_VALUE"""),0.5631944444430701)</f>
        <v>0.5631944444</v>
      </c>
      <c r="K1584" s="2">
        <f>IFERROR(__xludf.DUMMYFUNCTION("""COMPUTED_VALUE"""),13.0)</f>
        <v>13</v>
      </c>
      <c r="L1584" s="2">
        <f>IFERROR(__xludf.DUMMYFUNCTION("""COMPUTED_VALUE"""),8.85)</f>
        <v>8.85</v>
      </c>
    </row>
    <row r="1585">
      <c r="A1585" s="2">
        <f>IFERROR(__xludf.DUMMYFUNCTION("""COMPUTED_VALUE"""),489574.0)</f>
        <v>489574</v>
      </c>
      <c r="B1585" s="2" t="str">
        <f>IFERROR(__xludf.DUMMYFUNCTION("""COMPUTED_VALUE"""),"85232D")</f>
        <v>85232D</v>
      </c>
      <c r="C1585" s="2" t="str">
        <f>IFERROR(__xludf.DUMMYFUNCTION("""COMPUTED_VALUE"""),"SET/3 DECOUPAGE STACKING TINS")</f>
        <v>SET/3 DECOUPAGE STACKING TINS</v>
      </c>
      <c r="D1585" s="2">
        <f>IFERROR(__xludf.DUMMYFUNCTION("""COMPUTED_VALUE"""),2.0)</f>
        <v>2</v>
      </c>
      <c r="E1585" s="6">
        <f>IFERROR(__xludf.DUMMYFUNCTION("""COMPUTED_VALUE"""),40148.56319444445)</f>
        <v>40148.56319</v>
      </c>
      <c r="F1585" s="2">
        <f>IFERROR(__xludf.DUMMYFUNCTION("""COMPUTED_VALUE"""),4.95)</f>
        <v>4.95</v>
      </c>
      <c r="G1585" s="2">
        <f>IFERROR(__xludf.DUMMYFUNCTION("""COMPUTED_VALUE"""),13097.0)</f>
        <v>13097</v>
      </c>
      <c r="H1585" s="2" t="str">
        <f>IFERROR(__xludf.DUMMYFUNCTION("""COMPUTED_VALUE"""),"United Kingdom")</f>
        <v>United Kingdom</v>
      </c>
      <c r="I1585" s="7">
        <f>IFERROR(__xludf.DUMMYFUNCTION("""COMPUTED_VALUE"""),40148.0)</f>
        <v>40148</v>
      </c>
      <c r="J1585" s="8">
        <f>IFERROR(__xludf.DUMMYFUNCTION("""COMPUTED_VALUE"""),0.5631944444430701)</f>
        <v>0.5631944444</v>
      </c>
      <c r="K1585" s="2">
        <f>IFERROR(__xludf.DUMMYFUNCTION("""COMPUTED_VALUE"""),13.0)</f>
        <v>13</v>
      </c>
      <c r="L1585" s="2">
        <f>IFERROR(__xludf.DUMMYFUNCTION("""COMPUTED_VALUE"""),9.9)</f>
        <v>9.9</v>
      </c>
    </row>
    <row r="1586">
      <c r="A1586" s="2">
        <f>IFERROR(__xludf.DUMMYFUNCTION("""COMPUTED_VALUE"""),489574.0)</f>
        <v>489574</v>
      </c>
      <c r="B1586" s="2" t="str">
        <f>IFERROR(__xludf.DUMMYFUNCTION("""COMPUTED_VALUE"""),"16169C")</f>
        <v>16169C</v>
      </c>
      <c r="C1586" s="2" t="str">
        <f>IFERROR(__xludf.DUMMYFUNCTION("""COMPUTED_VALUE"""),"WRAP BLUE REINDEER")</f>
        <v>WRAP BLUE REINDEER</v>
      </c>
      <c r="D1586" s="2">
        <f>IFERROR(__xludf.DUMMYFUNCTION("""COMPUTED_VALUE"""),25.0)</f>
        <v>25</v>
      </c>
      <c r="E1586" s="6">
        <f>IFERROR(__xludf.DUMMYFUNCTION("""COMPUTED_VALUE"""),40148.56319444445)</f>
        <v>40148.56319</v>
      </c>
      <c r="F1586" s="2">
        <f>IFERROR(__xludf.DUMMYFUNCTION("""COMPUTED_VALUE"""),0.42)</f>
        <v>0.42</v>
      </c>
      <c r="G1586" s="2">
        <f>IFERROR(__xludf.DUMMYFUNCTION("""COMPUTED_VALUE"""),13097.0)</f>
        <v>13097</v>
      </c>
      <c r="H1586" s="2" t="str">
        <f>IFERROR(__xludf.DUMMYFUNCTION("""COMPUTED_VALUE"""),"United Kingdom")</f>
        <v>United Kingdom</v>
      </c>
      <c r="I1586" s="7">
        <f>IFERROR(__xludf.DUMMYFUNCTION("""COMPUTED_VALUE"""),40148.0)</f>
        <v>40148</v>
      </c>
      <c r="J1586" s="8">
        <f>IFERROR(__xludf.DUMMYFUNCTION("""COMPUTED_VALUE"""),0.5631944444430701)</f>
        <v>0.5631944444</v>
      </c>
      <c r="K1586" s="2">
        <f>IFERROR(__xludf.DUMMYFUNCTION("""COMPUTED_VALUE"""),13.0)</f>
        <v>13</v>
      </c>
      <c r="L1586" s="2">
        <f>IFERROR(__xludf.DUMMYFUNCTION("""COMPUTED_VALUE"""),10.5)</f>
        <v>10.5</v>
      </c>
    </row>
    <row r="1587">
      <c r="A1587" s="2">
        <f>IFERROR(__xludf.DUMMYFUNCTION("""COMPUTED_VALUE"""),489574.0)</f>
        <v>489574</v>
      </c>
      <c r="B1587" s="2" t="str">
        <f>IFERROR(__xludf.DUMMYFUNCTION("""COMPUTED_VALUE"""),"22215")</f>
        <v>22215</v>
      </c>
      <c r="C1587" s="2" t="str">
        <f>IFERROR(__xludf.DUMMYFUNCTION("""COMPUTED_VALUE"""),"CAKE STAND WHITE TWO TIER LACE")</f>
        <v>CAKE STAND WHITE TWO TIER LACE</v>
      </c>
      <c r="D1587" s="2">
        <f>IFERROR(__xludf.DUMMYFUNCTION("""COMPUTED_VALUE"""),2.0)</f>
        <v>2</v>
      </c>
      <c r="E1587" s="6">
        <f>IFERROR(__xludf.DUMMYFUNCTION("""COMPUTED_VALUE"""),40148.56319444445)</f>
        <v>40148.56319</v>
      </c>
      <c r="F1587" s="2">
        <f>IFERROR(__xludf.DUMMYFUNCTION("""COMPUTED_VALUE"""),8.5)</f>
        <v>8.5</v>
      </c>
      <c r="G1587" s="2">
        <f>IFERROR(__xludf.DUMMYFUNCTION("""COMPUTED_VALUE"""),13097.0)</f>
        <v>13097</v>
      </c>
      <c r="H1587" s="2" t="str">
        <f>IFERROR(__xludf.DUMMYFUNCTION("""COMPUTED_VALUE"""),"United Kingdom")</f>
        <v>United Kingdom</v>
      </c>
      <c r="I1587" s="7">
        <f>IFERROR(__xludf.DUMMYFUNCTION("""COMPUTED_VALUE"""),40148.0)</f>
        <v>40148</v>
      </c>
      <c r="J1587" s="8">
        <f>IFERROR(__xludf.DUMMYFUNCTION("""COMPUTED_VALUE"""),0.5631944444430701)</f>
        <v>0.5631944444</v>
      </c>
      <c r="K1587" s="2">
        <f>IFERROR(__xludf.DUMMYFUNCTION("""COMPUTED_VALUE"""),13.0)</f>
        <v>13</v>
      </c>
      <c r="L1587" s="2">
        <f>IFERROR(__xludf.DUMMYFUNCTION("""COMPUTED_VALUE"""),17.0)</f>
        <v>17</v>
      </c>
    </row>
    <row r="1588">
      <c r="A1588" s="2">
        <f>IFERROR(__xludf.DUMMYFUNCTION("""COMPUTED_VALUE"""),489574.0)</f>
        <v>489574</v>
      </c>
      <c r="B1588" s="2" t="str">
        <f>IFERROR(__xludf.DUMMYFUNCTION("""COMPUTED_VALUE"""),"20804")</f>
        <v>20804</v>
      </c>
      <c r="C1588" s="2" t="str">
        <f>IFERROR(__xludf.DUMMYFUNCTION("""COMPUTED_VALUE"""),"GLASS CHICKEN BUTTER DISH")</f>
        <v>GLASS CHICKEN BUTTER DISH</v>
      </c>
      <c r="D1588" s="2">
        <f>IFERROR(__xludf.DUMMYFUNCTION("""COMPUTED_VALUE"""),4.0)</f>
        <v>4</v>
      </c>
      <c r="E1588" s="6">
        <f>IFERROR(__xludf.DUMMYFUNCTION("""COMPUTED_VALUE"""),40148.56319444445)</f>
        <v>40148.56319</v>
      </c>
      <c r="F1588" s="2">
        <f>IFERROR(__xludf.DUMMYFUNCTION("""COMPUTED_VALUE"""),1.65)</f>
        <v>1.65</v>
      </c>
      <c r="G1588" s="2">
        <f>IFERROR(__xludf.DUMMYFUNCTION("""COMPUTED_VALUE"""),13097.0)</f>
        <v>13097</v>
      </c>
      <c r="H1588" s="2" t="str">
        <f>IFERROR(__xludf.DUMMYFUNCTION("""COMPUTED_VALUE"""),"United Kingdom")</f>
        <v>United Kingdom</v>
      </c>
      <c r="I1588" s="7">
        <f>IFERROR(__xludf.DUMMYFUNCTION("""COMPUTED_VALUE"""),40148.0)</f>
        <v>40148</v>
      </c>
      <c r="J1588" s="8">
        <f>IFERROR(__xludf.DUMMYFUNCTION("""COMPUTED_VALUE"""),0.5631944444430701)</f>
        <v>0.5631944444</v>
      </c>
      <c r="K1588" s="2">
        <f>IFERROR(__xludf.DUMMYFUNCTION("""COMPUTED_VALUE"""),13.0)</f>
        <v>13</v>
      </c>
      <c r="L1588" s="2">
        <f>IFERROR(__xludf.DUMMYFUNCTION("""COMPUTED_VALUE"""),6.6)</f>
        <v>6.6</v>
      </c>
    </row>
    <row r="1589">
      <c r="A1589" s="2">
        <f>IFERROR(__xludf.DUMMYFUNCTION("""COMPUTED_VALUE"""),489574.0)</f>
        <v>489574</v>
      </c>
      <c r="B1589" s="2" t="str">
        <f>IFERROR(__xludf.DUMMYFUNCTION("""COMPUTED_VALUE"""),"21260")</f>
        <v>21260</v>
      </c>
      <c r="C1589" s="2" t="str">
        <f>IFERROR(__xludf.DUMMYFUNCTION("""COMPUTED_VALUE"""),"FIRST AID TIN")</f>
        <v>FIRST AID TIN</v>
      </c>
      <c r="D1589" s="2">
        <f>IFERROR(__xludf.DUMMYFUNCTION("""COMPUTED_VALUE"""),6.0)</f>
        <v>6</v>
      </c>
      <c r="E1589" s="6">
        <f>IFERROR(__xludf.DUMMYFUNCTION("""COMPUTED_VALUE"""),40148.56319444445)</f>
        <v>40148.56319</v>
      </c>
      <c r="F1589" s="2">
        <f>IFERROR(__xludf.DUMMYFUNCTION("""COMPUTED_VALUE"""),3.25)</f>
        <v>3.25</v>
      </c>
      <c r="G1589" s="2">
        <f>IFERROR(__xludf.DUMMYFUNCTION("""COMPUTED_VALUE"""),13097.0)</f>
        <v>13097</v>
      </c>
      <c r="H1589" s="2" t="str">
        <f>IFERROR(__xludf.DUMMYFUNCTION("""COMPUTED_VALUE"""),"United Kingdom")</f>
        <v>United Kingdom</v>
      </c>
      <c r="I1589" s="7">
        <f>IFERROR(__xludf.DUMMYFUNCTION("""COMPUTED_VALUE"""),40148.0)</f>
        <v>40148</v>
      </c>
      <c r="J1589" s="8">
        <f>IFERROR(__xludf.DUMMYFUNCTION("""COMPUTED_VALUE"""),0.5631944444430701)</f>
        <v>0.5631944444</v>
      </c>
      <c r="K1589" s="2">
        <f>IFERROR(__xludf.DUMMYFUNCTION("""COMPUTED_VALUE"""),13.0)</f>
        <v>13</v>
      </c>
      <c r="L1589" s="2">
        <f>IFERROR(__xludf.DUMMYFUNCTION("""COMPUTED_VALUE"""),19.5)</f>
        <v>19.5</v>
      </c>
    </row>
    <row r="1590">
      <c r="A1590" s="2">
        <f>IFERROR(__xludf.DUMMYFUNCTION("""COMPUTED_VALUE"""),489574.0)</f>
        <v>489574</v>
      </c>
      <c r="B1590" s="2" t="str">
        <f>IFERROR(__xludf.DUMMYFUNCTION("""COMPUTED_VALUE"""),"21875")</f>
        <v>21875</v>
      </c>
      <c r="C1590" s="2" t="str">
        <f>IFERROR(__xludf.DUMMYFUNCTION("""COMPUTED_VALUE"""),"KINGS CHOICE MUG")</f>
        <v>KINGS CHOICE MUG</v>
      </c>
      <c r="D1590" s="2">
        <f>IFERROR(__xludf.DUMMYFUNCTION("""COMPUTED_VALUE"""),6.0)</f>
        <v>6</v>
      </c>
      <c r="E1590" s="6">
        <f>IFERROR(__xludf.DUMMYFUNCTION("""COMPUTED_VALUE"""),40148.56319444445)</f>
        <v>40148.56319</v>
      </c>
      <c r="F1590" s="2">
        <f>IFERROR(__xludf.DUMMYFUNCTION("""COMPUTED_VALUE"""),1.25)</f>
        <v>1.25</v>
      </c>
      <c r="G1590" s="2">
        <f>IFERROR(__xludf.DUMMYFUNCTION("""COMPUTED_VALUE"""),13097.0)</f>
        <v>13097</v>
      </c>
      <c r="H1590" s="2" t="str">
        <f>IFERROR(__xludf.DUMMYFUNCTION("""COMPUTED_VALUE"""),"United Kingdom")</f>
        <v>United Kingdom</v>
      </c>
      <c r="I1590" s="7">
        <f>IFERROR(__xludf.DUMMYFUNCTION("""COMPUTED_VALUE"""),40148.0)</f>
        <v>40148</v>
      </c>
      <c r="J1590" s="8">
        <f>IFERROR(__xludf.DUMMYFUNCTION("""COMPUTED_VALUE"""),0.5631944444430701)</f>
        <v>0.5631944444</v>
      </c>
      <c r="K1590" s="2">
        <f>IFERROR(__xludf.DUMMYFUNCTION("""COMPUTED_VALUE"""),13.0)</f>
        <v>13</v>
      </c>
      <c r="L1590" s="2">
        <f>IFERROR(__xludf.DUMMYFUNCTION("""COMPUTED_VALUE"""),7.5)</f>
        <v>7.5</v>
      </c>
    </row>
    <row r="1591">
      <c r="A1591" s="2">
        <f>IFERROR(__xludf.DUMMYFUNCTION("""COMPUTED_VALUE"""),489574.0)</f>
        <v>489574</v>
      </c>
      <c r="B1591" s="2" t="str">
        <f>IFERROR(__xludf.DUMMYFUNCTION("""COMPUTED_VALUE"""),"21016")</f>
        <v>21016</v>
      </c>
      <c r="C1591" s="2" t="str">
        <f>IFERROR(__xludf.DUMMYFUNCTION("""COMPUTED_VALUE"""),"LIGHT BIRD HOUSE TREE DECORATION")</f>
        <v>LIGHT BIRD HOUSE TREE DECORATION</v>
      </c>
      <c r="D1591" s="2">
        <f>IFERROR(__xludf.DUMMYFUNCTION("""COMPUTED_VALUE"""),4.0)</f>
        <v>4</v>
      </c>
      <c r="E1591" s="6">
        <f>IFERROR(__xludf.DUMMYFUNCTION("""COMPUTED_VALUE"""),40148.56319444445)</f>
        <v>40148.56319</v>
      </c>
      <c r="F1591" s="2">
        <f>IFERROR(__xludf.DUMMYFUNCTION("""COMPUTED_VALUE"""),0.85)</f>
        <v>0.85</v>
      </c>
      <c r="G1591" s="2">
        <f>IFERROR(__xludf.DUMMYFUNCTION("""COMPUTED_VALUE"""),13097.0)</f>
        <v>13097</v>
      </c>
      <c r="H1591" s="2" t="str">
        <f>IFERROR(__xludf.DUMMYFUNCTION("""COMPUTED_VALUE"""),"United Kingdom")</f>
        <v>United Kingdom</v>
      </c>
      <c r="I1591" s="7">
        <f>IFERROR(__xludf.DUMMYFUNCTION("""COMPUTED_VALUE"""),40148.0)</f>
        <v>40148</v>
      </c>
      <c r="J1591" s="8">
        <f>IFERROR(__xludf.DUMMYFUNCTION("""COMPUTED_VALUE"""),0.5631944444430701)</f>
        <v>0.5631944444</v>
      </c>
      <c r="K1591" s="2">
        <f>IFERROR(__xludf.DUMMYFUNCTION("""COMPUTED_VALUE"""),13.0)</f>
        <v>13</v>
      </c>
      <c r="L1591" s="2">
        <f>IFERROR(__xludf.DUMMYFUNCTION("""COMPUTED_VALUE"""),3.4)</f>
        <v>3.4</v>
      </c>
    </row>
    <row r="1592">
      <c r="A1592" s="2">
        <f>IFERROR(__xludf.DUMMYFUNCTION("""COMPUTED_VALUE"""),489574.0)</f>
        <v>489574</v>
      </c>
      <c r="B1592" s="2" t="str">
        <f>IFERROR(__xludf.DUMMYFUNCTION("""COMPUTED_VALUE"""),"21015")</f>
        <v>21015</v>
      </c>
      <c r="C1592" s="2" t="str">
        <f>IFERROR(__xludf.DUMMYFUNCTION("""COMPUTED_VALUE"""),"DARK BIRD HOUSE TREE DECORATION")</f>
        <v>DARK BIRD HOUSE TREE DECORATION</v>
      </c>
      <c r="D1592" s="2">
        <f>IFERROR(__xludf.DUMMYFUNCTION("""COMPUTED_VALUE"""),4.0)</f>
        <v>4</v>
      </c>
      <c r="E1592" s="6">
        <f>IFERROR(__xludf.DUMMYFUNCTION("""COMPUTED_VALUE"""),40148.56319444445)</f>
        <v>40148.56319</v>
      </c>
      <c r="F1592" s="2">
        <f>IFERROR(__xludf.DUMMYFUNCTION("""COMPUTED_VALUE"""),0.85)</f>
        <v>0.85</v>
      </c>
      <c r="G1592" s="2">
        <f>IFERROR(__xludf.DUMMYFUNCTION("""COMPUTED_VALUE"""),13097.0)</f>
        <v>13097</v>
      </c>
      <c r="H1592" s="2" t="str">
        <f>IFERROR(__xludf.DUMMYFUNCTION("""COMPUTED_VALUE"""),"United Kingdom")</f>
        <v>United Kingdom</v>
      </c>
      <c r="I1592" s="7">
        <f>IFERROR(__xludf.DUMMYFUNCTION("""COMPUTED_VALUE"""),40148.0)</f>
        <v>40148</v>
      </c>
      <c r="J1592" s="8">
        <f>IFERROR(__xludf.DUMMYFUNCTION("""COMPUTED_VALUE"""),0.5631944444430701)</f>
        <v>0.5631944444</v>
      </c>
      <c r="K1592" s="2">
        <f>IFERROR(__xludf.DUMMYFUNCTION("""COMPUTED_VALUE"""),13.0)</f>
        <v>13</v>
      </c>
      <c r="L1592" s="2">
        <f>IFERROR(__xludf.DUMMYFUNCTION("""COMPUTED_VALUE"""),3.4)</f>
        <v>3.4</v>
      </c>
    </row>
    <row r="1593">
      <c r="A1593" s="2">
        <f>IFERROR(__xludf.DUMMYFUNCTION("""COMPUTED_VALUE"""),489574.0)</f>
        <v>489574</v>
      </c>
      <c r="B1593" s="2" t="str">
        <f>IFERROR(__xludf.DUMMYFUNCTION("""COMPUTED_VALUE"""),"21014")</f>
        <v>21014</v>
      </c>
      <c r="C1593" s="2" t="str">
        <f>IFERROR(__xludf.DUMMYFUNCTION("""COMPUTED_VALUE"""),"SWISS CHALET TREE DECORATION")</f>
        <v>SWISS CHALET TREE DECORATION</v>
      </c>
      <c r="D1593" s="2">
        <f>IFERROR(__xludf.DUMMYFUNCTION("""COMPUTED_VALUE"""),4.0)</f>
        <v>4</v>
      </c>
      <c r="E1593" s="6">
        <f>IFERROR(__xludf.DUMMYFUNCTION("""COMPUTED_VALUE"""),40148.56319444445)</f>
        <v>40148.56319</v>
      </c>
      <c r="F1593" s="2">
        <f>IFERROR(__xludf.DUMMYFUNCTION("""COMPUTED_VALUE"""),0.85)</f>
        <v>0.85</v>
      </c>
      <c r="G1593" s="2">
        <f>IFERROR(__xludf.DUMMYFUNCTION("""COMPUTED_VALUE"""),13097.0)</f>
        <v>13097</v>
      </c>
      <c r="H1593" s="2" t="str">
        <f>IFERROR(__xludf.DUMMYFUNCTION("""COMPUTED_VALUE"""),"United Kingdom")</f>
        <v>United Kingdom</v>
      </c>
      <c r="I1593" s="7">
        <f>IFERROR(__xludf.DUMMYFUNCTION("""COMPUTED_VALUE"""),40148.0)</f>
        <v>40148</v>
      </c>
      <c r="J1593" s="8">
        <f>IFERROR(__xludf.DUMMYFUNCTION("""COMPUTED_VALUE"""),0.5631944444430701)</f>
        <v>0.5631944444</v>
      </c>
      <c r="K1593" s="2">
        <f>IFERROR(__xludf.DUMMYFUNCTION("""COMPUTED_VALUE"""),13.0)</f>
        <v>13</v>
      </c>
      <c r="L1593" s="2">
        <f>IFERROR(__xludf.DUMMYFUNCTION("""COMPUTED_VALUE"""),3.4)</f>
        <v>3.4</v>
      </c>
    </row>
    <row r="1594">
      <c r="A1594" s="2">
        <f>IFERROR(__xludf.DUMMYFUNCTION("""COMPUTED_VALUE"""),489574.0)</f>
        <v>489574</v>
      </c>
      <c r="B1594" s="2" t="str">
        <f>IFERROR(__xludf.DUMMYFUNCTION("""COMPUTED_VALUE"""),"21917")</f>
        <v>21917</v>
      </c>
      <c r="C1594" s="2" t="str">
        <f>IFERROR(__xludf.DUMMYFUNCTION("""COMPUTED_VALUE"""),"SET 12 KIDS WHITE CHALK STICKS")</f>
        <v>SET 12 KIDS WHITE CHALK STICKS</v>
      </c>
      <c r="D1594" s="2">
        <f>IFERROR(__xludf.DUMMYFUNCTION("""COMPUTED_VALUE"""),10.0)</f>
        <v>10</v>
      </c>
      <c r="E1594" s="6">
        <f>IFERROR(__xludf.DUMMYFUNCTION("""COMPUTED_VALUE"""),40148.56319444445)</f>
        <v>40148.56319</v>
      </c>
      <c r="F1594" s="2">
        <f>IFERROR(__xludf.DUMMYFUNCTION("""COMPUTED_VALUE"""),0.42)</f>
        <v>0.42</v>
      </c>
      <c r="G1594" s="2">
        <f>IFERROR(__xludf.DUMMYFUNCTION("""COMPUTED_VALUE"""),13097.0)</f>
        <v>13097</v>
      </c>
      <c r="H1594" s="2" t="str">
        <f>IFERROR(__xludf.DUMMYFUNCTION("""COMPUTED_VALUE"""),"United Kingdom")</f>
        <v>United Kingdom</v>
      </c>
      <c r="I1594" s="7">
        <f>IFERROR(__xludf.DUMMYFUNCTION("""COMPUTED_VALUE"""),40148.0)</f>
        <v>40148</v>
      </c>
      <c r="J1594" s="8">
        <f>IFERROR(__xludf.DUMMYFUNCTION("""COMPUTED_VALUE"""),0.5631944444430701)</f>
        <v>0.5631944444</v>
      </c>
      <c r="K1594" s="2">
        <f>IFERROR(__xludf.DUMMYFUNCTION("""COMPUTED_VALUE"""),13.0)</f>
        <v>13</v>
      </c>
      <c r="L1594" s="2">
        <f>IFERROR(__xludf.DUMMYFUNCTION("""COMPUTED_VALUE"""),4.2)</f>
        <v>4.2</v>
      </c>
    </row>
    <row r="1595">
      <c r="A1595" s="2">
        <f>IFERROR(__xludf.DUMMYFUNCTION("""COMPUTED_VALUE"""),489574.0)</f>
        <v>489574</v>
      </c>
      <c r="B1595" s="2" t="str">
        <f>IFERROR(__xludf.DUMMYFUNCTION("""COMPUTED_VALUE"""),"21916")</f>
        <v>21916</v>
      </c>
      <c r="C1595" s="2" t="str">
        <f>IFERROR(__xludf.DUMMYFUNCTION("""COMPUTED_VALUE"""),"SET 12 RETRO WHITE CHALK STICKS")</f>
        <v>SET 12 RETRO WHITE CHALK STICKS</v>
      </c>
      <c r="D1595" s="2">
        <f>IFERROR(__xludf.DUMMYFUNCTION("""COMPUTED_VALUE"""),10.0)</f>
        <v>10</v>
      </c>
      <c r="E1595" s="6">
        <f>IFERROR(__xludf.DUMMYFUNCTION("""COMPUTED_VALUE"""),40148.56319444445)</f>
        <v>40148.56319</v>
      </c>
      <c r="F1595" s="2">
        <f>IFERROR(__xludf.DUMMYFUNCTION("""COMPUTED_VALUE"""),0.42)</f>
        <v>0.42</v>
      </c>
      <c r="G1595" s="2">
        <f>IFERROR(__xludf.DUMMYFUNCTION("""COMPUTED_VALUE"""),13097.0)</f>
        <v>13097</v>
      </c>
      <c r="H1595" s="2" t="str">
        <f>IFERROR(__xludf.DUMMYFUNCTION("""COMPUTED_VALUE"""),"United Kingdom")</f>
        <v>United Kingdom</v>
      </c>
      <c r="I1595" s="7">
        <f>IFERROR(__xludf.DUMMYFUNCTION("""COMPUTED_VALUE"""),40148.0)</f>
        <v>40148</v>
      </c>
      <c r="J1595" s="8">
        <f>IFERROR(__xludf.DUMMYFUNCTION("""COMPUTED_VALUE"""),0.5631944444430701)</f>
        <v>0.5631944444</v>
      </c>
      <c r="K1595" s="2">
        <f>IFERROR(__xludf.DUMMYFUNCTION("""COMPUTED_VALUE"""),13.0)</f>
        <v>13</v>
      </c>
      <c r="L1595" s="2">
        <f>IFERROR(__xludf.DUMMYFUNCTION("""COMPUTED_VALUE"""),4.2)</f>
        <v>4.2</v>
      </c>
    </row>
    <row r="1596">
      <c r="A1596" s="2">
        <f>IFERROR(__xludf.DUMMYFUNCTION("""COMPUTED_VALUE"""),489574.0)</f>
        <v>489574</v>
      </c>
      <c r="B1596" s="2" t="str">
        <f>IFERROR(__xludf.DUMMYFUNCTION("""COMPUTED_VALUE"""),"21918")</f>
        <v>21918</v>
      </c>
      <c r="C1596" s="2" t="str">
        <f>IFERROR(__xludf.DUMMYFUNCTION("""COMPUTED_VALUE"""),"SET 12 KIDS COLOUR CHALK STICKS")</f>
        <v>SET 12 KIDS COLOUR CHALK STICKS</v>
      </c>
      <c r="D1596" s="2">
        <f>IFERROR(__xludf.DUMMYFUNCTION("""COMPUTED_VALUE"""),10.0)</f>
        <v>10</v>
      </c>
      <c r="E1596" s="6">
        <f>IFERROR(__xludf.DUMMYFUNCTION("""COMPUTED_VALUE"""),40148.56319444445)</f>
        <v>40148.56319</v>
      </c>
      <c r="F1596" s="2">
        <f>IFERROR(__xludf.DUMMYFUNCTION("""COMPUTED_VALUE"""),0.42)</f>
        <v>0.42</v>
      </c>
      <c r="G1596" s="2">
        <f>IFERROR(__xludf.DUMMYFUNCTION("""COMPUTED_VALUE"""),13097.0)</f>
        <v>13097</v>
      </c>
      <c r="H1596" s="2" t="str">
        <f>IFERROR(__xludf.DUMMYFUNCTION("""COMPUTED_VALUE"""),"United Kingdom")</f>
        <v>United Kingdom</v>
      </c>
      <c r="I1596" s="7">
        <f>IFERROR(__xludf.DUMMYFUNCTION("""COMPUTED_VALUE"""),40148.0)</f>
        <v>40148</v>
      </c>
      <c r="J1596" s="8">
        <f>IFERROR(__xludf.DUMMYFUNCTION("""COMPUTED_VALUE"""),0.5631944444430701)</f>
        <v>0.5631944444</v>
      </c>
      <c r="K1596" s="2">
        <f>IFERROR(__xludf.DUMMYFUNCTION("""COMPUTED_VALUE"""),13.0)</f>
        <v>13</v>
      </c>
      <c r="L1596" s="2">
        <f>IFERROR(__xludf.DUMMYFUNCTION("""COMPUTED_VALUE"""),4.2)</f>
        <v>4.2</v>
      </c>
    </row>
    <row r="1597">
      <c r="A1597" s="2">
        <f>IFERROR(__xludf.DUMMYFUNCTION("""COMPUTED_VALUE"""),489574.0)</f>
        <v>489574</v>
      </c>
      <c r="B1597" s="2" t="str">
        <f>IFERROR(__xludf.DUMMYFUNCTION("""COMPUTED_VALUE"""),"21791")</f>
        <v>21791</v>
      </c>
      <c r="C1597" s="2" t="str">
        <f>IFERROR(__xludf.DUMMYFUNCTION("""COMPUTED_VALUE"""),"VINTAGE HEADS AND TAILS CARD GAME")</f>
        <v>VINTAGE HEADS AND TAILS CARD GAME</v>
      </c>
      <c r="D1597" s="2">
        <f>IFERROR(__xludf.DUMMYFUNCTION("""COMPUTED_VALUE"""),10.0)</f>
        <v>10</v>
      </c>
      <c r="E1597" s="6">
        <f>IFERROR(__xludf.DUMMYFUNCTION("""COMPUTED_VALUE"""),40148.56319444445)</f>
        <v>40148.56319</v>
      </c>
      <c r="F1597" s="2">
        <f>IFERROR(__xludf.DUMMYFUNCTION("""COMPUTED_VALUE"""),1.25)</f>
        <v>1.25</v>
      </c>
      <c r="G1597" s="2">
        <f>IFERROR(__xludf.DUMMYFUNCTION("""COMPUTED_VALUE"""),13097.0)</f>
        <v>13097</v>
      </c>
      <c r="H1597" s="2" t="str">
        <f>IFERROR(__xludf.DUMMYFUNCTION("""COMPUTED_VALUE"""),"United Kingdom")</f>
        <v>United Kingdom</v>
      </c>
      <c r="I1597" s="7">
        <f>IFERROR(__xludf.DUMMYFUNCTION("""COMPUTED_VALUE"""),40148.0)</f>
        <v>40148</v>
      </c>
      <c r="J1597" s="8">
        <f>IFERROR(__xludf.DUMMYFUNCTION("""COMPUTED_VALUE"""),0.5631944444430701)</f>
        <v>0.5631944444</v>
      </c>
      <c r="K1597" s="2">
        <f>IFERROR(__xludf.DUMMYFUNCTION("""COMPUTED_VALUE"""),13.0)</f>
        <v>13</v>
      </c>
      <c r="L1597" s="2">
        <f>IFERROR(__xludf.DUMMYFUNCTION("""COMPUTED_VALUE"""),12.5)</f>
        <v>12.5</v>
      </c>
    </row>
    <row r="1598">
      <c r="A1598" s="2">
        <f>IFERROR(__xludf.DUMMYFUNCTION("""COMPUTED_VALUE"""),489574.0)</f>
        <v>489574</v>
      </c>
      <c r="B1598" s="2" t="str">
        <f>IFERROR(__xludf.DUMMYFUNCTION("""COMPUTED_VALUE"""),"21889")</f>
        <v>21889</v>
      </c>
      <c r="C1598" s="2" t="str">
        <f>IFERROR(__xludf.DUMMYFUNCTION("""COMPUTED_VALUE"""),"WOODEN BOX OF DOMINOES")</f>
        <v>WOODEN BOX OF DOMINOES</v>
      </c>
      <c r="D1598" s="2">
        <f>IFERROR(__xludf.DUMMYFUNCTION("""COMPUTED_VALUE"""),12.0)</f>
        <v>12</v>
      </c>
      <c r="E1598" s="6">
        <f>IFERROR(__xludf.DUMMYFUNCTION("""COMPUTED_VALUE"""),40148.56319444445)</f>
        <v>40148.56319</v>
      </c>
      <c r="F1598" s="2">
        <f>IFERROR(__xludf.DUMMYFUNCTION("""COMPUTED_VALUE"""),1.25)</f>
        <v>1.25</v>
      </c>
      <c r="G1598" s="2">
        <f>IFERROR(__xludf.DUMMYFUNCTION("""COMPUTED_VALUE"""),13097.0)</f>
        <v>13097</v>
      </c>
      <c r="H1598" s="2" t="str">
        <f>IFERROR(__xludf.DUMMYFUNCTION("""COMPUTED_VALUE"""),"United Kingdom")</f>
        <v>United Kingdom</v>
      </c>
      <c r="I1598" s="7">
        <f>IFERROR(__xludf.DUMMYFUNCTION("""COMPUTED_VALUE"""),40148.0)</f>
        <v>40148</v>
      </c>
      <c r="J1598" s="8">
        <f>IFERROR(__xludf.DUMMYFUNCTION("""COMPUTED_VALUE"""),0.5631944444430701)</f>
        <v>0.5631944444</v>
      </c>
      <c r="K1598" s="2">
        <f>IFERROR(__xludf.DUMMYFUNCTION("""COMPUTED_VALUE"""),13.0)</f>
        <v>13</v>
      </c>
      <c r="L1598" s="2">
        <f>IFERROR(__xludf.DUMMYFUNCTION("""COMPUTED_VALUE"""),15.0)</f>
        <v>15</v>
      </c>
    </row>
    <row r="1599">
      <c r="A1599" s="2">
        <f>IFERROR(__xludf.DUMMYFUNCTION("""COMPUTED_VALUE"""),489574.0)</f>
        <v>489574</v>
      </c>
      <c r="B1599" s="2" t="str">
        <f>IFERROR(__xludf.DUMMYFUNCTION("""COMPUTED_VALUE"""),"21098")</f>
        <v>21098</v>
      </c>
      <c r="C1599" s="2" t="str">
        <f>IFERROR(__xludf.DUMMYFUNCTION("""COMPUTED_VALUE"""),"CHRISTMAS TOILET ROLL")</f>
        <v>CHRISTMAS TOILET ROLL</v>
      </c>
      <c r="D1599" s="2">
        <f>IFERROR(__xludf.DUMMYFUNCTION("""COMPUTED_VALUE"""),3.0)</f>
        <v>3</v>
      </c>
      <c r="E1599" s="6">
        <f>IFERROR(__xludf.DUMMYFUNCTION("""COMPUTED_VALUE"""),40148.56319444445)</f>
        <v>40148.56319</v>
      </c>
      <c r="F1599" s="2">
        <f>IFERROR(__xludf.DUMMYFUNCTION("""COMPUTED_VALUE"""),1.25)</f>
        <v>1.25</v>
      </c>
      <c r="G1599" s="2">
        <f>IFERROR(__xludf.DUMMYFUNCTION("""COMPUTED_VALUE"""),13097.0)</f>
        <v>13097</v>
      </c>
      <c r="H1599" s="2" t="str">
        <f>IFERROR(__xludf.DUMMYFUNCTION("""COMPUTED_VALUE"""),"United Kingdom")</f>
        <v>United Kingdom</v>
      </c>
      <c r="I1599" s="7">
        <f>IFERROR(__xludf.DUMMYFUNCTION("""COMPUTED_VALUE"""),40148.0)</f>
        <v>40148</v>
      </c>
      <c r="J1599" s="8">
        <f>IFERROR(__xludf.DUMMYFUNCTION("""COMPUTED_VALUE"""),0.5631944444430701)</f>
        <v>0.5631944444</v>
      </c>
      <c r="K1599" s="2">
        <f>IFERROR(__xludf.DUMMYFUNCTION("""COMPUTED_VALUE"""),13.0)</f>
        <v>13</v>
      </c>
      <c r="L1599" s="2">
        <f>IFERROR(__xludf.DUMMYFUNCTION("""COMPUTED_VALUE"""),3.75)</f>
        <v>3.75</v>
      </c>
    </row>
    <row r="1600">
      <c r="A1600" s="2">
        <f>IFERROR(__xludf.DUMMYFUNCTION("""COMPUTED_VALUE"""),489574.0)</f>
        <v>489574</v>
      </c>
      <c r="B1600" s="2" t="str">
        <f>IFERROR(__xludf.DUMMYFUNCTION("""COMPUTED_VALUE"""),"21231")</f>
        <v>21231</v>
      </c>
      <c r="C1600" s="2" t="str">
        <f>IFERROR(__xludf.DUMMYFUNCTION("""COMPUTED_VALUE"""),"SWEETHEART CERAMIC TRINKET BOX")</f>
        <v>SWEETHEART CERAMIC TRINKET BOX</v>
      </c>
      <c r="D1600" s="2">
        <f>IFERROR(__xludf.DUMMYFUNCTION("""COMPUTED_VALUE"""),1.0)</f>
        <v>1</v>
      </c>
      <c r="E1600" s="6">
        <f>IFERROR(__xludf.DUMMYFUNCTION("""COMPUTED_VALUE"""),40148.56319444445)</f>
        <v>40148.56319</v>
      </c>
      <c r="F1600" s="2">
        <f>IFERROR(__xludf.DUMMYFUNCTION("""COMPUTED_VALUE"""),1.25)</f>
        <v>1.25</v>
      </c>
      <c r="G1600" s="2">
        <f>IFERROR(__xludf.DUMMYFUNCTION("""COMPUTED_VALUE"""),13097.0)</f>
        <v>13097</v>
      </c>
      <c r="H1600" s="2" t="str">
        <f>IFERROR(__xludf.DUMMYFUNCTION("""COMPUTED_VALUE"""),"United Kingdom")</f>
        <v>United Kingdom</v>
      </c>
      <c r="I1600" s="7">
        <f>IFERROR(__xludf.DUMMYFUNCTION("""COMPUTED_VALUE"""),40148.0)</f>
        <v>40148</v>
      </c>
      <c r="J1600" s="8">
        <f>IFERROR(__xludf.DUMMYFUNCTION("""COMPUTED_VALUE"""),0.5631944444430701)</f>
        <v>0.5631944444</v>
      </c>
      <c r="K1600" s="2">
        <f>IFERROR(__xludf.DUMMYFUNCTION("""COMPUTED_VALUE"""),13.0)</f>
        <v>13</v>
      </c>
      <c r="L1600" s="2">
        <f>IFERROR(__xludf.DUMMYFUNCTION("""COMPUTED_VALUE"""),1.25)</f>
        <v>1.25</v>
      </c>
    </row>
    <row r="1601">
      <c r="A1601" s="2">
        <f>IFERROR(__xludf.DUMMYFUNCTION("""COMPUTED_VALUE"""),489574.0)</f>
        <v>489574</v>
      </c>
      <c r="B1601" s="2" t="str">
        <f>IFERROR(__xludf.DUMMYFUNCTION("""COMPUTED_VALUE"""),"21232")</f>
        <v>21232</v>
      </c>
      <c r="C1601" s="2" t="str">
        <f>IFERROR(__xludf.DUMMYFUNCTION("""COMPUTED_VALUE"""),"STRAWBERRY CERAMIC TRINKET BOX")</f>
        <v>STRAWBERRY CERAMIC TRINKET BOX</v>
      </c>
      <c r="D1601" s="2">
        <f>IFERROR(__xludf.DUMMYFUNCTION("""COMPUTED_VALUE"""),4.0)</f>
        <v>4</v>
      </c>
      <c r="E1601" s="6">
        <f>IFERROR(__xludf.DUMMYFUNCTION("""COMPUTED_VALUE"""),40148.56319444445)</f>
        <v>40148.56319</v>
      </c>
      <c r="F1601" s="2">
        <f>IFERROR(__xludf.DUMMYFUNCTION("""COMPUTED_VALUE"""),1.25)</f>
        <v>1.25</v>
      </c>
      <c r="G1601" s="2">
        <f>IFERROR(__xludf.DUMMYFUNCTION("""COMPUTED_VALUE"""),13097.0)</f>
        <v>13097</v>
      </c>
      <c r="H1601" s="2" t="str">
        <f>IFERROR(__xludf.DUMMYFUNCTION("""COMPUTED_VALUE"""),"United Kingdom")</f>
        <v>United Kingdom</v>
      </c>
      <c r="I1601" s="7">
        <f>IFERROR(__xludf.DUMMYFUNCTION("""COMPUTED_VALUE"""),40148.0)</f>
        <v>40148</v>
      </c>
      <c r="J1601" s="8">
        <f>IFERROR(__xludf.DUMMYFUNCTION("""COMPUTED_VALUE"""),0.5631944444430701)</f>
        <v>0.5631944444</v>
      </c>
      <c r="K1601" s="2">
        <f>IFERROR(__xludf.DUMMYFUNCTION("""COMPUTED_VALUE"""),13.0)</f>
        <v>13</v>
      </c>
      <c r="L1601" s="2">
        <f>IFERROR(__xludf.DUMMYFUNCTION("""COMPUTED_VALUE"""),5.0)</f>
        <v>5</v>
      </c>
    </row>
    <row r="1602">
      <c r="A1602" s="2">
        <f>IFERROR(__xludf.DUMMYFUNCTION("""COMPUTED_VALUE"""),489574.0)</f>
        <v>489574</v>
      </c>
      <c r="B1602" s="2" t="str">
        <f>IFERROR(__xludf.DUMMYFUNCTION("""COMPUTED_VALUE"""),"10135")</f>
        <v>10135</v>
      </c>
      <c r="C1602" s="2" t="str">
        <f>IFERROR(__xludf.DUMMYFUNCTION("""COMPUTED_VALUE"""),"COLOURING PENCILS BROWN TUBE")</f>
        <v>COLOURING PENCILS BROWN TUBE</v>
      </c>
      <c r="D1602" s="2">
        <f>IFERROR(__xludf.DUMMYFUNCTION("""COMPUTED_VALUE"""),10.0)</f>
        <v>10</v>
      </c>
      <c r="E1602" s="6">
        <f>IFERROR(__xludf.DUMMYFUNCTION("""COMPUTED_VALUE"""),40148.56319444445)</f>
        <v>40148.56319</v>
      </c>
      <c r="F1602" s="2">
        <f>IFERROR(__xludf.DUMMYFUNCTION("""COMPUTED_VALUE"""),1.25)</f>
        <v>1.25</v>
      </c>
      <c r="G1602" s="2">
        <f>IFERROR(__xludf.DUMMYFUNCTION("""COMPUTED_VALUE"""),13097.0)</f>
        <v>13097</v>
      </c>
      <c r="H1602" s="2" t="str">
        <f>IFERROR(__xludf.DUMMYFUNCTION("""COMPUTED_VALUE"""),"United Kingdom")</f>
        <v>United Kingdom</v>
      </c>
      <c r="I1602" s="7">
        <f>IFERROR(__xludf.DUMMYFUNCTION("""COMPUTED_VALUE"""),40148.0)</f>
        <v>40148</v>
      </c>
      <c r="J1602" s="8">
        <f>IFERROR(__xludf.DUMMYFUNCTION("""COMPUTED_VALUE"""),0.5631944444430701)</f>
        <v>0.5631944444</v>
      </c>
      <c r="K1602" s="2">
        <f>IFERROR(__xludf.DUMMYFUNCTION("""COMPUTED_VALUE"""),13.0)</f>
        <v>13</v>
      </c>
      <c r="L1602" s="2">
        <f>IFERROR(__xludf.DUMMYFUNCTION("""COMPUTED_VALUE"""),12.5)</f>
        <v>12.5</v>
      </c>
    </row>
    <row r="1603">
      <c r="A1603" s="2">
        <f>IFERROR(__xludf.DUMMYFUNCTION("""COMPUTED_VALUE"""),489574.0)</f>
        <v>489574</v>
      </c>
      <c r="B1603" s="2" t="str">
        <f>IFERROR(__xludf.DUMMYFUNCTION("""COMPUTED_VALUE"""),"21491")</f>
        <v>21491</v>
      </c>
      <c r="C1603" s="2" t="str">
        <f>IFERROR(__xludf.DUMMYFUNCTION("""COMPUTED_VALUE"""),"SET OF THREE VINTAGE GIFT WRAPS")</f>
        <v>SET OF THREE VINTAGE GIFT WRAPS</v>
      </c>
      <c r="D1603" s="2">
        <f>IFERROR(__xludf.DUMMYFUNCTION("""COMPUTED_VALUE"""),2.0)</f>
        <v>2</v>
      </c>
      <c r="E1603" s="6">
        <f>IFERROR(__xludf.DUMMYFUNCTION("""COMPUTED_VALUE"""),40148.56319444445)</f>
        <v>40148.56319</v>
      </c>
      <c r="F1603" s="2">
        <f>IFERROR(__xludf.DUMMYFUNCTION("""COMPUTED_VALUE"""),1.95)</f>
        <v>1.95</v>
      </c>
      <c r="G1603" s="2">
        <f>IFERROR(__xludf.DUMMYFUNCTION("""COMPUTED_VALUE"""),13097.0)</f>
        <v>13097</v>
      </c>
      <c r="H1603" s="2" t="str">
        <f>IFERROR(__xludf.DUMMYFUNCTION("""COMPUTED_VALUE"""),"United Kingdom")</f>
        <v>United Kingdom</v>
      </c>
      <c r="I1603" s="7">
        <f>IFERROR(__xludf.DUMMYFUNCTION("""COMPUTED_VALUE"""),40148.0)</f>
        <v>40148</v>
      </c>
      <c r="J1603" s="8">
        <f>IFERROR(__xludf.DUMMYFUNCTION("""COMPUTED_VALUE"""),0.5631944444430701)</f>
        <v>0.5631944444</v>
      </c>
      <c r="K1603" s="2">
        <f>IFERROR(__xludf.DUMMYFUNCTION("""COMPUTED_VALUE"""),13.0)</f>
        <v>13</v>
      </c>
      <c r="L1603" s="2">
        <f>IFERROR(__xludf.DUMMYFUNCTION("""COMPUTED_VALUE"""),3.9)</f>
        <v>3.9</v>
      </c>
    </row>
    <row r="1604">
      <c r="A1604" s="2">
        <f>IFERROR(__xludf.DUMMYFUNCTION("""COMPUTED_VALUE"""),489574.0)</f>
        <v>489574</v>
      </c>
      <c r="B1604" s="2" t="str">
        <f>IFERROR(__xludf.DUMMYFUNCTION("""COMPUTED_VALUE"""),"21888")</f>
        <v>21888</v>
      </c>
      <c r="C1604" s="2" t="str">
        <f>IFERROR(__xludf.DUMMYFUNCTION("""COMPUTED_VALUE"""),"BINGO SET")</f>
        <v>BINGO SET</v>
      </c>
      <c r="D1604" s="2">
        <f>IFERROR(__xludf.DUMMYFUNCTION("""COMPUTED_VALUE"""),3.0)</f>
        <v>3</v>
      </c>
      <c r="E1604" s="6">
        <f>IFERROR(__xludf.DUMMYFUNCTION("""COMPUTED_VALUE"""),40148.56319444445)</f>
        <v>40148.56319</v>
      </c>
      <c r="F1604" s="2">
        <f>IFERROR(__xludf.DUMMYFUNCTION("""COMPUTED_VALUE"""),3.75)</f>
        <v>3.75</v>
      </c>
      <c r="G1604" s="2">
        <f>IFERROR(__xludf.DUMMYFUNCTION("""COMPUTED_VALUE"""),13097.0)</f>
        <v>13097</v>
      </c>
      <c r="H1604" s="2" t="str">
        <f>IFERROR(__xludf.DUMMYFUNCTION("""COMPUTED_VALUE"""),"United Kingdom")</f>
        <v>United Kingdom</v>
      </c>
      <c r="I1604" s="7">
        <f>IFERROR(__xludf.DUMMYFUNCTION("""COMPUTED_VALUE"""),40148.0)</f>
        <v>40148</v>
      </c>
      <c r="J1604" s="8">
        <f>IFERROR(__xludf.DUMMYFUNCTION("""COMPUTED_VALUE"""),0.5631944444430701)</f>
        <v>0.5631944444</v>
      </c>
      <c r="K1604" s="2">
        <f>IFERROR(__xludf.DUMMYFUNCTION("""COMPUTED_VALUE"""),13.0)</f>
        <v>13</v>
      </c>
      <c r="L1604" s="2">
        <f>IFERROR(__xludf.DUMMYFUNCTION("""COMPUTED_VALUE"""),11.25)</f>
        <v>11.25</v>
      </c>
    </row>
    <row r="1605">
      <c r="A1605" s="2">
        <f>IFERROR(__xludf.DUMMYFUNCTION("""COMPUTED_VALUE"""),489574.0)</f>
        <v>489574</v>
      </c>
      <c r="B1605" s="2" t="str">
        <f>IFERROR(__xludf.DUMMYFUNCTION("""COMPUTED_VALUE"""),"21913")</f>
        <v>21913</v>
      </c>
      <c r="C1605" s="2" t="str">
        <f>IFERROR(__xludf.DUMMYFUNCTION("""COMPUTED_VALUE"""),"VINTAGE SEASIDE JIGSAW PUZZLES")</f>
        <v>VINTAGE SEASIDE JIGSAW PUZZLES</v>
      </c>
      <c r="D1605" s="2">
        <f>IFERROR(__xludf.DUMMYFUNCTION("""COMPUTED_VALUE"""),3.0)</f>
        <v>3</v>
      </c>
      <c r="E1605" s="6">
        <f>IFERROR(__xludf.DUMMYFUNCTION("""COMPUTED_VALUE"""),40148.56319444445)</f>
        <v>40148.56319</v>
      </c>
      <c r="F1605" s="2">
        <f>IFERROR(__xludf.DUMMYFUNCTION("""COMPUTED_VALUE"""),3.75)</f>
        <v>3.75</v>
      </c>
      <c r="G1605" s="2">
        <f>IFERROR(__xludf.DUMMYFUNCTION("""COMPUTED_VALUE"""),13097.0)</f>
        <v>13097</v>
      </c>
      <c r="H1605" s="2" t="str">
        <f>IFERROR(__xludf.DUMMYFUNCTION("""COMPUTED_VALUE"""),"United Kingdom")</f>
        <v>United Kingdom</v>
      </c>
      <c r="I1605" s="7">
        <f>IFERROR(__xludf.DUMMYFUNCTION("""COMPUTED_VALUE"""),40148.0)</f>
        <v>40148</v>
      </c>
      <c r="J1605" s="8">
        <f>IFERROR(__xludf.DUMMYFUNCTION("""COMPUTED_VALUE"""),0.5631944444430701)</f>
        <v>0.5631944444</v>
      </c>
      <c r="K1605" s="2">
        <f>IFERROR(__xludf.DUMMYFUNCTION("""COMPUTED_VALUE"""),13.0)</f>
        <v>13</v>
      </c>
      <c r="L1605" s="2">
        <f>IFERROR(__xludf.DUMMYFUNCTION("""COMPUTED_VALUE"""),11.25)</f>
        <v>11.25</v>
      </c>
    </row>
    <row r="1606">
      <c r="A1606" s="2">
        <f>IFERROR(__xludf.DUMMYFUNCTION("""COMPUTED_VALUE"""),489574.0)</f>
        <v>489574</v>
      </c>
      <c r="B1606" s="2" t="str">
        <f>IFERROR(__xludf.DUMMYFUNCTION("""COMPUTED_VALUE"""),"21912")</f>
        <v>21912</v>
      </c>
      <c r="C1606" s="2" t="str">
        <f>IFERROR(__xludf.DUMMYFUNCTION("""COMPUTED_VALUE"""),"VINTAGE SNAKES &amp; LADDERS")</f>
        <v>VINTAGE SNAKES &amp; LADDERS</v>
      </c>
      <c r="D1606" s="2">
        <f>IFERROR(__xludf.DUMMYFUNCTION("""COMPUTED_VALUE"""),3.0)</f>
        <v>3</v>
      </c>
      <c r="E1606" s="6">
        <f>IFERROR(__xludf.DUMMYFUNCTION("""COMPUTED_VALUE"""),40148.56319444445)</f>
        <v>40148.56319</v>
      </c>
      <c r="F1606" s="2">
        <f>IFERROR(__xludf.DUMMYFUNCTION("""COMPUTED_VALUE"""),3.75)</f>
        <v>3.75</v>
      </c>
      <c r="G1606" s="2">
        <f>IFERROR(__xludf.DUMMYFUNCTION("""COMPUTED_VALUE"""),13097.0)</f>
        <v>13097</v>
      </c>
      <c r="H1606" s="2" t="str">
        <f>IFERROR(__xludf.DUMMYFUNCTION("""COMPUTED_VALUE"""),"United Kingdom")</f>
        <v>United Kingdom</v>
      </c>
      <c r="I1606" s="7">
        <f>IFERROR(__xludf.DUMMYFUNCTION("""COMPUTED_VALUE"""),40148.0)</f>
        <v>40148</v>
      </c>
      <c r="J1606" s="8">
        <f>IFERROR(__xludf.DUMMYFUNCTION("""COMPUTED_VALUE"""),0.5631944444430701)</f>
        <v>0.5631944444</v>
      </c>
      <c r="K1606" s="2">
        <f>IFERROR(__xludf.DUMMYFUNCTION("""COMPUTED_VALUE"""),13.0)</f>
        <v>13</v>
      </c>
      <c r="L1606" s="2">
        <f>IFERROR(__xludf.DUMMYFUNCTION("""COMPUTED_VALUE"""),11.25)</f>
        <v>11.25</v>
      </c>
    </row>
    <row r="1607">
      <c r="A1607" s="2">
        <f>IFERROR(__xludf.DUMMYFUNCTION("""COMPUTED_VALUE"""),489575.0)</f>
        <v>489575</v>
      </c>
      <c r="B1607" s="2" t="str">
        <f>IFERROR(__xludf.DUMMYFUNCTION("""COMPUTED_VALUE"""),"35957")</f>
        <v>35957</v>
      </c>
      <c r="C1607" s="2" t="str">
        <f>IFERROR(__xludf.DUMMYFUNCTION("""COMPUTED_VALUE"""),"SMALLFOLKART BAUBLE CHRISTMAS DEC")</f>
        <v>SMALLFOLKART BAUBLE CHRISTMAS DEC</v>
      </c>
      <c r="D1607" s="2">
        <f>IFERROR(__xludf.DUMMYFUNCTION("""COMPUTED_VALUE"""),96.0)</f>
        <v>96</v>
      </c>
      <c r="E1607" s="6">
        <f>IFERROR(__xludf.DUMMYFUNCTION("""COMPUTED_VALUE"""),40148.56736111111)</f>
        <v>40148.56736</v>
      </c>
      <c r="F1607" s="2">
        <f>IFERROR(__xludf.DUMMYFUNCTION("""COMPUTED_VALUE"""),0.19)</f>
        <v>0.19</v>
      </c>
      <c r="G1607" s="2">
        <f>IFERROR(__xludf.DUMMYFUNCTION("""COMPUTED_VALUE"""),13590.0)</f>
        <v>13590</v>
      </c>
      <c r="H1607" s="2" t="str">
        <f>IFERROR(__xludf.DUMMYFUNCTION("""COMPUTED_VALUE"""),"United Kingdom")</f>
        <v>United Kingdom</v>
      </c>
      <c r="I1607" s="7">
        <f>IFERROR(__xludf.DUMMYFUNCTION("""COMPUTED_VALUE"""),40148.0)</f>
        <v>40148</v>
      </c>
      <c r="J1607" s="8">
        <f>IFERROR(__xludf.DUMMYFUNCTION("""COMPUTED_VALUE"""),0.5673611111124046)</f>
        <v>0.5673611111</v>
      </c>
      <c r="K1607" s="2">
        <f>IFERROR(__xludf.DUMMYFUNCTION("""COMPUTED_VALUE"""),13.0)</f>
        <v>13</v>
      </c>
      <c r="L1607" s="2">
        <f>IFERROR(__xludf.DUMMYFUNCTION("""COMPUTED_VALUE"""),18.24)</f>
        <v>18.24</v>
      </c>
    </row>
    <row r="1608">
      <c r="A1608" s="2">
        <f>IFERROR(__xludf.DUMMYFUNCTION("""COMPUTED_VALUE"""),489575.0)</f>
        <v>489575</v>
      </c>
      <c r="B1608" s="2" t="str">
        <f>IFERROR(__xludf.DUMMYFUNCTION("""COMPUTED_VALUE"""),"22138")</f>
        <v>22138</v>
      </c>
      <c r="C1608" s="2" t="str">
        <f>IFERROR(__xludf.DUMMYFUNCTION("""COMPUTED_VALUE"""),"BAKING SET 9 PIECE RETROSPOT")</f>
        <v>BAKING SET 9 PIECE RETROSPOT</v>
      </c>
      <c r="D1608" s="2">
        <f>IFERROR(__xludf.DUMMYFUNCTION("""COMPUTED_VALUE"""),3.0)</f>
        <v>3</v>
      </c>
      <c r="E1608" s="6">
        <f>IFERROR(__xludf.DUMMYFUNCTION("""COMPUTED_VALUE"""),40148.56736111111)</f>
        <v>40148.56736</v>
      </c>
      <c r="F1608" s="2">
        <f>IFERROR(__xludf.DUMMYFUNCTION("""COMPUTED_VALUE"""),4.95)</f>
        <v>4.95</v>
      </c>
      <c r="G1608" s="2">
        <f>IFERROR(__xludf.DUMMYFUNCTION("""COMPUTED_VALUE"""),13590.0)</f>
        <v>13590</v>
      </c>
      <c r="H1608" s="2" t="str">
        <f>IFERROR(__xludf.DUMMYFUNCTION("""COMPUTED_VALUE"""),"United Kingdom")</f>
        <v>United Kingdom</v>
      </c>
      <c r="I1608" s="7">
        <f>IFERROR(__xludf.DUMMYFUNCTION("""COMPUTED_VALUE"""),40148.0)</f>
        <v>40148</v>
      </c>
      <c r="J1608" s="8">
        <f>IFERROR(__xludf.DUMMYFUNCTION("""COMPUTED_VALUE"""),0.5673611111124046)</f>
        <v>0.5673611111</v>
      </c>
      <c r="K1608" s="2">
        <f>IFERROR(__xludf.DUMMYFUNCTION("""COMPUTED_VALUE"""),13.0)</f>
        <v>13</v>
      </c>
      <c r="L1608" s="2">
        <f>IFERROR(__xludf.DUMMYFUNCTION("""COMPUTED_VALUE"""),14.85)</f>
        <v>14.85</v>
      </c>
    </row>
    <row r="1609">
      <c r="A1609" s="2">
        <f>IFERROR(__xludf.DUMMYFUNCTION("""COMPUTED_VALUE"""),489575.0)</f>
        <v>489575</v>
      </c>
      <c r="B1609" s="2" t="str">
        <f>IFERROR(__xludf.DUMMYFUNCTION("""COMPUTED_VALUE"""),"85150")</f>
        <v>85150</v>
      </c>
      <c r="C1609" s="2" t="str">
        <f>IFERROR(__xludf.DUMMYFUNCTION("""COMPUTED_VALUE"""),"LADIES &amp; GENTLEMEN METAL SIGN")</f>
        <v>LADIES &amp; GENTLEMEN METAL SIGN</v>
      </c>
      <c r="D1609" s="2">
        <f>IFERROR(__xludf.DUMMYFUNCTION("""COMPUTED_VALUE"""),6.0)</f>
        <v>6</v>
      </c>
      <c r="E1609" s="6">
        <f>IFERROR(__xludf.DUMMYFUNCTION("""COMPUTED_VALUE"""),40148.56736111111)</f>
        <v>40148.56736</v>
      </c>
      <c r="F1609" s="2">
        <f>IFERROR(__xludf.DUMMYFUNCTION("""COMPUTED_VALUE"""),2.55)</f>
        <v>2.55</v>
      </c>
      <c r="G1609" s="2">
        <f>IFERROR(__xludf.DUMMYFUNCTION("""COMPUTED_VALUE"""),13590.0)</f>
        <v>13590</v>
      </c>
      <c r="H1609" s="2" t="str">
        <f>IFERROR(__xludf.DUMMYFUNCTION("""COMPUTED_VALUE"""),"United Kingdom")</f>
        <v>United Kingdom</v>
      </c>
      <c r="I1609" s="7">
        <f>IFERROR(__xludf.DUMMYFUNCTION("""COMPUTED_VALUE"""),40148.0)</f>
        <v>40148</v>
      </c>
      <c r="J1609" s="8">
        <f>IFERROR(__xludf.DUMMYFUNCTION("""COMPUTED_VALUE"""),0.5673611111124046)</f>
        <v>0.5673611111</v>
      </c>
      <c r="K1609" s="2">
        <f>IFERROR(__xludf.DUMMYFUNCTION("""COMPUTED_VALUE"""),13.0)</f>
        <v>13</v>
      </c>
      <c r="L1609" s="2">
        <f>IFERROR(__xludf.DUMMYFUNCTION("""COMPUTED_VALUE"""),15.2999999999999)</f>
        <v>15.3</v>
      </c>
    </row>
    <row r="1610">
      <c r="A1610" s="2">
        <f>IFERROR(__xludf.DUMMYFUNCTION("""COMPUTED_VALUE"""),489575.0)</f>
        <v>489575</v>
      </c>
      <c r="B1610" s="2" t="str">
        <f>IFERROR(__xludf.DUMMYFUNCTION("""COMPUTED_VALUE"""),"21232")</f>
        <v>21232</v>
      </c>
      <c r="C1610" s="2" t="str">
        <f>IFERROR(__xludf.DUMMYFUNCTION("""COMPUTED_VALUE"""),"STRAWBERRY CERAMIC TRINKET BOX")</f>
        <v>STRAWBERRY CERAMIC TRINKET BOX</v>
      </c>
      <c r="D1610" s="2">
        <f>IFERROR(__xludf.DUMMYFUNCTION("""COMPUTED_VALUE"""),12.0)</f>
        <v>12</v>
      </c>
      <c r="E1610" s="6">
        <f>IFERROR(__xludf.DUMMYFUNCTION("""COMPUTED_VALUE"""),40148.56736111111)</f>
        <v>40148.56736</v>
      </c>
      <c r="F1610" s="2">
        <f>IFERROR(__xludf.DUMMYFUNCTION("""COMPUTED_VALUE"""),1.25)</f>
        <v>1.25</v>
      </c>
      <c r="G1610" s="2">
        <f>IFERROR(__xludf.DUMMYFUNCTION("""COMPUTED_VALUE"""),13590.0)</f>
        <v>13590</v>
      </c>
      <c r="H1610" s="2" t="str">
        <f>IFERROR(__xludf.DUMMYFUNCTION("""COMPUTED_VALUE"""),"United Kingdom")</f>
        <v>United Kingdom</v>
      </c>
      <c r="I1610" s="7">
        <f>IFERROR(__xludf.DUMMYFUNCTION("""COMPUTED_VALUE"""),40148.0)</f>
        <v>40148</v>
      </c>
      <c r="J1610" s="8">
        <f>IFERROR(__xludf.DUMMYFUNCTION("""COMPUTED_VALUE"""),0.5673611111124046)</f>
        <v>0.5673611111</v>
      </c>
      <c r="K1610" s="2">
        <f>IFERROR(__xludf.DUMMYFUNCTION("""COMPUTED_VALUE"""),13.0)</f>
        <v>13</v>
      </c>
      <c r="L1610" s="2">
        <f>IFERROR(__xludf.DUMMYFUNCTION("""COMPUTED_VALUE"""),15.0)</f>
        <v>15</v>
      </c>
    </row>
    <row r="1611">
      <c r="A1611" s="2">
        <f>IFERROR(__xludf.DUMMYFUNCTION("""COMPUTED_VALUE"""),489575.0)</f>
        <v>489575</v>
      </c>
      <c r="B1611" s="2" t="str">
        <f>IFERROR(__xludf.DUMMYFUNCTION("""COMPUTED_VALUE"""),"22069")</f>
        <v>22069</v>
      </c>
      <c r="C1611" s="2" t="str">
        <f>IFERROR(__xludf.DUMMYFUNCTION("""COMPUTED_VALUE"""),"BROWN PIRATE TREASURE CHEST")</f>
        <v>BROWN PIRATE TREASURE CHEST</v>
      </c>
      <c r="D1611" s="2">
        <f>IFERROR(__xludf.DUMMYFUNCTION("""COMPUTED_VALUE"""),12.0)</f>
        <v>12</v>
      </c>
      <c r="E1611" s="6">
        <f>IFERROR(__xludf.DUMMYFUNCTION("""COMPUTED_VALUE"""),40148.56736111111)</f>
        <v>40148.56736</v>
      </c>
      <c r="F1611" s="2">
        <f>IFERROR(__xludf.DUMMYFUNCTION("""COMPUTED_VALUE"""),1.65)</f>
        <v>1.65</v>
      </c>
      <c r="G1611" s="2">
        <f>IFERROR(__xludf.DUMMYFUNCTION("""COMPUTED_VALUE"""),13590.0)</f>
        <v>13590</v>
      </c>
      <c r="H1611" s="2" t="str">
        <f>IFERROR(__xludf.DUMMYFUNCTION("""COMPUTED_VALUE"""),"United Kingdom")</f>
        <v>United Kingdom</v>
      </c>
      <c r="I1611" s="7">
        <f>IFERROR(__xludf.DUMMYFUNCTION("""COMPUTED_VALUE"""),40148.0)</f>
        <v>40148</v>
      </c>
      <c r="J1611" s="8">
        <f>IFERROR(__xludf.DUMMYFUNCTION("""COMPUTED_VALUE"""),0.5673611111124046)</f>
        <v>0.5673611111</v>
      </c>
      <c r="K1611" s="2">
        <f>IFERROR(__xludf.DUMMYFUNCTION("""COMPUTED_VALUE"""),13.0)</f>
        <v>13</v>
      </c>
      <c r="L1611" s="2">
        <f>IFERROR(__xludf.DUMMYFUNCTION("""COMPUTED_VALUE"""),19.7999999999999)</f>
        <v>19.8</v>
      </c>
    </row>
    <row r="1612">
      <c r="A1612" s="2">
        <f>IFERROR(__xludf.DUMMYFUNCTION("""COMPUTED_VALUE"""),489575.0)</f>
        <v>489575</v>
      </c>
      <c r="B1612" s="2" t="str">
        <f>IFERROR(__xludf.DUMMYFUNCTION("""COMPUTED_VALUE"""),"84997A")</f>
        <v>84997A</v>
      </c>
      <c r="C1612" s="2" t="str">
        <f>IFERROR(__xludf.DUMMYFUNCTION("""COMPUTED_VALUE"""),"GREEN 3 PIECE MINI DOTS CUTLERY SET")</f>
        <v>GREEN 3 PIECE MINI DOTS CUTLERY SET</v>
      </c>
      <c r="D1612" s="2">
        <f>IFERROR(__xludf.DUMMYFUNCTION("""COMPUTED_VALUE"""),6.0)</f>
        <v>6</v>
      </c>
      <c r="E1612" s="6">
        <f>IFERROR(__xludf.DUMMYFUNCTION("""COMPUTED_VALUE"""),40148.56736111111)</f>
        <v>40148.56736</v>
      </c>
      <c r="F1612" s="2">
        <f>IFERROR(__xludf.DUMMYFUNCTION("""COMPUTED_VALUE"""),3.75)</f>
        <v>3.75</v>
      </c>
      <c r="G1612" s="2">
        <f>IFERROR(__xludf.DUMMYFUNCTION("""COMPUTED_VALUE"""),13590.0)</f>
        <v>13590</v>
      </c>
      <c r="H1612" s="2" t="str">
        <f>IFERROR(__xludf.DUMMYFUNCTION("""COMPUTED_VALUE"""),"United Kingdom")</f>
        <v>United Kingdom</v>
      </c>
      <c r="I1612" s="7">
        <f>IFERROR(__xludf.DUMMYFUNCTION("""COMPUTED_VALUE"""),40148.0)</f>
        <v>40148</v>
      </c>
      <c r="J1612" s="8">
        <f>IFERROR(__xludf.DUMMYFUNCTION("""COMPUTED_VALUE"""),0.5673611111124046)</f>
        <v>0.5673611111</v>
      </c>
      <c r="K1612" s="2">
        <f>IFERROR(__xludf.DUMMYFUNCTION("""COMPUTED_VALUE"""),13.0)</f>
        <v>13</v>
      </c>
      <c r="L1612" s="2">
        <f>IFERROR(__xludf.DUMMYFUNCTION("""COMPUTED_VALUE"""),22.5)</f>
        <v>22.5</v>
      </c>
    </row>
    <row r="1613">
      <c r="A1613" s="2">
        <f>IFERROR(__xludf.DUMMYFUNCTION("""COMPUTED_VALUE"""),489575.0)</f>
        <v>489575</v>
      </c>
      <c r="B1613" s="2" t="str">
        <f>IFERROR(__xludf.DUMMYFUNCTION("""COMPUTED_VALUE"""),"84997B")</f>
        <v>84997B</v>
      </c>
      <c r="C1613" s="2" t="str">
        <f>IFERROR(__xludf.DUMMYFUNCTION("""COMPUTED_VALUE"""),"RED 3 PIECE MINI DOTS CUTLERY SET")</f>
        <v>RED 3 PIECE MINI DOTS CUTLERY SET</v>
      </c>
      <c r="D1613" s="2">
        <f>IFERROR(__xludf.DUMMYFUNCTION("""COMPUTED_VALUE"""),6.0)</f>
        <v>6</v>
      </c>
      <c r="E1613" s="6">
        <f>IFERROR(__xludf.DUMMYFUNCTION("""COMPUTED_VALUE"""),40148.56736111111)</f>
        <v>40148.56736</v>
      </c>
      <c r="F1613" s="2">
        <f>IFERROR(__xludf.DUMMYFUNCTION("""COMPUTED_VALUE"""),3.75)</f>
        <v>3.75</v>
      </c>
      <c r="G1613" s="2">
        <f>IFERROR(__xludf.DUMMYFUNCTION("""COMPUTED_VALUE"""),13590.0)</f>
        <v>13590</v>
      </c>
      <c r="H1613" s="2" t="str">
        <f>IFERROR(__xludf.DUMMYFUNCTION("""COMPUTED_VALUE"""),"United Kingdom")</f>
        <v>United Kingdom</v>
      </c>
      <c r="I1613" s="7">
        <f>IFERROR(__xludf.DUMMYFUNCTION("""COMPUTED_VALUE"""),40148.0)</f>
        <v>40148</v>
      </c>
      <c r="J1613" s="8">
        <f>IFERROR(__xludf.DUMMYFUNCTION("""COMPUTED_VALUE"""),0.5673611111124046)</f>
        <v>0.5673611111</v>
      </c>
      <c r="K1613" s="2">
        <f>IFERROR(__xludf.DUMMYFUNCTION("""COMPUTED_VALUE"""),13.0)</f>
        <v>13</v>
      </c>
      <c r="L1613" s="2">
        <f>IFERROR(__xludf.DUMMYFUNCTION("""COMPUTED_VALUE"""),22.5)</f>
        <v>22.5</v>
      </c>
    </row>
    <row r="1614">
      <c r="A1614" s="2">
        <f>IFERROR(__xludf.DUMMYFUNCTION("""COMPUTED_VALUE"""),489575.0)</f>
        <v>489575</v>
      </c>
      <c r="B1614" s="2" t="str">
        <f>IFERROR(__xludf.DUMMYFUNCTION("""COMPUTED_VALUE"""),"47591D")</f>
        <v>47591D</v>
      </c>
      <c r="C1614" s="2" t="str">
        <f>IFERROR(__xludf.DUMMYFUNCTION("""COMPUTED_VALUE"""),"PINK FAIRY CAKE CHILD'S APRON")</f>
        <v>PINK FAIRY CAKE CHILD'S APRON</v>
      </c>
      <c r="D1614" s="2">
        <f>IFERROR(__xludf.DUMMYFUNCTION("""COMPUTED_VALUE"""),8.0)</f>
        <v>8</v>
      </c>
      <c r="E1614" s="6">
        <f>IFERROR(__xludf.DUMMYFUNCTION("""COMPUTED_VALUE"""),40148.56736111111)</f>
        <v>40148.56736</v>
      </c>
      <c r="F1614" s="2">
        <f>IFERROR(__xludf.DUMMYFUNCTION("""COMPUTED_VALUE"""),1.95)</f>
        <v>1.95</v>
      </c>
      <c r="G1614" s="2">
        <f>IFERROR(__xludf.DUMMYFUNCTION("""COMPUTED_VALUE"""),13590.0)</f>
        <v>13590</v>
      </c>
      <c r="H1614" s="2" t="str">
        <f>IFERROR(__xludf.DUMMYFUNCTION("""COMPUTED_VALUE"""),"United Kingdom")</f>
        <v>United Kingdom</v>
      </c>
      <c r="I1614" s="7">
        <f>IFERROR(__xludf.DUMMYFUNCTION("""COMPUTED_VALUE"""),40148.0)</f>
        <v>40148</v>
      </c>
      <c r="J1614" s="8">
        <f>IFERROR(__xludf.DUMMYFUNCTION("""COMPUTED_VALUE"""),0.5673611111124046)</f>
        <v>0.5673611111</v>
      </c>
      <c r="K1614" s="2">
        <f>IFERROR(__xludf.DUMMYFUNCTION("""COMPUTED_VALUE"""),13.0)</f>
        <v>13</v>
      </c>
      <c r="L1614" s="2">
        <f>IFERROR(__xludf.DUMMYFUNCTION("""COMPUTED_VALUE"""),15.6)</f>
        <v>15.6</v>
      </c>
    </row>
    <row r="1615">
      <c r="A1615" s="2">
        <f>IFERROR(__xludf.DUMMYFUNCTION("""COMPUTED_VALUE"""),489575.0)</f>
        <v>489575</v>
      </c>
      <c r="B1615" s="2" t="str">
        <f>IFERROR(__xludf.DUMMYFUNCTION("""COMPUTED_VALUE"""),"47591C")</f>
        <v>47591C</v>
      </c>
      <c r="C1615" s="2" t="str">
        <f>IFERROR(__xludf.DUMMYFUNCTION("""COMPUTED_VALUE"""),"BLUE FAIRY CAKE CHILD'S APRON")</f>
        <v>BLUE FAIRY CAKE CHILD'S APRON</v>
      </c>
      <c r="D1615" s="2">
        <f>IFERROR(__xludf.DUMMYFUNCTION("""COMPUTED_VALUE"""),8.0)</f>
        <v>8</v>
      </c>
      <c r="E1615" s="6">
        <f>IFERROR(__xludf.DUMMYFUNCTION("""COMPUTED_VALUE"""),40148.56736111111)</f>
        <v>40148.56736</v>
      </c>
      <c r="F1615" s="2">
        <f>IFERROR(__xludf.DUMMYFUNCTION("""COMPUTED_VALUE"""),1.95)</f>
        <v>1.95</v>
      </c>
      <c r="G1615" s="2">
        <f>IFERROR(__xludf.DUMMYFUNCTION("""COMPUTED_VALUE"""),13590.0)</f>
        <v>13590</v>
      </c>
      <c r="H1615" s="2" t="str">
        <f>IFERROR(__xludf.DUMMYFUNCTION("""COMPUTED_VALUE"""),"United Kingdom")</f>
        <v>United Kingdom</v>
      </c>
      <c r="I1615" s="7">
        <f>IFERROR(__xludf.DUMMYFUNCTION("""COMPUTED_VALUE"""),40148.0)</f>
        <v>40148</v>
      </c>
      <c r="J1615" s="8">
        <f>IFERROR(__xludf.DUMMYFUNCTION("""COMPUTED_VALUE"""),0.5673611111124046)</f>
        <v>0.5673611111</v>
      </c>
      <c r="K1615" s="2">
        <f>IFERROR(__xludf.DUMMYFUNCTION("""COMPUTED_VALUE"""),13.0)</f>
        <v>13</v>
      </c>
      <c r="L1615" s="2">
        <f>IFERROR(__xludf.DUMMYFUNCTION("""COMPUTED_VALUE"""),15.6)</f>
        <v>15.6</v>
      </c>
    </row>
    <row r="1616">
      <c r="A1616" s="2">
        <f>IFERROR(__xludf.DUMMYFUNCTION("""COMPUTED_VALUE"""),489575.0)</f>
        <v>489575</v>
      </c>
      <c r="B1616" s="2" t="str">
        <f>IFERROR(__xludf.DUMMYFUNCTION("""COMPUTED_VALUE"""),"21175")</f>
        <v>21175</v>
      </c>
      <c r="C1616" s="2" t="str">
        <f>IFERROR(__xludf.DUMMYFUNCTION("""COMPUTED_VALUE"""),"GIN + TONIC DIET METAL SIGN")</f>
        <v>GIN + TONIC DIET METAL SIGN</v>
      </c>
      <c r="D1616" s="2">
        <f>IFERROR(__xludf.DUMMYFUNCTION("""COMPUTED_VALUE"""),6.0)</f>
        <v>6</v>
      </c>
      <c r="E1616" s="6">
        <f>IFERROR(__xludf.DUMMYFUNCTION("""COMPUTED_VALUE"""),40148.56736111111)</f>
        <v>40148.56736</v>
      </c>
      <c r="F1616" s="2">
        <f>IFERROR(__xludf.DUMMYFUNCTION("""COMPUTED_VALUE"""),2.1)</f>
        <v>2.1</v>
      </c>
      <c r="G1616" s="2">
        <f>IFERROR(__xludf.DUMMYFUNCTION("""COMPUTED_VALUE"""),13590.0)</f>
        <v>13590</v>
      </c>
      <c r="H1616" s="2" t="str">
        <f>IFERROR(__xludf.DUMMYFUNCTION("""COMPUTED_VALUE"""),"United Kingdom")</f>
        <v>United Kingdom</v>
      </c>
      <c r="I1616" s="7">
        <f>IFERROR(__xludf.DUMMYFUNCTION("""COMPUTED_VALUE"""),40148.0)</f>
        <v>40148</v>
      </c>
      <c r="J1616" s="8">
        <f>IFERROR(__xludf.DUMMYFUNCTION("""COMPUTED_VALUE"""),0.5673611111124046)</f>
        <v>0.5673611111</v>
      </c>
      <c r="K1616" s="2">
        <f>IFERROR(__xludf.DUMMYFUNCTION("""COMPUTED_VALUE"""),13.0)</f>
        <v>13</v>
      </c>
      <c r="L1616" s="2">
        <f>IFERROR(__xludf.DUMMYFUNCTION("""COMPUTED_VALUE"""),12.6)</f>
        <v>12.6</v>
      </c>
    </row>
    <row r="1617">
      <c r="A1617" s="2">
        <f>IFERROR(__xludf.DUMMYFUNCTION("""COMPUTED_VALUE"""),489575.0)</f>
        <v>489575</v>
      </c>
      <c r="B1617" s="2" t="str">
        <f>IFERROR(__xludf.DUMMYFUNCTION("""COMPUTED_VALUE"""),"21098")</f>
        <v>21098</v>
      </c>
      <c r="C1617" s="2" t="str">
        <f>IFERROR(__xludf.DUMMYFUNCTION("""COMPUTED_VALUE"""),"CHRISTMAS TOILET ROLL")</f>
        <v>CHRISTMAS TOILET ROLL</v>
      </c>
      <c r="D1617" s="2">
        <f>IFERROR(__xludf.DUMMYFUNCTION("""COMPUTED_VALUE"""),12.0)</f>
        <v>12</v>
      </c>
      <c r="E1617" s="6">
        <f>IFERROR(__xludf.DUMMYFUNCTION("""COMPUTED_VALUE"""),40148.56736111111)</f>
        <v>40148.56736</v>
      </c>
      <c r="F1617" s="2">
        <f>IFERROR(__xludf.DUMMYFUNCTION("""COMPUTED_VALUE"""),1.25)</f>
        <v>1.25</v>
      </c>
      <c r="G1617" s="2">
        <f>IFERROR(__xludf.DUMMYFUNCTION("""COMPUTED_VALUE"""),13590.0)</f>
        <v>13590</v>
      </c>
      <c r="H1617" s="2" t="str">
        <f>IFERROR(__xludf.DUMMYFUNCTION("""COMPUTED_VALUE"""),"United Kingdom")</f>
        <v>United Kingdom</v>
      </c>
      <c r="I1617" s="7">
        <f>IFERROR(__xludf.DUMMYFUNCTION("""COMPUTED_VALUE"""),40148.0)</f>
        <v>40148</v>
      </c>
      <c r="J1617" s="8">
        <f>IFERROR(__xludf.DUMMYFUNCTION("""COMPUTED_VALUE"""),0.5673611111124046)</f>
        <v>0.5673611111</v>
      </c>
      <c r="K1617" s="2">
        <f>IFERROR(__xludf.DUMMYFUNCTION("""COMPUTED_VALUE"""),13.0)</f>
        <v>13</v>
      </c>
      <c r="L1617" s="2">
        <f>IFERROR(__xludf.DUMMYFUNCTION("""COMPUTED_VALUE"""),15.0)</f>
        <v>15</v>
      </c>
    </row>
    <row r="1618">
      <c r="A1618" s="2">
        <f>IFERROR(__xludf.DUMMYFUNCTION("""COMPUTED_VALUE"""),489575.0)</f>
        <v>489575</v>
      </c>
      <c r="B1618" s="2" t="str">
        <f>IFERROR(__xludf.DUMMYFUNCTION("""COMPUTED_VALUE"""),"22064")</f>
        <v>22064</v>
      </c>
      <c r="C1618" s="2" t="str">
        <f>IFERROR(__xludf.DUMMYFUNCTION("""COMPUTED_VALUE"""),"PINK DOUGHNUT TRINKET POT")</f>
        <v>PINK DOUGHNUT TRINKET POT</v>
      </c>
      <c r="D1618" s="2">
        <f>IFERROR(__xludf.DUMMYFUNCTION("""COMPUTED_VALUE"""),12.0)</f>
        <v>12</v>
      </c>
      <c r="E1618" s="6">
        <f>IFERROR(__xludf.DUMMYFUNCTION("""COMPUTED_VALUE"""),40148.56736111111)</f>
        <v>40148.56736</v>
      </c>
      <c r="F1618" s="2">
        <f>IFERROR(__xludf.DUMMYFUNCTION("""COMPUTED_VALUE"""),1.65)</f>
        <v>1.65</v>
      </c>
      <c r="G1618" s="2">
        <f>IFERROR(__xludf.DUMMYFUNCTION("""COMPUTED_VALUE"""),13590.0)</f>
        <v>13590</v>
      </c>
      <c r="H1618" s="2" t="str">
        <f>IFERROR(__xludf.DUMMYFUNCTION("""COMPUTED_VALUE"""),"United Kingdom")</f>
        <v>United Kingdom</v>
      </c>
      <c r="I1618" s="7">
        <f>IFERROR(__xludf.DUMMYFUNCTION("""COMPUTED_VALUE"""),40148.0)</f>
        <v>40148</v>
      </c>
      <c r="J1618" s="8">
        <f>IFERROR(__xludf.DUMMYFUNCTION("""COMPUTED_VALUE"""),0.5673611111124046)</f>
        <v>0.5673611111</v>
      </c>
      <c r="K1618" s="2">
        <f>IFERROR(__xludf.DUMMYFUNCTION("""COMPUTED_VALUE"""),13.0)</f>
        <v>13</v>
      </c>
      <c r="L1618" s="2">
        <f>IFERROR(__xludf.DUMMYFUNCTION("""COMPUTED_VALUE"""),19.7999999999999)</f>
        <v>19.8</v>
      </c>
    </row>
    <row r="1619">
      <c r="A1619" s="2">
        <f>IFERROR(__xludf.DUMMYFUNCTION("""COMPUTED_VALUE"""),489575.0)</f>
        <v>489575</v>
      </c>
      <c r="B1619" s="2" t="str">
        <f>IFERROR(__xludf.DUMMYFUNCTION("""COMPUTED_VALUE"""),"22415")</f>
        <v>22415</v>
      </c>
      <c r="C1619" s="2" t="str">
        <f>IFERROR(__xludf.DUMMYFUNCTION("""COMPUTED_VALUE"""),"WHITE TISSUE REAM")</f>
        <v>WHITE TISSUE REAM</v>
      </c>
      <c r="D1619" s="2">
        <f>IFERROR(__xludf.DUMMYFUNCTION("""COMPUTED_VALUE"""),1.0)</f>
        <v>1</v>
      </c>
      <c r="E1619" s="6">
        <f>IFERROR(__xludf.DUMMYFUNCTION("""COMPUTED_VALUE"""),40148.56736111111)</f>
        <v>40148.56736</v>
      </c>
      <c r="F1619" s="2">
        <f>IFERROR(__xludf.DUMMYFUNCTION("""COMPUTED_VALUE"""),7.95)</f>
        <v>7.95</v>
      </c>
      <c r="G1619" s="2">
        <f>IFERROR(__xludf.DUMMYFUNCTION("""COMPUTED_VALUE"""),13590.0)</f>
        <v>13590</v>
      </c>
      <c r="H1619" s="2" t="str">
        <f>IFERROR(__xludf.DUMMYFUNCTION("""COMPUTED_VALUE"""),"United Kingdom")</f>
        <v>United Kingdom</v>
      </c>
      <c r="I1619" s="7">
        <f>IFERROR(__xludf.DUMMYFUNCTION("""COMPUTED_VALUE"""),40148.0)</f>
        <v>40148</v>
      </c>
      <c r="J1619" s="8">
        <f>IFERROR(__xludf.DUMMYFUNCTION("""COMPUTED_VALUE"""),0.5673611111124046)</f>
        <v>0.5673611111</v>
      </c>
      <c r="K1619" s="2">
        <f>IFERROR(__xludf.DUMMYFUNCTION("""COMPUTED_VALUE"""),13.0)</f>
        <v>13</v>
      </c>
      <c r="L1619" s="2">
        <f>IFERROR(__xludf.DUMMYFUNCTION("""COMPUTED_VALUE"""),7.95)</f>
        <v>7.95</v>
      </c>
    </row>
    <row r="1620">
      <c r="A1620" s="2">
        <f>IFERROR(__xludf.DUMMYFUNCTION("""COMPUTED_VALUE"""),489575.0)</f>
        <v>489575</v>
      </c>
      <c r="B1620" s="2" t="str">
        <f>IFERROR(__xludf.DUMMYFUNCTION("""COMPUTED_VALUE"""),"48111")</f>
        <v>48111</v>
      </c>
      <c r="C1620" s="2" t="str">
        <f>IFERROR(__xludf.DUMMYFUNCTION("""COMPUTED_VALUE"""),"DOOR MAT 3 SMILEY CATS")</f>
        <v>DOOR MAT 3 SMILEY CATS</v>
      </c>
      <c r="D1620" s="2">
        <f>IFERROR(__xludf.DUMMYFUNCTION("""COMPUTED_VALUE"""),2.0)</f>
        <v>2</v>
      </c>
      <c r="E1620" s="6">
        <f>IFERROR(__xludf.DUMMYFUNCTION("""COMPUTED_VALUE"""),40148.56736111111)</f>
        <v>40148.56736</v>
      </c>
      <c r="F1620" s="2">
        <f>IFERROR(__xludf.DUMMYFUNCTION("""COMPUTED_VALUE"""),6.75)</f>
        <v>6.75</v>
      </c>
      <c r="G1620" s="2">
        <f>IFERROR(__xludf.DUMMYFUNCTION("""COMPUTED_VALUE"""),13590.0)</f>
        <v>13590</v>
      </c>
      <c r="H1620" s="2" t="str">
        <f>IFERROR(__xludf.DUMMYFUNCTION("""COMPUTED_VALUE"""),"United Kingdom")</f>
        <v>United Kingdom</v>
      </c>
      <c r="I1620" s="7">
        <f>IFERROR(__xludf.DUMMYFUNCTION("""COMPUTED_VALUE"""),40148.0)</f>
        <v>40148</v>
      </c>
      <c r="J1620" s="8">
        <f>IFERROR(__xludf.DUMMYFUNCTION("""COMPUTED_VALUE"""),0.5673611111124046)</f>
        <v>0.5673611111</v>
      </c>
      <c r="K1620" s="2">
        <f>IFERROR(__xludf.DUMMYFUNCTION("""COMPUTED_VALUE"""),13.0)</f>
        <v>13</v>
      </c>
      <c r="L1620" s="2">
        <f>IFERROR(__xludf.DUMMYFUNCTION("""COMPUTED_VALUE"""),13.5)</f>
        <v>13.5</v>
      </c>
    </row>
    <row r="1621">
      <c r="A1621" s="2">
        <f>IFERROR(__xludf.DUMMYFUNCTION("""COMPUTED_VALUE"""),489575.0)</f>
        <v>489575</v>
      </c>
      <c r="B1621" s="2" t="str">
        <f>IFERROR(__xludf.DUMMYFUNCTION("""COMPUTED_VALUE"""),"22215")</f>
        <v>22215</v>
      </c>
      <c r="C1621" s="2" t="str">
        <f>IFERROR(__xludf.DUMMYFUNCTION("""COMPUTED_VALUE"""),"CAKE STAND WHITE TWO TIER LACE")</f>
        <v>CAKE STAND WHITE TWO TIER LACE</v>
      </c>
      <c r="D1621" s="2">
        <f>IFERROR(__xludf.DUMMYFUNCTION("""COMPUTED_VALUE"""),2.0)</f>
        <v>2</v>
      </c>
      <c r="E1621" s="6">
        <f>IFERROR(__xludf.DUMMYFUNCTION("""COMPUTED_VALUE"""),40148.56736111111)</f>
        <v>40148.56736</v>
      </c>
      <c r="F1621" s="2">
        <f>IFERROR(__xludf.DUMMYFUNCTION("""COMPUTED_VALUE"""),8.5)</f>
        <v>8.5</v>
      </c>
      <c r="G1621" s="2">
        <f>IFERROR(__xludf.DUMMYFUNCTION("""COMPUTED_VALUE"""),13590.0)</f>
        <v>13590</v>
      </c>
      <c r="H1621" s="2" t="str">
        <f>IFERROR(__xludf.DUMMYFUNCTION("""COMPUTED_VALUE"""),"United Kingdom")</f>
        <v>United Kingdom</v>
      </c>
      <c r="I1621" s="7">
        <f>IFERROR(__xludf.DUMMYFUNCTION("""COMPUTED_VALUE"""),40148.0)</f>
        <v>40148</v>
      </c>
      <c r="J1621" s="8">
        <f>IFERROR(__xludf.DUMMYFUNCTION("""COMPUTED_VALUE"""),0.5673611111124046)</f>
        <v>0.5673611111</v>
      </c>
      <c r="K1621" s="2">
        <f>IFERROR(__xludf.DUMMYFUNCTION("""COMPUTED_VALUE"""),13.0)</f>
        <v>13</v>
      </c>
      <c r="L1621" s="2">
        <f>IFERROR(__xludf.DUMMYFUNCTION("""COMPUTED_VALUE"""),17.0)</f>
        <v>17</v>
      </c>
    </row>
    <row r="1622">
      <c r="A1622" s="2">
        <f>IFERROR(__xludf.DUMMYFUNCTION("""COMPUTED_VALUE"""),489575.0)</f>
        <v>489575</v>
      </c>
      <c r="B1622" s="2" t="str">
        <f>IFERROR(__xludf.DUMMYFUNCTION("""COMPUTED_VALUE"""),"35951")</f>
        <v>35951</v>
      </c>
      <c r="C1622" s="2" t="str">
        <f>IFERROR(__xludf.DUMMYFUNCTION("""COMPUTED_VALUE"""),"FOLKART BAUBLE CHRISTMAS DECORATION")</f>
        <v>FOLKART BAUBLE CHRISTMAS DECORATION</v>
      </c>
      <c r="D1622" s="2">
        <f>IFERROR(__xludf.DUMMYFUNCTION("""COMPUTED_VALUE"""),48.0)</f>
        <v>48</v>
      </c>
      <c r="E1622" s="6">
        <f>IFERROR(__xludf.DUMMYFUNCTION("""COMPUTED_VALUE"""),40148.56736111111)</f>
        <v>40148.56736</v>
      </c>
      <c r="F1622" s="2">
        <f>IFERROR(__xludf.DUMMYFUNCTION("""COMPUTED_VALUE"""),0.38)</f>
        <v>0.38</v>
      </c>
      <c r="G1622" s="2">
        <f>IFERROR(__xludf.DUMMYFUNCTION("""COMPUTED_VALUE"""),13590.0)</f>
        <v>13590</v>
      </c>
      <c r="H1622" s="2" t="str">
        <f>IFERROR(__xludf.DUMMYFUNCTION("""COMPUTED_VALUE"""),"United Kingdom")</f>
        <v>United Kingdom</v>
      </c>
      <c r="I1622" s="7">
        <f>IFERROR(__xludf.DUMMYFUNCTION("""COMPUTED_VALUE"""),40148.0)</f>
        <v>40148</v>
      </c>
      <c r="J1622" s="8">
        <f>IFERROR(__xludf.DUMMYFUNCTION("""COMPUTED_VALUE"""),0.5673611111124046)</f>
        <v>0.5673611111</v>
      </c>
      <c r="K1622" s="2">
        <f>IFERROR(__xludf.DUMMYFUNCTION("""COMPUTED_VALUE"""),13.0)</f>
        <v>13</v>
      </c>
      <c r="L1622" s="2">
        <f>IFERROR(__xludf.DUMMYFUNCTION("""COMPUTED_VALUE"""),18.24)</f>
        <v>18.24</v>
      </c>
    </row>
    <row r="1623">
      <c r="A1623" s="2">
        <f>IFERROR(__xludf.DUMMYFUNCTION("""COMPUTED_VALUE"""),489575.0)</f>
        <v>489575</v>
      </c>
      <c r="B1623" s="2" t="str">
        <f>IFERROR(__xludf.DUMMYFUNCTION("""COMPUTED_VALUE"""),"21731")</f>
        <v>21731</v>
      </c>
      <c r="C1623" s="2" t="str">
        <f>IFERROR(__xludf.DUMMYFUNCTION("""COMPUTED_VALUE"""),"RED TOADSTOOL LED NIGHT LIGHT")</f>
        <v>RED TOADSTOOL LED NIGHT LIGHT</v>
      </c>
      <c r="D1623" s="2">
        <f>IFERROR(__xludf.DUMMYFUNCTION("""COMPUTED_VALUE"""),12.0)</f>
        <v>12</v>
      </c>
      <c r="E1623" s="6">
        <f>IFERROR(__xludf.DUMMYFUNCTION("""COMPUTED_VALUE"""),40148.56736111111)</f>
        <v>40148.56736</v>
      </c>
      <c r="F1623" s="2">
        <f>IFERROR(__xludf.DUMMYFUNCTION("""COMPUTED_VALUE"""),1.65)</f>
        <v>1.65</v>
      </c>
      <c r="G1623" s="2">
        <f>IFERROR(__xludf.DUMMYFUNCTION("""COMPUTED_VALUE"""),13590.0)</f>
        <v>13590</v>
      </c>
      <c r="H1623" s="2" t="str">
        <f>IFERROR(__xludf.DUMMYFUNCTION("""COMPUTED_VALUE"""),"United Kingdom")</f>
        <v>United Kingdom</v>
      </c>
      <c r="I1623" s="7">
        <f>IFERROR(__xludf.DUMMYFUNCTION("""COMPUTED_VALUE"""),40148.0)</f>
        <v>40148</v>
      </c>
      <c r="J1623" s="8">
        <f>IFERROR(__xludf.DUMMYFUNCTION("""COMPUTED_VALUE"""),0.5673611111124046)</f>
        <v>0.5673611111</v>
      </c>
      <c r="K1623" s="2">
        <f>IFERROR(__xludf.DUMMYFUNCTION("""COMPUTED_VALUE"""),13.0)</f>
        <v>13</v>
      </c>
      <c r="L1623" s="2">
        <f>IFERROR(__xludf.DUMMYFUNCTION("""COMPUTED_VALUE"""),19.7999999999999)</f>
        <v>19.8</v>
      </c>
    </row>
    <row r="1624">
      <c r="A1624" s="2">
        <f>IFERROR(__xludf.DUMMYFUNCTION("""COMPUTED_VALUE"""),489575.0)</f>
        <v>489575</v>
      </c>
      <c r="B1624" s="2" t="str">
        <f>IFERROR(__xludf.DUMMYFUNCTION("""COMPUTED_VALUE"""),"84991")</f>
        <v>84991</v>
      </c>
      <c r="C1624" s="2" t="str">
        <f>IFERROR(__xludf.DUMMYFUNCTION("""COMPUTED_VALUE"""),"60 TEATIME FAIRY CAKE CASES")</f>
        <v>60 TEATIME FAIRY CAKE CASES</v>
      </c>
      <c r="D1624" s="2">
        <f>IFERROR(__xludf.DUMMYFUNCTION("""COMPUTED_VALUE"""),24.0)</f>
        <v>24</v>
      </c>
      <c r="E1624" s="6">
        <f>IFERROR(__xludf.DUMMYFUNCTION("""COMPUTED_VALUE"""),40148.56736111111)</f>
        <v>40148.56736</v>
      </c>
      <c r="F1624" s="2">
        <f>IFERROR(__xludf.DUMMYFUNCTION("""COMPUTED_VALUE"""),0.55)</f>
        <v>0.55</v>
      </c>
      <c r="G1624" s="2">
        <f>IFERROR(__xludf.DUMMYFUNCTION("""COMPUTED_VALUE"""),13590.0)</f>
        <v>13590</v>
      </c>
      <c r="H1624" s="2" t="str">
        <f>IFERROR(__xludf.DUMMYFUNCTION("""COMPUTED_VALUE"""),"United Kingdom")</f>
        <v>United Kingdom</v>
      </c>
      <c r="I1624" s="7">
        <f>IFERROR(__xludf.DUMMYFUNCTION("""COMPUTED_VALUE"""),40148.0)</f>
        <v>40148</v>
      </c>
      <c r="J1624" s="8">
        <f>IFERROR(__xludf.DUMMYFUNCTION("""COMPUTED_VALUE"""),0.5673611111124046)</f>
        <v>0.5673611111</v>
      </c>
      <c r="K1624" s="2">
        <f>IFERROR(__xludf.DUMMYFUNCTION("""COMPUTED_VALUE"""),13.0)</f>
        <v>13</v>
      </c>
      <c r="L1624" s="2">
        <f>IFERROR(__xludf.DUMMYFUNCTION("""COMPUTED_VALUE"""),13.2)</f>
        <v>13.2</v>
      </c>
    </row>
    <row r="1625">
      <c r="A1625" s="2">
        <f>IFERROR(__xludf.DUMMYFUNCTION("""COMPUTED_VALUE"""),489575.0)</f>
        <v>489575</v>
      </c>
      <c r="B1625" s="2" t="str">
        <f>IFERROR(__xludf.DUMMYFUNCTION("""COMPUTED_VALUE"""),"21743")</f>
        <v>21743</v>
      </c>
      <c r="C1625" s="2" t="str">
        <f>IFERROR(__xludf.DUMMYFUNCTION("""COMPUTED_VALUE"""),"STAR PORTABLE TABLE LIGHT")</f>
        <v>STAR PORTABLE TABLE LIGHT</v>
      </c>
      <c r="D1625" s="2">
        <f>IFERROR(__xludf.DUMMYFUNCTION("""COMPUTED_VALUE"""),6.0)</f>
        <v>6</v>
      </c>
      <c r="E1625" s="6">
        <f>IFERROR(__xludf.DUMMYFUNCTION("""COMPUTED_VALUE"""),40148.56736111111)</f>
        <v>40148.56736</v>
      </c>
      <c r="F1625" s="2">
        <f>IFERROR(__xludf.DUMMYFUNCTION("""COMPUTED_VALUE"""),2.95)</f>
        <v>2.95</v>
      </c>
      <c r="G1625" s="2">
        <f>IFERROR(__xludf.DUMMYFUNCTION("""COMPUTED_VALUE"""),13590.0)</f>
        <v>13590</v>
      </c>
      <c r="H1625" s="2" t="str">
        <f>IFERROR(__xludf.DUMMYFUNCTION("""COMPUTED_VALUE"""),"United Kingdom")</f>
        <v>United Kingdom</v>
      </c>
      <c r="I1625" s="7">
        <f>IFERROR(__xludf.DUMMYFUNCTION("""COMPUTED_VALUE"""),40148.0)</f>
        <v>40148</v>
      </c>
      <c r="J1625" s="8">
        <f>IFERROR(__xludf.DUMMYFUNCTION("""COMPUTED_VALUE"""),0.5673611111124046)</f>
        <v>0.5673611111</v>
      </c>
      <c r="K1625" s="2">
        <f>IFERROR(__xludf.DUMMYFUNCTION("""COMPUTED_VALUE"""),13.0)</f>
        <v>13</v>
      </c>
      <c r="L1625" s="2">
        <f>IFERROR(__xludf.DUMMYFUNCTION("""COMPUTED_VALUE"""),17.7)</f>
        <v>17.7</v>
      </c>
    </row>
    <row r="1626">
      <c r="A1626" s="2">
        <f>IFERROR(__xludf.DUMMYFUNCTION("""COMPUTED_VALUE"""),489575.0)</f>
        <v>489575</v>
      </c>
      <c r="B1626" s="2" t="str">
        <f>IFERROR(__xludf.DUMMYFUNCTION("""COMPUTED_VALUE"""),"21744")</f>
        <v>21744</v>
      </c>
      <c r="C1626" s="2" t="str">
        <f>IFERROR(__xludf.DUMMYFUNCTION("""COMPUTED_VALUE"""),"SNOWFLAKE PORTABLE TABLE LIGHT")</f>
        <v>SNOWFLAKE PORTABLE TABLE LIGHT</v>
      </c>
      <c r="D1626" s="2">
        <f>IFERROR(__xludf.DUMMYFUNCTION("""COMPUTED_VALUE"""),6.0)</f>
        <v>6</v>
      </c>
      <c r="E1626" s="6">
        <f>IFERROR(__xludf.DUMMYFUNCTION("""COMPUTED_VALUE"""),40148.56736111111)</f>
        <v>40148.56736</v>
      </c>
      <c r="F1626" s="2">
        <f>IFERROR(__xludf.DUMMYFUNCTION("""COMPUTED_VALUE"""),2.95)</f>
        <v>2.95</v>
      </c>
      <c r="G1626" s="2">
        <f>IFERROR(__xludf.DUMMYFUNCTION("""COMPUTED_VALUE"""),13590.0)</f>
        <v>13590</v>
      </c>
      <c r="H1626" s="2" t="str">
        <f>IFERROR(__xludf.DUMMYFUNCTION("""COMPUTED_VALUE"""),"United Kingdom")</f>
        <v>United Kingdom</v>
      </c>
      <c r="I1626" s="7">
        <f>IFERROR(__xludf.DUMMYFUNCTION("""COMPUTED_VALUE"""),40148.0)</f>
        <v>40148</v>
      </c>
      <c r="J1626" s="8">
        <f>IFERROR(__xludf.DUMMYFUNCTION("""COMPUTED_VALUE"""),0.5673611111124046)</f>
        <v>0.5673611111</v>
      </c>
      <c r="K1626" s="2">
        <f>IFERROR(__xludf.DUMMYFUNCTION("""COMPUTED_VALUE"""),13.0)</f>
        <v>13</v>
      </c>
      <c r="L1626" s="2">
        <f>IFERROR(__xludf.DUMMYFUNCTION("""COMPUTED_VALUE"""),17.7)</f>
        <v>17.7</v>
      </c>
    </row>
    <row r="1627">
      <c r="A1627" s="2">
        <f>IFERROR(__xludf.DUMMYFUNCTION("""COMPUTED_VALUE"""),489575.0)</f>
        <v>489575</v>
      </c>
      <c r="B1627" s="2" t="str">
        <f>IFERROR(__xludf.DUMMYFUNCTION("""COMPUTED_VALUE"""),"21482")</f>
        <v>21482</v>
      </c>
      <c r="C1627" s="2" t="str">
        <f>IFERROR(__xludf.DUMMYFUNCTION("""COMPUTED_VALUE"""),"MUSHROOM BLUE HOT WATER BOTTLE")</f>
        <v>MUSHROOM BLUE HOT WATER BOTTLE</v>
      </c>
      <c r="D1627" s="2">
        <f>IFERROR(__xludf.DUMMYFUNCTION("""COMPUTED_VALUE"""),6.0)</f>
        <v>6</v>
      </c>
      <c r="E1627" s="6">
        <f>IFERROR(__xludf.DUMMYFUNCTION("""COMPUTED_VALUE"""),40148.56736111111)</f>
        <v>40148.56736</v>
      </c>
      <c r="F1627" s="2">
        <f>IFERROR(__xludf.DUMMYFUNCTION("""COMPUTED_VALUE"""),2.95)</f>
        <v>2.95</v>
      </c>
      <c r="G1627" s="2">
        <f>IFERROR(__xludf.DUMMYFUNCTION("""COMPUTED_VALUE"""),13590.0)</f>
        <v>13590</v>
      </c>
      <c r="H1627" s="2" t="str">
        <f>IFERROR(__xludf.DUMMYFUNCTION("""COMPUTED_VALUE"""),"United Kingdom")</f>
        <v>United Kingdom</v>
      </c>
      <c r="I1627" s="7">
        <f>IFERROR(__xludf.DUMMYFUNCTION("""COMPUTED_VALUE"""),40148.0)</f>
        <v>40148</v>
      </c>
      <c r="J1627" s="8">
        <f>IFERROR(__xludf.DUMMYFUNCTION("""COMPUTED_VALUE"""),0.5673611111124046)</f>
        <v>0.5673611111</v>
      </c>
      <c r="K1627" s="2">
        <f>IFERROR(__xludf.DUMMYFUNCTION("""COMPUTED_VALUE"""),13.0)</f>
        <v>13</v>
      </c>
      <c r="L1627" s="2">
        <f>IFERROR(__xludf.DUMMYFUNCTION("""COMPUTED_VALUE"""),17.7)</f>
        <v>17.7</v>
      </c>
    </row>
    <row r="1628">
      <c r="A1628" s="2">
        <f>IFERROR(__xludf.DUMMYFUNCTION("""COMPUTED_VALUE"""),489575.0)</f>
        <v>489575</v>
      </c>
      <c r="B1628" s="2" t="str">
        <f>IFERROR(__xludf.DUMMYFUNCTION("""COMPUTED_VALUE"""),"21481")</f>
        <v>21481</v>
      </c>
      <c r="C1628" s="2" t="str">
        <f>IFERROR(__xludf.DUMMYFUNCTION("""COMPUTED_VALUE"""),"FAWN BLUE HOT WATER BOTTLE")</f>
        <v>FAWN BLUE HOT WATER BOTTLE</v>
      </c>
      <c r="D1628" s="2">
        <f>IFERROR(__xludf.DUMMYFUNCTION("""COMPUTED_VALUE"""),6.0)</f>
        <v>6</v>
      </c>
      <c r="E1628" s="6">
        <f>IFERROR(__xludf.DUMMYFUNCTION("""COMPUTED_VALUE"""),40148.56736111111)</f>
        <v>40148.56736</v>
      </c>
      <c r="F1628" s="2">
        <f>IFERROR(__xludf.DUMMYFUNCTION("""COMPUTED_VALUE"""),2.95)</f>
        <v>2.95</v>
      </c>
      <c r="G1628" s="2">
        <f>IFERROR(__xludf.DUMMYFUNCTION("""COMPUTED_VALUE"""),13590.0)</f>
        <v>13590</v>
      </c>
      <c r="H1628" s="2" t="str">
        <f>IFERROR(__xludf.DUMMYFUNCTION("""COMPUTED_VALUE"""),"United Kingdom")</f>
        <v>United Kingdom</v>
      </c>
      <c r="I1628" s="7">
        <f>IFERROR(__xludf.DUMMYFUNCTION("""COMPUTED_VALUE"""),40148.0)</f>
        <v>40148</v>
      </c>
      <c r="J1628" s="8">
        <f>IFERROR(__xludf.DUMMYFUNCTION("""COMPUTED_VALUE"""),0.5673611111124046)</f>
        <v>0.5673611111</v>
      </c>
      <c r="K1628" s="2">
        <f>IFERROR(__xludf.DUMMYFUNCTION("""COMPUTED_VALUE"""),13.0)</f>
        <v>13</v>
      </c>
      <c r="L1628" s="2">
        <f>IFERROR(__xludf.DUMMYFUNCTION("""COMPUTED_VALUE"""),17.7)</f>
        <v>17.7</v>
      </c>
    </row>
    <row r="1629">
      <c r="A1629" s="2"/>
      <c r="B1629" s="2" t="str">
        <f>IFERROR(__xludf.DUMMYFUNCTION("""COMPUTED_VALUE"""),"37503")</f>
        <v>37503</v>
      </c>
      <c r="C1629" s="2" t="str">
        <f>IFERROR(__xludf.DUMMYFUNCTION("""COMPUTED_VALUE"""),"TEA TIME CAKE STAND IN GIFT BOX")</f>
        <v>TEA TIME CAKE STAND IN GIFT BOX</v>
      </c>
      <c r="D1629" s="2">
        <f>IFERROR(__xludf.DUMMYFUNCTION("""COMPUTED_VALUE"""),-3.0)</f>
        <v>-3</v>
      </c>
      <c r="E1629" s="6">
        <f>IFERROR(__xludf.DUMMYFUNCTION("""COMPUTED_VALUE"""),40148.56805555556)</f>
        <v>40148.56806</v>
      </c>
      <c r="F1629" s="2">
        <f>IFERROR(__xludf.DUMMYFUNCTION("""COMPUTED_VALUE"""),9.95)</f>
        <v>9.95</v>
      </c>
      <c r="G1629" s="2">
        <f>IFERROR(__xludf.DUMMYFUNCTION("""COMPUTED_VALUE"""),14030.0)</f>
        <v>14030</v>
      </c>
      <c r="H1629" s="2" t="str">
        <f>IFERROR(__xludf.DUMMYFUNCTION("""COMPUTED_VALUE"""),"United Kingdom")</f>
        <v>United Kingdom</v>
      </c>
      <c r="I1629" s="7">
        <f>IFERROR(__xludf.DUMMYFUNCTION("""COMPUTED_VALUE"""),40148.0)</f>
        <v>40148</v>
      </c>
      <c r="J1629" s="8">
        <f>IFERROR(__xludf.DUMMYFUNCTION("""COMPUTED_VALUE"""),0.5680555555554747)</f>
        <v>0.5680555556</v>
      </c>
      <c r="K1629" s="2">
        <f>IFERROR(__xludf.DUMMYFUNCTION("""COMPUTED_VALUE"""),13.0)</f>
        <v>13</v>
      </c>
      <c r="L1629" s="2">
        <f>IFERROR(__xludf.DUMMYFUNCTION("""COMPUTED_VALUE"""),-29.8499999999999)</f>
        <v>-29.85</v>
      </c>
    </row>
    <row r="1630">
      <c r="A1630" s="2"/>
      <c r="B1630" s="2" t="str">
        <f>IFERROR(__xludf.DUMMYFUNCTION("""COMPUTED_VALUE"""),"22127")</f>
        <v>22127</v>
      </c>
      <c r="C1630" s="2" t="str">
        <f>IFERROR(__xludf.DUMMYFUNCTION("""COMPUTED_VALUE"""),"PARTY CONES CARNIVAL ASSORTED")</f>
        <v>PARTY CONES CARNIVAL ASSORTED</v>
      </c>
      <c r="D1630" s="2">
        <f>IFERROR(__xludf.DUMMYFUNCTION("""COMPUTED_VALUE"""),-48.0)</f>
        <v>-48</v>
      </c>
      <c r="E1630" s="6">
        <f>IFERROR(__xludf.DUMMYFUNCTION("""COMPUTED_VALUE"""),40148.56805555556)</f>
        <v>40148.56806</v>
      </c>
      <c r="F1630" s="2">
        <f>IFERROR(__xludf.DUMMYFUNCTION("""COMPUTED_VALUE"""),1.25)</f>
        <v>1.25</v>
      </c>
      <c r="G1630" s="2">
        <f>IFERROR(__xludf.DUMMYFUNCTION("""COMPUTED_VALUE"""),14030.0)</f>
        <v>14030</v>
      </c>
      <c r="H1630" s="2" t="str">
        <f>IFERROR(__xludf.DUMMYFUNCTION("""COMPUTED_VALUE"""),"United Kingdom")</f>
        <v>United Kingdom</v>
      </c>
      <c r="I1630" s="7">
        <f>IFERROR(__xludf.DUMMYFUNCTION("""COMPUTED_VALUE"""),40148.0)</f>
        <v>40148</v>
      </c>
      <c r="J1630" s="8">
        <f>IFERROR(__xludf.DUMMYFUNCTION("""COMPUTED_VALUE"""),0.5680555555554747)</f>
        <v>0.5680555556</v>
      </c>
      <c r="K1630" s="2">
        <f>IFERROR(__xludf.DUMMYFUNCTION("""COMPUTED_VALUE"""),13.0)</f>
        <v>13</v>
      </c>
      <c r="L1630" s="2">
        <f>IFERROR(__xludf.DUMMYFUNCTION("""COMPUTED_VALUE"""),-60.0)</f>
        <v>-60</v>
      </c>
    </row>
    <row r="1631">
      <c r="A1631" s="2"/>
      <c r="B1631" s="2" t="str">
        <f>IFERROR(__xludf.DUMMYFUNCTION("""COMPUTED_VALUE"""),"37501")</f>
        <v>37501</v>
      </c>
      <c r="C1631" s="2" t="str">
        <f>IFERROR(__xludf.DUMMYFUNCTION("""COMPUTED_VALUE"""),"TEA TIME TEA SET IN GIFT BOX")</f>
        <v>TEA TIME TEA SET IN GIFT BOX</v>
      </c>
      <c r="D1631" s="2">
        <f>IFERROR(__xludf.DUMMYFUNCTION("""COMPUTED_VALUE"""),-1.0)</f>
        <v>-1</v>
      </c>
      <c r="E1631" s="6">
        <f>IFERROR(__xludf.DUMMYFUNCTION("""COMPUTED_VALUE"""),40148.56805555556)</f>
        <v>40148.56806</v>
      </c>
      <c r="F1631" s="2">
        <f>IFERROR(__xludf.DUMMYFUNCTION("""COMPUTED_VALUE"""),6.95)</f>
        <v>6.95</v>
      </c>
      <c r="G1631" s="2">
        <f>IFERROR(__xludf.DUMMYFUNCTION("""COMPUTED_VALUE"""),14030.0)</f>
        <v>14030</v>
      </c>
      <c r="H1631" s="2" t="str">
        <f>IFERROR(__xludf.DUMMYFUNCTION("""COMPUTED_VALUE"""),"United Kingdom")</f>
        <v>United Kingdom</v>
      </c>
      <c r="I1631" s="7">
        <f>IFERROR(__xludf.DUMMYFUNCTION("""COMPUTED_VALUE"""),40148.0)</f>
        <v>40148</v>
      </c>
      <c r="J1631" s="8">
        <f>IFERROR(__xludf.DUMMYFUNCTION("""COMPUTED_VALUE"""),0.5680555555554747)</f>
        <v>0.5680555556</v>
      </c>
      <c r="K1631" s="2">
        <f>IFERROR(__xludf.DUMMYFUNCTION("""COMPUTED_VALUE"""),13.0)</f>
        <v>13</v>
      </c>
      <c r="L1631" s="2">
        <f>IFERROR(__xludf.DUMMYFUNCTION("""COMPUTED_VALUE"""),-6.95)</f>
        <v>-6.95</v>
      </c>
    </row>
    <row r="1632">
      <c r="A1632" s="2">
        <f>IFERROR(__xludf.DUMMYFUNCTION("""COMPUTED_VALUE"""),489576.0)</f>
        <v>489576</v>
      </c>
      <c r="B1632" s="2" t="str">
        <f>IFERROR(__xludf.DUMMYFUNCTION("""COMPUTED_VALUE"""),"85049E")</f>
        <v>85049E</v>
      </c>
      <c r="C1632" s="2" t="str">
        <f>IFERROR(__xludf.DUMMYFUNCTION("""COMPUTED_VALUE"""),"SCANDINAVIAN REDS RIBBONS")</f>
        <v>SCANDINAVIAN REDS RIBBONS</v>
      </c>
      <c r="D1632" s="2">
        <f>IFERROR(__xludf.DUMMYFUNCTION("""COMPUTED_VALUE"""),5.0)</f>
        <v>5</v>
      </c>
      <c r="E1632" s="6">
        <f>IFERROR(__xludf.DUMMYFUNCTION("""COMPUTED_VALUE"""),40148.56805555556)</f>
        <v>40148.56806</v>
      </c>
      <c r="F1632" s="2">
        <f>IFERROR(__xludf.DUMMYFUNCTION("""COMPUTED_VALUE"""),1.25)</f>
        <v>1.25</v>
      </c>
      <c r="G1632" s="2">
        <f>IFERROR(__xludf.DUMMYFUNCTION("""COMPUTED_VALUE"""),15984.0)</f>
        <v>15984</v>
      </c>
      <c r="H1632" s="2" t="str">
        <f>IFERROR(__xludf.DUMMYFUNCTION("""COMPUTED_VALUE"""),"United Kingdom")</f>
        <v>United Kingdom</v>
      </c>
      <c r="I1632" s="7">
        <f>IFERROR(__xludf.DUMMYFUNCTION("""COMPUTED_VALUE"""),40148.0)</f>
        <v>40148</v>
      </c>
      <c r="J1632" s="8">
        <f>IFERROR(__xludf.DUMMYFUNCTION("""COMPUTED_VALUE"""),0.5680555555554747)</f>
        <v>0.5680555556</v>
      </c>
      <c r="K1632" s="2">
        <f>IFERROR(__xludf.DUMMYFUNCTION("""COMPUTED_VALUE"""),13.0)</f>
        <v>13</v>
      </c>
      <c r="L1632" s="2">
        <f>IFERROR(__xludf.DUMMYFUNCTION("""COMPUTED_VALUE"""),6.25)</f>
        <v>6.25</v>
      </c>
    </row>
    <row r="1633">
      <c r="A1633" s="2">
        <f>IFERROR(__xludf.DUMMYFUNCTION("""COMPUTED_VALUE"""),489576.0)</f>
        <v>489576</v>
      </c>
      <c r="B1633" s="2" t="str">
        <f>IFERROR(__xludf.DUMMYFUNCTION("""COMPUTED_VALUE"""),"85049A")</f>
        <v>85049A</v>
      </c>
      <c r="C1633" s="2" t="str">
        <f>IFERROR(__xludf.DUMMYFUNCTION("""COMPUTED_VALUE"""),"TRADITIONAL CHRISTMAS RIBBONS")</f>
        <v>TRADITIONAL CHRISTMAS RIBBONS</v>
      </c>
      <c r="D1633" s="2">
        <f>IFERROR(__xludf.DUMMYFUNCTION("""COMPUTED_VALUE"""),17.0)</f>
        <v>17</v>
      </c>
      <c r="E1633" s="6">
        <f>IFERROR(__xludf.DUMMYFUNCTION("""COMPUTED_VALUE"""),40148.56805555556)</f>
        <v>40148.56806</v>
      </c>
      <c r="F1633" s="2">
        <f>IFERROR(__xludf.DUMMYFUNCTION("""COMPUTED_VALUE"""),1.25)</f>
        <v>1.25</v>
      </c>
      <c r="G1633" s="2">
        <f>IFERROR(__xludf.DUMMYFUNCTION("""COMPUTED_VALUE"""),15984.0)</f>
        <v>15984</v>
      </c>
      <c r="H1633" s="2" t="str">
        <f>IFERROR(__xludf.DUMMYFUNCTION("""COMPUTED_VALUE"""),"United Kingdom")</f>
        <v>United Kingdom</v>
      </c>
      <c r="I1633" s="7">
        <f>IFERROR(__xludf.DUMMYFUNCTION("""COMPUTED_VALUE"""),40148.0)</f>
        <v>40148</v>
      </c>
      <c r="J1633" s="8">
        <f>IFERROR(__xludf.DUMMYFUNCTION("""COMPUTED_VALUE"""),0.5680555555554747)</f>
        <v>0.5680555556</v>
      </c>
      <c r="K1633" s="2">
        <f>IFERROR(__xludf.DUMMYFUNCTION("""COMPUTED_VALUE"""),13.0)</f>
        <v>13</v>
      </c>
      <c r="L1633" s="2">
        <f>IFERROR(__xludf.DUMMYFUNCTION("""COMPUTED_VALUE"""),21.25)</f>
        <v>21.25</v>
      </c>
    </row>
    <row r="1634">
      <c r="A1634" s="2">
        <f>IFERROR(__xludf.DUMMYFUNCTION("""COMPUTED_VALUE"""),489576.0)</f>
        <v>489576</v>
      </c>
      <c r="B1634" s="2" t="str">
        <f>IFERROR(__xludf.DUMMYFUNCTION("""COMPUTED_VALUE"""),"84352")</f>
        <v>84352</v>
      </c>
      <c r="C1634" s="2" t="str">
        <f>IFERROR(__xludf.DUMMYFUNCTION("""COMPUTED_VALUE"""),"SILVER CHRISTMAS TREE BAUBLE STAND")</f>
        <v>SILVER CHRISTMAS TREE BAUBLE STAND</v>
      </c>
      <c r="D1634" s="2">
        <f>IFERROR(__xludf.DUMMYFUNCTION("""COMPUTED_VALUE"""),1.0)</f>
        <v>1</v>
      </c>
      <c r="E1634" s="6">
        <f>IFERROR(__xludf.DUMMYFUNCTION("""COMPUTED_VALUE"""),40148.56805555556)</f>
        <v>40148.56806</v>
      </c>
      <c r="F1634" s="2">
        <f>IFERROR(__xludf.DUMMYFUNCTION("""COMPUTED_VALUE"""),16.95)</f>
        <v>16.95</v>
      </c>
      <c r="G1634" s="2">
        <f>IFERROR(__xludf.DUMMYFUNCTION("""COMPUTED_VALUE"""),15984.0)</f>
        <v>15984</v>
      </c>
      <c r="H1634" s="2" t="str">
        <f>IFERROR(__xludf.DUMMYFUNCTION("""COMPUTED_VALUE"""),"United Kingdom")</f>
        <v>United Kingdom</v>
      </c>
      <c r="I1634" s="7">
        <f>IFERROR(__xludf.DUMMYFUNCTION("""COMPUTED_VALUE"""),40148.0)</f>
        <v>40148</v>
      </c>
      <c r="J1634" s="8">
        <f>IFERROR(__xludf.DUMMYFUNCTION("""COMPUTED_VALUE"""),0.5680555555554747)</f>
        <v>0.5680555556</v>
      </c>
      <c r="K1634" s="2">
        <f>IFERROR(__xludf.DUMMYFUNCTION("""COMPUTED_VALUE"""),13.0)</f>
        <v>13</v>
      </c>
      <c r="L1634" s="2">
        <f>IFERROR(__xludf.DUMMYFUNCTION("""COMPUTED_VALUE"""),16.95)</f>
        <v>16.95</v>
      </c>
    </row>
    <row r="1635">
      <c r="A1635" s="2">
        <f>IFERROR(__xludf.DUMMYFUNCTION("""COMPUTED_VALUE"""),489576.0)</f>
        <v>489576</v>
      </c>
      <c r="B1635" s="2" t="str">
        <f>IFERROR(__xludf.DUMMYFUNCTION("""COMPUTED_VALUE"""),"21842")</f>
        <v>21842</v>
      </c>
      <c r="C1635" s="2" t="str">
        <f>IFERROR(__xludf.DUMMYFUNCTION("""COMPUTED_VALUE"""),"PINK HEART CANDY BUTTON CALCULATOR")</f>
        <v>PINK HEART CANDY BUTTON CALCULATOR</v>
      </c>
      <c r="D1635" s="2">
        <f>IFERROR(__xludf.DUMMYFUNCTION("""COMPUTED_VALUE"""),8.0)</f>
        <v>8</v>
      </c>
      <c r="E1635" s="6">
        <f>IFERROR(__xludf.DUMMYFUNCTION("""COMPUTED_VALUE"""),40148.56805555556)</f>
        <v>40148.56806</v>
      </c>
      <c r="F1635" s="2">
        <f>IFERROR(__xludf.DUMMYFUNCTION("""COMPUTED_VALUE"""),2.55)</f>
        <v>2.55</v>
      </c>
      <c r="G1635" s="2">
        <f>IFERROR(__xludf.DUMMYFUNCTION("""COMPUTED_VALUE"""),15984.0)</f>
        <v>15984</v>
      </c>
      <c r="H1635" s="2" t="str">
        <f>IFERROR(__xludf.DUMMYFUNCTION("""COMPUTED_VALUE"""),"United Kingdom")</f>
        <v>United Kingdom</v>
      </c>
      <c r="I1635" s="7">
        <f>IFERROR(__xludf.DUMMYFUNCTION("""COMPUTED_VALUE"""),40148.0)</f>
        <v>40148</v>
      </c>
      <c r="J1635" s="8">
        <f>IFERROR(__xludf.DUMMYFUNCTION("""COMPUTED_VALUE"""),0.5680555555554747)</f>
        <v>0.5680555556</v>
      </c>
      <c r="K1635" s="2">
        <f>IFERROR(__xludf.DUMMYFUNCTION("""COMPUTED_VALUE"""),13.0)</f>
        <v>13</v>
      </c>
      <c r="L1635" s="2">
        <f>IFERROR(__xludf.DUMMYFUNCTION("""COMPUTED_VALUE"""),20.4)</f>
        <v>20.4</v>
      </c>
    </row>
    <row r="1636">
      <c r="A1636" s="2">
        <f>IFERROR(__xludf.DUMMYFUNCTION("""COMPUTED_VALUE"""),489576.0)</f>
        <v>489576</v>
      </c>
      <c r="B1636" s="2" t="str">
        <f>IFERROR(__xludf.DUMMYFUNCTION("""COMPUTED_VALUE"""),"22152")</f>
        <v>22152</v>
      </c>
      <c r="C1636" s="2" t="str">
        <f>IFERROR(__xludf.DUMMYFUNCTION("""COMPUTED_VALUE"""),"PLACE SETTING WHITE STAR")</f>
        <v>PLACE SETTING WHITE STAR</v>
      </c>
      <c r="D1636" s="2">
        <f>IFERROR(__xludf.DUMMYFUNCTION("""COMPUTED_VALUE"""),24.0)</f>
        <v>24</v>
      </c>
      <c r="E1636" s="6">
        <f>IFERROR(__xludf.DUMMYFUNCTION("""COMPUTED_VALUE"""),40148.56805555556)</f>
        <v>40148.56806</v>
      </c>
      <c r="F1636" s="2">
        <f>IFERROR(__xludf.DUMMYFUNCTION("""COMPUTED_VALUE"""),0.42)</f>
        <v>0.42</v>
      </c>
      <c r="G1636" s="2">
        <f>IFERROR(__xludf.DUMMYFUNCTION("""COMPUTED_VALUE"""),15984.0)</f>
        <v>15984</v>
      </c>
      <c r="H1636" s="2" t="str">
        <f>IFERROR(__xludf.DUMMYFUNCTION("""COMPUTED_VALUE"""),"United Kingdom")</f>
        <v>United Kingdom</v>
      </c>
      <c r="I1636" s="7">
        <f>IFERROR(__xludf.DUMMYFUNCTION("""COMPUTED_VALUE"""),40148.0)</f>
        <v>40148</v>
      </c>
      <c r="J1636" s="8">
        <f>IFERROR(__xludf.DUMMYFUNCTION("""COMPUTED_VALUE"""),0.5680555555554747)</f>
        <v>0.5680555556</v>
      </c>
      <c r="K1636" s="2">
        <f>IFERROR(__xludf.DUMMYFUNCTION("""COMPUTED_VALUE"""),13.0)</f>
        <v>13</v>
      </c>
      <c r="L1636" s="2">
        <f>IFERROR(__xludf.DUMMYFUNCTION("""COMPUTED_VALUE"""),10.08)</f>
        <v>10.08</v>
      </c>
    </row>
    <row r="1637">
      <c r="A1637" s="2">
        <f>IFERROR(__xludf.DUMMYFUNCTION("""COMPUTED_VALUE"""),489576.0)</f>
        <v>489576</v>
      </c>
      <c r="B1637" s="2" t="str">
        <f>IFERROR(__xludf.DUMMYFUNCTION("""COMPUTED_VALUE"""),"84836")</f>
        <v>84836</v>
      </c>
      <c r="C1637" s="2" t="str">
        <f>IFERROR(__xludf.DUMMYFUNCTION("""COMPUTED_VALUE"""),"ZINC METAL HEART DECORATION")</f>
        <v>ZINC METAL HEART DECORATION</v>
      </c>
      <c r="D1637" s="2">
        <f>IFERROR(__xludf.DUMMYFUNCTION("""COMPUTED_VALUE"""),12.0)</f>
        <v>12</v>
      </c>
      <c r="E1637" s="6">
        <f>IFERROR(__xludf.DUMMYFUNCTION("""COMPUTED_VALUE"""),40148.56805555556)</f>
        <v>40148.56806</v>
      </c>
      <c r="F1637" s="2">
        <f>IFERROR(__xludf.DUMMYFUNCTION("""COMPUTED_VALUE"""),1.25)</f>
        <v>1.25</v>
      </c>
      <c r="G1637" s="2">
        <f>IFERROR(__xludf.DUMMYFUNCTION("""COMPUTED_VALUE"""),15984.0)</f>
        <v>15984</v>
      </c>
      <c r="H1637" s="2" t="str">
        <f>IFERROR(__xludf.DUMMYFUNCTION("""COMPUTED_VALUE"""),"United Kingdom")</f>
        <v>United Kingdom</v>
      </c>
      <c r="I1637" s="7">
        <f>IFERROR(__xludf.DUMMYFUNCTION("""COMPUTED_VALUE"""),40148.0)</f>
        <v>40148</v>
      </c>
      <c r="J1637" s="8">
        <f>IFERROR(__xludf.DUMMYFUNCTION("""COMPUTED_VALUE"""),0.5680555555554747)</f>
        <v>0.5680555556</v>
      </c>
      <c r="K1637" s="2">
        <f>IFERROR(__xludf.DUMMYFUNCTION("""COMPUTED_VALUE"""),13.0)</f>
        <v>13</v>
      </c>
      <c r="L1637" s="2">
        <f>IFERROR(__xludf.DUMMYFUNCTION("""COMPUTED_VALUE"""),15.0)</f>
        <v>15</v>
      </c>
    </row>
    <row r="1638">
      <c r="A1638" s="2">
        <f>IFERROR(__xludf.DUMMYFUNCTION("""COMPUTED_VALUE"""),489576.0)</f>
        <v>489576</v>
      </c>
      <c r="B1638" s="2" t="str">
        <f>IFERROR(__xludf.DUMMYFUNCTION("""COMPUTED_VALUE"""),"85048")</f>
        <v>85048</v>
      </c>
      <c r="C1638" s="2" t="str">
        <f>IFERROR(__xludf.DUMMYFUNCTION("""COMPUTED_VALUE"""),"15CM CHRISTMAS GLASS BALL 20 LIGHTS")</f>
        <v>15CM CHRISTMAS GLASS BALL 20 LIGHTS</v>
      </c>
      <c r="D1638" s="2">
        <f>IFERROR(__xludf.DUMMYFUNCTION("""COMPUTED_VALUE"""),5.0)</f>
        <v>5</v>
      </c>
      <c r="E1638" s="6">
        <f>IFERROR(__xludf.DUMMYFUNCTION("""COMPUTED_VALUE"""),40148.56805555556)</f>
        <v>40148.56806</v>
      </c>
      <c r="F1638" s="2">
        <f>IFERROR(__xludf.DUMMYFUNCTION("""COMPUTED_VALUE"""),7.95)</f>
        <v>7.95</v>
      </c>
      <c r="G1638" s="2">
        <f>IFERROR(__xludf.DUMMYFUNCTION("""COMPUTED_VALUE"""),15984.0)</f>
        <v>15984</v>
      </c>
      <c r="H1638" s="2" t="str">
        <f>IFERROR(__xludf.DUMMYFUNCTION("""COMPUTED_VALUE"""),"United Kingdom")</f>
        <v>United Kingdom</v>
      </c>
      <c r="I1638" s="7">
        <f>IFERROR(__xludf.DUMMYFUNCTION("""COMPUTED_VALUE"""),40148.0)</f>
        <v>40148</v>
      </c>
      <c r="J1638" s="8">
        <f>IFERROR(__xludf.DUMMYFUNCTION("""COMPUTED_VALUE"""),0.5680555555554747)</f>
        <v>0.5680555556</v>
      </c>
      <c r="K1638" s="2">
        <f>IFERROR(__xludf.DUMMYFUNCTION("""COMPUTED_VALUE"""),13.0)</f>
        <v>13</v>
      </c>
      <c r="L1638" s="2">
        <f>IFERROR(__xludf.DUMMYFUNCTION("""COMPUTED_VALUE"""),39.75)</f>
        <v>39.75</v>
      </c>
    </row>
    <row r="1639">
      <c r="A1639" s="2">
        <f>IFERROR(__xludf.DUMMYFUNCTION("""COMPUTED_VALUE"""),489576.0)</f>
        <v>489576</v>
      </c>
      <c r="B1639" s="2" t="str">
        <f>IFERROR(__xludf.DUMMYFUNCTION("""COMPUTED_VALUE"""),"21385")</f>
        <v>21385</v>
      </c>
      <c r="C1639" s="2" t="str">
        <f>IFERROR(__xludf.DUMMYFUNCTION("""COMPUTED_VALUE"""),"IVORY HANGING DECORATION HEART")</f>
        <v>IVORY HANGING DECORATION HEART</v>
      </c>
      <c r="D1639" s="2">
        <f>IFERROR(__xludf.DUMMYFUNCTION("""COMPUTED_VALUE"""),24.0)</f>
        <v>24</v>
      </c>
      <c r="E1639" s="6">
        <f>IFERROR(__xludf.DUMMYFUNCTION("""COMPUTED_VALUE"""),40148.56805555556)</f>
        <v>40148.56806</v>
      </c>
      <c r="F1639" s="2">
        <f>IFERROR(__xludf.DUMMYFUNCTION("""COMPUTED_VALUE"""),0.85)</f>
        <v>0.85</v>
      </c>
      <c r="G1639" s="2">
        <f>IFERROR(__xludf.DUMMYFUNCTION("""COMPUTED_VALUE"""),15984.0)</f>
        <v>15984</v>
      </c>
      <c r="H1639" s="2" t="str">
        <f>IFERROR(__xludf.DUMMYFUNCTION("""COMPUTED_VALUE"""),"United Kingdom")</f>
        <v>United Kingdom</v>
      </c>
      <c r="I1639" s="7">
        <f>IFERROR(__xludf.DUMMYFUNCTION("""COMPUTED_VALUE"""),40148.0)</f>
        <v>40148</v>
      </c>
      <c r="J1639" s="8">
        <f>IFERROR(__xludf.DUMMYFUNCTION("""COMPUTED_VALUE"""),0.5680555555554747)</f>
        <v>0.5680555556</v>
      </c>
      <c r="K1639" s="2">
        <f>IFERROR(__xludf.DUMMYFUNCTION("""COMPUTED_VALUE"""),13.0)</f>
        <v>13</v>
      </c>
      <c r="L1639" s="2">
        <f>IFERROR(__xludf.DUMMYFUNCTION("""COMPUTED_VALUE"""),20.4)</f>
        <v>20.4</v>
      </c>
    </row>
    <row r="1640">
      <c r="A1640" s="2">
        <f>IFERROR(__xludf.DUMMYFUNCTION("""COMPUTED_VALUE"""),489576.0)</f>
        <v>489576</v>
      </c>
      <c r="B1640" s="2" t="str">
        <f>IFERROR(__xludf.DUMMYFUNCTION("""COMPUTED_VALUE"""),"22086")</f>
        <v>22086</v>
      </c>
      <c r="C1640" s="2" t="str">
        <f>IFERROR(__xludf.DUMMYFUNCTION("""COMPUTED_VALUE"""),"PAPER CHAIN KIT 50'S CHRISTMAS")</f>
        <v>PAPER CHAIN KIT 50'S CHRISTMAS</v>
      </c>
      <c r="D1640" s="2">
        <f>IFERROR(__xludf.DUMMYFUNCTION("""COMPUTED_VALUE"""),10.0)</f>
        <v>10</v>
      </c>
      <c r="E1640" s="6">
        <f>IFERROR(__xludf.DUMMYFUNCTION("""COMPUTED_VALUE"""),40148.56805555556)</f>
        <v>40148.56806</v>
      </c>
      <c r="F1640" s="2">
        <f>IFERROR(__xludf.DUMMYFUNCTION("""COMPUTED_VALUE"""),2.95)</f>
        <v>2.95</v>
      </c>
      <c r="G1640" s="2">
        <f>IFERROR(__xludf.DUMMYFUNCTION("""COMPUTED_VALUE"""),15984.0)</f>
        <v>15984</v>
      </c>
      <c r="H1640" s="2" t="str">
        <f>IFERROR(__xludf.DUMMYFUNCTION("""COMPUTED_VALUE"""),"United Kingdom")</f>
        <v>United Kingdom</v>
      </c>
      <c r="I1640" s="7">
        <f>IFERROR(__xludf.DUMMYFUNCTION("""COMPUTED_VALUE"""),40148.0)</f>
        <v>40148</v>
      </c>
      <c r="J1640" s="8">
        <f>IFERROR(__xludf.DUMMYFUNCTION("""COMPUTED_VALUE"""),0.5680555555554747)</f>
        <v>0.5680555556</v>
      </c>
      <c r="K1640" s="2">
        <f>IFERROR(__xludf.DUMMYFUNCTION("""COMPUTED_VALUE"""),13.0)</f>
        <v>13</v>
      </c>
      <c r="L1640" s="2">
        <f>IFERROR(__xludf.DUMMYFUNCTION("""COMPUTED_VALUE"""),29.5)</f>
        <v>29.5</v>
      </c>
    </row>
    <row r="1641">
      <c r="A1641" s="2">
        <f>IFERROR(__xludf.DUMMYFUNCTION("""COMPUTED_VALUE"""),489576.0)</f>
        <v>489576</v>
      </c>
      <c r="B1641" s="2" t="str">
        <f>IFERROR(__xludf.DUMMYFUNCTION("""COMPUTED_VALUE"""),"22296")</f>
        <v>22296</v>
      </c>
      <c r="C1641" s="2" t="str">
        <f>IFERROR(__xludf.DUMMYFUNCTION("""COMPUTED_VALUE"""),"HEART IVORY TRELLIS LARGE")</f>
        <v>HEART IVORY TRELLIS LARGE</v>
      </c>
      <c r="D1641" s="2">
        <f>IFERROR(__xludf.DUMMYFUNCTION("""COMPUTED_VALUE"""),12.0)</f>
        <v>12</v>
      </c>
      <c r="E1641" s="6">
        <f>IFERROR(__xludf.DUMMYFUNCTION("""COMPUTED_VALUE"""),40148.56805555556)</f>
        <v>40148.56806</v>
      </c>
      <c r="F1641" s="2">
        <f>IFERROR(__xludf.DUMMYFUNCTION("""COMPUTED_VALUE"""),1.65)</f>
        <v>1.65</v>
      </c>
      <c r="G1641" s="2">
        <f>IFERROR(__xludf.DUMMYFUNCTION("""COMPUTED_VALUE"""),15984.0)</f>
        <v>15984</v>
      </c>
      <c r="H1641" s="2" t="str">
        <f>IFERROR(__xludf.DUMMYFUNCTION("""COMPUTED_VALUE"""),"United Kingdom")</f>
        <v>United Kingdom</v>
      </c>
      <c r="I1641" s="7">
        <f>IFERROR(__xludf.DUMMYFUNCTION("""COMPUTED_VALUE"""),40148.0)</f>
        <v>40148</v>
      </c>
      <c r="J1641" s="8">
        <f>IFERROR(__xludf.DUMMYFUNCTION("""COMPUTED_VALUE"""),0.5680555555554747)</f>
        <v>0.5680555556</v>
      </c>
      <c r="K1641" s="2">
        <f>IFERROR(__xludf.DUMMYFUNCTION("""COMPUTED_VALUE"""),13.0)</f>
        <v>13</v>
      </c>
      <c r="L1641" s="2">
        <f>IFERROR(__xludf.DUMMYFUNCTION("""COMPUTED_VALUE"""),19.7999999999999)</f>
        <v>19.8</v>
      </c>
    </row>
    <row r="1642">
      <c r="A1642" s="2">
        <f>IFERROR(__xludf.DUMMYFUNCTION("""COMPUTED_VALUE"""),489576.0)</f>
        <v>489576</v>
      </c>
      <c r="B1642" s="2" t="str">
        <f>IFERROR(__xludf.DUMMYFUNCTION("""COMPUTED_VALUE"""),"22151")</f>
        <v>22151</v>
      </c>
      <c r="C1642" s="2" t="str">
        <f>IFERROR(__xludf.DUMMYFUNCTION("""COMPUTED_VALUE"""),"PLACE SETTING WHITE HEART")</f>
        <v>PLACE SETTING WHITE HEART</v>
      </c>
      <c r="D1642" s="2">
        <f>IFERROR(__xludf.DUMMYFUNCTION("""COMPUTED_VALUE"""),24.0)</f>
        <v>24</v>
      </c>
      <c r="E1642" s="6">
        <f>IFERROR(__xludf.DUMMYFUNCTION("""COMPUTED_VALUE"""),40148.56805555556)</f>
        <v>40148.56806</v>
      </c>
      <c r="F1642" s="2">
        <f>IFERROR(__xludf.DUMMYFUNCTION("""COMPUTED_VALUE"""),0.42)</f>
        <v>0.42</v>
      </c>
      <c r="G1642" s="2">
        <f>IFERROR(__xludf.DUMMYFUNCTION("""COMPUTED_VALUE"""),15984.0)</f>
        <v>15984</v>
      </c>
      <c r="H1642" s="2" t="str">
        <f>IFERROR(__xludf.DUMMYFUNCTION("""COMPUTED_VALUE"""),"United Kingdom")</f>
        <v>United Kingdom</v>
      </c>
      <c r="I1642" s="7">
        <f>IFERROR(__xludf.DUMMYFUNCTION("""COMPUTED_VALUE"""),40148.0)</f>
        <v>40148</v>
      </c>
      <c r="J1642" s="8">
        <f>IFERROR(__xludf.DUMMYFUNCTION("""COMPUTED_VALUE"""),0.5680555555554747)</f>
        <v>0.5680555556</v>
      </c>
      <c r="K1642" s="2">
        <f>IFERROR(__xludf.DUMMYFUNCTION("""COMPUTED_VALUE"""),13.0)</f>
        <v>13</v>
      </c>
      <c r="L1642" s="2">
        <f>IFERROR(__xludf.DUMMYFUNCTION("""COMPUTED_VALUE"""),10.08)</f>
        <v>10.08</v>
      </c>
    </row>
    <row r="1643">
      <c r="A1643" s="2">
        <f>IFERROR(__xludf.DUMMYFUNCTION("""COMPUTED_VALUE"""),489576.0)</f>
        <v>489576</v>
      </c>
      <c r="B1643" s="2" t="str">
        <f>IFERROR(__xludf.DUMMYFUNCTION("""COMPUTED_VALUE"""),"21929")</f>
        <v>21929</v>
      </c>
      <c r="C1643" s="2" t="str">
        <f>IFERROR(__xludf.DUMMYFUNCTION("""COMPUTED_VALUE"""),"JUMBO BAG PINK VINTAGE PAISLEY")</f>
        <v>JUMBO BAG PINK VINTAGE PAISLEY</v>
      </c>
      <c r="D1643" s="2">
        <f>IFERROR(__xludf.DUMMYFUNCTION("""COMPUTED_VALUE"""),3.0)</f>
        <v>3</v>
      </c>
      <c r="E1643" s="6">
        <f>IFERROR(__xludf.DUMMYFUNCTION("""COMPUTED_VALUE"""),40148.56805555556)</f>
        <v>40148.56806</v>
      </c>
      <c r="F1643" s="2">
        <f>IFERROR(__xludf.DUMMYFUNCTION("""COMPUTED_VALUE"""),1.95)</f>
        <v>1.95</v>
      </c>
      <c r="G1643" s="2">
        <f>IFERROR(__xludf.DUMMYFUNCTION("""COMPUTED_VALUE"""),15984.0)</f>
        <v>15984</v>
      </c>
      <c r="H1643" s="2" t="str">
        <f>IFERROR(__xludf.DUMMYFUNCTION("""COMPUTED_VALUE"""),"United Kingdom")</f>
        <v>United Kingdom</v>
      </c>
      <c r="I1643" s="7">
        <f>IFERROR(__xludf.DUMMYFUNCTION("""COMPUTED_VALUE"""),40148.0)</f>
        <v>40148</v>
      </c>
      <c r="J1643" s="8">
        <f>IFERROR(__xludf.DUMMYFUNCTION("""COMPUTED_VALUE"""),0.5680555555554747)</f>
        <v>0.5680555556</v>
      </c>
      <c r="K1643" s="2">
        <f>IFERROR(__xludf.DUMMYFUNCTION("""COMPUTED_VALUE"""),13.0)</f>
        <v>13</v>
      </c>
      <c r="L1643" s="2">
        <f>IFERROR(__xludf.DUMMYFUNCTION("""COMPUTED_VALUE"""),5.85)</f>
        <v>5.85</v>
      </c>
    </row>
    <row r="1644">
      <c r="A1644" s="2">
        <f>IFERROR(__xludf.DUMMYFUNCTION("""COMPUTED_VALUE"""),489576.0)</f>
        <v>489576</v>
      </c>
      <c r="B1644" s="2" t="str">
        <f>IFERROR(__xludf.DUMMYFUNCTION("""COMPUTED_VALUE"""),"85099F")</f>
        <v>85099F</v>
      </c>
      <c r="C1644" s="2" t="str">
        <f>IFERROR(__xludf.DUMMYFUNCTION("""COMPUTED_VALUE"""),"JUMBO BAG STRAWBERRY")</f>
        <v>JUMBO BAG STRAWBERRY</v>
      </c>
      <c r="D1644" s="2">
        <f>IFERROR(__xludf.DUMMYFUNCTION("""COMPUTED_VALUE"""),3.0)</f>
        <v>3</v>
      </c>
      <c r="E1644" s="6">
        <f>IFERROR(__xludf.DUMMYFUNCTION("""COMPUTED_VALUE"""),40148.56805555556)</f>
        <v>40148.56806</v>
      </c>
      <c r="F1644" s="2">
        <f>IFERROR(__xludf.DUMMYFUNCTION("""COMPUTED_VALUE"""),1.95)</f>
        <v>1.95</v>
      </c>
      <c r="G1644" s="2">
        <f>IFERROR(__xludf.DUMMYFUNCTION("""COMPUTED_VALUE"""),15984.0)</f>
        <v>15984</v>
      </c>
      <c r="H1644" s="2" t="str">
        <f>IFERROR(__xludf.DUMMYFUNCTION("""COMPUTED_VALUE"""),"United Kingdom")</f>
        <v>United Kingdom</v>
      </c>
      <c r="I1644" s="7">
        <f>IFERROR(__xludf.DUMMYFUNCTION("""COMPUTED_VALUE"""),40148.0)</f>
        <v>40148</v>
      </c>
      <c r="J1644" s="8">
        <f>IFERROR(__xludf.DUMMYFUNCTION("""COMPUTED_VALUE"""),0.5680555555554747)</f>
        <v>0.5680555556</v>
      </c>
      <c r="K1644" s="2">
        <f>IFERROR(__xludf.DUMMYFUNCTION("""COMPUTED_VALUE"""),13.0)</f>
        <v>13</v>
      </c>
      <c r="L1644" s="2">
        <f>IFERROR(__xludf.DUMMYFUNCTION("""COMPUTED_VALUE"""),5.85)</f>
        <v>5.85</v>
      </c>
    </row>
    <row r="1645">
      <c r="A1645" s="2">
        <f>IFERROR(__xludf.DUMMYFUNCTION("""COMPUTED_VALUE"""),489576.0)</f>
        <v>489576</v>
      </c>
      <c r="B1645" s="2" t="str">
        <f>IFERROR(__xludf.DUMMYFUNCTION("""COMPUTED_VALUE"""),"21928")</f>
        <v>21928</v>
      </c>
      <c r="C1645" s="2" t="str">
        <f>IFERROR(__xludf.DUMMYFUNCTION("""COMPUTED_VALUE"""),"JUMBO BAG SCANDINAVIAN PAISLEY")</f>
        <v>JUMBO BAG SCANDINAVIAN PAISLEY</v>
      </c>
      <c r="D1645" s="2">
        <f>IFERROR(__xludf.DUMMYFUNCTION("""COMPUTED_VALUE"""),5.0)</f>
        <v>5</v>
      </c>
      <c r="E1645" s="6">
        <f>IFERROR(__xludf.DUMMYFUNCTION("""COMPUTED_VALUE"""),40148.56805555556)</f>
        <v>40148.56806</v>
      </c>
      <c r="F1645" s="2">
        <f>IFERROR(__xludf.DUMMYFUNCTION("""COMPUTED_VALUE"""),1.95)</f>
        <v>1.95</v>
      </c>
      <c r="G1645" s="2">
        <f>IFERROR(__xludf.DUMMYFUNCTION("""COMPUTED_VALUE"""),15984.0)</f>
        <v>15984</v>
      </c>
      <c r="H1645" s="2" t="str">
        <f>IFERROR(__xludf.DUMMYFUNCTION("""COMPUTED_VALUE"""),"United Kingdom")</f>
        <v>United Kingdom</v>
      </c>
      <c r="I1645" s="7">
        <f>IFERROR(__xludf.DUMMYFUNCTION("""COMPUTED_VALUE"""),40148.0)</f>
        <v>40148</v>
      </c>
      <c r="J1645" s="8">
        <f>IFERROR(__xludf.DUMMYFUNCTION("""COMPUTED_VALUE"""),0.5680555555554747)</f>
        <v>0.5680555556</v>
      </c>
      <c r="K1645" s="2">
        <f>IFERROR(__xludf.DUMMYFUNCTION("""COMPUTED_VALUE"""),13.0)</f>
        <v>13</v>
      </c>
      <c r="L1645" s="2">
        <f>IFERROR(__xludf.DUMMYFUNCTION("""COMPUTED_VALUE"""),9.75)</f>
        <v>9.75</v>
      </c>
    </row>
    <row r="1646">
      <c r="A1646" s="2">
        <f>IFERROR(__xludf.DUMMYFUNCTION("""COMPUTED_VALUE"""),489576.0)</f>
        <v>489576</v>
      </c>
      <c r="B1646" s="2" t="str">
        <f>IFERROR(__xludf.DUMMYFUNCTION("""COMPUTED_VALUE"""),"85123A")</f>
        <v>85123A</v>
      </c>
      <c r="C1646" s="2" t="str">
        <f>IFERROR(__xludf.DUMMYFUNCTION("""COMPUTED_VALUE"""),"WHITE HANGING HEART T-LIGHT HOLDER")</f>
        <v>WHITE HANGING HEART T-LIGHT HOLDER</v>
      </c>
      <c r="D1646" s="2">
        <f>IFERROR(__xludf.DUMMYFUNCTION("""COMPUTED_VALUE"""),6.0)</f>
        <v>6</v>
      </c>
      <c r="E1646" s="6">
        <f>IFERROR(__xludf.DUMMYFUNCTION("""COMPUTED_VALUE"""),40148.56805555556)</f>
        <v>40148.56806</v>
      </c>
      <c r="F1646" s="2">
        <f>IFERROR(__xludf.DUMMYFUNCTION("""COMPUTED_VALUE"""),2.95)</f>
        <v>2.95</v>
      </c>
      <c r="G1646" s="2">
        <f>IFERROR(__xludf.DUMMYFUNCTION("""COMPUTED_VALUE"""),15984.0)</f>
        <v>15984</v>
      </c>
      <c r="H1646" s="2" t="str">
        <f>IFERROR(__xludf.DUMMYFUNCTION("""COMPUTED_VALUE"""),"United Kingdom")</f>
        <v>United Kingdom</v>
      </c>
      <c r="I1646" s="7">
        <f>IFERROR(__xludf.DUMMYFUNCTION("""COMPUTED_VALUE"""),40148.0)</f>
        <v>40148</v>
      </c>
      <c r="J1646" s="8">
        <f>IFERROR(__xludf.DUMMYFUNCTION("""COMPUTED_VALUE"""),0.5680555555554747)</f>
        <v>0.5680555556</v>
      </c>
      <c r="K1646" s="2">
        <f>IFERROR(__xludf.DUMMYFUNCTION("""COMPUTED_VALUE"""),13.0)</f>
        <v>13</v>
      </c>
      <c r="L1646" s="2">
        <f>IFERROR(__xludf.DUMMYFUNCTION("""COMPUTED_VALUE"""),17.7)</f>
        <v>17.7</v>
      </c>
    </row>
    <row r="1647">
      <c r="A1647" s="2">
        <f>IFERROR(__xludf.DUMMYFUNCTION("""COMPUTED_VALUE"""),489576.0)</f>
        <v>489576</v>
      </c>
      <c r="B1647" s="2" t="str">
        <f>IFERROR(__xludf.DUMMYFUNCTION("""COMPUTED_VALUE"""),"22113")</f>
        <v>22113</v>
      </c>
      <c r="C1647" s="2" t="str">
        <f>IFERROR(__xludf.DUMMYFUNCTION("""COMPUTED_VALUE"""),"GREY HEART HOT WATER BOTTLE")</f>
        <v>GREY HEART HOT WATER BOTTLE</v>
      </c>
      <c r="D1647" s="2">
        <f>IFERROR(__xludf.DUMMYFUNCTION("""COMPUTED_VALUE"""),18.0)</f>
        <v>18</v>
      </c>
      <c r="E1647" s="6">
        <f>IFERROR(__xludf.DUMMYFUNCTION("""COMPUTED_VALUE"""),40148.56805555556)</f>
        <v>40148.56806</v>
      </c>
      <c r="F1647" s="2">
        <f>IFERROR(__xludf.DUMMYFUNCTION("""COMPUTED_VALUE"""),3.45)</f>
        <v>3.45</v>
      </c>
      <c r="G1647" s="2">
        <f>IFERROR(__xludf.DUMMYFUNCTION("""COMPUTED_VALUE"""),15984.0)</f>
        <v>15984</v>
      </c>
      <c r="H1647" s="2" t="str">
        <f>IFERROR(__xludf.DUMMYFUNCTION("""COMPUTED_VALUE"""),"United Kingdom")</f>
        <v>United Kingdom</v>
      </c>
      <c r="I1647" s="7">
        <f>IFERROR(__xludf.DUMMYFUNCTION("""COMPUTED_VALUE"""),40148.0)</f>
        <v>40148</v>
      </c>
      <c r="J1647" s="8">
        <f>IFERROR(__xludf.DUMMYFUNCTION("""COMPUTED_VALUE"""),0.5680555555554747)</f>
        <v>0.5680555556</v>
      </c>
      <c r="K1647" s="2">
        <f>IFERROR(__xludf.DUMMYFUNCTION("""COMPUTED_VALUE"""),13.0)</f>
        <v>13</v>
      </c>
      <c r="L1647" s="2">
        <f>IFERROR(__xludf.DUMMYFUNCTION("""COMPUTED_VALUE"""),62.1)</f>
        <v>62.1</v>
      </c>
    </row>
    <row r="1648">
      <c r="A1648" s="2">
        <f>IFERROR(__xludf.DUMMYFUNCTION("""COMPUTED_VALUE"""),489576.0)</f>
        <v>489576</v>
      </c>
      <c r="B1648" s="2" t="str">
        <f>IFERROR(__xludf.DUMMYFUNCTION("""COMPUTED_VALUE"""),"35400")</f>
        <v>35400</v>
      </c>
      <c r="C1648" s="2" t="str">
        <f>IFERROR(__xludf.DUMMYFUNCTION("""COMPUTED_VALUE"""),"WOODEN BOX ADVENT CALENDAR")</f>
        <v>WOODEN BOX ADVENT CALENDAR</v>
      </c>
      <c r="D1648" s="2">
        <f>IFERROR(__xludf.DUMMYFUNCTION("""COMPUTED_VALUE"""),1.0)</f>
        <v>1</v>
      </c>
      <c r="E1648" s="6">
        <f>IFERROR(__xludf.DUMMYFUNCTION("""COMPUTED_VALUE"""),40148.56805555556)</f>
        <v>40148.56806</v>
      </c>
      <c r="F1648" s="2">
        <f>IFERROR(__xludf.DUMMYFUNCTION("""COMPUTED_VALUE"""),8.95)</f>
        <v>8.95</v>
      </c>
      <c r="G1648" s="2">
        <f>IFERROR(__xludf.DUMMYFUNCTION("""COMPUTED_VALUE"""),15984.0)</f>
        <v>15984</v>
      </c>
      <c r="H1648" s="2" t="str">
        <f>IFERROR(__xludf.DUMMYFUNCTION("""COMPUTED_VALUE"""),"United Kingdom")</f>
        <v>United Kingdom</v>
      </c>
      <c r="I1648" s="7">
        <f>IFERROR(__xludf.DUMMYFUNCTION("""COMPUTED_VALUE"""),40148.0)</f>
        <v>40148</v>
      </c>
      <c r="J1648" s="8">
        <f>IFERROR(__xludf.DUMMYFUNCTION("""COMPUTED_VALUE"""),0.5680555555554747)</f>
        <v>0.5680555556</v>
      </c>
      <c r="K1648" s="2">
        <f>IFERROR(__xludf.DUMMYFUNCTION("""COMPUTED_VALUE"""),13.0)</f>
        <v>13</v>
      </c>
      <c r="L1648" s="2">
        <f>IFERROR(__xludf.DUMMYFUNCTION("""COMPUTED_VALUE"""),8.95)</f>
        <v>8.95</v>
      </c>
    </row>
    <row r="1649">
      <c r="A1649" s="2"/>
      <c r="B1649" s="2" t="str">
        <f>IFERROR(__xludf.DUMMYFUNCTION("""COMPUTED_VALUE"""),"21481")</f>
        <v>21481</v>
      </c>
      <c r="C1649" s="2" t="str">
        <f>IFERROR(__xludf.DUMMYFUNCTION("""COMPUTED_VALUE"""),"FAWN BLUE HOT WATER BOTTLE")</f>
        <v>FAWN BLUE HOT WATER BOTTLE</v>
      </c>
      <c r="D1649" s="2">
        <f>IFERROR(__xludf.DUMMYFUNCTION("""COMPUTED_VALUE"""),-1.0)</f>
        <v>-1</v>
      </c>
      <c r="E1649" s="6">
        <f>IFERROR(__xludf.DUMMYFUNCTION("""COMPUTED_VALUE"""),40148.569444444445)</f>
        <v>40148.56944</v>
      </c>
      <c r="F1649" s="2">
        <f>IFERROR(__xludf.DUMMYFUNCTION("""COMPUTED_VALUE"""),2.95)</f>
        <v>2.95</v>
      </c>
      <c r="G1649" s="2">
        <f>IFERROR(__xludf.DUMMYFUNCTION("""COMPUTED_VALUE"""),17091.0)</f>
        <v>17091</v>
      </c>
      <c r="H1649" s="2" t="str">
        <f>IFERROR(__xludf.DUMMYFUNCTION("""COMPUTED_VALUE"""),"United Kingdom")</f>
        <v>United Kingdom</v>
      </c>
      <c r="I1649" s="7">
        <f>IFERROR(__xludf.DUMMYFUNCTION("""COMPUTED_VALUE"""),40148.0)</f>
        <v>40148</v>
      </c>
      <c r="J1649" s="8">
        <f>IFERROR(__xludf.DUMMYFUNCTION("""COMPUTED_VALUE"""),0.5694444444452529)</f>
        <v>0.5694444444</v>
      </c>
      <c r="K1649" s="2">
        <f>IFERROR(__xludf.DUMMYFUNCTION("""COMPUTED_VALUE"""),13.0)</f>
        <v>13</v>
      </c>
      <c r="L1649" s="2">
        <f>IFERROR(__xludf.DUMMYFUNCTION("""COMPUTED_VALUE"""),-2.95)</f>
        <v>-2.95</v>
      </c>
    </row>
    <row r="1650">
      <c r="A1650" s="2">
        <f>IFERROR(__xludf.DUMMYFUNCTION("""COMPUTED_VALUE"""),489579.0)</f>
        <v>489579</v>
      </c>
      <c r="B1650" s="2" t="str">
        <f>IFERROR(__xludf.DUMMYFUNCTION("""COMPUTED_VALUE"""),"35001G")</f>
        <v>35001G</v>
      </c>
      <c r="C1650" s="2" t="str">
        <f>IFERROR(__xludf.DUMMYFUNCTION("""COMPUTED_VALUE"""),"HAND OPEN SHAPE GOLD")</f>
        <v>HAND OPEN SHAPE GOLD</v>
      </c>
      <c r="D1650" s="2">
        <f>IFERROR(__xludf.DUMMYFUNCTION("""COMPUTED_VALUE"""),2.0)</f>
        <v>2</v>
      </c>
      <c r="E1650" s="6">
        <f>IFERROR(__xludf.DUMMYFUNCTION("""COMPUTED_VALUE"""),40148.570138888885)</f>
        <v>40148.57014</v>
      </c>
      <c r="F1650" s="2">
        <f>IFERROR(__xludf.DUMMYFUNCTION("""COMPUTED_VALUE"""),4.25)</f>
        <v>4.25</v>
      </c>
      <c r="G1650" s="2">
        <f>IFERROR(__xludf.DUMMYFUNCTION("""COMPUTED_VALUE"""),16887.0)</f>
        <v>16887</v>
      </c>
      <c r="H1650" s="2" t="str">
        <f>IFERROR(__xludf.DUMMYFUNCTION("""COMPUTED_VALUE"""),"United Kingdom")</f>
        <v>United Kingdom</v>
      </c>
      <c r="I1650" s="7">
        <f>IFERROR(__xludf.DUMMYFUNCTION("""COMPUTED_VALUE"""),40148.0)</f>
        <v>40148</v>
      </c>
      <c r="J1650" s="8">
        <f>IFERROR(__xludf.DUMMYFUNCTION("""COMPUTED_VALUE"""),0.570138888888323)</f>
        <v>0.5701388889</v>
      </c>
      <c r="K1650" s="2">
        <f>IFERROR(__xludf.DUMMYFUNCTION("""COMPUTED_VALUE"""),13.0)</f>
        <v>13</v>
      </c>
      <c r="L1650" s="2">
        <f>IFERROR(__xludf.DUMMYFUNCTION("""COMPUTED_VALUE"""),8.5)</f>
        <v>8.5</v>
      </c>
    </row>
    <row r="1651">
      <c r="A1651" s="2">
        <f>IFERROR(__xludf.DUMMYFUNCTION("""COMPUTED_VALUE"""),489579.0)</f>
        <v>489579</v>
      </c>
      <c r="B1651" s="2" t="str">
        <f>IFERROR(__xludf.DUMMYFUNCTION("""COMPUTED_VALUE"""),"84855")</f>
        <v>84855</v>
      </c>
      <c r="C1651" s="2" t="str">
        <f>IFERROR(__xludf.DUMMYFUNCTION("""COMPUTED_VALUE"""),"BLOKEY SILVER TOOL SET")</f>
        <v>BLOKEY SILVER TOOL SET</v>
      </c>
      <c r="D1651" s="2">
        <f>IFERROR(__xludf.DUMMYFUNCTION("""COMPUTED_VALUE"""),1.0)</f>
        <v>1</v>
      </c>
      <c r="E1651" s="6">
        <f>IFERROR(__xludf.DUMMYFUNCTION("""COMPUTED_VALUE"""),40148.570138888885)</f>
        <v>40148.57014</v>
      </c>
      <c r="F1651" s="2">
        <f>IFERROR(__xludf.DUMMYFUNCTION("""COMPUTED_VALUE"""),4.95)</f>
        <v>4.95</v>
      </c>
      <c r="G1651" s="2">
        <f>IFERROR(__xludf.DUMMYFUNCTION("""COMPUTED_VALUE"""),16887.0)</f>
        <v>16887</v>
      </c>
      <c r="H1651" s="2" t="str">
        <f>IFERROR(__xludf.DUMMYFUNCTION("""COMPUTED_VALUE"""),"United Kingdom")</f>
        <v>United Kingdom</v>
      </c>
      <c r="I1651" s="7">
        <f>IFERROR(__xludf.DUMMYFUNCTION("""COMPUTED_VALUE"""),40148.0)</f>
        <v>40148</v>
      </c>
      <c r="J1651" s="8">
        <f>IFERROR(__xludf.DUMMYFUNCTION("""COMPUTED_VALUE"""),0.570138888888323)</f>
        <v>0.5701388889</v>
      </c>
      <c r="K1651" s="2">
        <f>IFERROR(__xludf.DUMMYFUNCTION("""COMPUTED_VALUE"""),13.0)</f>
        <v>13</v>
      </c>
      <c r="L1651" s="2">
        <f>IFERROR(__xludf.DUMMYFUNCTION("""COMPUTED_VALUE"""),4.95)</f>
        <v>4.95</v>
      </c>
    </row>
    <row r="1652">
      <c r="A1652" s="2">
        <f>IFERROR(__xludf.DUMMYFUNCTION("""COMPUTED_VALUE"""),489579.0)</f>
        <v>489579</v>
      </c>
      <c r="B1652" s="2" t="str">
        <f>IFERROR(__xludf.DUMMYFUNCTION("""COMPUTED_VALUE"""),"84854")</f>
        <v>84854</v>
      </c>
      <c r="C1652" s="2" t="str">
        <f>IFERROR(__xludf.DUMMYFUNCTION("""COMPUTED_VALUE"""),"GIRLY PINK TOOL SET")</f>
        <v>GIRLY PINK TOOL SET</v>
      </c>
      <c r="D1652" s="2">
        <f>IFERROR(__xludf.DUMMYFUNCTION("""COMPUTED_VALUE"""),1.0)</f>
        <v>1</v>
      </c>
      <c r="E1652" s="6">
        <f>IFERROR(__xludf.DUMMYFUNCTION("""COMPUTED_VALUE"""),40148.570138888885)</f>
        <v>40148.57014</v>
      </c>
      <c r="F1652" s="2">
        <f>IFERROR(__xludf.DUMMYFUNCTION("""COMPUTED_VALUE"""),4.95)</f>
        <v>4.95</v>
      </c>
      <c r="G1652" s="2">
        <f>IFERROR(__xludf.DUMMYFUNCTION("""COMPUTED_VALUE"""),16887.0)</f>
        <v>16887</v>
      </c>
      <c r="H1652" s="2" t="str">
        <f>IFERROR(__xludf.DUMMYFUNCTION("""COMPUTED_VALUE"""),"United Kingdom")</f>
        <v>United Kingdom</v>
      </c>
      <c r="I1652" s="7">
        <f>IFERROR(__xludf.DUMMYFUNCTION("""COMPUTED_VALUE"""),40148.0)</f>
        <v>40148</v>
      </c>
      <c r="J1652" s="8">
        <f>IFERROR(__xludf.DUMMYFUNCTION("""COMPUTED_VALUE"""),0.570138888888323)</f>
        <v>0.5701388889</v>
      </c>
      <c r="K1652" s="2">
        <f>IFERROR(__xludf.DUMMYFUNCTION("""COMPUTED_VALUE"""),13.0)</f>
        <v>13</v>
      </c>
      <c r="L1652" s="2">
        <f>IFERROR(__xludf.DUMMYFUNCTION("""COMPUTED_VALUE"""),4.95)</f>
        <v>4.95</v>
      </c>
    </row>
    <row r="1653">
      <c r="A1653" s="2">
        <f>IFERROR(__xludf.DUMMYFUNCTION("""COMPUTED_VALUE"""),489579.0)</f>
        <v>489579</v>
      </c>
      <c r="B1653" s="2" t="str">
        <f>IFERROR(__xludf.DUMMYFUNCTION("""COMPUTED_VALUE"""),"72756")</f>
        <v>72756</v>
      </c>
      <c r="C1653" s="2" t="str">
        <f>IFERROR(__xludf.DUMMYFUNCTION("""COMPUTED_VALUE"""),"FAIRY CAKE CANDLES")</f>
        <v>FAIRY CAKE CANDLES</v>
      </c>
      <c r="D1653" s="2">
        <f>IFERROR(__xludf.DUMMYFUNCTION("""COMPUTED_VALUE"""),9.0)</f>
        <v>9</v>
      </c>
      <c r="E1653" s="6">
        <f>IFERROR(__xludf.DUMMYFUNCTION("""COMPUTED_VALUE"""),40148.570138888885)</f>
        <v>40148.57014</v>
      </c>
      <c r="F1653" s="2">
        <f>IFERROR(__xludf.DUMMYFUNCTION("""COMPUTED_VALUE"""),1.49)</f>
        <v>1.49</v>
      </c>
      <c r="G1653" s="2">
        <f>IFERROR(__xludf.DUMMYFUNCTION("""COMPUTED_VALUE"""),16887.0)</f>
        <v>16887</v>
      </c>
      <c r="H1653" s="2" t="str">
        <f>IFERROR(__xludf.DUMMYFUNCTION("""COMPUTED_VALUE"""),"United Kingdom")</f>
        <v>United Kingdom</v>
      </c>
      <c r="I1653" s="7">
        <f>IFERROR(__xludf.DUMMYFUNCTION("""COMPUTED_VALUE"""),40148.0)</f>
        <v>40148</v>
      </c>
      <c r="J1653" s="8">
        <f>IFERROR(__xludf.DUMMYFUNCTION("""COMPUTED_VALUE"""),0.570138888888323)</f>
        <v>0.5701388889</v>
      </c>
      <c r="K1653" s="2">
        <f>IFERROR(__xludf.DUMMYFUNCTION("""COMPUTED_VALUE"""),13.0)</f>
        <v>13</v>
      </c>
      <c r="L1653" s="2">
        <f>IFERROR(__xludf.DUMMYFUNCTION("""COMPUTED_VALUE"""),13.41)</f>
        <v>13.41</v>
      </c>
    </row>
    <row r="1654">
      <c r="A1654" s="2">
        <f>IFERROR(__xludf.DUMMYFUNCTION("""COMPUTED_VALUE"""),489579.0)</f>
        <v>489579</v>
      </c>
      <c r="B1654" s="2" t="str">
        <f>IFERROR(__xludf.DUMMYFUNCTION("""COMPUTED_VALUE"""),"72741")</f>
        <v>72741</v>
      </c>
      <c r="C1654" s="2" t="str">
        <f>IFERROR(__xludf.DUMMYFUNCTION("""COMPUTED_VALUE"""),"GRAND CHOCOLATECANDLE")</f>
        <v>GRAND CHOCOLATECANDLE</v>
      </c>
      <c r="D1654" s="2">
        <f>IFERROR(__xludf.DUMMYFUNCTION("""COMPUTED_VALUE"""),9.0)</f>
        <v>9</v>
      </c>
      <c r="E1654" s="6">
        <f>IFERROR(__xludf.DUMMYFUNCTION("""COMPUTED_VALUE"""),40148.570138888885)</f>
        <v>40148.57014</v>
      </c>
      <c r="F1654" s="2">
        <f>IFERROR(__xludf.DUMMYFUNCTION("""COMPUTED_VALUE"""),1.45)</f>
        <v>1.45</v>
      </c>
      <c r="G1654" s="2">
        <f>IFERROR(__xludf.DUMMYFUNCTION("""COMPUTED_VALUE"""),16887.0)</f>
        <v>16887</v>
      </c>
      <c r="H1654" s="2" t="str">
        <f>IFERROR(__xludf.DUMMYFUNCTION("""COMPUTED_VALUE"""),"United Kingdom")</f>
        <v>United Kingdom</v>
      </c>
      <c r="I1654" s="7">
        <f>IFERROR(__xludf.DUMMYFUNCTION("""COMPUTED_VALUE"""),40148.0)</f>
        <v>40148</v>
      </c>
      <c r="J1654" s="8">
        <f>IFERROR(__xludf.DUMMYFUNCTION("""COMPUTED_VALUE"""),0.570138888888323)</f>
        <v>0.5701388889</v>
      </c>
      <c r="K1654" s="2">
        <f>IFERROR(__xludf.DUMMYFUNCTION("""COMPUTED_VALUE"""),13.0)</f>
        <v>13</v>
      </c>
      <c r="L1654" s="2">
        <f>IFERROR(__xludf.DUMMYFUNCTION("""COMPUTED_VALUE"""),13.0499999999999)</f>
        <v>13.05</v>
      </c>
    </row>
    <row r="1655">
      <c r="A1655" s="2">
        <f>IFERROR(__xludf.DUMMYFUNCTION("""COMPUTED_VALUE"""),489579.0)</f>
        <v>489579</v>
      </c>
      <c r="B1655" s="2" t="str">
        <f>IFERROR(__xludf.DUMMYFUNCTION("""COMPUTED_VALUE"""),"21216")</f>
        <v>21216</v>
      </c>
      <c r="C1655" s="2" t="str">
        <f>IFERROR(__xludf.DUMMYFUNCTION("""COMPUTED_VALUE"""),"SET 3 RED SPOT TIN TEA,COFFEE,SUGAR")</f>
        <v>SET 3 RED SPOT TIN TEA,COFFEE,SUGAR</v>
      </c>
      <c r="D1655" s="2">
        <f>IFERROR(__xludf.DUMMYFUNCTION("""COMPUTED_VALUE"""),1.0)</f>
        <v>1</v>
      </c>
      <c r="E1655" s="6">
        <f>IFERROR(__xludf.DUMMYFUNCTION("""COMPUTED_VALUE"""),40148.570138888885)</f>
        <v>40148.57014</v>
      </c>
      <c r="F1655" s="2">
        <f>IFERROR(__xludf.DUMMYFUNCTION("""COMPUTED_VALUE"""),4.95)</f>
        <v>4.95</v>
      </c>
      <c r="G1655" s="2">
        <f>IFERROR(__xludf.DUMMYFUNCTION("""COMPUTED_VALUE"""),16887.0)</f>
        <v>16887</v>
      </c>
      <c r="H1655" s="2" t="str">
        <f>IFERROR(__xludf.DUMMYFUNCTION("""COMPUTED_VALUE"""),"United Kingdom")</f>
        <v>United Kingdom</v>
      </c>
      <c r="I1655" s="7">
        <f>IFERROR(__xludf.DUMMYFUNCTION("""COMPUTED_VALUE"""),40148.0)</f>
        <v>40148</v>
      </c>
      <c r="J1655" s="8">
        <f>IFERROR(__xludf.DUMMYFUNCTION("""COMPUTED_VALUE"""),0.570138888888323)</f>
        <v>0.5701388889</v>
      </c>
      <c r="K1655" s="2">
        <f>IFERROR(__xludf.DUMMYFUNCTION("""COMPUTED_VALUE"""),13.0)</f>
        <v>13</v>
      </c>
      <c r="L1655" s="2">
        <f>IFERROR(__xludf.DUMMYFUNCTION("""COMPUTED_VALUE"""),4.95)</f>
        <v>4.95</v>
      </c>
    </row>
    <row r="1656">
      <c r="A1656" s="2">
        <f>IFERROR(__xludf.DUMMYFUNCTION("""COMPUTED_VALUE"""),489579.0)</f>
        <v>489579</v>
      </c>
      <c r="B1656" s="2" t="str">
        <f>IFERROR(__xludf.DUMMYFUNCTION("""COMPUTED_VALUE"""),"22315")</f>
        <v>22315</v>
      </c>
      <c r="C1656" s="2" t="str">
        <f>IFERROR(__xludf.DUMMYFUNCTION("""COMPUTED_VALUE"""),"200 RED + WHITE BENDY STRAWS")</f>
        <v>200 RED + WHITE BENDY STRAWS</v>
      </c>
      <c r="D1656" s="2">
        <f>IFERROR(__xludf.DUMMYFUNCTION("""COMPUTED_VALUE"""),2.0)</f>
        <v>2</v>
      </c>
      <c r="E1656" s="6">
        <f>IFERROR(__xludf.DUMMYFUNCTION("""COMPUTED_VALUE"""),40148.570138888885)</f>
        <v>40148.57014</v>
      </c>
      <c r="F1656" s="2">
        <f>IFERROR(__xludf.DUMMYFUNCTION("""COMPUTED_VALUE"""),1.25)</f>
        <v>1.25</v>
      </c>
      <c r="G1656" s="2">
        <f>IFERROR(__xludf.DUMMYFUNCTION("""COMPUTED_VALUE"""),16887.0)</f>
        <v>16887</v>
      </c>
      <c r="H1656" s="2" t="str">
        <f>IFERROR(__xludf.DUMMYFUNCTION("""COMPUTED_VALUE"""),"United Kingdom")</f>
        <v>United Kingdom</v>
      </c>
      <c r="I1656" s="7">
        <f>IFERROR(__xludf.DUMMYFUNCTION("""COMPUTED_VALUE"""),40148.0)</f>
        <v>40148</v>
      </c>
      <c r="J1656" s="8">
        <f>IFERROR(__xludf.DUMMYFUNCTION("""COMPUTED_VALUE"""),0.570138888888323)</f>
        <v>0.5701388889</v>
      </c>
      <c r="K1656" s="2">
        <f>IFERROR(__xludf.DUMMYFUNCTION("""COMPUTED_VALUE"""),13.0)</f>
        <v>13</v>
      </c>
      <c r="L1656" s="2">
        <f>IFERROR(__xludf.DUMMYFUNCTION("""COMPUTED_VALUE"""),2.5)</f>
        <v>2.5</v>
      </c>
    </row>
    <row r="1657">
      <c r="A1657" s="2">
        <f>IFERROR(__xludf.DUMMYFUNCTION("""COMPUTED_VALUE"""),489579.0)</f>
        <v>489579</v>
      </c>
      <c r="B1657" s="2" t="str">
        <f>IFERROR(__xludf.DUMMYFUNCTION("""COMPUTED_VALUE"""),"21244")</f>
        <v>21244</v>
      </c>
      <c r="C1657" s="2" t="str">
        <f>IFERROR(__xludf.DUMMYFUNCTION("""COMPUTED_VALUE"""),"BLUE SPOTTY PLATE")</f>
        <v>BLUE SPOTTY PLATE</v>
      </c>
      <c r="D1657" s="2">
        <f>IFERROR(__xludf.DUMMYFUNCTION("""COMPUTED_VALUE"""),4.0)</f>
        <v>4</v>
      </c>
      <c r="E1657" s="6">
        <f>IFERROR(__xludf.DUMMYFUNCTION("""COMPUTED_VALUE"""),40148.570138888885)</f>
        <v>40148.57014</v>
      </c>
      <c r="F1657" s="2">
        <f>IFERROR(__xludf.DUMMYFUNCTION("""COMPUTED_VALUE"""),1.69)</f>
        <v>1.69</v>
      </c>
      <c r="G1657" s="2">
        <f>IFERROR(__xludf.DUMMYFUNCTION("""COMPUTED_VALUE"""),16887.0)</f>
        <v>16887</v>
      </c>
      <c r="H1657" s="2" t="str">
        <f>IFERROR(__xludf.DUMMYFUNCTION("""COMPUTED_VALUE"""),"United Kingdom")</f>
        <v>United Kingdom</v>
      </c>
      <c r="I1657" s="7">
        <f>IFERROR(__xludf.DUMMYFUNCTION("""COMPUTED_VALUE"""),40148.0)</f>
        <v>40148</v>
      </c>
      <c r="J1657" s="8">
        <f>IFERROR(__xludf.DUMMYFUNCTION("""COMPUTED_VALUE"""),0.570138888888323)</f>
        <v>0.5701388889</v>
      </c>
      <c r="K1657" s="2">
        <f>IFERROR(__xludf.DUMMYFUNCTION("""COMPUTED_VALUE"""),13.0)</f>
        <v>13</v>
      </c>
      <c r="L1657" s="2">
        <f>IFERROR(__xludf.DUMMYFUNCTION("""COMPUTED_VALUE"""),6.76)</f>
        <v>6.76</v>
      </c>
    </row>
    <row r="1658">
      <c r="A1658" s="2">
        <f>IFERROR(__xludf.DUMMYFUNCTION("""COMPUTED_VALUE"""),489579.0)</f>
        <v>489579</v>
      </c>
      <c r="B1658" s="2" t="str">
        <f>IFERROR(__xludf.DUMMYFUNCTION("""COMPUTED_VALUE"""),"21243")</f>
        <v>21243</v>
      </c>
      <c r="C1658" s="2" t="str">
        <f>IFERROR(__xludf.DUMMYFUNCTION("""COMPUTED_VALUE"""),"PINK SPOTTY PLATE")</f>
        <v>PINK SPOTTY PLATE</v>
      </c>
      <c r="D1658" s="2">
        <f>IFERROR(__xludf.DUMMYFUNCTION("""COMPUTED_VALUE"""),4.0)</f>
        <v>4</v>
      </c>
      <c r="E1658" s="6">
        <f>IFERROR(__xludf.DUMMYFUNCTION("""COMPUTED_VALUE"""),40148.570138888885)</f>
        <v>40148.57014</v>
      </c>
      <c r="F1658" s="2">
        <f>IFERROR(__xludf.DUMMYFUNCTION("""COMPUTED_VALUE"""),1.69)</f>
        <v>1.69</v>
      </c>
      <c r="G1658" s="2">
        <f>IFERROR(__xludf.DUMMYFUNCTION("""COMPUTED_VALUE"""),16887.0)</f>
        <v>16887</v>
      </c>
      <c r="H1658" s="2" t="str">
        <f>IFERROR(__xludf.DUMMYFUNCTION("""COMPUTED_VALUE"""),"United Kingdom")</f>
        <v>United Kingdom</v>
      </c>
      <c r="I1658" s="7">
        <f>IFERROR(__xludf.DUMMYFUNCTION("""COMPUTED_VALUE"""),40148.0)</f>
        <v>40148</v>
      </c>
      <c r="J1658" s="8">
        <f>IFERROR(__xludf.DUMMYFUNCTION("""COMPUTED_VALUE"""),0.570138888888323)</f>
        <v>0.5701388889</v>
      </c>
      <c r="K1658" s="2">
        <f>IFERROR(__xludf.DUMMYFUNCTION("""COMPUTED_VALUE"""),13.0)</f>
        <v>13</v>
      </c>
      <c r="L1658" s="2">
        <f>IFERROR(__xludf.DUMMYFUNCTION("""COMPUTED_VALUE"""),6.76)</f>
        <v>6.76</v>
      </c>
    </row>
    <row r="1659">
      <c r="A1659" s="2">
        <f>IFERROR(__xludf.DUMMYFUNCTION("""COMPUTED_VALUE"""),489579.0)</f>
        <v>489579</v>
      </c>
      <c r="B1659" s="2" t="str">
        <f>IFERROR(__xludf.DUMMYFUNCTION("""COMPUTED_VALUE"""),"21041")</f>
        <v>21041</v>
      </c>
      <c r="C1659" s="2" t="str">
        <f>IFERROR(__xludf.DUMMYFUNCTION("""COMPUTED_VALUE"""),"RED SPOTTY OVEN GLOVE DOUBLE")</f>
        <v>RED SPOTTY OVEN GLOVE DOUBLE</v>
      </c>
      <c r="D1659" s="2">
        <f>IFERROR(__xludf.DUMMYFUNCTION("""COMPUTED_VALUE"""),4.0)</f>
        <v>4</v>
      </c>
      <c r="E1659" s="6">
        <f>IFERROR(__xludf.DUMMYFUNCTION("""COMPUTED_VALUE"""),40148.570138888885)</f>
        <v>40148.57014</v>
      </c>
      <c r="F1659" s="2">
        <f>IFERROR(__xludf.DUMMYFUNCTION("""COMPUTED_VALUE"""),2.95)</f>
        <v>2.95</v>
      </c>
      <c r="G1659" s="2">
        <f>IFERROR(__xludf.DUMMYFUNCTION("""COMPUTED_VALUE"""),16887.0)</f>
        <v>16887</v>
      </c>
      <c r="H1659" s="2" t="str">
        <f>IFERROR(__xludf.DUMMYFUNCTION("""COMPUTED_VALUE"""),"United Kingdom")</f>
        <v>United Kingdom</v>
      </c>
      <c r="I1659" s="7">
        <f>IFERROR(__xludf.DUMMYFUNCTION("""COMPUTED_VALUE"""),40148.0)</f>
        <v>40148</v>
      </c>
      <c r="J1659" s="8">
        <f>IFERROR(__xludf.DUMMYFUNCTION("""COMPUTED_VALUE"""),0.570138888888323)</f>
        <v>0.5701388889</v>
      </c>
      <c r="K1659" s="2">
        <f>IFERROR(__xludf.DUMMYFUNCTION("""COMPUTED_VALUE"""),13.0)</f>
        <v>13</v>
      </c>
      <c r="L1659" s="2">
        <f>IFERROR(__xludf.DUMMYFUNCTION("""COMPUTED_VALUE"""),11.8)</f>
        <v>11.8</v>
      </c>
    </row>
    <row r="1660">
      <c r="A1660" s="2">
        <f>IFERROR(__xludf.DUMMYFUNCTION("""COMPUTED_VALUE"""),489579.0)</f>
        <v>489579</v>
      </c>
      <c r="B1660" s="2" t="str">
        <f>IFERROR(__xludf.DUMMYFUNCTION("""COMPUTED_VALUE"""),"21155")</f>
        <v>21155</v>
      </c>
      <c r="C1660" s="2" t="str">
        <f>IFERROR(__xludf.DUMMYFUNCTION("""COMPUTED_VALUE"""),"RED SPOTTY PEG BAG")</f>
        <v>RED SPOTTY PEG BAG</v>
      </c>
      <c r="D1660" s="2">
        <f>IFERROR(__xludf.DUMMYFUNCTION("""COMPUTED_VALUE"""),4.0)</f>
        <v>4</v>
      </c>
      <c r="E1660" s="6">
        <f>IFERROR(__xludf.DUMMYFUNCTION("""COMPUTED_VALUE"""),40148.570138888885)</f>
        <v>40148.57014</v>
      </c>
      <c r="F1660" s="2">
        <f>IFERROR(__xludf.DUMMYFUNCTION("""COMPUTED_VALUE"""),2.1)</f>
        <v>2.1</v>
      </c>
      <c r="G1660" s="2">
        <f>IFERROR(__xludf.DUMMYFUNCTION("""COMPUTED_VALUE"""),16887.0)</f>
        <v>16887</v>
      </c>
      <c r="H1660" s="2" t="str">
        <f>IFERROR(__xludf.DUMMYFUNCTION("""COMPUTED_VALUE"""),"United Kingdom")</f>
        <v>United Kingdom</v>
      </c>
      <c r="I1660" s="7">
        <f>IFERROR(__xludf.DUMMYFUNCTION("""COMPUTED_VALUE"""),40148.0)</f>
        <v>40148</v>
      </c>
      <c r="J1660" s="8">
        <f>IFERROR(__xludf.DUMMYFUNCTION("""COMPUTED_VALUE"""),0.570138888888323)</f>
        <v>0.5701388889</v>
      </c>
      <c r="K1660" s="2">
        <f>IFERROR(__xludf.DUMMYFUNCTION("""COMPUTED_VALUE"""),13.0)</f>
        <v>13</v>
      </c>
      <c r="L1660" s="2">
        <f>IFERROR(__xludf.DUMMYFUNCTION("""COMPUTED_VALUE"""),8.4)</f>
        <v>8.4</v>
      </c>
    </row>
    <row r="1661">
      <c r="A1661" s="2">
        <f>IFERROR(__xludf.DUMMYFUNCTION("""COMPUTED_VALUE"""),489579.0)</f>
        <v>489579</v>
      </c>
      <c r="B1661" s="2" t="str">
        <f>IFERROR(__xludf.DUMMYFUNCTION("""COMPUTED_VALUE"""),"35991")</f>
        <v>35991</v>
      </c>
      <c r="C1661" s="2" t="str">
        <f>IFERROR(__xludf.DUMMYFUNCTION("""COMPUTED_VALUE"""),"SET/6 BLACK SNOWFLAKE T-LIGHTS")</f>
        <v>SET/6 BLACK SNOWFLAKE T-LIGHTS</v>
      </c>
      <c r="D1661" s="2">
        <f>IFERROR(__xludf.DUMMYFUNCTION("""COMPUTED_VALUE"""),3.0)</f>
        <v>3</v>
      </c>
      <c r="E1661" s="6">
        <f>IFERROR(__xludf.DUMMYFUNCTION("""COMPUTED_VALUE"""),40148.570138888885)</f>
        <v>40148.57014</v>
      </c>
      <c r="F1661" s="2">
        <f>IFERROR(__xludf.DUMMYFUNCTION("""COMPUTED_VALUE"""),1.69)</f>
        <v>1.69</v>
      </c>
      <c r="G1661" s="2">
        <f>IFERROR(__xludf.DUMMYFUNCTION("""COMPUTED_VALUE"""),16887.0)</f>
        <v>16887</v>
      </c>
      <c r="H1661" s="2" t="str">
        <f>IFERROR(__xludf.DUMMYFUNCTION("""COMPUTED_VALUE"""),"United Kingdom")</f>
        <v>United Kingdom</v>
      </c>
      <c r="I1661" s="7">
        <f>IFERROR(__xludf.DUMMYFUNCTION("""COMPUTED_VALUE"""),40148.0)</f>
        <v>40148</v>
      </c>
      <c r="J1661" s="8">
        <f>IFERROR(__xludf.DUMMYFUNCTION("""COMPUTED_VALUE"""),0.570138888888323)</f>
        <v>0.5701388889</v>
      </c>
      <c r="K1661" s="2">
        <f>IFERROR(__xludf.DUMMYFUNCTION("""COMPUTED_VALUE"""),13.0)</f>
        <v>13</v>
      </c>
      <c r="L1661" s="2">
        <f>IFERROR(__xludf.DUMMYFUNCTION("""COMPUTED_VALUE"""),5.07)</f>
        <v>5.07</v>
      </c>
    </row>
    <row r="1662">
      <c r="A1662" s="2">
        <f>IFERROR(__xludf.DUMMYFUNCTION("""COMPUTED_VALUE"""),489579.0)</f>
        <v>489579</v>
      </c>
      <c r="B1662" s="2" t="str">
        <f>IFERROR(__xludf.DUMMYFUNCTION("""COMPUTED_VALUE"""),"21412")</f>
        <v>21412</v>
      </c>
      <c r="C1662" s="2" t="str">
        <f>IFERROR(__xludf.DUMMYFUNCTION("""COMPUTED_VALUE"""),"VINTAGE GOLD TINSEL REEL")</f>
        <v>VINTAGE GOLD TINSEL REEL</v>
      </c>
      <c r="D1662" s="2">
        <f>IFERROR(__xludf.DUMMYFUNCTION("""COMPUTED_VALUE"""),2.0)</f>
        <v>2</v>
      </c>
      <c r="E1662" s="6">
        <f>IFERROR(__xludf.DUMMYFUNCTION("""COMPUTED_VALUE"""),40148.570138888885)</f>
        <v>40148.57014</v>
      </c>
      <c r="F1662" s="2">
        <f>IFERROR(__xludf.DUMMYFUNCTION("""COMPUTED_VALUE"""),2.1)</f>
        <v>2.1</v>
      </c>
      <c r="G1662" s="2">
        <f>IFERROR(__xludf.DUMMYFUNCTION("""COMPUTED_VALUE"""),16887.0)</f>
        <v>16887</v>
      </c>
      <c r="H1662" s="2" t="str">
        <f>IFERROR(__xludf.DUMMYFUNCTION("""COMPUTED_VALUE"""),"United Kingdom")</f>
        <v>United Kingdom</v>
      </c>
      <c r="I1662" s="7">
        <f>IFERROR(__xludf.DUMMYFUNCTION("""COMPUTED_VALUE"""),40148.0)</f>
        <v>40148</v>
      </c>
      <c r="J1662" s="8">
        <f>IFERROR(__xludf.DUMMYFUNCTION("""COMPUTED_VALUE"""),0.570138888888323)</f>
        <v>0.5701388889</v>
      </c>
      <c r="K1662" s="2">
        <f>IFERROR(__xludf.DUMMYFUNCTION("""COMPUTED_VALUE"""),13.0)</f>
        <v>13</v>
      </c>
      <c r="L1662" s="2">
        <f>IFERROR(__xludf.DUMMYFUNCTION("""COMPUTED_VALUE"""),4.2)</f>
        <v>4.2</v>
      </c>
    </row>
    <row r="1663">
      <c r="A1663" s="2">
        <f>IFERROR(__xludf.DUMMYFUNCTION("""COMPUTED_VALUE"""),489579.0)</f>
        <v>489579</v>
      </c>
      <c r="B1663" s="2" t="str">
        <f>IFERROR(__xludf.DUMMYFUNCTION("""COMPUTED_VALUE"""),"72799F")</f>
        <v>72799F</v>
      </c>
      <c r="C1663" s="2" t="str">
        <f>IFERROR(__xludf.DUMMYFUNCTION("""COMPUTED_VALUE"""),"IVORY PILLAR CANDLE GOLD FLOCK")</f>
        <v>IVORY PILLAR CANDLE GOLD FLOCK</v>
      </c>
      <c r="D1663" s="2">
        <f>IFERROR(__xludf.DUMMYFUNCTION("""COMPUTED_VALUE"""),3.0)</f>
        <v>3</v>
      </c>
      <c r="E1663" s="6">
        <f>IFERROR(__xludf.DUMMYFUNCTION("""COMPUTED_VALUE"""),40148.570138888885)</f>
        <v>40148.57014</v>
      </c>
      <c r="F1663" s="2">
        <f>IFERROR(__xludf.DUMMYFUNCTION("""COMPUTED_VALUE"""),2.95)</f>
        <v>2.95</v>
      </c>
      <c r="G1663" s="2">
        <f>IFERROR(__xludf.DUMMYFUNCTION("""COMPUTED_VALUE"""),16887.0)</f>
        <v>16887</v>
      </c>
      <c r="H1663" s="2" t="str">
        <f>IFERROR(__xludf.DUMMYFUNCTION("""COMPUTED_VALUE"""),"United Kingdom")</f>
        <v>United Kingdom</v>
      </c>
      <c r="I1663" s="7">
        <f>IFERROR(__xludf.DUMMYFUNCTION("""COMPUTED_VALUE"""),40148.0)</f>
        <v>40148</v>
      </c>
      <c r="J1663" s="8">
        <f>IFERROR(__xludf.DUMMYFUNCTION("""COMPUTED_VALUE"""),0.570138888888323)</f>
        <v>0.5701388889</v>
      </c>
      <c r="K1663" s="2">
        <f>IFERROR(__xludf.DUMMYFUNCTION("""COMPUTED_VALUE"""),13.0)</f>
        <v>13</v>
      </c>
      <c r="L1663" s="2">
        <f>IFERROR(__xludf.DUMMYFUNCTION("""COMPUTED_VALUE"""),8.85)</f>
        <v>8.85</v>
      </c>
    </row>
    <row r="1664">
      <c r="A1664" s="2">
        <f>IFERROR(__xludf.DUMMYFUNCTION("""COMPUTED_VALUE"""),489579.0)</f>
        <v>489579</v>
      </c>
      <c r="B1664" s="2" t="str">
        <f>IFERROR(__xludf.DUMMYFUNCTION("""COMPUTED_VALUE"""),"72799E")</f>
        <v>72799E</v>
      </c>
      <c r="C1664" s="2" t="str">
        <f>IFERROR(__xludf.DUMMYFUNCTION("""COMPUTED_VALUE"""),"IVORY PILLAR CANDLE SILVER FLOCK")</f>
        <v>IVORY PILLAR CANDLE SILVER FLOCK</v>
      </c>
      <c r="D1664" s="2">
        <f>IFERROR(__xludf.DUMMYFUNCTION("""COMPUTED_VALUE"""),3.0)</f>
        <v>3</v>
      </c>
      <c r="E1664" s="6">
        <f>IFERROR(__xludf.DUMMYFUNCTION("""COMPUTED_VALUE"""),40148.570138888885)</f>
        <v>40148.57014</v>
      </c>
      <c r="F1664" s="2">
        <f>IFERROR(__xludf.DUMMYFUNCTION("""COMPUTED_VALUE"""),2.95)</f>
        <v>2.95</v>
      </c>
      <c r="G1664" s="2">
        <f>IFERROR(__xludf.DUMMYFUNCTION("""COMPUTED_VALUE"""),16887.0)</f>
        <v>16887</v>
      </c>
      <c r="H1664" s="2" t="str">
        <f>IFERROR(__xludf.DUMMYFUNCTION("""COMPUTED_VALUE"""),"United Kingdom")</f>
        <v>United Kingdom</v>
      </c>
      <c r="I1664" s="7">
        <f>IFERROR(__xludf.DUMMYFUNCTION("""COMPUTED_VALUE"""),40148.0)</f>
        <v>40148</v>
      </c>
      <c r="J1664" s="8">
        <f>IFERROR(__xludf.DUMMYFUNCTION("""COMPUTED_VALUE"""),0.570138888888323)</f>
        <v>0.5701388889</v>
      </c>
      <c r="K1664" s="2">
        <f>IFERROR(__xludf.DUMMYFUNCTION("""COMPUTED_VALUE"""),13.0)</f>
        <v>13</v>
      </c>
      <c r="L1664" s="2">
        <f>IFERROR(__xludf.DUMMYFUNCTION("""COMPUTED_VALUE"""),8.85)</f>
        <v>8.85</v>
      </c>
    </row>
    <row r="1665">
      <c r="A1665" s="2">
        <f>IFERROR(__xludf.DUMMYFUNCTION("""COMPUTED_VALUE"""),489579.0)</f>
        <v>489579</v>
      </c>
      <c r="B1665" s="2" t="str">
        <f>IFERROR(__xludf.DUMMYFUNCTION("""COMPUTED_VALUE"""),"72799C")</f>
        <v>72799C</v>
      </c>
      <c r="C1665" s="2" t="str">
        <f>IFERROR(__xludf.DUMMYFUNCTION("""COMPUTED_VALUE"""),"PINK PILLAR CANDLE SILVER FLOCK")</f>
        <v>PINK PILLAR CANDLE SILVER FLOCK</v>
      </c>
      <c r="D1665" s="2">
        <f>IFERROR(__xludf.DUMMYFUNCTION("""COMPUTED_VALUE"""),2.0)</f>
        <v>2</v>
      </c>
      <c r="E1665" s="6">
        <f>IFERROR(__xludf.DUMMYFUNCTION("""COMPUTED_VALUE"""),40148.570138888885)</f>
        <v>40148.57014</v>
      </c>
      <c r="F1665" s="2">
        <f>IFERROR(__xludf.DUMMYFUNCTION("""COMPUTED_VALUE"""),2.95)</f>
        <v>2.95</v>
      </c>
      <c r="G1665" s="2">
        <f>IFERROR(__xludf.DUMMYFUNCTION("""COMPUTED_VALUE"""),16887.0)</f>
        <v>16887</v>
      </c>
      <c r="H1665" s="2" t="str">
        <f>IFERROR(__xludf.DUMMYFUNCTION("""COMPUTED_VALUE"""),"United Kingdom")</f>
        <v>United Kingdom</v>
      </c>
      <c r="I1665" s="7">
        <f>IFERROR(__xludf.DUMMYFUNCTION("""COMPUTED_VALUE"""),40148.0)</f>
        <v>40148</v>
      </c>
      <c r="J1665" s="8">
        <f>IFERROR(__xludf.DUMMYFUNCTION("""COMPUTED_VALUE"""),0.570138888888323)</f>
        <v>0.5701388889</v>
      </c>
      <c r="K1665" s="2">
        <f>IFERROR(__xludf.DUMMYFUNCTION("""COMPUTED_VALUE"""),13.0)</f>
        <v>13</v>
      </c>
      <c r="L1665" s="2">
        <f>IFERROR(__xludf.DUMMYFUNCTION("""COMPUTED_VALUE"""),5.9)</f>
        <v>5.9</v>
      </c>
    </row>
    <row r="1666">
      <c r="A1666" s="2">
        <f>IFERROR(__xludf.DUMMYFUNCTION("""COMPUTED_VALUE"""),489579.0)</f>
        <v>489579</v>
      </c>
      <c r="B1666" s="2" t="str">
        <f>IFERROR(__xludf.DUMMYFUNCTION("""COMPUTED_VALUE"""),"21500")</f>
        <v>21500</v>
      </c>
      <c r="C1666" s="2" t="str">
        <f>IFERROR(__xludf.DUMMYFUNCTION("""COMPUTED_VALUE"""),"PINK SPOTS WRAP")</f>
        <v>PINK SPOTS WRAP</v>
      </c>
      <c r="D1666" s="2">
        <f>IFERROR(__xludf.DUMMYFUNCTION("""COMPUTED_VALUE"""),25.0)</f>
        <v>25</v>
      </c>
      <c r="E1666" s="6">
        <f>IFERROR(__xludf.DUMMYFUNCTION("""COMPUTED_VALUE"""),40148.570138888885)</f>
        <v>40148.57014</v>
      </c>
      <c r="F1666" s="2">
        <f>IFERROR(__xludf.DUMMYFUNCTION("""COMPUTED_VALUE"""),0.42)</f>
        <v>0.42</v>
      </c>
      <c r="G1666" s="2">
        <f>IFERROR(__xludf.DUMMYFUNCTION("""COMPUTED_VALUE"""),16887.0)</f>
        <v>16887</v>
      </c>
      <c r="H1666" s="2" t="str">
        <f>IFERROR(__xludf.DUMMYFUNCTION("""COMPUTED_VALUE"""),"United Kingdom")</f>
        <v>United Kingdom</v>
      </c>
      <c r="I1666" s="7">
        <f>IFERROR(__xludf.DUMMYFUNCTION("""COMPUTED_VALUE"""),40148.0)</f>
        <v>40148</v>
      </c>
      <c r="J1666" s="8">
        <f>IFERROR(__xludf.DUMMYFUNCTION("""COMPUTED_VALUE"""),0.570138888888323)</f>
        <v>0.5701388889</v>
      </c>
      <c r="K1666" s="2">
        <f>IFERROR(__xludf.DUMMYFUNCTION("""COMPUTED_VALUE"""),13.0)</f>
        <v>13</v>
      </c>
      <c r="L1666" s="2">
        <f>IFERROR(__xludf.DUMMYFUNCTION("""COMPUTED_VALUE"""),10.5)</f>
        <v>10.5</v>
      </c>
    </row>
    <row r="1667">
      <c r="A1667" s="2">
        <f>IFERROR(__xludf.DUMMYFUNCTION("""COMPUTED_VALUE"""),489579.0)</f>
        <v>489579</v>
      </c>
      <c r="B1667" s="2" t="str">
        <f>IFERROR(__xludf.DUMMYFUNCTION("""COMPUTED_VALUE"""),"21499")</f>
        <v>21499</v>
      </c>
      <c r="C1667" s="2" t="str">
        <f>IFERROR(__xludf.DUMMYFUNCTION("""COMPUTED_VALUE"""),"BLUE SPOTS WRAP")</f>
        <v>BLUE SPOTS WRAP</v>
      </c>
      <c r="D1667" s="2">
        <f>IFERROR(__xludf.DUMMYFUNCTION("""COMPUTED_VALUE"""),25.0)</f>
        <v>25</v>
      </c>
      <c r="E1667" s="6">
        <f>IFERROR(__xludf.DUMMYFUNCTION("""COMPUTED_VALUE"""),40148.570138888885)</f>
        <v>40148.57014</v>
      </c>
      <c r="F1667" s="2">
        <f>IFERROR(__xludf.DUMMYFUNCTION("""COMPUTED_VALUE"""),0.42)</f>
        <v>0.42</v>
      </c>
      <c r="G1667" s="2">
        <f>IFERROR(__xludf.DUMMYFUNCTION("""COMPUTED_VALUE"""),16887.0)</f>
        <v>16887</v>
      </c>
      <c r="H1667" s="2" t="str">
        <f>IFERROR(__xludf.DUMMYFUNCTION("""COMPUTED_VALUE"""),"United Kingdom")</f>
        <v>United Kingdom</v>
      </c>
      <c r="I1667" s="7">
        <f>IFERROR(__xludf.DUMMYFUNCTION("""COMPUTED_VALUE"""),40148.0)</f>
        <v>40148</v>
      </c>
      <c r="J1667" s="8">
        <f>IFERROR(__xludf.DUMMYFUNCTION("""COMPUTED_VALUE"""),0.570138888888323)</f>
        <v>0.5701388889</v>
      </c>
      <c r="K1667" s="2">
        <f>IFERROR(__xludf.DUMMYFUNCTION("""COMPUTED_VALUE"""),13.0)</f>
        <v>13</v>
      </c>
      <c r="L1667" s="2">
        <f>IFERROR(__xludf.DUMMYFUNCTION("""COMPUTED_VALUE"""),10.5)</f>
        <v>10.5</v>
      </c>
    </row>
    <row r="1668">
      <c r="A1668" s="2">
        <f>IFERROR(__xludf.DUMMYFUNCTION("""COMPUTED_VALUE"""),489579.0)</f>
        <v>489579</v>
      </c>
      <c r="B1668" s="2" t="str">
        <f>IFERROR(__xludf.DUMMYFUNCTION("""COMPUTED_VALUE"""),"21498")</f>
        <v>21498</v>
      </c>
      <c r="C1668" s="2" t="str">
        <f>IFERROR(__xludf.DUMMYFUNCTION("""COMPUTED_VALUE"""),"RED SPOTS WRAP")</f>
        <v>RED SPOTS WRAP</v>
      </c>
      <c r="D1668" s="2">
        <f>IFERROR(__xludf.DUMMYFUNCTION("""COMPUTED_VALUE"""),25.0)</f>
        <v>25</v>
      </c>
      <c r="E1668" s="6">
        <f>IFERROR(__xludf.DUMMYFUNCTION("""COMPUTED_VALUE"""),40148.570138888885)</f>
        <v>40148.57014</v>
      </c>
      <c r="F1668" s="2">
        <f>IFERROR(__xludf.DUMMYFUNCTION("""COMPUTED_VALUE"""),0.42)</f>
        <v>0.42</v>
      </c>
      <c r="G1668" s="2">
        <f>IFERROR(__xludf.DUMMYFUNCTION("""COMPUTED_VALUE"""),16887.0)</f>
        <v>16887</v>
      </c>
      <c r="H1668" s="2" t="str">
        <f>IFERROR(__xludf.DUMMYFUNCTION("""COMPUTED_VALUE"""),"United Kingdom")</f>
        <v>United Kingdom</v>
      </c>
      <c r="I1668" s="7">
        <f>IFERROR(__xludf.DUMMYFUNCTION("""COMPUTED_VALUE"""),40148.0)</f>
        <v>40148</v>
      </c>
      <c r="J1668" s="8">
        <f>IFERROR(__xludf.DUMMYFUNCTION("""COMPUTED_VALUE"""),0.570138888888323)</f>
        <v>0.5701388889</v>
      </c>
      <c r="K1668" s="2">
        <f>IFERROR(__xludf.DUMMYFUNCTION("""COMPUTED_VALUE"""),13.0)</f>
        <v>13</v>
      </c>
      <c r="L1668" s="2">
        <f>IFERROR(__xludf.DUMMYFUNCTION("""COMPUTED_VALUE"""),10.5)</f>
        <v>10.5</v>
      </c>
    </row>
    <row r="1669">
      <c r="A1669" s="2">
        <f>IFERROR(__xludf.DUMMYFUNCTION("""COMPUTED_VALUE"""),489579.0)</f>
        <v>489579</v>
      </c>
      <c r="B1669" s="2" t="str">
        <f>IFERROR(__xludf.DUMMYFUNCTION("""COMPUTED_VALUE"""),"21246")</f>
        <v>21246</v>
      </c>
      <c r="C1669" s="2" t="str">
        <f>IFERROR(__xludf.DUMMYFUNCTION("""COMPUTED_VALUE"""),"RED SPOTTY BIG BOWL")</f>
        <v>RED SPOTTY BIG BOWL</v>
      </c>
      <c r="D1669" s="2">
        <f>IFERROR(__xludf.DUMMYFUNCTION("""COMPUTED_VALUE"""),1.0)</f>
        <v>1</v>
      </c>
      <c r="E1669" s="6">
        <f>IFERROR(__xludf.DUMMYFUNCTION("""COMPUTED_VALUE"""),40148.570138888885)</f>
        <v>40148.57014</v>
      </c>
      <c r="F1669" s="2">
        <f>IFERROR(__xludf.DUMMYFUNCTION("""COMPUTED_VALUE"""),4.95)</f>
        <v>4.95</v>
      </c>
      <c r="G1669" s="2">
        <f>IFERROR(__xludf.DUMMYFUNCTION("""COMPUTED_VALUE"""),16887.0)</f>
        <v>16887</v>
      </c>
      <c r="H1669" s="2" t="str">
        <f>IFERROR(__xludf.DUMMYFUNCTION("""COMPUTED_VALUE"""),"United Kingdom")</f>
        <v>United Kingdom</v>
      </c>
      <c r="I1669" s="7">
        <f>IFERROR(__xludf.DUMMYFUNCTION("""COMPUTED_VALUE"""),40148.0)</f>
        <v>40148</v>
      </c>
      <c r="J1669" s="8">
        <f>IFERROR(__xludf.DUMMYFUNCTION("""COMPUTED_VALUE"""),0.570138888888323)</f>
        <v>0.5701388889</v>
      </c>
      <c r="K1669" s="2">
        <f>IFERROR(__xludf.DUMMYFUNCTION("""COMPUTED_VALUE"""),13.0)</f>
        <v>13</v>
      </c>
      <c r="L1669" s="2">
        <f>IFERROR(__xludf.DUMMYFUNCTION("""COMPUTED_VALUE"""),4.95)</f>
        <v>4.95</v>
      </c>
    </row>
    <row r="1670">
      <c r="A1670" s="2">
        <f>IFERROR(__xludf.DUMMYFUNCTION("""COMPUTED_VALUE"""),489579.0)</f>
        <v>489579</v>
      </c>
      <c r="B1670" s="2" t="str">
        <f>IFERROR(__xludf.DUMMYFUNCTION("""COMPUTED_VALUE"""),"21247")</f>
        <v>21247</v>
      </c>
      <c r="C1670" s="2" t="str">
        <f>IFERROR(__xludf.DUMMYFUNCTION("""COMPUTED_VALUE"""),"SET OF RED SALAD SERVERS")</f>
        <v>SET OF RED SALAD SERVERS</v>
      </c>
      <c r="D1670" s="2">
        <f>IFERROR(__xludf.DUMMYFUNCTION("""COMPUTED_VALUE"""),1.0)</f>
        <v>1</v>
      </c>
      <c r="E1670" s="6">
        <f>IFERROR(__xludf.DUMMYFUNCTION("""COMPUTED_VALUE"""),40148.570138888885)</f>
        <v>40148.57014</v>
      </c>
      <c r="F1670" s="2">
        <f>IFERROR(__xludf.DUMMYFUNCTION("""COMPUTED_VALUE"""),1.49)</f>
        <v>1.49</v>
      </c>
      <c r="G1670" s="2">
        <f>IFERROR(__xludf.DUMMYFUNCTION("""COMPUTED_VALUE"""),16887.0)</f>
        <v>16887</v>
      </c>
      <c r="H1670" s="2" t="str">
        <f>IFERROR(__xludf.DUMMYFUNCTION("""COMPUTED_VALUE"""),"United Kingdom")</f>
        <v>United Kingdom</v>
      </c>
      <c r="I1670" s="7">
        <f>IFERROR(__xludf.DUMMYFUNCTION("""COMPUTED_VALUE"""),40148.0)</f>
        <v>40148</v>
      </c>
      <c r="J1670" s="8">
        <f>IFERROR(__xludf.DUMMYFUNCTION("""COMPUTED_VALUE"""),0.570138888888323)</f>
        <v>0.5701388889</v>
      </c>
      <c r="K1670" s="2">
        <f>IFERROR(__xludf.DUMMYFUNCTION("""COMPUTED_VALUE"""),13.0)</f>
        <v>13</v>
      </c>
      <c r="L1670" s="2">
        <f>IFERROR(__xludf.DUMMYFUNCTION("""COMPUTED_VALUE"""),1.49)</f>
        <v>1.49</v>
      </c>
    </row>
    <row r="1671">
      <c r="A1671" s="2">
        <f>IFERROR(__xludf.DUMMYFUNCTION("""COMPUTED_VALUE"""),489579.0)</f>
        <v>489579</v>
      </c>
      <c r="B1671" s="2" t="str">
        <f>IFERROR(__xludf.DUMMYFUNCTION("""COMPUTED_VALUE"""),"21124")</f>
        <v>21124</v>
      </c>
      <c r="C1671" s="2" t="str">
        <f>IFERROR(__xludf.DUMMYFUNCTION("""COMPUTED_VALUE"""),"SET/10 BLUE SPOTTY PARTY CANDLES")</f>
        <v>SET/10 BLUE SPOTTY PARTY CANDLES</v>
      </c>
      <c r="D1671" s="2">
        <f>IFERROR(__xludf.DUMMYFUNCTION("""COMPUTED_VALUE"""),4.0)</f>
        <v>4</v>
      </c>
      <c r="E1671" s="6">
        <f>IFERROR(__xludf.DUMMYFUNCTION("""COMPUTED_VALUE"""),40148.570138888885)</f>
        <v>40148.57014</v>
      </c>
      <c r="F1671" s="2">
        <f>IFERROR(__xludf.DUMMYFUNCTION("""COMPUTED_VALUE"""),1.25)</f>
        <v>1.25</v>
      </c>
      <c r="G1671" s="2">
        <f>IFERROR(__xludf.DUMMYFUNCTION("""COMPUTED_VALUE"""),16887.0)</f>
        <v>16887</v>
      </c>
      <c r="H1671" s="2" t="str">
        <f>IFERROR(__xludf.DUMMYFUNCTION("""COMPUTED_VALUE"""),"United Kingdom")</f>
        <v>United Kingdom</v>
      </c>
      <c r="I1671" s="7">
        <f>IFERROR(__xludf.DUMMYFUNCTION("""COMPUTED_VALUE"""),40148.0)</f>
        <v>40148</v>
      </c>
      <c r="J1671" s="8">
        <f>IFERROR(__xludf.DUMMYFUNCTION("""COMPUTED_VALUE"""),0.570138888888323)</f>
        <v>0.5701388889</v>
      </c>
      <c r="K1671" s="2">
        <f>IFERROR(__xludf.DUMMYFUNCTION("""COMPUTED_VALUE"""),13.0)</f>
        <v>13</v>
      </c>
      <c r="L1671" s="2">
        <f>IFERROR(__xludf.DUMMYFUNCTION("""COMPUTED_VALUE"""),5.0)</f>
        <v>5</v>
      </c>
    </row>
    <row r="1672">
      <c r="A1672" s="2">
        <f>IFERROR(__xludf.DUMMYFUNCTION("""COMPUTED_VALUE"""),489579.0)</f>
        <v>489579</v>
      </c>
      <c r="B1672" s="2" t="str">
        <f>IFERROR(__xludf.DUMMYFUNCTION("""COMPUTED_VALUE"""),"21122")</f>
        <v>21122</v>
      </c>
      <c r="C1672" s="2" t="str">
        <f>IFERROR(__xludf.DUMMYFUNCTION("""COMPUTED_VALUE"""),"SET/10 PINK SPOTTY PARTY CANDLES")</f>
        <v>SET/10 PINK SPOTTY PARTY CANDLES</v>
      </c>
      <c r="D1672" s="2">
        <f>IFERROR(__xludf.DUMMYFUNCTION("""COMPUTED_VALUE"""),4.0)</f>
        <v>4</v>
      </c>
      <c r="E1672" s="6">
        <f>IFERROR(__xludf.DUMMYFUNCTION("""COMPUTED_VALUE"""),40148.570138888885)</f>
        <v>40148.57014</v>
      </c>
      <c r="F1672" s="2">
        <f>IFERROR(__xludf.DUMMYFUNCTION("""COMPUTED_VALUE"""),1.25)</f>
        <v>1.25</v>
      </c>
      <c r="G1672" s="2">
        <f>IFERROR(__xludf.DUMMYFUNCTION("""COMPUTED_VALUE"""),16887.0)</f>
        <v>16887</v>
      </c>
      <c r="H1672" s="2" t="str">
        <f>IFERROR(__xludf.DUMMYFUNCTION("""COMPUTED_VALUE"""),"United Kingdom")</f>
        <v>United Kingdom</v>
      </c>
      <c r="I1672" s="7">
        <f>IFERROR(__xludf.DUMMYFUNCTION("""COMPUTED_VALUE"""),40148.0)</f>
        <v>40148</v>
      </c>
      <c r="J1672" s="8">
        <f>IFERROR(__xludf.DUMMYFUNCTION("""COMPUTED_VALUE"""),0.570138888888323)</f>
        <v>0.5701388889</v>
      </c>
      <c r="K1672" s="2">
        <f>IFERROR(__xludf.DUMMYFUNCTION("""COMPUTED_VALUE"""),13.0)</f>
        <v>13</v>
      </c>
      <c r="L1672" s="2">
        <f>IFERROR(__xludf.DUMMYFUNCTION("""COMPUTED_VALUE"""),5.0)</f>
        <v>5</v>
      </c>
    </row>
    <row r="1673">
      <c r="A1673" s="2">
        <f>IFERROR(__xludf.DUMMYFUNCTION("""COMPUTED_VALUE"""),489579.0)</f>
        <v>489579</v>
      </c>
      <c r="B1673" s="2" t="str">
        <f>IFERROR(__xludf.DUMMYFUNCTION("""COMPUTED_VALUE"""),"85136C")</f>
        <v>85136C</v>
      </c>
      <c r="C1673" s="2" t="str">
        <f>IFERROR(__xludf.DUMMYFUNCTION("""COMPUTED_VALUE"""),"RED SHARK HELICOPTER")</f>
        <v>RED SHARK HELICOPTER</v>
      </c>
      <c r="D1673" s="2">
        <f>IFERROR(__xludf.DUMMYFUNCTION("""COMPUTED_VALUE"""),1.0)</f>
        <v>1</v>
      </c>
      <c r="E1673" s="6">
        <f>IFERROR(__xludf.DUMMYFUNCTION("""COMPUTED_VALUE"""),40148.570138888885)</f>
        <v>40148.57014</v>
      </c>
      <c r="F1673" s="2">
        <f>IFERROR(__xludf.DUMMYFUNCTION("""COMPUTED_VALUE"""),7.95)</f>
        <v>7.95</v>
      </c>
      <c r="G1673" s="2">
        <f>IFERROR(__xludf.DUMMYFUNCTION("""COMPUTED_VALUE"""),16887.0)</f>
        <v>16887</v>
      </c>
      <c r="H1673" s="2" t="str">
        <f>IFERROR(__xludf.DUMMYFUNCTION("""COMPUTED_VALUE"""),"United Kingdom")</f>
        <v>United Kingdom</v>
      </c>
      <c r="I1673" s="7">
        <f>IFERROR(__xludf.DUMMYFUNCTION("""COMPUTED_VALUE"""),40148.0)</f>
        <v>40148</v>
      </c>
      <c r="J1673" s="8">
        <f>IFERROR(__xludf.DUMMYFUNCTION("""COMPUTED_VALUE"""),0.570138888888323)</f>
        <v>0.5701388889</v>
      </c>
      <c r="K1673" s="2">
        <f>IFERROR(__xludf.DUMMYFUNCTION("""COMPUTED_VALUE"""),13.0)</f>
        <v>13</v>
      </c>
      <c r="L1673" s="2">
        <f>IFERROR(__xludf.DUMMYFUNCTION("""COMPUTED_VALUE"""),7.95)</f>
        <v>7.95</v>
      </c>
    </row>
    <row r="1674">
      <c r="A1674" s="2">
        <f>IFERROR(__xludf.DUMMYFUNCTION("""COMPUTED_VALUE"""),489579.0)</f>
        <v>489579</v>
      </c>
      <c r="B1674" s="2" t="str">
        <f>IFERROR(__xludf.DUMMYFUNCTION("""COMPUTED_VALUE"""),"72267")</f>
        <v>72267</v>
      </c>
      <c r="C1674" s="2" t="str">
        <f>IFERROR(__xludf.DUMMYFUNCTION("""COMPUTED_VALUE"""),"PREMIUM CHURCH CANDLE")</f>
        <v>PREMIUM CHURCH CANDLE</v>
      </c>
      <c r="D1674" s="2">
        <f>IFERROR(__xludf.DUMMYFUNCTION("""COMPUTED_VALUE"""),4.0)</f>
        <v>4</v>
      </c>
      <c r="E1674" s="6">
        <f>IFERROR(__xludf.DUMMYFUNCTION("""COMPUTED_VALUE"""),40148.570138888885)</f>
        <v>40148.57014</v>
      </c>
      <c r="F1674" s="2">
        <f>IFERROR(__xludf.DUMMYFUNCTION("""COMPUTED_VALUE"""),2.1)</f>
        <v>2.1</v>
      </c>
      <c r="G1674" s="2">
        <f>IFERROR(__xludf.DUMMYFUNCTION("""COMPUTED_VALUE"""),16887.0)</f>
        <v>16887</v>
      </c>
      <c r="H1674" s="2" t="str">
        <f>IFERROR(__xludf.DUMMYFUNCTION("""COMPUTED_VALUE"""),"United Kingdom")</f>
        <v>United Kingdom</v>
      </c>
      <c r="I1674" s="7">
        <f>IFERROR(__xludf.DUMMYFUNCTION("""COMPUTED_VALUE"""),40148.0)</f>
        <v>40148</v>
      </c>
      <c r="J1674" s="8">
        <f>IFERROR(__xludf.DUMMYFUNCTION("""COMPUTED_VALUE"""),0.570138888888323)</f>
        <v>0.5701388889</v>
      </c>
      <c r="K1674" s="2">
        <f>IFERROR(__xludf.DUMMYFUNCTION("""COMPUTED_VALUE"""),13.0)</f>
        <v>13</v>
      </c>
      <c r="L1674" s="2">
        <f>IFERROR(__xludf.DUMMYFUNCTION("""COMPUTED_VALUE"""),8.4)</f>
        <v>8.4</v>
      </c>
    </row>
    <row r="1675">
      <c r="A1675" s="2">
        <f>IFERROR(__xludf.DUMMYFUNCTION("""COMPUTED_VALUE"""),489579.0)</f>
        <v>489579</v>
      </c>
      <c r="B1675" s="2" t="str">
        <f>IFERROR(__xludf.DUMMYFUNCTION("""COMPUTED_VALUE"""),"21217")</f>
        <v>21217</v>
      </c>
      <c r="C1675" s="2" t="str">
        <f>IFERROR(__xludf.DUMMYFUNCTION("""COMPUTED_VALUE"""),"RED SPOTTY ROUND CAKE TINS")</f>
        <v>RED SPOTTY ROUND CAKE TINS</v>
      </c>
      <c r="D1675" s="2">
        <f>IFERROR(__xludf.DUMMYFUNCTION("""COMPUTED_VALUE"""),1.0)</f>
        <v>1</v>
      </c>
      <c r="E1675" s="6">
        <f>IFERROR(__xludf.DUMMYFUNCTION("""COMPUTED_VALUE"""),40148.570138888885)</f>
        <v>40148.57014</v>
      </c>
      <c r="F1675" s="2">
        <f>IFERROR(__xludf.DUMMYFUNCTION("""COMPUTED_VALUE"""),9.95)</f>
        <v>9.95</v>
      </c>
      <c r="G1675" s="2">
        <f>IFERROR(__xludf.DUMMYFUNCTION("""COMPUTED_VALUE"""),16887.0)</f>
        <v>16887</v>
      </c>
      <c r="H1675" s="2" t="str">
        <f>IFERROR(__xludf.DUMMYFUNCTION("""COMPUTED_VALUE"""),"United Kingdom")</f>
        <v>United Kingdom</v>
      </c>
      <c r="I1675" s="7">
        <f>IFERROR(__xludf.DUMMYFUNCTION("""COMPUTED_VALUE"""),40148.0)</f>
        <v>40148</v>
      </c>
      <c r="J1675" s="8">
        <f>IFERROR(__xludf.DUMMYFUNCTION("""COMPUTED_VALUE"""),0.570138888888323)</f>
        <v>0.5701388889</v>
      </c>
      <c r="K1675" s="2">
        <f>IFERROR(__xludf.DUMMYFUNCTION("""COMPUTED_VALUE"""),13.0)</f>
        <v>13</v>
      </c>
      <c r="L1675" s="2">
        <f>IFERROR(__xludf.DUMMYFUNCTION("""COMPUTED_VALUE"""),9.95)</f>
        <v>9.95</v>
      </c>
    </row>
    <row r="1676">
      <c r="A1676" s="2">
        <f>IFERROR(__xludf.DUMMYFUNCTION("""COMPUTED_VALUE"""),489579.0)</f>
        <v>489579</v>
      </c>
      <c r="B1676" s="2" t="str">
        <f>IFERROR(__xludf.DUMMYFUNCTION("""COMPUTED_VALUE"""),"21218")</f>
        <v>21218</v>
      </c>
      <c r="C1676" s="2" t="str">
        <f>IFERROR(__xludf.DUMMYFUNCTION("""COMPUTED_VALUE"""),"RED SPOTTY BISCUIT TIN")</f>
        <v>RED SPOTTY BISCUIT TIN</v>
      </c>
      <c r="D1676" s="2">
        <f>IFERROR(__xludf.DUMMYFUNCTION("""COMPUTED_VALUE"""),1.0)</f>
        <v>1</v>
      </c>
      <c r="E1676" s="6">
        <f>IFERROR(__xludf.DUMMYFUNCTION("""COMPUTED_VALUE"""),40148.570138888885)</f>
        <v>40148.57014</v>
      </c>
      <c r="F1676" s="2">
        <f>IFERROR(__xludf.DUMMYFUNCTION("""COMPUTED_VALUE"""),3.75)</f>
        <v>3.75</v>
      </c>
      <c r="G1676" s="2">
        <f>IFERROR(__xludf.DUMMYFUNCTION("""COMPUTED_VALUE"""),16887.0)</f>
        <v>16887</v>
      </c>
      <c r="H1676" s="2" t="str">
        <f>IFERROR(__xludf.DUMMYFUNCTION("""COMPUTED_VALUE"""),"United Kingdom")</f>
        <v>United Kingdom</v>
      </c>
      <c r="I1676" s="7">
        <f>IFERROR(__xludf.DUMMYFUNCTION("""COMPUTED_VALUE"""),40148.0)</f>
        <v>40148</v>
      </c>
      <c r="J1676" s="8">
        <f>IFERROR(__xludf.DUMMYFUNCTION("""COMPUTED_VALUE"""),0.570138888888323)</f>
        <v>0.5701388889</v>
      </c>
      <c r="K1676" s="2">
        <f>IFERROR(__xludf.DUMMYFUNCTION("""COMPUTED_VALUE"""),13.0)</f>
        <v>13</v>
      </c>
      <c r="L1676" s="2">
        <f>IFERROR(__xludf.DUMMYFUNCTION("""COMPUTED_VALUE"""),3.75)</f>
        <v>3.75</v>
      </c>
    </row>
    <row r="1677">
      <c r="A1677" s="2">
        <f>IFERROR(__xludf.DUMMYFUNCTION("""COMPUTED_VALUE"""),489579.0)</f>
        <v>489579</v>
      </c>
      <c r="B1677" s="2" t="str">
        <f>IFERROR(__xludf.DUMMYFUNCTION("""COMPUTED_VALUE"""),"21240")</f>
        <v>21240</v>
      </c>
      <c r="C1677" s="2" t="str">
        <f>IFERROR(__xludf.DUMMYFUNCTION("""COMPUTED_VALUE"""),"BLUE SPOTTY CUP")</f>
        <v>BLUE SPOTTY CUP</v>
      </c>
      <c r="D1677" s="2">
        <f>IFERROR(__xludf.DUMMYFUNCTION("""COMPUTED_VALUE"""),4.0)</f>
        <v>4</v>
      </c>
      <c r="E1677" s="6">
        <f>IFERROR(__xludf.DUMMYFUNCTION("""COMPUTED_VALUE"""),40148.570138888885)</f>
        <v>40148.57014</v>
      </c>
      <c r="F1677" s="2">
        <f>IFERROR(__xludf.DUMMYFUNCTION("""COMPUTED_VALUE"""),0.85)</f>
        <v>0.85</v>
      </c>
      <c r="G1677" s="2">
        <f>IFERROR(__xludf.DUMMYFUNCTION("""COMPUTED_VALUE"""),16887.0)</f>
        <v>16887</v>
      </c>
      <c r="H1677" s="2" t="str">
        <f>IFERROR(__xludf.DUMMYFUNCTION("""COMPUTED_VALUE"""),"United Kingdom")</f>
        <v>United Kingdom</v>
      </c>
      <c r="I1677" s="7">
        <f>IFERROR(__xludf.DUMMYFUNCTION("""COMPUTED_VALUE"""),40148.0)</f>
        <v>40148</v>
      </c>
      <c r="J1677" s="8">
        <f>IFERROR(__xludf.DUMMYFUNCTION("""COMPUTED_VALUE"""),0.570138888888323)</f>
        <v>0.5701388889</v>
      </c>
      <c r="K1677" s="2">
        <f>IFERROR(__xludf.DUMMYFUNCTION("""COMPUTED_VALUE"""),13.0)</f>
        <v>13</v>
      </c>
      <c r="L1677" s="2">
        <f>IFERROR(__xludf.DUMMYFUNCTION("""COMPUTED_VALUE"""),3.4)</f>
        <v>3.4</v>
      </c>
    </row>
    <row r="1678">
      <c r="A1678" s="2">
        <f>IFERROR(__xludf.DUMMYFUNCTION("""COMPUTED_VALUE"""),489579.0)</f>
        <v>489579</v>
      </c>
      <c r="B1678" s="2" t="str">
        <f>IFERROR(__xludf.DUMMYFUNCTION("""COMPUTED_VALUE"""),"21238")</f>
        <v>21238</v>
      </c>
      <c r="C1678" s="2" t="str">
        <f>IFERROR(__xludf.DUMMYFUNCTION("""COMPUTED_VALUE"""),"RED SPOTTY CUP")</f>
        <v>RED SPOTTY CUP</v>
      </c>
      <c r="D1678" s="2">
        <f>IFERROR(__xludf.DUMMYFUNCTION("""COMPUTED_VALUE"""),2.0)</f>
        <v>2</v>
      </c>
      <c r="E1678" s="6">
        <f>IFERROR(__xludf.DUMMYFUNCTION("""COMPUTED_VALUE"""),40148.570138888885)</f>
        <v>40148.57014</v>
      </c>
      <c r="F1678" s="2">
        <f>IFERROR(__xludf.DUMMYFUNCTION("""COMPUTED_VALUE"""),0.85)</f>
        <v>0.85</v>
      </c>
      <c r="G1678" s="2">
        <f>IFERROR(__xludf.DUMMYFUNCTION("""COMPUTED_VALUE"""),16887.0)</f>
        <v>16887</v>
      </c>
      <c r="H1678" s="2" t="str">
        <f>IFERROR(__xludf.DUMMYFUNCTION("""COMPUTED_VALUE"""),"United Kingdom")</f>
        <v>United Kingdom</v>
      </c>
      <c r="I1678" s="7">
        <f>IFERROR(__xludf.DUMMYFUNCTION("""COMPUTED_VALUE"""),40148.0)</f>
        <v>40148</v>
      </c>
      <c r="J1678" s="8">
        <f>IFERROR(__xludf.DUMMYFUNCTION("""COMPUTED_VALUE"""),0.570138888888323)</f>
        <v>0.5701388889</v>
      </c>
      <c r="K1678" s="2">
        <f>IFERROR(__xludf.DUMMYFUNCTION("""COMPUTED_VALUE"""),13.0)</f>
        <v>13</v>
      </c>
      <c r="L1678" s="2">
        <f>IFERROR(__xludf.DUMMYFUNCTION("""COMPUTED_VALUE"""),1.7)</f>
        <v>1.7</v>
      </c>
    </row>
    <row r="1679">
      <c r="A1679" s="2">
        <f>IFERROR(__xludf.DUMMYFUNCTION("""COMPUTED_VALUE"""),489579.0)</f>
        <v>489579</v>
      </c>
      <c r="B1679" s="2" t="str">
        <f>IFERROR(__xludf.DUMMYFUNCTION("""COMPUTED_VALUE"""),"21239")</f>
        <v>21239</v>
      </c>
      <c r="C1679" s="2" t="str">
        <f>IFERROR(__xludf.DUMMYFUNCTION("""COMPUTED_VALUE"""),"PINK SPOTTY CUP")</f>
        <v>PINK SPOTTY CUP</v>
      </c>
      <c r="D1679" s="2">
        <f>IFERROR(__xludf.DUMMYFUNCTION("""COMPUTED_VALUE"""),4.0)</f>
        <v>4</v>
      </c>
      <c r="E1679" s="6">
        <f>IFERROR(__xludf.DUMMYFUNCTION("""COMPUTED_VALUE"""),40148.570138888885)</f>
        <v>40148.57014</v>
      </c>
      <c r="F1679" s="2">
        <f>IFERROR(__xludf.DUMMYFUNCTION("""COMPUTED_VALUE"""),0.85)</f>
        <v>0.85</v>
      </c>
      <c r="G1679" s="2">
        <f>IFERROR(__xludf.DUMMYFUNCTION("""COMPUTED_VALUE"""),16887.0)</f>
        <v>16887</v>
      </c>
      <c r="H1679" s="2" t="str">
        <f>IFERROR(__xludf.DUMMYFUNCTION("""COMPUTED_VALUE"""),"United Kingdom")</f>
        <v>United Kingdom</v>
      </c>
      <c r="I1679" s="7">
        <f>IFERROR(__xludf.DUMMYFUNCTION("""COMPUTED_VALUE"""),40148.0)</f>
        <v>40148</v>
      </c>
      <c r="J1679" s="8">
        <f>IFERROR(__xludf.DUMMYFUNCTION("""COMPUTED_VALUE"""),0.570138888888323)</f>
        <v>0.5701388889</v>
      </c>
      <c r="K1679" s="2">
        <f>IFERROR(__xludf.DUMMYFUNCTION("""COMPUTED_VALUE"""),13.0)</f>
        <v>13</v>
      </c>
      <c r="L1679" s="2">
        <f>IFERROR(__xludf.DUMMYFUNCTION("""COMPUTED_VALUE"""),3.4)</f>
        <v>3.4</v>
      </c>
    </row>
    <row r="1680">
      <c r="A1680" s="2">
        <f>IFERROR(__xludf.DUMMYFUNCTION("""COMPUTED_VALUE"""),489579.0)</f>
        <v>489579</v>
      </c>
      <c r="B1680" s="2" t="str">
        <f>IFERROR(__xludf.DUMMYFUNCTION("""COMPUTED_VALUE"""),"20677")</f>
        <v>20677</v>
      </c>
      <c r="C1680" s="2" t="str">
        <f>IFERROR(__xludf.DUMMYFUNCTION("""COMPUTED_VALUE"""),"PINK SPOTTY BOWL")</f>
        <v>PINK SPOTTY BOWL</v>
      </c>
      <c r="D1680" s="2">
        <f>IFERROR(__xludf.DUMMYFUNCTION("""COMPUTED_VALUE"""),4.0)</f>
        <v>4</v>
      </c>
      <c r="E1680" s="6">
        <f>IFERROR(__xludf.DUMMYFUNCTION("""COMPUTED_VALUE"""),40148.570138888885)</f>
        <v>40148.57014</v>
      </c>
      <c r="F1680" s="2">
        <f>IFERROR(__xludf.DUMMYFUNCTION("""COMPUTED_VALUE"""),1.25)</f>
        <v>1.25</v>
      </c>
      <c r="G1680" s="2">
        <f>IFERROR(__xludf.DUMMYFUNCTION("""COMPUTED_VALUE"""),16887.0)</f>
        <v>16887</v>
      </c>
      <c r="H1680" s="2" t="str">
        <f>IFERROR(__xludf.DUMMYFUNCTION("""COMPUTED_VALUE"""),"United Kingdom")</f>
        <v>United Kingdom</v>
      </c>
      <c r="I1680" s="7">
        <f>IFERROR(__xludf.DUMMYFUNCTION("""COMPUTED_VALUE"""),40148.0)</f>
        <v>40148</v>
      </c>
      <c r="J1680" s="8">
        <f>IFERROR(__xludf.DUMMYFUNCTION("""COMPUTED_VALUE"""),0.570138888888323)</f>
        <v>0.5701388889</v>
      </c>
      <c r="K1680" s="2">
        <f>IFERROR(__xludf.DUMMYFUNCTION("""COMPUTED_VALUE"""),13.0)</f>
        <v>13</v>
      </c>
      <c r="L1680" s="2">
        <f>IFERROR(__xludf.DUMMYFUNCTION("""COMPUTED_VALUE"""),5.0)</f>
        <v>5</v>
      </c>
    </row>
    <row r="1681">
      <c r="A1681" s="2">
        <f>IFERROR(__xludf.DUMMYFUNCTION("""COMPUTED_VALUE"""),489579.0)</f>
        <v>489579</v>
      </c>
      <c r="B1681" s="2" t="str">
        <f>IFERROR(__xludf.DUMMYFUNCTION("""COMPUTED_VALUE"""),"20675")</f>
        <v>20675</v>
      </c>
      <c r="C1681" s="2" t="str">
        <f>IFERROR(__xludf.DUMMYFUNCTION("""COMPUTED_VALUE"""),"BLUE SPOTTY BOWL")</f>
        <v>BLUE SPOTTY BOWL</v>
      </c>
      <c r="D1681" s="2">
        <f>IFERROR(__xludf.DUMMYFUNCTION("""COMPUTED_VALUE"""),4.0)</f>
        <v>4</v>
      </c>
      <c r="E1681" s="6">
        <f>IFERROR(__xludf.DUMMYFUNCTION("""COMPUTED_VALUE"""),40148.570138888885)</f>
        <v>40148.57014</v>
      </c>
      <c r="F1681" s="2">
        <f>IFERROR(__xludf.DUMMYFUNCTION("""COMPUTED_VALUE"""),1.25)</f>
        <v>1.25</v>
      </c>
      <c r="G1681" s="2">
        <f>IFERROR(__xludf.DUMMYFUNCTION("""COMPUTED_VALUE"""),16887.0)</f>
        <v>16887</v>
      </c>
      <c r="H1681" s="2" t="str">
        <f>IFERROR(__xludf.DUMMYFUNCTION("""COMPUTED_VALUE"""),"United Kingdom")</f>
        <v>United Kingdom</v>
      </c>
      <c r="I1681" s="7">
        <f>IFERROR(__xludf.DUMMYFUNCTION("""COMPUTED_VALUE"""),40148.0)</f>
        <v>40148</v>
      </c>
      <c r="J1681" s="8">
        <f>IFERROR(__xludf.DUMMYFUNCTION("""COMPUTED_VALUE"""),0.570138888888323)</f>
        <v>0.5701388889</v>
      </c>
      <c r="K1681" s="2">
        <f>IFERROR(__xludf.DUMMYFUNCTION("""COMPUTED_VALUE"""),13.0)</f>
        <v>13</v>
      </c>
      <c r="L1681" s="2">
        <f>IFERROR(__xludf.DUMMYFUNCTION("""COMPUTED_VALUE"""),5.0)</f>
        <v>5</v>
      </c>
    </row>
    <row r="1682">
      <c r="A1682" s="2">
        <f>IFERROR(__xludf.DUMMYFUNCTION("""COMPUTED_VALUE"""),489579.0)</f>
        <v>489579</v>
      </c>
      <c r="B1682" s="2" t="str">
        <f>IFERROR(__xludf.DUMMYFUNCTION("""COMPUTED_VALUE"""),"21986")</f>
        <v>21986</v>
      </c>
      <c r="C1682" s="2" t="str">
        <f>IFERROR(__xludf.DUMMYFUNCTION("""COMPUTED_VALUE"""),"PACK OF 12 PINK SPOT TISSUES")</f>
        <v>PACK OF 12 PINK SPOT TISSUES</v>
      </c>
      <c r="D1682" s="2">
        <f>IFERROR(__xludf.DUMMYFUNCTION("""COMPUTED_VALUE"""),12.0)</f>
        <v>12</v>
      </c>
      <c r="E1682" s="6">
        <f>IFERROR(__xludf.DUMMYFUNCTION("""COMPUTED_VALUE"""),40148.570138888885)</f>
        <v>40148.57014</v>
      </c>
      <c r="F1682" s="2">
        <f>IFERROR(__xludf.DUMMYFUNCTION("""COMPUTED_VALUE"""),0.29)</f>
        <v>0.29</v>
      </c>
      <c r="G1682" s="2">
        <f>IFERROR(__xludf.DUMMYFUNCTION("""COMPUTED_VALUE"""),16887.0)</f>
        <v>16887</v>
      </c>
      <c r="H1682" s="2" t="str">
        <f>IFERROR(__xludf.DUMMYFUNCTION("""COMPUTED_VALUE"""),"United Kingdom")</f>
        <v>United Kingdom</v>
      </c>
      <c r="I1682" s="7">
        <f>IFERROR(__xludf.DUMMYFUNCTION("""COMPUTED_VALUE"""),40148.0)</f>
        <v>40148</v>
      </c>
      <c r="J1682" s="8">
        <f>IFERROR(__xludf.DUMMYFUNCTION("""COMPUTED_VALUE"""),0.570138888888323)</f>
        <v>0.5701388889</v>
      </c>
      <c r="K1682" s="2">
        <f>IFERROR(__xludf.DUMMYFUNCTION("""COMPUTED_VALUE"""),13.0)</f>
        <v>13</v>
      </c>
      <c r="L1682" s="2">
        <f>IFERROR(__xludf.DUMMYFUNCTION("""COMPUTED_VALUE"""),3.47999999999999)</f>
        <v>3.48</v>
      </c>
    </row>
    <row r="1683">
      <c r="A1683" s="2">
        <f>IFERROR(__xludf.DUMMYFUNCTION("""COMPUTED_VALUE"""),489579.0)</f>
        <v>489579</v>
      </c>
      <c r="B1683" s="2" t="str">
        <f>IFERROR(__xludf.DUMMYFUNCTION("""COMPUTED_VALUE"""),"21034")</f>
        <v>21034</v>
      </c>
      <c r="C1683" s="2" t="str">
        <f>IFERROR(__xludf.DUMMYFUNCTION("""COMPUTED_VALUE"""),"REX CASH+CARRY JUMBO SHOPPER")</f>
        <v>REX CASH+CARRY JUMBO SHOPPER</v>
      </c>
      <c r="D1683" s="2">
        <f>IFERROR(__xludf.DUMMYFUNCTION("""COMPUTED_VALUE"""),1.0)</f>
        <v>1</v>
      </c>
      <c r="E1683" s="6">
        <f>IFERROR(__xludf.DUMMYFUNCTION("""COMPUTED_VALUE"""),40148.570138888885)</f>
        <v>40148.57014</v>
      </c>
      <c r="F1683" s="2">
        <f>IFERROR(__xludf.DUMMYFUNCTION("""COMPUTED_VALUE"""),0.95)</f>
        <v>0.95</v>
      </c>
      <c r="G1683" s="2">
        <f>IFERROR(__xludf.DUMMYFUNCTION("""COMPUTED_VALUE"""),16887.0)</f>
        <v>16887</v>
      </c>
      <c r="H1683" s="2" t="str">
        <f>IFERROR(__xludf.DUMMYFUNCTION("""COMPUTED_VALUE"""),"United Kingdom")</f>
        <v>United Kingdom</v>
      </c>
      <c r="I1683" s="7">
        <f>IFERROR(__xludf.DUMMYFUNCTION("""COMPUTED_VALUE"""),40148.0)</f>
        <v>40148</v>
      </c>
      <c r="J1683" s="8">
        <f>IFERROR(__xludf.DUMMYFUNCTION("""COMPUTED_VALUE"""),0.570138888888323)</f>
        <v>0.5701388889</v>
      </c>
      <c r="K1683" s="2">
        <f>IFERROR(__xludf.DUMMYFUNCTION("""COMPUTED_VALUE"""),13.0)</f>
        <v>13</v>
      </c>
      <c r="L1683" s="2">
        <f>IFERROR(__xludf.DUMMYFUNCTION("""COMPUTED_VALUE"""),0.95)</f>
        <v>0.95</v>
      </c>
    </row>
    <row r="1684">
      <c r="A1684" s="2">
        <f>IFERROR(__xludf.DUMMYFUNCTION("""COMPUTED_VALUE"""),489580.0)</f>
        <v>489580</v>
      </c>
      <c r="B1684" s="2" t="str">
        <f>IFERROR(__xludf.DUMMYFUNCTION("""COMPUTED_VALUE"""),"21232")</f>
        <v>21232</v>
      </c>
      <c r="C1684" s="2" t="str">
        <f>IFERROR(__xludf.DUMMYFUNCTION("""COMPUTED_VALUE"""),"STRAWBERRY CERAMIC TRINKET BOX")</f>
        <v>STRAWBERRY CERAMIC TRINKET BOX</v>
      </c>
      <c r="D1684" s="2">
        <f>IFERROR(__xludf.DUMMYFUNCTION("""COMPUTED_VALUE"""),24.0)</f>
        <v>24</v>
      </c>
      <c r="E1684" s="6">
        <f>IFERROR(__xludf.DUMMYFUNCTION("""COMPUTED_VALUE"""),40148.57152777778)</f>
        <v>40148.57153</v>
      </c>
      <c r="F1684" s="2">
        <f>IFERROR(__xludf.DUMMYFUNCTION("""COMPUTED_VALUE"""),1.25)</f>
        <v>1.25</v>
      </c>
      <c r="G1684" s="2">
        <f>IFERROR(__xludf.DUMMYFUNCTION("""COMPUTED_VALUE"""),12921.0)</f>
        <v>12921</v>
      </c>
      <c r="H1684" s="2" t="str">
        <f>IFERROR(__xludf.DUMMYFUNCTION("""COMPUTED_VALUE"""),"United Kingdom")</f>
        <v>United Kingdom</v>
      </c>
      <c r="I1684" s="7">
        <f>IFERROR(__xludf.DUMMYFUNCTION("""COMPUTED_VALUE"""),40148.0)</f>
        <v>40148</v>
      </c>
      <c r="J1684" s="8">
        <f>IFERROR(__xludf.DUMMYFUNCTION("""COMPUTED_VALUE"""),0.5715277777781012)</f>
        <v>0.5715277778</v>
      </c>
      <c r="K1684" s="2">
        <f>IFERROR(__xludf.DUMMYFUNCTION("""COMPUTED_VALUE"""),13.0)</f>
        <v>13</v>
      </c>
      <c r="L1684" s="2">
        <f>IFERROR(__xludf.DUMMYFUNCTION("""COMPUTED_VALUE"""),30.0)</f>
        <v>30</v>
      </c>
    </row>
    <row r="1685">
      <c r="A1685" s="2">
        <f>IFERROR(__xludf.DUMMYFUNCTION("""COMPUTED_VALUE"""),489580.0)</f>
        <v>489580</v>
      </c>
      <c r="B1685" s="2" t="str">
        <f>IFERROR(__xludf.DUMMYFUNCTION("""COMPUTED_VALUE"""),"21231")</f>
        <v>21231</v>
      </c>
      <c r="C1685" s="2" t="str">
        <f>IFERROR(__xludf.DUMMYFUNCTION("""COMPUTED_VALUE"""),"SWEETHEART CERAMIC TRINKET BOX")</f>
        <v>SWEETHEART CERAMIC TRINKET BOX</v>
      </c>
      <c r="D1685" s="2">
        <f>IFERROR(__xludf.DUMMYFUNCTION("""COMPUTED_VALUE"""),24.0)</f>
        <v>24</v>
      </c>
      <c r="E1685" s="6">
        <f>IFERROR(__xludf.DUMMYFUNCTION("""COMPUTED_VALUE"""),40148.57152777778)</f>
        <v>40148.57153</v>
      </c>
      <c r="F1685" s="2">
        <f>IFERROR(__xludf.DUMMYFUNCTION("""COMPUTED_VALUE"""),1.25)</f>
        <v>1.25</v>
      </c>
      <c r="G1685" s="2">
        <f>IFERROR(__xludf.DUMMYFUNCTION("""COMPUTED_VALUE"""),12921.0)</f>
        <v>12921</v>
      </c>
      <c r="H1685" s="2" t="str">
        <f>IFERROR(__xludf.DUMMYFUNCTION("""COMPUTED_VALUE"""),"United Kingdom")</f>
        <v>United Kingdom</v>
      </c>
      <c r="I1685" s="7">
        <f>IFERROR(__xludf.DUMMYFUNCTION("""COMPUTED_VALUE"""),40148.0)</f>
        <v>40148</v>
      </c>
      <c r="J1685" s="8">
        <f>IFERROR(__xludf.DUMMYFUNCTION("""COMPUTED_VALUE"""),0.5715277777781012)</f>
        <v>0.5715277778</v>
      </c>
      <c r="K1685" s="2">
        <f>IFERROR(__xludf.DUMMYFUNCTION("""COMPUTED_VALUE"""),13.0)</f>
        <v>13</v>
      </c>
      <c r="L1685" s="2">
        <f>IFERROR(__xludf.DUMMYFUNCTION("""COMPUTED_VALUE"""),30.0)</f>
        <v>30</v>
      </c>
    </row>
    <row r="1686">
      <c r="A1686" s="2">
        <f>IFERROR(__xludf.DUMMYFUNCTION("""COMPUTED_VALUE"""),489580.0)</f>
        <v>489580</v>
      </c>
      <c r="B1686" s="2" t="str">
        <f>IFERROR(__xludf.DUMMYFUNCTION("""COMPUTED_VALUE"""),"21975")</f>
        <v>21975</v>
      </c>
      <c r="C1686" s="2" t="str">
        <f>IFERROR(__xludf.DUMMYFUNCTION("""COMPUTED_VALUE"""),"PACK OF 60 DINOSAUR CAKE CASES")</f>
        <v>PACK OF 60 DINOSAUR CAKE CASES</v>
      </c>
      <c r="D1686" s="2">
        <f>IFERROR(__xludf.DUMMYFUNCTION("""COMPUTED_VALUE"""),24.0)</f>
        <v>24</v>
      </c>
      <c r="E1686" s="6">
        <f>IFERROR(__xludf.DUMMYFUNCTION("""COMPUTED_VALUE"""),40148.57152777778)</f>
        <v>40148.57153</v>
      </c>
      <c r="F1686" s="2">
        <f>IFERROR(__xludf.DUMMYFUNCTION("""COMPUTED_VALUE"""),0.55)</f>
        <v>0.55</v>
      </c>
      <c r="G1686" s="2">
        <f>IFERROR(__xludf.DUMMYFUNCTION("""COMPUTED_VALUE"""),12921.0)</f>
        <v>12921</v>
      </c>
      <c r="H1686" s="2" t="str">
        <f>IFERROR(__xludf.DUMMYFUNCTION("""COMPUTED_VALUE"""),"United Kingdom")</f>
        <v>United Kingdom</v>
      </c>
      <c r="I1686" s="7">
        <f>IFERROR(__xludf.DUMMYFUNCTION("""COMPUTED_VALUE"""),40148.0)</f>
        <v>40148</v>
      </c>
      <c r="J1686" s="8">
        <f>IFERROR(__xludf.DUMMYFUNCTION("""COMPUTED_VALUE"""),0.5715277777781012)</f>
        <v>0.5715277778</v>
      </c>
      <c r="K1686" s="2">
        <f>IFERROR(__xludf.DUMMYFUNCTION("""COMPUTED_VALUE"""),13.0)</f>
        <v>13</v>
      </c>
      <c r="L1686" s="2">
        <f>IFERROR(__xludf.DUMMYFUNCTION("""COMPUTED_VALUE"""),13.2)</f>
        <v>13.2</v>
      </c>
    </row>
    <row r="1687">
      <c r="A1687" s="2">
        <f>IFERROR(__xludf.DUMMYFUNCTION("""COMPUTED_VALUE"""),489580.0)</f>
        <v>489580</v>
      </c>
      <c r="B1687" s="2" t="str">
        <f>IFERROR(__xludf.DUMMYFUNCTION("""COMPUTED_VALUE"""),"21213")</f>
        <v>21213</v>
      </c>
      <c r="C1687" s="2" t="str">
        <f>IFERROR(__xludf.DUMMYFUNCTION("""COMPUTED_VALUE"""),"PACK OF 72 SKULL CAKE CASES")</f>
        <v>PACK OF 72 SKULL CAKE CASES</v>
      </c>
      <c r="D1687" s="2">
        <f>IFERROR(__xludf.DUMMYFUNCTION("""COMPUTED_VALUE"""),24.0)</f>
        <v>24</v>
      </c>
      <c r="E1687" s="6">
        <f>IFERROR(__xludf.DUMMYFUNCTION("""COMPUTED_VALUE"""),40148.57152777778)</f>
        <v>40148.57153</v>
      </c>
      <c r="F1687" s="2">
        <f>IFERROR(__xludf.DUMMYFUNCTION("""COMPUTED_VALUE"""),0.55)</f>
        <v>0.55</v>
      </c>
      <c r="G1687" s="2">
        <f>IFERROR(__xludf.DUMMYFUNCTION("""COMPUTED_VALUE"""),12921.0)</f>
        <v>12921</v>
      </c>
      <c r="H1687" s="2" t="str">
        <f>IFERROR(__xludf.DUMMYFUNCTION("""COMPUTED_VALUE"""),"United Kingdom")</f>
        <v>United Kingdom</v>
      </c>
      <c r="I1687" s="7">
        <f>IFERROR(__xludf.DUMMYFUNCTION("""COMPUTED_VALUE"""),40148.0)</f>
        <v>40148</v>
      </c>
      <c r="J1687" s="8">
        <f>IFERROR(__xludf.DUMMYFUNCTION("""COMPUTED_VALUE"""),0.5715277777781012)</f>
        <v>0.5715277778</v>
      </c>
      <c r="K1687" s="2">
        <f>IFERROR(__xludf.DUMMYFUNCTION("""COMPUTED_VALUE"""),13.0)</f>
        <v>13</v>
      </c>
      <c r="L1687" s="2">
        <f>IFERROR(__xludf.DUMMYFUNCTION("""COMPUTED_VALUE"""),13.2)</f>
        <v>13.2</v>
      </c>
    </row>
    <row r="1688">
      <c r="A1688" s="2">
        <f>IFERROR(__xludf.DUMMYFUNCTION("""COMPUTED_VALUE"""),489580.0)</f>
        <v>489580</v>
      </c>
      <c r="B1688" s="2" t="str">
        <f>IFERROR(__xludf.DUMMYFUNCTION("""COMPUTED_VALUE"""),"21977")</f>
        <v>21977</v>
      </c>
      <c r="C1688" s="2" t="str">
        <f>IFERROR(__xludf.DUMMYFUNCTION("""COMPUTED_VALUE"""),"PACK OF 60 PINK PAISLEY CAKE CASES")</f>
        <v>PACK OF 60 PINK PAISLEY CAKE CASES</v>
      </c>
      <c r="D1688" s="2">
        <f>IFERROR(__xludf.DUMMYFUNCTION("""COMPUTED_VALUE"""),24.0)</f>
        <v>24</v>
      </c>
      <c r="E1688" s="6">
        <f>IFERROR(__xludf.DUMMYFUNCTION("""COMPUTED_VALUE"""),40148.57152777778)</f>
        <v>40148.57153</v>
      </c>
      <c r="F1688" s="2">
        <f>IFERROR(__xludf.DUMMYFUNCTION("""COMPUTED_VALUE"""),0.55)</f>
        <v>0.55</v>
      </c>
      <c r="G1688" s="2">
        <f>IFERROR(__xludf.DUMMYFUNCTION("""COMPUTED_VALUE"""),12921.0)</f>
        <v>12921</v>
      </c>
      <c r="H1688" s="2" t="str">
        <f>IFERROR(__xludf.DUMMYFUNCTION("""COMPUTED_VALUE"""),"United Kingdom")</f>
        <v>United Kingdom</v>
      </c>
      <c r="I1688" s="7">
        <f>IFERROR(__xludf.DUMMYFUNCTION("""COMPUTED_VALUE"""),40148.0)</f>
        <v>40148</v>
      </c>
      <c r="J1688" s="8">
        <f>IFERROR(__xludf.DUMMYFUNCTION("""COMPUTED_VALUE"""),0.5715277777781012)</f>
        <v>0.5715277778</v>
      </c>
      <c r="K1688" s="2">
        <f>IFERROR(__xludf.DUMMYFUNCTION("""COMPUTED_VALUE"""),13.0)</f>
        <v>13</v>
      </c>
      <c r="L1688" s="2">
        <f>IFERROR(__xludf.DUMMYFUNCTION("""COMPUTED_VALUE"""),13.2)</f>
        <v>13.2</v>
      </c>
    </row>
    <row r="1689">
      <c r="A1689" s="2">
        <f>IFERROR(__xludf.DUMMYFUNCTION("""COMPUTED_VALUE"""),489580.0)</f>
        <v>489580</v>
      </c>
      <c r="B1689" s="2" t="str">
        <f>IFERROR(__xludf.DUMMYFUNCTION("""COMPUTED_VALUE"""),"21212")</f>
        <v>21212</v>
      </c>
      <c r="C1689" s="2" t="str">
        <f>IFERROR(__xludf.DUMMYFUNCTION("""COMPUTED_VALUE"""),"PACK OF 72 RETRO SPOT CAKE CASES")</f>
        <v>PACK OF 72 RETRO SPOT CAKE CASES</v>
      </c>
      <c r="D1689" s="2">
        <f>IFERROR(__xludf.DUMMYFUNCTION("""COMPUTED_VALUE"""),24.0)</f>
        <v>24</v>
      </c>
      <c r="E1689" s="6">
        <f>IFERROR(__xludf.DUMMYFUNCTION("""COMPUTED_VALUE"""),40148.57152777778)</f>
        <v>40148.57153</v>
      </c>
      <c r="F1689" s="2">
        <f>IFERROR(__xludf.DUMMYFUNCTION("""COMPUTED_VALUE"""),0.55)</f>
        <v>0.55</v>
      </c>
      <c r="G1689" s="2">
        <f>IFERROR(__xludf.DUMMYFUNCTION("""COMPUTED_VALUE"""),12921.0)</f>
        <v>12921</v>
      </c>
      <c r="H1689" s="2" t="str">
        <f>IFERROR(__xludf.DUMMYFUNCTION("""COMPUTED_VALUE"""),"United Kingdom")</f>
        <v>United Kingdom</v>
      </c>
      <c r="I1689" s="7">
        <f>IFERROR(__xludf.DUMMYFUNCTION("""COMPUTED_VALUE"""),40148.0)</f>
        <v>40148</v>
      </c>
      <c r="J1689" s="8">
        <f>IFERROR(__xludf.DUMMYFUNCTION("""COMPUTED_VALUE"""),0.5715277777781012)</f>
        <v>0.5715277778</v>
      </c>
      <c r="K1689" s="2">
        <f>IFERROR(__xludf.DUMMYFUNCTION("""COMPUTED_VALUE"""),13.0)</f>
        <v>13</v>
      </c>
      <c r="L1689" s="2">
        <f>IFERROR(__xludf.DUMMYFUNCTION("""COMPUTED_VALUE"""),13.2)</f>
        <v>13.2</v>
      </c>
    </row>
    <row r="1690">
      <c r="A1690" s="2">
        <f>IFERROR(__xludf.DUMMYFUNCTION("""COMPUTED_VALUE"""),489580.0)</f>
        <v>489580</v>
      </c>
      <c r="B1690" s="2" t="str">
        <f>IFERROR(__xludf.DUMMYFUNCTION("""COMPUTED_VALUE"""),"84991")</f>
        <v>84991</v>
      </c>
      <c r="C1690" s="2" t="str">
        <f>IFERROR(__xludf.DUMMYFUNCTION("""COMPUTED_VALUE"""),"60 TEATIME FAIRY CAKE CASES")</f>
        <v>60 TEATIME FAIRY CAKE CASES</v>
      </c>
      <c r="D1690" s="2">
        <f>IFERROR(__xludf.DUMMYFUNCTION("""COMPUTED_VALUE"""),24.0)</f>
        <v>24</v>
      </c>
      <c r="E1690" s="6">
        <f>IFERROR(__xludf.DUMMYFUNCTION("""COMPUTED_VALUE"""),40148.57152777778)</f>
        <v>40148.57153</v>
      </c>
      <c r="F1690" s="2">
        <f>IFERROR(__xludf.DUMMYFUNCTION("""COMPUTED_VALUE"""),0.55)</f>
        <v>0.55</v>
      </c>
      <c r="G1690" s="2">
        <f>IFERROR(__xludf.DUMMYFUNCTION("""COMPUTED_VALUE"""),12921.0)</f>
        <v>12921</v>
      </c>
      <c r="H1690" s="2" t="str">
        <f>IFERROR(__xludf.DUMMYFUNCTION("""COMPUTED_VALUE"""),"United Kingdom")</f>
        <v>United Kingdom</v>
      </c>
      <c r="I1690" s="7">
        <f>IFERROR(__xludf.DUMMYFUNCTION("""COMPUTED_VALUE"""),40148.0)</f>
        <v>40148</v>
      </c>
      <c r="J1690" s="8">
        <f>IFERROR(__xludf.DUMMYFUNCTION("""COMPUTED_VALUE"""),0.5715277777781012)</f>
        <v>0.5715277778</v>
      </c>
      <c r="K1690" s="2">
        <f>IFERROR(__xludf.DUMMYFUNCTION("""COMPUTED_VALUE"""),13.0)</f>
        <v>13</v>
      </c>
      <c r="L1690" s="2">
        <f>IFERROR(__xludf.DUMMYFUNCTION("""COMPUTED_VALUE"""),13.2)</f>
        <v>13.2</v>
      </c>
    </row>
    <row r="1691">
      <c r="A1691" s="2">
        <f>IFERROR(__xludf.DUMMYFUNCTION("""COMPUTED_VALUE"""),489580.0)</f>
        <v>489580</v>
      </c>
      <c r="B1691" s="2" t="str">
        <f>IFERROR(__xludf.DUMMYFUNCTION("""COMPUTED_VALUE"""),"72756")</f>
        <v>72756</v>
      </c>
      <c r="C1691" s="2" t="str">
        <f>IFERROR(__xludf.DUMMYFUNCTION("""COMPUTED_VALUE"""),"FAIRY CAKE CANDLES")</f>
        <v>FAIRY CAKE CANDLES</v>
      </c>
      <c r="D1691" s="2">
        <f>IFERROR(__xludf.DUMMYFUNCTION("""COMPUTED_VALUE"""),108.0)</f>
        <v>108</v>
      </c>
      <c r="E1691" s="6">
        <f>IFERROR(__xludf.DUMMYFUNCTION("""COMPUTED_VALUE"""),40148.57152777778)</f>
        <v>40148.57153</v>
      </c>
      <c r="F1691" s="2">
        <f>IFERROR(__xludf.DUMMYFUNCTION("""COMPUTED_VALUE"""),1.25)</f>
        <v>1.25</v>
      </c>
      <c r="G1691" s="2">
        <f>IFERROR(__xludf.DUMMYFUNCTION("""COMPUTED_VALUE"""),12921.0)</f>
        <v>12921</v>
      </c>
      <c r="H1691" s="2" t="str">
        <f>IFERROR(__xludf.DUMMYFUNCTION("""COMPUTED_VALUE"""),"United Kingdom")</f>
        <v>United Kingdom</v>
      </c>
      <c r="I1691" s="7">
        <f>IFERROR(__xludf.DUMMYFUNCTION("""COMPUTED_VALUE"""),40148.0)</f>
        <v>40148</v>
      </c>
      <c r="J1691" s="8">
        <f>IFERROR(__xludf.DUMMYFUNCTION("""COMPUTED_VALUE"""),0.5715277777781012)</f>
        <v>0.5715277778</v>
      </c>
      <c r="K1691" s="2">
        <f>IFERROR(__xludf.DUMMYFUNCTION("""COMPUTED_VALUE"""),13.0)</f>
        <v>13</v>
      </c>
      <c r="L1691" s="2">
        <f>IFERROR(__xludf.DUMMYFUNCTION("""COMPUTED_VALUE"""),135.0)</f>
        <v>135</v>
      </c>
    </row>
    <row r="1692">
      <c r="A1692" s="2"/>
      <c r="B1692" s="2" t="str">
        <f>IFERROR(__xludf.DUMMYFUNCTION("""COMPUTED_VALUE"""),"72807B")</f>
        <v>72807B</v>
      </c>
      <c r="C1692" s="2" t="str">
        <f>IFERROR(__xludf.DUMMYFUNCTION("""COMPUTED_VALUE"""),"SET/3 OCEAN SCENT CANDLE JEWEL BOX")</f>
        <v>SET/3 OCEAN SCENT CANDLE JEWEL BOX</v>
      </c>
      <c r="D1692" s="2">
        <f>IFERROR(__xludf.DUMMYFUNCTION("""COMPUTED_VALUE"""),-1.0)</f>
        <v>-1</v>
      </c>
      <c r="E1692" s="6">
        <f>IFERROR(__xludf.DUMMYFUNCTION("""COMPUTED_VALUE"""),40148.57430555556)</f>
        <v>40148.57431</v>
      </c>
      <c r="F1692" s="2">
        <f>IFERROR(__xludf.DUMMYFUNCTION("""COMPUTED_VALUE"""),4.25)</f>
        <v>4.25</v>
      </c>
      <c r="G1692" s="2">
        <f>IFERROR(__xludf.DUMMYFUNCTION("""COMPUTED_VALUE"""),14621.0)</f>
        <v>14621</v>
      </c>
      <c r="H1692" s="2" t="str">
        <f>IFERROR(__xludf.DUMMYFUNCTION("""COMPUTED_VALUE"""),"United Kingdom")</f>
        <v>United Kingdom</v>
      </c>
      <c r="I1692" s="7">
        <f>IFERROR(__xludf.DUMMYFUNCTION("""COMPUTED_VALUE"""),40148.0)</f>
        <v>40148</v>
      </c>
      <c r="J1692" s="8">
        <f>IFERROR(__xludf.DUMMYFUNCTION("""COMPUTED_VALUE"""),0.5743055555540195)</f>
        <v>0.5743055556</v>
      </c>
      <c r="K1692" s="2">
        <f>IFERROR(__xludf.DUMMYFUNCTION("""COMPUTED_VALUE"""),13.0)</f>
        <v>13</v>
      </c>
      <c r="L1692" s="2">
        <f>IFERROR(__xludf.DUMMYFUNCTION("""COMPUTED_VALUE"""),-4.25)</f>
        <v>-4.25</v>
      </c>
    </row>
    <row r="1693">
      <c r="A1693" s="2"/>
      <c r="B1693" s="2" t="str">
        <f>IFERROR(__xludf.DUMMYFUNCTION("""COMPUTED_VALUE"""),"72802C")</f>
        <v>72802C</v>
      </c>
      <c r="C1693" s="2" t="str">
        <f>IFERROR(__xludf.DUMMYFUNCTION("""COMPUTED_VALUE"""),"VANILLA SCENT CANDLE JEWELLED BOX")</f>
        <v>VANILLA SCENT CANDLE JEWELLED BOX</v>
      </c>
      <c r="D1693" s="2">
        <f>IFERROR(__xludf.DUMMYFUNCTION("""COMPUTED_VALUE"""),-1.0)</f>
        <v>-1</v>
      </c>
      <c r="E1693" s="6">
        <f>IFERROR(__xludf.DUMMYFUNCTION("""COMPUTED_VALUE"""),40148.57430555556)</f>
        <v>40148.57431</v>
      </c>
      <c r="F1693" s="2">
        <f>IFERROR(__xludf.DUMMYFUNCTION("""COMPUTED_VALUE"""),4.25)</f>
        <v>4.25</v>
      </c>
      <c r="G1693" s="2">
        <f>IFERROR(__xludf.DUMMYFUNCTION("""COMPUTED_VALUE"""),14621.0)</f>
        <v>14621</v>
      </c>
      <c r="H1693" s="2" t="str">
        <f>IFERROR(__xludf.DUMMYFUNCTION("""COMPUTED_VALUE"""),"United Kingdom")</f>
        <v>United Kingdom</v>
      </c>
      <c r="I1693" s="7">
        <f>IFERROR(__xludf.DUMMYFUNCTION("""COMPUTED_VALUE"""),40148.0)</f>
        <v>40148</v>
      </c>
      <c r="J1693" s="8">
        <f>IFERROR(__xludf.DUMMYFUNCTION("""COMPUTED_VALUE"""),0.5743055555540195)</f>
        <v>0.5743055556</v>
      </c>
      <c r="K1693" s="2">
        <f>IFERROR(__xludf.DUMMYFUNCTION("""COMPUTED_VALUE"""),13.0)</f>
        <v>13</v>
      </c>
      <c r="L1693" s="2">
        <f>IFERROR(__xludf.DUMMYFUNCTION("""COMPUTED_VALUE"""),-4.25)</f>
        <v>-4.25</v>
      </c>
    </row>
    <row r="1694">
      <c r="A1694" s="2"/>
      <c r="B1694" s="2" t="str">
        <f>IFERROR(__xludf.DUMMYFUNCTION("""COMPUTED_VALUE"""),"72802B")</f>
        <v>72802B</v>
      </c>
      <c r="C1694" s="2" t="str">
        <f>IFERROR(__xludf.DUMMYFUNCTION("""COMPUTED_VALUE"""),"OCEAN SCENT CANDLE IN JEWELLED BOX")</f>
        <v>OCEAN SCENT CANDLE IN JEWELLED BOX</v>
      </c>
      <c r="D1694" s="2">
        <f>IFERROR(__xludf.DUMMYFUNCTION("""COMPUTED_VALUE"""),-2.0)</f>
        <v>-2</v>
      </c>
      <c r="E1694" s="6">
        <f>IFERROR(__xludf.DUMMYFUNCTION("""COMPUTED_VALUE"""),40148.57430555556)</f>
        <v>40148.57431</v>
      </c>
      <c r="F1694" s="2">
        <f>IFERROR(__xludf.DUMMYFUNCTION("""COMPUTED_VALUE"""),4.25)</f>
        <v>4.25</v>
      </c>
      <c r="G1694" s="2">
        <f>IFERROR(__xludf.DUMMYFUNCTION("""COMPUTED_VALUE"""),14621.0)</f>
        <v>14621</v>
      </c>
      <c r="H1694" s="2" t="str">
        <f>IFERROR(__xludf.DUMMYFUNCTION("""COMPUTED_VALUE"""),"United Kingdom")</f>
        <v>United Kingdom</v>
      </c>
      <c r="I1694" s="7">
        <f>IFERROR(__xludf.DUMMYFUNCTION("""COMPUTED_VALUE"""),40148.0)</f>
        <v>40148</v>
      </c>
      <c r="J1694" s="8">
        <f>IFERROR(__xludf.DUMMYFUNCTION("""COMPUTED_VALUE"""),0.5743055555540195)</f>
        <v>0.5743055556</v>
      </c>
      <c r="K1694" s="2">
        <f>IFERROR(__xludf.DUMMYFUNCTION("""COMPUTED_VALUE"""),13.0)</f>
        <v>13</v>
      </c>
      <c r="L1694" s="2">
        <f>IFERROR(__xludf.DUMMYFUNCTION("""COMPUTED_VALUE"""),-8.5)</f>
        <v>-8.5</v>
      </c>
    </row>
    <row r="1695">
      <c r="A1695" s="2"/>
      <c r="B1695" s="2" t="str">
        <f>IFERROR(__xludf.DUMMYFUNCTION("""COMPUTED_VALUE"""),"85047")</f>
        <v>85047</v>
      </c>
      <c r="C1695" s="2" t="str">
        <f>IFERROR(__xludf.DUMMYFUNCTION("""COMPUTED_VALUE"""),"WHITE BEADED GARLAND STRING 20LIGHT")</f>
        <v>WHITE BEADED GARLAND STRING 20LIGHT</v>
      </c>
      <c r="D1695" s="2">
        <f>IFERROR(__xludf.DUMMYFUNCTION("""COMPUTED_VALUE"""),-1.0)</f>
        <v>-1</v>
      </c>
      <c r="E1695" s="6">
        <f>IFERROR(__xludf.DUMMYFUNCTION("""COMPUTED_VALUE"""),40148.57430555556)</f>
        <v>40148.57431</v>
      </c>
      <c r="F1695" s="2">
        <f>IFERROR(__xludf.DUMMYFUNCTION("""COMPUTED_VALUE"""),6.35)</f>
        <v>6.35</v>
      </c>
      <c r="G1695" s="2">
        <f>IFERROR(__xludf.DUMMYFUNCTION("""COMPUTED_VALUE"""),14621.0)</f>
        <v>14621</v>
      </c>
      <c r="H1695" s="2" t="str">
        <f>IFERROR(__xludf.DUMMYFUNCTION("""COMPUTED_VALUE"""),"United Kingdom")</f>
        <v>United Kingdom</v>
      </c>
      <c r="I1695" s="7">
        <f>IFERROR(__xludf.DUMMYFUNCTION("""COMPUTED_VALUE"""),40148.0)</f>
        <v>40148</v>
      </c>
      <c r="J1695" s="8">
        <f>IFERROR(__xludf.DUMMYFUNCTION("""COMPUTED_VALUE"""),0.5743055555540195)</f>
        <v>0.5743055556</v>
      </c>
      <c r="K1695" s="2">
        <f>IFERROR(__xludf.DUMMYFUNCTION("""COMPUTED_VALUE"""),13.0)</f>
        <v>13</v>
      </c>
      <c r="L1695" s="2">
        <f>IFERROR(__xludf.DUMMYFUNCTION("""COMPUTED_VALUE"""),-6.35)</f>
        <v>-6.35</v>
      </c>
    </row>
    <row r="1696">
      <c r="A1696" s="2">
        <f>IFERROR(__xludf.DUMMYFUNCTION("""COMPUTED_VALUE"""),489582.0)</f>
        <v>489582</v>
      </c>
      <c r="B1696" s="2" t="str">
        <f>IFERROR(__xludf.DUMMYFUNCTION("""COMPUTED_VALUE"""),"72799B")</f>
        <v>72799B</v>
      </c>
      <c r="C1696" s="2" t="str">
        <f>IFERROR(__xludf.DUMMYFUNCTION("""COMPUTED_VALUE"""),"PURPLE PILLAR CANDLE BLACK FLOCK")</f>
        <v>PURPLE PILLAR CANDLE BLACK FLOCK</v>
      </c>
      <c r="D1696" s="2">
        <f>IFERROR(__xludf.DUMMYFUNCTION("""COMPUTED_VALUE"""),10.0)</f>
        <v>10</v>
      </c>
      <c r="E1696" s="6">
        <f>IFERROR(__xludf.DUMMYFUNCTION("""COMPUTED_VALUE"""),40148.57430555556)</f>
        <v>40148.57431</v>
      </c>
      <c r="F1696" s="2">
        <f>IFERROR(__xludf.DUMMYFUNCTION("""COMPUTED_VALUE"""),2.95)</f>
        <v>2.95</v>
      </c>
      <c r="G1696" s="2">
        <f>IFERROR(__xludf.DUMMYFUNCTION("""COMPUTED_VALUE"""),14543.0)</f>
        <v>14543</v>
      </c>
      <c r="H1696" s="2" t="str">
        <f>IFERROR(__xludf.DUMMYFUNCTION("""COMPUTED_VALUE"""),"United Kingdom")</f>
        <v>United Kingdom</v>
      </c>
      <c r="I1696" s="7">
        <f>IFERROR(__xludf.DUMMYFUNCTION("""COMPUTED_VALUE"""),40148.0)</f>
        <v>40148</v>
      </c>
      <c r="J1696" s="8">
        <f>IFERROR(__xludf.DUMMYFUNCTION("""COMPUTED_VALUE"""),0.5743055555540195)</f>
        <v>0.5743055556</v>
      </c>
      <c r="K1696" s="2">
        <f>IFERROR(__xludf.DUMMYFUNCTION("""COMPUTED_VALUE"""),13.0)</f>
        <v>13</v>
      </c>
      <c r="L1696" s="2">
        <f>IFERROR(__xludf.DUMMYFUNCTION("""COMPUTED_VALUE"""),29.5)</f>
        <v>29.5</v>
      </c>
    </row>
    <row r="1697">
      <c r="A1697" s="2">
        <f>IFERROR(__xludf.DUMMYFUNCTION("""COMPUTED_VALUE"""),489582.0)</f>
        <v>489582</v>
      </c>
      <c r="B1697" s="2" t="str">
        <f>IFERROR(__xludf.DUMMYFUNCTION("""COMPUTED_VALUE"""),"35400")</f>
        <v>35400</v>
      </c>
      <c r="C1697" s="2" t="str">
        <f>IFERROR(__xludf.DUMMYFUNCTION("""COMPUTED_VALUE"""),"WOODEN BOX ADVENT CALENDAR")</f>
        <v>WOODEN BOX ADVENT CALENDAR</v>
      </c>
      <c r="D1697" s="2">
        <f>IFERROR(__xludf.DUMMYFUNCTION("""COMPUTED_VALUE"""),2.0)</f>
        <v>2</v>
      </c>
      <c r="E1697" s="6">
        <f>IFERROR(__xludf.DUMMYFUNCTION("""COMPUTED_VALUE"""),40148.57430555556)</f>
        <v>40148.57431</v>
      </c>
      <c r="F1697" s="2">
        <f>IFERROR(__xludf.DUMMYFUNCTION("""COMPUTED_VALUE"""),8.95)</f>
        <v>8.95</v>
      </c>
      <c r="G1697" s="2">
        <f>IFERROR(__xludf.DUMMYFUNCTION("""COMPUTED_VALUE"""),14543.0)</f>
        <v>14543</v>
      </c>
      <c r="H1697" s="2" t="str">
        <f>IFERROR(__xludf.DUMMYFUNCTION("""COMPUTED_VALUE"""),"United Kingdom")</f>
        <v>United Kingdom</v>
      </c>
      <c r="I1697" s="7">
        <f>IFERROR(__xludf.DUMMYFUNCTION("""COMPUTED_VALUE"""),40148.0)</f>
        <v>40148</v>
      </c>
      <c r="J1697" s="8">
        <f>IFERROR(__xludf.DUMMYFUNCTION("""COMPUTED_VALUE"""),0.5743055555540195)</f>
        <v>0.5743055556</v>
      </c>
      <c r="K1697" s="2">
        <f>IFERROR(__xludf.DUMMYFUNCTION("""COMPUTED_VALUE"""),13.0)</f>
        <v>13</v>
      </c>
      <c r="L1697" s="2">
        <f>IFERROR(__xludf.DUMMYFUNCTION("""COMPUTED_VALUE"""),17.9)</f>
        <v>17.9</v>
      </c>
    </row>
    <row r="1698">
      <c r="A1698" s="2">
        <f>IFERROR(__xludf.DUMMYFUNCTION("""COMPUTED_VALUE"""),489582.0)</f>
        <v>489582</v>
      </c>
      <c r="B1698" s="2" t="str">
        <f>IFERROR(__xludf.DUMMYFUNCTION("""COMPUTED_VALUE"""),"84970L")</f>
        <v>84970L</v>
      </c>
      <c r="C1698" s="2" t="str">
        <f>IFERROR(__xludf.DUMMYFUNCTION("""COMPUTED_VALUE"""),"SINGLE HEART ZINC T-LIGHT HOLDER")</f>
        <v>SINGLE HEART ZINC T-LIGHT HOLDER</v>
      </c>
      <c r="D1698" s="2">
        <f>IFERROR(__xludf.DUMMYFUNCTION("""COMPUTED_VALUE"""),72.0)</f>
        <v>72</v>
      </c>
      <c r="E1698" s="6">
        <f>IFERROR(__xludf.DUMMYFUNCTION("""COMPUTED_VALUE"""),40148.57430555556)</f>
        <v>40148.57431</v>
      </c>
      <c r="F1698" s="2">
        <f>IFERROR(__xludf.DUMMYFUNCTION("""COMPUTED_VALUE"""),0.95)</f>
        <v>0.95</v>
      </c>
      <c r="G1698" s="2">
        <f>IFERROR(__xludf.DUMMYFUNCTION("""COMPUTED_VALUE"""),14543.0)</f>
        <v>14543</v>
      </c>
      <c r="H1698" s="2" t="str">
        <f>IFERROR(__xludf.DUMMYFUNCTION("""COMPUTED_VALUE"""),"United Kingdom")</f>
        <v>United Kingdom</v>
      </c>
      <c r="I1698" s="7">
        <f>IFERROR(__xludf.DUMMYFUNCTION("""COMPUTED_VALUE"""),40148.0)</f>
        <v>40148</v>
      </c>
      <c r="J1698" s="8">
        <f>IFERROR(__xludf.DUMMYFUNCTION("""COMPUTED_VALUE"""),0.5743055555540195)</f>
        <v>0.5743055556</v>
      </c>
      <c r="K1698" s="2">
        <f>IFERROR(__xludf.DUMMYFUNCTION("""COMPUTED_VALUE"""),13.0)</f>
        <v>13</v>
      </c>
      <c r="L1698" s="2">
        <f>IFERROR(__xludf.DUMMYFUNCTION("""COMPUTED_VALUE"""),68.3999999999999)</f>
        <v>68.4</v>
      </c>
    </row>
    <row r="1699">
      <c r="A1699" s="2">
        <f>IFERROR(__xludf.DUMMYFUNCTION("""COMPUTED_VALUE"""),489582.0)</f>
        <v>489582</v>
      </c>
      <c r="B1699" s="2" t="str">
        <f>IFERROR(__xludf.DUMMYFUNCTION("""COMPUTED_VALUE"""),"21768")</f>
        <v>21768</v>
      </c>
      <c r="C1699" s="2" t="str">
        <f>IFERROR(__xludf.DUMMYFUNCTION("""COMPUTED_VALUE"""),"WALL MOUNTED VINTAGE ORGANISER")</f>
        <v>WALL MOUNTED VINTAGE ORGANISER</v>
      </c>
      <c r="D1699" s="2">
        <f>IFERROR(__xludf.DUMMYFUNCTION("""COMPUTED_VALUE"""),1.0)</f>
        <v>1</v>
      </c>
      <c r="E1699" s="6">
        <f>IFERROR(__xludf.DUMMYFUNCTION("""COMPUTED_VALUE"""),40148.57430555556)</f>
        <v>40148.57431</v>
      </c>
      <c r="F1699" s="2">
        <f>IFERROR(__xludf.DUMMYFUNCTION("""COMPUTED_VALUE"""),14.95)</f>
        <v>14.95</v>
      </c>
      <c r="G1699" s="2">
        <f>IFERROR(__xludf.DUMMYFUNCTION("""COMPUTED_VALUE"""),14543.0)</f>
        <v>14543</v>
      </c>
      <c r="H1699" s="2" t="str">
        <f>IFERROR(__xludf.DUMMYFUNCTION("""COMPUTED_VALUE"""),"United Kingdom")</f>
        <v>United Kingdom</v>
      </c>
      <c r="I1699" s="7">
        <f>IFERROR(__xludf.DUMMYFUNCTION("""COMPUTED_VALUE"""),40148.0)</f>
        <v>40148</v>
      </c>
      <c r="J1699" s="8">
        <f>IFERROR(__xludf.DUMMYFUNCTION("""COMPUTED_VALUE"""),0.5743055555540195)</f>
        <v>0.5743055556</v>
      </c>
      <c r="K1699" s="2">
        <f>IFERROR(__xludf.DUMMYFUNCTION("""COMPUTED_VALUE"""),13.0)</f>
        <v>13</v>
      </c>
      <c r="L1699" s="2">
        <f>IFERROR(__xludf.DUMMYFUNCTION("""COMPUTED_VALUE"""),14.95)</f>
        <v>14.95</v>
      </c>
    </row>
    <row r="1700">
      <c r="A1700" s="2">
        <f>IFERROR(__xludf.DUMMYFUNCTION("""COMPUTED_VALUE"""),489582.0)</f>
        <v>489582</v>
      </c>
      <c r="B1700" s="2" t="str">
        <f>IFERROR(__xludf.DUMMYFUNCTION("""COMPUTED_VALUE"""),"21477")</f>
        <v>21477</v>
      </c>
      <c r="C1700" s="2" t="str">
        <f>IFERROR(__xludf.DUMMYFUNCTION("""COMPUTED_VALUE"""),"STRING OF 20 ROSE LIGHTS")</f>
        <v>STRING OF 20 ROSE LIGHTS</v>
      </c>
      <c r="D1700" s="2">
        <f>IFERROR(__xludf.DUMMYFUNCTION("""COMPUTED_VALUE"""),2.0)</f>
        <v>2</v>
      </c>
      <c r="E1700" s="6">
        <f>IFERROR(__xludf.DUMMYFUNCTION("""COMPUTED_VALUE"""),40148.57430555556)</f>
        <v>40148.57431</v>
      </c>
      <c r="F1700" s="2">
        <f>IFERROR(__xludf.DUMMYFUNCTION("""COMPUTED_VALUE"""),12.75)</f>
        <v>12.75</v>
      </c>
      <c r="G1700" s="2">
        <f>IFERROR(__xludf.DUMMYFUNCTION("""COMPUTED_VALUE"""),14543.0)</f>
        <v>14543</v>
      </c>
      <c r="H1700" s="2" t="str">
        <f>IFERROR(__xludf.DUMMYFUNCTION("""COMPUTED_VALUE"""),"United Kingdom")</f>
        <v>United Kingdom</v>
      </c>
      <c r="I1700" s="7">
        <f>IFERROR(__xludf.DUMMYFUNCTION("""COMPUTED_VALUE"""),40148.0)</f>
        <v>40148</v>
      </c>
      <c r="J1700" s="8">
        <f>IFERROR(__xludf.DUMMYFUNCTION("""COMPUTED_VALUE"""),0.5743055555540195)</f>
        <v>0.5743055556</v>
      </c>
      <c r="K1700" s="2">
        <f>IFERROR(__xludf.DUMMYFUNCTION("""COMPUTED_VALUE"""),13.0)</f>
        <v>13</v>
      </c>
      <c r="L1700" s="2">
        <f>IFERROR(__xludf.DUMMYFUNCTION("""COMPUTED_VALUE"""),25.5)</f>
        <v>25.5</v>
      </c>
    </row>
    <row r="1701">
      <c r="A1701" s="2">
        <f>IFERROR(__xludf.DUMMYFUNCTION("""COMPUTED_VALUE"""),489582.0)</f>
        <v>489582</v>
      </c>
      <c r="B1701" s="2" t="str">
        <f>IFERROR(__xludf.DUMMYFUNCTION("""COMPUTED_VALUE"""),"85048")</f>
        <v>85048</v>
      </c>
      <c r="C1701" s="2" t="str">
        <f>IFERROR(__xludf.DUMMYFUNCTION("""COMPUTED_VALUE"""),"15CM CHRISTMAS GLASS BALL 20 LIGHTS")</f>
        <v>15CM CHRISTMAS GLASS BALL 20 LIGHTS</v>
      </c>
      <c r="D1701" s="2">
        <f>IFERROR(__xludf.DUMMYFUNCTION("""COMPUTED_VALUE"""),2.0)</f>
        <v>2</v>
      </c>
      <c r="E1701" s="6">
        <f>IFERROR(__xludf.DUMMYFUNCTION("""COMPUTED_VALUE"""),40148.57430555556)</f>
        <v>40148.57431</v>
      </c>
      <c r="F1701" s="2">
        <f>IFERROR(__xludf.DUMMYFUNCTION("""COMPUTED_VALUE"""),7.95)</f>
        <v>7.95</v>
      </c>
      <c r="G1701" s="2">
        <f>IFERROR(__xludf.DUMMYFUNCTION("""COMPUTED_VALUE"""),14543.0)</f>
        <v>14543</v>
      </c>
      <c r="H1701" s="2" t="str">
        <f>IFERROR(__xludf.DUMMYFUNCTION("""COMPUTED_VALUE"""),"United Kingdom")</f>
        <v>United Kingdom</v>
      </c>
      <c r="I1701" s="7">
        <f>IFERROR(__xludf.DUMMYFUNCTION("""COMPUTED_VALUE"""),40148.0)</f>
        <v>40148</v>
      </c>
      <c r="J1701" s="8">
        <f>IFERROR(__xludf.DUMMYFUNCTION("""COMPUTED_VALUE"""),0.5743055555540195)</f>
        <v>0.5743055556</v>
      </c>
      <c r="K1701" s="2">
        <f>IFERROR(__xludf.DUMMYFUNCTION("""COMPUTED_VALUE"""),13.0)</f>
        <v>13</v>
      </c>
      <c r="L1701" s="2">
        <f>IFERROR(__xludf.DUMMYFUNCTION("""COMPUTED_VALUE"""),15.9)</f>
        <v>15.9</v>
      </c>
    </row>
    <row r="1702">
      <c r="A1702" s="2">
        <f>IFERROR(__xludf.DUMMYFUNCTION("""COMPUTED_VALUE"""),489582.0)</f>
        <v>489582</v>
      </c>
      <c r="B1702" s="2" t="str">
        <f>IFERROR(__xludf.DUMMYFUNCTION("""COMPUTED_VALUE"""),"84984D")</f>
        <v>84984D</v>
      </c>
      <c r="C1702" s="2" t="str">
        <f>IFERROR(__xludf.DUMMYFUNCTION("""COMPUTED_VALUE"""),"ORIENTAL RED C/COVER")</f>
        <v>ORIENTAL RED C/COVER</v>
      </c>
      <c r="D1702" s="2">
        <f>IFERROR(__xludf.DUMMYFUNCTION("""COMPUTED_VALUE"""),12.0)</f>
        <v>12</v>
      </c>
      <c r="E1702" s="6">
        <f>IFERROR(__xludf.DUMMYFUNCTION("""COMPUTED_VALUE"""),40148.57430555556)</f>
        <v>40148.57431</v>
      </c>
      <c r="F1702" s="2">
        <f>IFERROR(__xludf.DUMMYFUNCTION("""COMPUTED_VALUE"""),4.25)</f>
        <v>4.25</v>
      </c>
      <c r="G1702" s="2">
        <f>IFERROR(__xludf.DUMMYFUNCTION("""COMPUTED_VALUE"""),14543.0)</f>
        <v>14543</v>
      </c>
      <c r="H1702" s="2" t="str">
        <f>IFERROR(__xludf.DUMMYFUNCTION("""COMPUTED_VALUE"""),"United Kingdom")</f>
        <v>United Kingdom</v>
      </c>
      <c r="I1702" s="7">
        <f>IFERROR(__xludf.DUMMYFUNCTION("""COMPUTED_VALUE"""),40148.0)</f>
        <v>40148</v>
      </c>
      <c r="J1702" s="8">
        <f>IFERROR(__xludf.DUMMYFUNCTION("""COMPUTED_VALUE"""),0.5743055555540195)</f>
        <v>0.5743055556</v>
      </c>
      <c r="K1702" s="2">
        <f>IFERROR(__xludf.DUMMYFUNCTION("""COMPUTED_VALUE"""),13.0)</f>
        <v>13</v>
      </c>
      <c r="L1702" s="2">
        <f>IFERROR(__xludf.DUMMYFUNCTION("""COMPUTED_VALUE"""),51.0)</f>
        <v>51</v>
      </c>
    </row>
    <row r="1703">
      <c r="A1703" s="2">
        <f>IFERROR(__xludf.DUMMYFUNCTION("""COMPUTED_VALUE"""),489582.0)</f>
        <v>489582</v>
      </c>
      <c r="B1703" s="2" t="str">
        <f>IFERROR(__xludf.DUMMYFUNCTION("""COMPUTED_VALUE"""),"84773")</f>
        <v>84773</v>
      </c>
      <c r="C1703" s="2" t="str">
        <f>IFERROR(__xludf.DUMMYFUNCTION("""COMPUTED_VALUE"""),"RED ROSE AND LACE C/COVER")</f>
        <v>RED ROSE AND LACE C/COVER</v>
      </c>
      <c r="D1703" s="2">
        <f>IFERROR(__xludf.DUMMYFUNCTION("""COMPUTED_VALUE"""),18.0)</f>
        <v>18</v>
      </c>
      <c r="E1703" s="6">
        <f>IFERROR(__xludf.DUMMYFUNCTION("""COMPUTED_VALUE"""),40148.57430555556)</f>
        <v>40148.57431</v>
      </c>
      <c r="F1703" s="2">
        <f>IFERROR(__xludf.DUMMYFUNCTION("""COMPUTED_VALUE"""),2.95)</f>
        <v>2.95</v>
      </c>
      <c r="G1703" s="2">
        <f>IFERROR(__xludf.DUMMYFUNCTION("""COMPUTED_VALUE"""),14543.0)</f>
        <v>14543</v>
      </c>
      <c r="H1703" s="2" t="str">
        <f>IFERROR(__xludf.DUMMYFUNCTION("""COMPUTED_VALUE"""),"United Kingdom")</f>
        <v>United Kingdom</v>
      </c>
      <c r="I1703" s="7">
        <f>IFERROR(__xludf.DUMMYFUNCTION("""COMPUTED_VALUE"""),40148.0)</f>
        <v>40148</v>
      </c>
      <c r="J1703" s="8">
        <f>IFERROR(__xludf.DUMMYFUNCTION("""COMPUTED_VALUE"""),0.5743055555540195)</f>
        <v>0.5743055556</v>
      </c>
      <c r="K1703" s="2">
        <f>IFERROR(__xludf.DUMMYFUNCTION("""COMPUTED_VALUE"""),13.0)</f>
        <v>13</v>
      </c>
      <c r="L1703" s="2">
        <f>IFERROR(__xludf.DUMMYFUNCTION("""COMPUTED_VALUE"""),53.1)</f>
        <v>53.1</v>
      </c>
    </row>
    <row r="1704">
      <c r="A1704" s="2">
        <f>IFERROR(__xludf.DUMMYFUNCTION("""COMPUTED_VALUE"""),489582.0)</f>
        <v>489582</v>
      </c>
      <c r="B1704" s="2" t="str">
        <f>IFERROR(__xludf.DUMMYFUNCTION("""COMPUTED_VALUE"""),"84601A")</f>
        <v>84601A</v>
      </c>
      <c r="C1704" s="2" t="str">
        <f>IFERROR(__xludf.DUMMYFUNCTION("""COMPUTED_VALUE"""),"NEW BAROQUE IVORY CUSHION COVER")</f>
        <v>NEW BAROQUE IVORY CUSHION COVER</v>
      </c>
      <c r="D1704" s="2">
        <f>IFERROR(__xludf.DUMMYFUNCTION("""COMPUTED_VALUE"""),6.0)</f>
        <v>6</v>
      </c>
      <c r="E1704" s="6">
        <f>IFERROR(__xludf.DUMMYFUNCTION("""COMPUTED_VALUE"""),40148.57430555556)</f>
        <v>40148.57431</v>
      </c>
      <c r="F1704" s="2">
        <f>IFERROR(__xludf.DUMMYFUNCTION("""COMPUTED_VALUE"""),2.95)</f>
        <v>2.95</v>
      </c>
      <c r="G1704" s="2">
        <f>IFERROR(__xludf.DUMMYFUNCTION("""COMPUTED_VALUE"""),14543.0)</f>
        <v>14543</v>
      </c>
      <c r="H1704" s="2" t="str">
        <f>IFERROR(__xludf.DUMMYFUNCTION("""COMPUTED_VALUE"""),"United Kingdom")</f>
        <v>United Kingdom</v>
      </c>
      <c r="I1704" s="7">
        <f>IFERROR(__xludf.DUMMYFUNCTION("""COMPUTED_VALUE"""),40148.0)</f>
        <v>40148</v>
      </c>
      <c r="J1704" s="8">
        <f>IFERROR(__xludf.DUMMYFUNCTION("""COMPUTED_VALUE"""),0.5743055555540195)</f>
        <v>0.5743055556</v>
      </c>
      <c r="K1704" s="2">
        <f>IFERROR(__xludf.DUMMYFUNCTION("""COMPUTED_VALUE"""),13.0)</f>
        <v>13</v>
      </c>
      <c r="L1704" s="2">
        <f>IFERROR(__xludf.DUMMYFUNCTION("""COMPUTED_VALUE"""),17.7)</f>
        <v>17.7</v>
      </c>
    </row>
    <row r="1705">
      <c r="A1705" s="2">
        <f>IFERROR(__xludf.DUMMYFUNCTION("""COMPUTED_VALUE"""),489581.0)</f>
        <v>489581</v>
      </c>
      <c r="B1705" s="2" t="str">
        <f>IFERROR(__xludf.DUMMYFUNCTION("""COMPUTED_VALUE"""),"85174")</f>
        <v>85174</v>
      </c>
      <c r="C1705" s="2" t="str">
        <f>IFERROR(__xludf.DUMMYFUNCTION("""COMPUTED_VALUE"""),"S/4 CACTI CANDLES")</f>
        <v>S/4 CACTI CANDLES</v>
      </c>
      <c r="D1705" s="2">
        <f>IFERROR(__xludf.DUMMYFUNCTION("""COMPUTED_VALUE"""),1.0)</f>
        <v>1</v>
      </c>
      <c r="E1705" s="6">
        <f>IFERROR(__xludf.DUMMYFUNCTION("""COMPUTED_VALUE"""),40148.57430555556)</f>
        <v>40148.57431</v>
      </c>
      <c r="F1705" s="2">
        <f>IFERROR(__xludf.DUMMYFUNCTION("""COMPUTED_VALUE"""),4.95)</f>
        <v>4.95</v>
      </c>
      <c r="G1705" s="2">
        <f>IFERROR(__xludf.DUMMYFUNCTION("""COMPUTED_VALUE"""),15945.0)</f>
        <v>15945</v>
      </c>
      <c r="H1705" s="2" t="str">
        <f>IFERROR(__xludf.DUMMYFUNCTION("""COMPUTED_VALUE"""),"United Kingdom")</f>
        <v>United Kingdom</v>
      </c>
      <c r="I1705" s="7">
        <f>IFERROR(__xludf.DUMMYFUNCTION("""COMPUTED_VALUE"""),40148.0)</f>
        <v>40148</v>
      </c>
      <c r="J1705" s="8">
        <f>IFERROR(__xludf.DUMMYFUNCTION("""COMPUTED_VALUE"""),0.5743055555540195)</f>
        <v>0.5743055556</v>
      </c>
      <c r="K1705" s="2">
        <f>IFERROR(__xludf.DUMMYFUNCTION("""COMPUTED_VALUE"""),13.0)</f>
        <v>13</v>
      </c>
      <c r="L1705" s="2">
        <f>IFERROR(__xludf.DUMMYFUNCTION("""COMPUTED_VALUE"""),4.95)</f>
        <v>4.95</v>
      </c>
    </row>
    <row r="1706">
      <c r="A1706" s="2">
        <f>IFERROR(__xludf.DUMMYFUNCTION("""COMPUTED_VALUE"""),489581.0)</f>
        <v>489581</v>
      </c>
      <c r="B1706" s="2" t="str">
        <f>IFERROR(__xludf.DUMMYFUNCTION("""COMPUTED_VALUE"""),"71028B")</f>
        <v>71028B</v>
      </c>
      <c r="C1706" s="2" t="str">
        <f>IFERROR(__xludf.DUMMYFUNCTION("""COMPUTED_VALUE"""),"SILVER BLUE EGG T-LIGHT HOLDER")</f>
        <v>SILVER BLUE EGG T-LIGHT HOLDER</v>
      </c>
      <c r="D1706" s="2">
        <f>IFERROR(__xludf.DUMMYFUNCTION("""COMPUTED_VALUE"""),1.0)</f>
        <v>1</v>
      </c>
      <c r="E1706" s="6">
        <f>IFERROR(__xludf.DUMMYFUNCTION("""COMPUTED_VALUE"""),40148.57430555556)</f>
        <v>40148.57431</v>
      </c>
      <c r="F1706" s="2">
        <f>IFERROR(__xludf.DUMMYFUNCTION("""COMPUTED_VALUE"""),1.65)</f>
        <v>1.65</v>
      </c>
      <c r="G1706" s="2">
        <f>IFERROR(__xludf.DUMMYFUNCTION("""COMPUTED_VALUE"""),15945.0)</f>
        <v>15945</v>
      </c>
      <c r="H1706" s="2" t="str">
        <f>IFERROR(__xludf.DUMMYFUNCTION("""COMPUTED_VALUE"""),"United Kingdom")</f>
        <v>United Kingdom</v>
      </c>
      <c r="I1706" s="7">
        <f>IFERROR(__xludf.DUMMYFUNCTION("""COMPUTED_VALUE"""),40148.0)</f>
        <v>40148</v>
      </c>
      <c r="J1706" s="8">
        <f>IFERROR(__xludf.DUMMYFUNCTION("""COMPUTED_VALUE"""),0.5743055555540195)</f>
        <v>0.5743055556</v>
      </c>
      <c r="K1706" s="2">
        <f>IFERROR(__xludf.DUMMYFUNCTION("""COMPUTED_VALUE"""),13.0)</f>
        <v>13</v>
      </c>
      <c r="L1706" s="2">
        <f>IFERROR(__xludf.DUMMYFUNCTION("""COMPUTED_VALUE"""),1.65)</f>
        <v>1.65</v>
      </c>
    </row>
    <row r="1707">
      <c r="A1707" s="2">
        <f>IFERROR(__xludf.DUMMYFUNCTION("""COMPUTED_VALUE"""),489581.0)</f>
        <v>489581</v>
      </c>
      <c r="B1707" s="2" t="str">
        <f>IFERROR(__xludf.DUMMYFUNCTION("""COMPUTED_VALUE"""),"84755")</f>
        <v>84755</v>
      </c>
      <c r="C1707" s="2" t="str">
        <f>IFERROR(__xludf.DUMMYFUNCTION("""COMPUTED_VALUE"""),"COLOUR GLASS T-LIGHT HOLDER HANGING")</f>
        <v>COLOUR GLASS T-LIGHT HOLDER HANGING</v>
      </c>
      <c r="D1707" s="2">
        <f>IFERROR(__xludf.DUMMYFUNCTION("""COMPUTED_VALUE"""),8.0)</f>
        <v>8</v>
      </c>
      <c r="E1707" s="6">
        <f>IFERROR(__xludf.DUMMYFUNCTION("""COMPUTED_VALUE"""),40148.57430555556)</f>
        <v>40148.57431</v>
      </c>
      <c r="F1707" s="2">
        <f>IFERROR(__xludf.DUMMYFUNCTION("""COMPUTED_VALUE"""),0.65)</f>
        <v>0.65</v>
      </c>
      <c r="G1707" s="2">
        <f>IFERROR(__xludf.DUMMYFUNCTION("""COMPUTED_VALUE"""),15945.0)</f>
        <v>15945</v>
      </c>
      <c r="H1707" s="2" t="str">
        <f>IFERROR(__xludf.DUMMYFUNCTION("""COMPUTED_VALUE"""),"United Kingdom")</f>
        <v>United Kingdom</v>
      </c>
      <c r="I1707" s="7">
        <f>IFERROR(__xludf.DUMMYFUNCTION("""COMPUTED_VALUE"""),40148.0)</f>
        <v>40148</v>
      </c>
      <c r="J1707" s="8">
        <f>IFERROR(__xludf.DUMMYFUNCTION("""COMPUTED_VALUE"""),0.5743055555540195)</f>
        <v>0.5743055556</v>
      </c>
      <c r="K1707" s="2">
        <f>IFERROR(__xludf.DUMMYFUNCTION("""COMPUTED_VALUE"""),13.0)</f>
        <v>13</v>
      </c>
      <c r="L1707" s="2">
        <f>IFERROR(__xludf.DUMMYFUNCTION("""COMPUTED_VALUE"""),5.2)</f>
        <v>5.2</v>
      </c>
    </row>
    <row r="1708">
      <c r="A1708" s="2">
        <f>IFERROR(__xludf.DUMMYFUNCTION("""COMPUTED_VALUE"""),489581.0)</f>
        <v>489581</v>
      </c>
      <c r="B1708" s="2" t="str">
        <f>IFERROR(__xludf.DUMMYFUNCTION("""COMPUTED_VALUE"""),"22114")</f>
        <v>22114</v>
      </c>
      <c r="C1708" s="2" t="str">
        <f>IFERROR(__xludf.DUMMYFUNCTION("""COMPUTED_VALUE"""),"HOT WATER BOTTLE TEA AND SYMPATHY")</f>
        <v>HOT WATER BOTTLE TEA AND SYMPATHY</v>
      </c>
      <c r="D1708" s="2">
        <f>IFERROR(__xludf.DUMMYFUNCTION("""COMPUTED_VALUE"""),1.0)</f>
        <v>1</v>
      </c>
      <c r="E1708" s="6">
        <f>IFERROR(__xludf.DUMMYFUNCTION("""COMPUTED_VALUE"""),40148.57430555556)</f>
        <v>40148.57431</v>
      </c>
      <c r="F1708" s="2">
        <f>IFERROR(__xludf.DUMMYFUNCTION("""COMPUTED_VALUE"""),3.95)</f>
        <v>3.95</v>
      </c>
      <c r="G1708" s="2">
        <f>IFERROR(__xludf.DUMMYFUNCTION("""COMPUTED_VALUE"""),15945.0)</f>
        <v>15945</v>
      </c>
      <c r="H1708" s="2" t="str">
        <f>IFERROR(__xludf.DUMMYFUNCTION("""COMPUTED_VALUE"""),"United Kingdom")</f>
        <v>United Kingdom</v>
      </c>
      <c r="I1708" s="7">
        <f>IFERROR(__xludf.DUMMYFUNCTION("""COMPUTED_VALUE"""),40148.0)</f>
        <v>40148</v>
      </c>
      <c r="J1708" s="8">
        <f>IFERROR(__xludf.DUMMYFUNCTION("""COMPUTED_VALUE"""),0.5743055555540195)</f>
        <v>0.5743055556</v>
      </c>
      <c r="K1708" s="2">
        <f>IFERROR(__xludf.DUMMYFUNCTION("""COMPUTED_VALUE"""),13.0)</f>
        <v>13</v>
      </c>
      <c r="L1708" s="2">
        <f>IFERROR(__xludf.DUMMYFUNCTION("""COMPUTED_VALUE"""),3.95)</f>
        <v>3.95</v>
      </c>
    </row>
    <row r="1709">
      <c r="A1709" s="2">
        <f>IFERROR(__xludf.DUMMYFUNCTION("""COMPUTED_VALUE"""),489581.0)</f>
        <v>489581</v>
      </c>
      <c r="B1709" s="2" t="str">
        <f>IFERROR(__xludf.DUMMYFUNCTION("""COMPUTED_VALUE"""),"72267")</f>
        <v>72267</v>
      </c>
      <c r="C1709" s="2" t="str">
        <f>IFERROR(__xludf.DUMMYFUNCTION("""COMPUTED_VALUE"""),"PREMIUM CHURCH CANDLE")</f>
        <v>PREMIUM CHURCH CANDLE</v>
      </c>
      <c r="D1709" s="2">
        <f>IFERROR(__xludf.DUMMYFUNCTION("""COMPUTED_VALUE"""),1.0)</f>
        <v>1</v>
      </c>
      <c r="E1709" s="6">
        <f>IFERROR(__xludf.DUMMYFUNCTION("""COMPUTED_VALUE"""),40148.57430555556)</f>
        <v>40148.57431</v>
      </c>
      <c r="F1709" s="2">
        <f>IFERROR(__xludf.DUMMYFUNCTION("""COMPUTED_VALUE"""),2.1)</f>
        <v>2.1</v>
      </c>
      <c r="G1709" s="2">
        <f>IFERROR(__xludf.DUMMYFUNCTION("""COMPUTED_VALUE"""),15945.0)</f>
        <v>15945</v>
      </c>
      <c r="H1709" s="2" t="str">
        <f>IFERROR(__xludf.DUMMYFUNCTION("""COMPUTED_VALUE"""),"United Kingdom")</f>
        <v>United Kingdom</v>
      </c>
      <c r="I1709" s="7">
        <f>IFERROR(__xludf.DUMMYFUNCTION("""COMPUTED_VALUE"""),40148.0)</f>
        <v>40148</v>
      </c>
      <c r="J1709" s="8">
        <f>IFERROR(__xludf.DUMMYFUNCTION("""COMPUTED_VALUE"""),0.5743055555540195)</f>
        <v>0.5743055556</v>
      </c>
      <c r="K1709" s="2">
        <f>IFERROR(__xludf.DUMMYFUNCTION("""COMPUTED_VALUE"""),13.0)</f>
        <v>13</v>
      </c>
      <c r="L1709" s="2">
        <f>IFERROR(__xludf.DUMMYFUNCTION("""COMPUTED_VALUE"""),2.1)</f>
        <v>2.1</v>
      </c>
    </row>
    <row r="1710">
      <c r="A1710" s="2">
        <f>IFERROR(__xludf.DUMMYFUNCTION("""COMPUTED_VALUE"""),489581.0)</f>
        <v>489581</v>
      </c>
      <c r="B1710" s="2" t="str">
        <f>IFERROR(__xludf.DUMMYFUNCTION("""COMPUTED_VALUE"""),"72140F")</f>
        <v>72140F</v>
      </c>
      <c r="C1710" s="2" t="str">
        <f>IFERROR(__xludf.DUMMYFUNCTION("""COMPUTED_VALUE"""),"HAPPY ANNIVERSARY CANDLE LETTERS")</f>
        <v>HAPPY ANNIVERSARY CANDLE LETTERS</v>
      </c>
      <c r="D1710" s="2">
        <f>IFERROR(__xludf.DUMMYFUNCTION("""COMPUTED_VALUE"""),1.0)</f>
        <v>1</v>
      </c>
      <c r="E1710" s="6">
        <f>IFERROR(__xludf.DUMMYFUNCTION("""COMPUTED_VALUE"""),40148.57430555556)</f>
        <v>40148.57431</v>
      </c>
      <c r="F1710" s="2">
        <f>IFERROR(__xludf.DUMMYFUNCTION("""COMPUTED_VALUE"""),0.42)</f>
        <v>0.42</v>
      </c>
      <c r="G1710" s="2">
        <f>IFERROR(__xludf.DUMMYFUNCTION("""COMPUTED_VALUE"""),15945.0)</f>
        <v>15945</v>
      </c>
      <c r="H1710" s="2" t="str">
        <f>IFERROR(__xludf.DUMMYFUNCTION("""COMPUTED_VALUE"""),"United Kingdom")</f>
        <v>United Kingdom</v>
      </c>
      <c r="I1710" s="7">
        <f>IFERROR(__xludf.DUMMYFUNCTION("""COMPUTED_VALUE"""),40148.0)</f>
        <v>40148</v>
      </c>
      <c r="J1710" s="8">
        <f>IFERROR(__xludf.DUMMYFUNCTION("""COMPUTED_VALUE"""),0.5743055555540195)</f>
        <v>0.5743055556</v>
      </c>
      <c r="K1710" s="2">
        <f>IFERROR(__xludf.DUMMYFUNCTION("""COMPUTED_VALUE"""),13.0)</f>
        <v>13</v>
      </c>
      <c r="L1710" s="2">
        <f>IFERROR(__xludf.DUMMYFUNCTION("""COMPUTED_VALUE"""),0.42)</f>
        <v>0.42</v>
      </c>
    </row>
    <row r="1711">
      <c r="A1711" s="2">
        <f>IFERROR(__xludf.DUMMYFUNCTION("""COMPUTED_VALUE"""),489581.0)</f>
        <v>489581</v>
      </c>
      <c r="B1711" s="2" t="str">
        <f>IFERROR(__xludf.DUMMYFUNCTION("""COMPUTED_VALUE"""),"84950")</f>
        <v>84950</v>
      </c>
      <c r="C1711" s="2" t="str">
        <f>IFERROR(__xludf.DUMMYFUNCTION("""COMPUTED_VALUE"""),"ASSORTED COLOUR T-LIGHT HOLDER")</f>
        <v>ASSORTED COLOUR T-LIGHT HOLDER</v>
      </c>
      <c r="D1711" s="2">
        <f>IFERROR(__xludf.DUMMYFUNCTION("""COMPUTED_VALUE"""),12.0)</f>
        <v>12</v>
      </c>
      <c r="E1711" s="6">
        <f>IFERROR(__xludf.DUMMYFUNCTION("""COMPUTED_VALUE"""),40148.57430555556)</f>
        <v>40148.57431</v>
      </c>
      <c r="F1711" s="2">
        <f>IFERROR(__xludf.DUMMYFUNCTION("""COMPUTED_VALUE"""),0.85)</f>
        <v>0.85</v>
      </c>
      <c r="G1711" s="2">
        <f>IFERROR(__xludf.DUMMYFUNCTION("""COMPUTED_VALUE"""),15945.0)</f>
        <v>15945</v>
      </c>
      <c r="H1711" s="2" t="str">
        <f>IFERROR(__xludf.DUMMYFUNCTION("""COMPUTED_VALUE"""),"United Kingdom")</f>
        <v>United Kingdom</v>
      </c>
      <c r="I1711" s="7">
        <f>IFERROR(__xludf.DUMMYFUNCTION("""COMPUTED_VALUE"""),40148.0)</f>
        <v>40148</v>
      </c>
      <c r="J1711" s="8">
        <f>IFERROR(__xludf.DUMMYFUNCTION("""COMPUTED_VALUE"""),0.5743055555540195)</f>
        <v>0.5743055556</v>
      </c>
      <c r="K1711" s="2">
        <f>IFERROR(__xludf.DUMMYFUNCTION("""COMPUTED_VALUE"""),13.0)</f>
        <v>13</v>
      </c>
      <c r="L1711" s="2">
        <f>IFERROR(__xludf.DUMMYFUNCTION("""COMPUTED_VALUE"""),10.2)</f>
        <v>10.2</v>
      </c>
    </row>
    <row r="1712">
      <c r="A1712" s="2">
        <f>IFERROR(__xludf.DUMMYFUNCTION("""COMPUTED_VALUE"""),489581.0)</f>
        <v>489581</v>
      </c>
      <c r="B1712" s="2" t="str">
        <f>IFERROR(__xludf.DUMMYFUNCTION("""COMPUTED_VALUE"""),"85175")</f>
        <v>85175</v>
      </c>
      <c r="C1712" s="2" t="str">
        <f>IFERROR(__xludf.DUMMYFUNCTION("""COMPUTED_VALUE"""),"CACTI T-LIGHT CANDLES")</f>
        <v>CACTI T-LIGHT CANDLES</v>
      </c>
      <c r="D1712" s="2">
        <f>IFERROR(__xludf.DUMMYFUNCTION("""COMPUTED_VALUE"""),64.0)</f>
        <v>64</v>
      </c>
      <c r="E1712" s="6">
        <f>IFERROR(__xludf.DUMMYFUNCTION("""COMPUTED_VALUE"""),40148.57430555556)</f>
        <v>40148.57431</v>
      </c>
      <c r="F1712" s="2">
        <f>IFERROR(__xludf.DUMMYFUNCTION("""COMPUTED_VALUE"""),0.42)</f>
        <v>0.42</v>
      </c>
      <c r="G1712" s="2">
        <f>IFERROR(__xludf.DUMMYFUNCTION("""COMPUTED_VALUE"""),15945.0)</f>
        <v>15945</v>
      </c>
      <c r="H1712" s="2" t="str">
        <f>IFERROR(__xludf.DUMMYFUNCTION("""COMPUTED_VALUE"""),"United Kingdom")</f>
        <v>United Kingdom</v>
      </c>
      <c r="I1712" s="7">
        <f>IFERROR(__xludf.DUMMYFUNCTION("""COMPUTED_VALUE"""),40148.0)</f>
        <v>40148</v>
      </c>
      <c r="J1712" s="8">
        <f>IFERROR(__xludf.DUMMYFUNCTION("""COMPUTED_VALUE"""),0.5743055555540195)</f>
        <v>0.5743055556</v>
      </c>
      <c r="K1712" s="2">
        <f>IFERROR(__xludf.DUMMYFUNCTION("""COMPUTED_VALUE"""),13.0)</f>
        <v>13</v>
      </c>
      <c r="L1712" s="2">
        <f>IFERROR(__xludf.DUMMYFUNCTION("""COMPUTED_VALUE"""),26.88)</f>
        <v>26.88</v>
      </c>
    </row>
    <row r="1713">
      <c r="A1713" s="2">
        <f>IFERROR(__xludf.DUMMYFUNCTION("""COMPUTED_VALUE"""),489581.0)</f>
        <v>489581</v>
      </c>
      <c r="B1713" s="2" t="str">
        <f>IFERROR(__xludf.DUMMYFUNCTION("""COMPUTED_VALUE"""),"72487")</f>
        <v>72487</v>
      </c>
      <c r="C1713" s="2" t="str">
        <f>IFERROR(__xludf.DUMMYFUNCTION("""COMPUTED_VALUE"""),"ROSES WHITE ROUND CANDLE")</f>
        <v>ROSES WHITE ROUND CANDLE</v>
      </c>
      <c r="D1713" s="2">
        <f>IFERROR(__xludf.DUMMYFUNCTION("""COMPUTED_VALUE"""),36.0)</f>
        <v>36</v>
      </c>
      <c r="E1713" s="6">
        <f>IFERROR(__xludf.DUMMYFUNCTION("""COMPUTED_VALUE"""),40148.57430555556)</f>
        <v>40148.57431</v>
      </c>
      <c r="F1713" s="2">
        <f>IFERROR(__xludf.DUMMYFUNCTION("""COMPUTED_VALUE"""),0.38)</f>
        <v>0.38</v>
      </c>
      <c r="G1713" s="2">
        <f>IFERROR(__xludf.DUMMYFUNCTION("""COMPUTED_VALUE"""),15945.0)</f>
        <v>15945</v>
      </c>
      <c r="H1713" s="2" t="str">
        <f>IFERROR(__xludf.DUMMYFUNCTION("""COMPUTED_VALUE"""),"United Kingdom")</f>
        <v>United Kingdom</v>
      </c>
      <c r="I1713" s="7">
        <f>IFERROR(__xludf.DUMMYFUNCTION("""COMPUTED_VALUE"""),40148.0)</f>
        <v>40148</v>
      </c>
      <c r="J1713" s="8">
        <f>IFERROR(__xludf.DUMMYFUNCTION("""COMPUTED_VALUE"""),0.5743055555540195)</f>
        <v>0.5743055556</v>
      </c>
      <c r="K1713" s="2">
        <f>IFERROR(__xludf.DUMMYFUNCTION("""COMPUTED_VALUE"""),13.0)</f>
        <v>13</v>
      </c>
      <c r="L1713" s="2">
        <f>IFERROR(__xludf.DUMMYFUNCTION("""COMPUTED_VALUE"""),13.68)</f>
        <v>13.68</v>
      </c>
    </row>
    <row r="1714">
      <c r="A1714" s="2">
        <f>IFERROR(__xludf.DUMMYFUNCTION("""COMPUTED_VALUE"""),489581.0)</f>
        <v>489581</v>
      </c>
      <c r="B1714" s="2" t="str">
        <f>IFERROR(__xludf.DUMMYFUNCTION("""COMPUTED_VALUE"""),"84360")</f>
        <v>84360</v>
      </c>
      <c r="C1714" s="2" t="str">
        <f>IFERROR(__xludf.DUMMYFUNCTION("""COMPUTED_VALUE"""),"TABLE LAMP WHITE SHADE WOOD BASE")</f>
        <v>TABLE LAMP WHITE SHADE WOOD BASE</v>
      </c>
      <c r="D1714" s="2">
        <f>IFERROR(__xludf.DUMMYFUNCTION("""COMPUTED_VALUE"""),12.0)</f>
        <v>12</v>
      </c>
      <c r="E1714" s="6">
        <f>IFERROR(__xludf.DUMMYFUNCTION("""COMPUTED_VALUE"""),40148.57430555556)</f>
        <v>40148.57431</v>
      </c>
      <c r="F1714" s="2">
        <f>IFERROR(__xludf.DUMMYFUNCTION("""COMPUTED_VALUE"""),4.65)</f>
        <v>4.65</v>
      </c>
      <c r="G1714" s="2">
        <f>IFERROR(__xludf.DUMMYFUNCTION("""COMPUTED_VALUE"""),15945.0)</f>
        <v>15945</v>
      </c>
      <c r="H1714" s="2" t="str">
        <f>IFERROR(__xludf.DUMMYFUNCTION("""COMPUTED_VALUE"""),"United Kingdom")</f>
        <v>United Kingdom</v>
      </c>
      <c r="I1714" s="7">
        <f>IFERROR(__xludf.DUMMYFUNCTION("""COMPUTED_VALUE"""),40148.0)</f>
        <v>40148</v>
      </c>
      <c r="J1714" s="8">
        <f>IFERROR(__xludf.DUMMYFUNCTION("""COMPUTED_VALUE"""),0.5743055555540195)</f>
        <v>0.5743055556</v>
      </c>
      <c r="K1714" s="2">
        <f>IFERROR(__xludf.DUMMYFUNCTION("""COMPUTED_VALUE"""),13.0)</f>
        <v>13</v>
      </c>
      <c r="L1714" s="2">
        <f>IFERROR(__xludf.DUMMYFUNCTION("""COMPUTED_VALUE"""),55.8)</f>
        <v>55.8</v>
      </c>
    </row>
    <row r="1715">
      <c r="A1715" s="2">
        <f>IFERROR(__xludf.DUMMYFUNCTION("""COMPUTED_VALUE"""),489584.0)</f>
        <v>489584</v>
      </c>
      <c r="B1715" s="2" t="str">
        <f>IFERROR(__xludf.DUMMYFUNCTION("""COMPUTED_VALUE"""),"21335")</f>
        <v>21335</v>
      </c>
      <c r="C1715" s="2" t="str">
        <f>IFERROR(__xludf.DUMMYFUNCTION("""COMPUTED_VALUE"""),"LIBRARY LAMP")</f>
        <v>LIBRARY LAMP</v>
      </c>
      <c r="D1715" s="2">
        <f>IFERROR(__xludf.DUMMYFUNCTION("""COMPUTED_VALUE"""),1.0)</f>
        <v>1</v>
      </c>
      <c r="E1715" s="6">
        <f>IFERROR(__xludf.DUMMYFUNCTION("""COMPUTED_VALUE"""),40148.575)</f>
        <v>40148.575</v>
      </c>
      <c r="F1715" s="2">
        <f>IFERROR(__xludf.DUMMYFUNCTION("""COMPUTED_VALUE"""),21.95)</f>
        <v>21.95</v>
      </c>
      <c r="G1715" s="2">
        <f>IFERROR(__xludf.DUMMYFUNCTION("""COMPUTED_VALUE"""),18037.0)</f>
        <v>18037</v>
      </c>
      <c r="H1715" s="2" t="str">
        <f>IFERROR(__xludf.DUMMYFUNCTION("""COMPUTED_VALUE"""),"United Kingdom")</f>
        <v>United Kingdom</v>
      </c>
      <c r="I1715" s="7">
        <f>IFERROR(__xludf.DUMMYFUNCTION("""COMPUTED_VALUE"""),40148.0)</f>
        <v>40148</v>
      </c>
      <c r="J1715" s="8">
        <f>IFERROR(__xludf.DUMMYFUNCTION("""COMPUTED_VALUE"""),0.5750000000007276)</f>
        <v>0.575</v>
      </c>
      <c r="K1715" s="2">
        <f>IFERROR(__xludf.DUMMYFUNCTION("""COMPUTED_VALUE"""),13.0)</f>
        <v>13</v>
      </c>
      <c r="L1715" s="2">
        <f>IFERROR(__xludf.DUMMYFUNCTION("""COMPUTED_VALUE"""),21.95)</f>
        <v>21.95</v>
      </c>
    </row>
    <row r="1716">
      <c r="A1716" s="2">
        <f>IFERROR(__xludf.DUMMYFUNCTION("""COMPUTED_VALUE"""),489585.0)</f>
        <v>489585</v>
      </c>
      <c r="B1716" s="2" t="str">
        <f>IFERROR(__xludf.DUMMYFUNCTION("""COMPUTED_VALUE"""),"84832")</f>
        <v>84832</v>
      </c>
      <c r="C1716" s="2" t="str">
        <f>IFERROR(__xludf.DUMMYFUNCTION("""COMPUTED_VALUE"""),"ZINC WILLIE WINKIE CANDLE STICK")</f>
        <v>ZINC WILLIE WINKIE CANDLE STICK</v>
      </c>
      <c r="D1716" s="2">
        <f>IFERROR(__xludf.DUMMYFUNCTION("""COMPUTED_VALUE"""),24.0)</f>
        <v>24</v>
      </c>
      <c r="E1716" s="6">
        <f>IFERROR(__xludf.DUMMYFUNCTION("""COMPUTED_VALUE"""),40148.575694444444)</f>
        <v>40148.57569</v>
      </c>
      <c r="F1716" s="2">
        <f>IFERROR(__xludf.DUMMYFUNCTION("""COMPUTED_VALUE"""),0.85)</f>
        <v>0.85</v>
      </c>
      <c r="G1716" s="2">
        <f>IFERROR(__xludf.DUMMYFUNCTION("""COMPUTED_VALUE"""),15662.0)</f>
        <v>15662</v>
      </c>
      <c r="H1716" s="2" t="str">
        <f>IFERROR(__xludf.DUMMYFUNCTION("""COMPUTED_VALUE"""),"United Kingdom")</f>
        <v>United Kingdom</v>
      </c>
      <c r="I1716" s="7">
        <f>IFERROR(__xludf.DUMMYFUNCTION("""COMPUTED_VALUE"""),40148.0)</f>
        <v>40148</v>
      </c>
      <c r="J1716" s="8">
        <f>IFERROR(__xludf.DUMMYFUNCTION("""COMPUTED_VALUE"""),0.5756944444437977)</f>
        <v>0.5756944444</v>
      </c>
      <c r="K1716" s="2">
        <f>IFERROR(__xludf.DUMMYFUNCTION("""COMPUTED_VALUE"""),13.0)</f>
        <v>13</v>
      </c>
      <c r="L1716" s="2">
        <f>IFERROR(__xludf.DUMMYFUNCTION("""COMPUTED_VALUE"""),20.4)</f>
        <v>20.4</v>
      </c>
    </row>
    <row r="1717">
      <c r="A1717" s="2">
        <f>IFERROR(__xludf.DUMMYFUNCTION("""COMPUTED_VALUE"""),489585.0)</f>
        <v>489585</v>
      </c>
      <c r="B1717" s="2" t="str">
        <f>IFERROR(__xludf.DUMMYFUNCTION("""COMPUTED_VALUE"""),"21133")</f>
        <v>21133</v>
      </c>
      <c r="C1717" s="2" t="str">
        <f>IFERROR(__xludf.DUMMYFUNCTION("""COMPUTED_VALUE"""),"PAINTED BIRD ASSORTED CHRISTMAS")</f>
        <v>PAINTED BIRD ASSORTED CHRISTMAS</v>
      </c>
      <c r="D1717" s="2">
        <f>IFERROR(__xludf.DUMMYFUNCTION("""COMPUTED_VALUE"""),24.0)</f>
        <v>24</v>
      </c>
      <c r="E1717" s="6">
        <f>IFERROR(__xludf.DUMMYFUNCTION("""COMPUTED_VALUE"""),40148.575694444444)</f>
        <v>40148.57569</v>
      </c>
      <c r="F1717" s="2">
        <f>IFERROR(__xludf.DUMMYFUNCTION("""COMPUTED_VALUE"""),1.69)</f>
        <v>1.69</v>
      </c>
      <c r="G1717" s="2">
        <f>IFERROR(__xludf.DUMMYFUNCTION("""COMPUTED_VALUE"""),15662.0)</f>
        <v>15662</v>
      </c>
      <c r="H1717" s="2" t="str">
        <f>IFERROR(__xludf.DUMMYFUNCTION("""COMPUTED_VALUE"""),"United Kingdom")</f>
        <v>United Kingdom</v>
      </c>
      <c r="I1717" s="7">
        <f>IFERROR(__xludf.DUMMYFUNCTION("""COMPUTED_VALUE"""),40148.0)</f>
        <v>40148</v>
      </c>
      <c r="J1717" s="8">
        <f>IFERROR(__xludf.DUMMYFUNCTION("""COMPUTED_VALUE"""),0.5756944444437977)</f>
        <v>0.5756944444</v>
      </c>
      <c r="K1717" s="2">
        <f>IFERROR(__xludf.DUMMYFUNCTION("""COMPUTED_VALUE"""),13.0)</f>
        <v>13</v>
      </c>
      <c r="L1717" s="2">
        <f>IFERROR(__xludf.DUMMYFUNCTION("""COMPUTED_VALUE"""),40.56)</f>
        <v>40.56</v>
      </c>
    </row>
    <row r="1718">
      <c r="A1718" s="2">
        <f>IFERROR(__xludf.DUMMYFUNCTION("""COMPUTED_VALUE"""),489585.0)</f>
        <v>489585</v>
      </c>
      <c r="B1718" s="2" t="str">
        <f>IFERROR(__xludf.DUMMYFUNCTION("""COMPUTED_VALUE"""),"84879")</f>
        <v>84879</v>
      </c>
      <c r="C1718" s="2" t="str">
        <f>IFERROR(__xludf.DUMMYFUNCTION("""COMPUTED_VALUE"""),"ASSORTED COLOUR BIRD ORNAMENT")</f>
        <v>ASSORTED COLOUR BIRD ORNAMENT</v>
      </c>
      <c r="D1718" s="2">
        <f>IFERROR(__xludf.DUMMYFUNCTION("""COMPUTED_VALUE"""),16.0)</f>
        <v>16</v>
      </c>
      <c r="E1718" s="6">
        <f>IFERROR(__xludf.DUMMYFUNCTION("""COMPUTED_VALUE"""),40148.575694444444)</f>
        <v>40148.57569</v>
      </c>
      <c r="F1718" s="2">
        <f>IFERROR(__xludf.DUMMYFUNCTION("""COMPUTED_VALUE"""),1.69)</f>
        <v>1.69</v>
      </c>
      <c r="G1718" s="2">
        <f>IFERROR(__xludf.DUMMYFUNCTION("""COMPUTED_VALUE"""),15662.0)</f>
        <v>15662</v>
      </c>
      <c r="H1718" s="2" t="str">
        <f>IFERROR(__xludf.DUMMYFUNCTION("""COMPUTED_VALUE"""),"United Kingdom")</f>
        <v>United Kingdom</v>
      </c>
      <c r="I1718" s="7">
        <f>IFERROR(__xludf.DUMMYFUNCTION("""COMPUTED_VALUE"""),40148.0)</f>
        <v>40148</v>
      </c>
      <c r="J1718" s="8">
        <f>IFERROR(__xludf.DUMMYFUNCTION("""COMPUTED_VALUE"""),0.5756944444437977)</f>
        <v>0.5756944444</v>
      </c>
      <c r="K1718" s="2">
        <f>IFERROR(__xludf.DUMMYFUNCTION("""COMPUTED_VALUE"""),13.0)</f>
        <v>13</v>
      </c>
      <c r="L1718" s="2">
        <f>IFERROR(__xludf.DUMMYFUNCTION("""COMPUTED_VALUE"""),27.04)</f>
        <v>27.04</v>
      </c>
    </row>
    <row r="1719">
      <c r="A1719" s="2">
        <f>IFERROR(__xludf.DUMMYFUNCTION("""COMPUTED_VALUE"""),489585.0)</f>
        <v>489585</v>
      </c>
      <c r="B1719" s="2" t="str">
        <f>IFERROR(__xludf.DUMMYFUNCTION("""COMPUTED_VALUE"""),"21755")</f>
        <v>21755</v>
      </c>
      <c r="C1719" s="2" t="str">
        <f>IFERROR(__xludf.DUMMYFUNCTION("""COMPUTED_VALUE"""),"LOVE BUILDING BLOCK WORD")</f>
        <v>LOVE BUILDING BLOCK WORD</v>
      </c>
      <c r="D1719" s="2">
        <f>IFERROR(__xludf.DUMMYFUNCTION("""COMPUTED_VALUE"""),3.0)</f>
        <v>3</v>
      </c>
      <c r="E1719" s="6">
        <f>IFERROR(__xludf.DUMMYFUNCTION("""COMPUTED_VALUE"""),40148.575694444444)</f>
        <v>40148.57569</v>
      </c>
      <c r="F1719" s="2">
        <f>IFERROR(__xludf.DUMMYFUNCTION("""COMPUTED_VALUE"""),5.95)</f>
        <v>5.95</v>
      </c>
      <c r="G1719" s="2">
        <f>IFERROR(__xludf.DUMMYFUNCTION("""COMPUTED_VALUE"""),15662.0)</f>
        <v>15662</v>
      </c>
      <c r="H1719" s="2" t="str">
        <f>IFERROR(__xludf.DUMMYFUNCTION("""COMPUTED_VALUE"""),"United Kingdom")</f>
        <v>United Kingdom</v>
      </c>
      <c r="I1719" s="7">
        <f>IFERROR(__xludf.DUMMYFUNCTION("""COMPUTED_VALUE"""),40148.0)</f>
        <v>40148</v>
      </c>
      <c r="J1719" s="8">
        <f>IFERROR(__xludf.DUMMYFUNCTION("""COMPUTED_VALUE"""),0.5756944444437977)</f>
        <v>0.5756944444</v>
      </c>
      <c r="K1719" s="2">
        <f>IFERROR(__xludf.DUMMYFUNCTION("""COMPUTED_VALUE"""),13.0)</f>
        <v>13</v>
      </c>
      <c r="L1719" s="2">
        <f>IFERROR(__xludf.DUMMYFUNCTION("""COMPUTED_VALUE"""),17.85)</f>
        <v>17.85</v>
      </c>
    </row>
    <row r="1720">
      <c r="A1720" s="2">
        <f>IFERROR(__xludf.DUMMYFUNCTION("""COMPUTED_VALUE"""),489586.0)</f>
        <v>489586</v>
      </c>
      <c r="B1720" s="2" t="str">
        <f>IFERROR(__xludf.DUMMYFUNCTION("""COMPUTED_VALUE"""),"35001W")</f>
        <v>35001W</v>
      </c>
      <c r="C1720" s="2" t="str">
        <f>IFERROR(__xludf.DUMMYFUNCTION("""COMPUTED_VALUE"""),"HAND OPEN SHAPE DECO.WHITE")</f>
        <v>HAND OPEN SHAPE DECO.WHITE</v>
      </c>
      <c r="D1720" s="2">
        <f>IFERROR(__xludf.DUMMYFUNCTION("""COMPUTED_VALUE"""),36.0)</f>
        <v>36</v>
      </c>
      <c r="E1720" s="6">
        <f>IFERROR(__xludf.DUMMYFUNCTION("""COMPUTED_VALUE"""),40148.57638888889)</f>
        <v>40148.57639</v>
      </c>
      <c r="F1720" s="2">
        <f>IFERROR(__xludf.DUMMYFUNCTION("""COMPUTED_VALUE"""),2.95)</f>
        <v>2.95</v>
      </c>
      <c r="G1720" s="2">
        <f>IFERROR(__xludf.DUMMYFUNCTION("""COMPUTED_VALUE"""),15380.0)</f>
        <v>15380</v>
      </c>
      <c r="H1720" s="2" t="str">
        <f>IFERROR(__xludf.DUMMYFUNCTION("""COMPUTED_VALUE"""),"United Kingdom")</f>
        <v>United Kingdom</v>
      </c>
      <c r="I1720" s="7">
        <f>IFERROR(__xludf.DUMMYFUNCTION("""COMPUTED_VALUE"""),40148.0)</f>
        <v>40148</v>
      </c>
      <c r="J1720" s="8">
        <f>IFERROR(__xludf.DUMMYFUNCTION("""COMPUTED_VALUE"""),0.5763888888905058)</f>
        <v>0.5763888889</v>
      </c>
      <c r="K1720" s="2">
        <f>IFERROR(__xludf.DUMMYFUNCTION("""COMPUTED_VALUE"""),13.0)</f>
        <v>13</v>
      </c>
      <c r="L1720" s="2">
        <f>IFERROR(__xludf.DUMMYFUNCTION("""COMPUTED_VALUE"""),106.2)</f>
        <v>106.2</v>
      </c>
    </row>
    <row r="1721">
      <c r="A1721" s="2">
        <f>IFERROR(__xludf.DUMMYFUNCTION("""COMPUTED_VALUE"""),489586.0)</f>
        <v>489586</v>
      </c>
      <c r="B1721" s="2" t="str">
        <f>IFERROR(__xludf.DUMMYFUNCTION("""COMPUTED_VALUE"""),"84396")</f>
        <v>84396</v>
      </c>
      <c r="C1721" s="2" t="str">
        <f>IFERROR(__xludf.DUMMYFUNCTION("""COMPUTED_VALUE"""),"6 HOOK JEWELLERY STAND BLACK DRESS")</f>
        <v>6 HOOK JEWELLERY STAND BLACK DRESS</v>
      </c>
      <c r="D1721" s="2">
        <f>IFERROR(__xludf.DUMMYFUNCTION("""COMPUTED_VALUE"""),24.0)</f>
        <v>24</v>
      </c>
      <c r="E1721" s="6">
        <f>IFERROR(__xludf.DUMMYFUNCTION("""COMPUTED_VALUE"""),40148.57638888889)</f>
        <v>40148.57639</v>
      </c>
      <c r="F1721" s="2">
        <f>IFERROR(__xludf.DUMMYFUNCTION("""COMPUTED_VALUE"""),1.95)</f>
        <v>1.95</v>
      </c>
      <c r="G1721" s="2">
        <f>IFERROR(__xludf.DUMMYFUNCTION("""COMPUTED_VALUE"""),15380.0)</f>
        <v>15380</v>
      </c>
      <c r="H1721" s="2" t="str">
        <f>IFERROR(__xludf.DUMMYFUNCTION("""COMPUTED_VALUE"""),"United Kingdom")</f>
        <v>United Kingdom</v>
      </c>
      <c r="I1721" s="7">
        <f>IFERROR(__xludf.DUMMYFUNCTION("""COMPUTED_VALUE"""),40148.0)</f>
        <v>40148</v>
      </c>
      <c r="J1721" s="8">
        <f>IFERROR(__xludf.DUMMYFUNCTION("""COMPUTED_VALUE"""),0.5763888888905058)</f>
        <v>0.5763888889</v>
      </c>
      <c r="K1721" s="2">
        <f>IFERROR(__xludf.DUMMYFUNCTION("""COMPUTED_VALUE"""),13.0)</f>
        <v>13</v>
      </c>
      <c r="L1721" s="2">
        <f>IFERROR(__xludf.DUMMYFUNCTION("""COMPUTED_VALUE"""),46.8)</f>
        <v>46.8</v>
      </c>
    </row>
    <row r="1722">
      <c r="A1722" s="2">
        <f>IFERROR(__xludf.DUMMYFUNCTION("""COMPUTED_VALUE"""),489586.0)</f>
        <v>489586</v>
      </c>
      <c r="B1722" s="2" t="str">
        <f>IFERROR(__xludf.DUMMYFUNCTION("""COMPUTED_VALUE"""),"35001G")</f>
        <v>35001G</v>
      </c>
      <c r="C1722" s="2" t="str">
        <f>IFERROR(__xludf.DUMMYFUNCTION("""COMPUTED_VALUE"""),"HAND OPEN SHAPE GOLD")</f>
        <v>HAND OPEN SHAPE GOLD</v>
      </c>
      <c r="D1722" s="2">
        <f>IFERROR(__xludf.DUMMYFUNCTION("""COMPUTED_VALUE"""),18.0)</f>
        <v>18</v>
      </c>
      <c r="E1722" s="6">
        <f>IFERROR(__xludf.DUMMYFUNCTION("""COMPUTED_VALUE"""),40148.57638888889)</f>
        <v>40148.57639</v>
      </c>
      <c r="F1722" s="2">
        <f>IFERROR(__xludf.DUMMYFUNCTION("""COMPUTED_VALUE"""),3.39)</f>
        <v>3.39</v>
      </c>
      <c r="G1722" s="2">
        <f>IFERROR(__xludf.DUMMYFUNCTION("""COMPUTED_VALUE"""),15380.0)</f>
        <v>15380</v>
      </c>
      <c r="H1722" s="2" t="str">
        <f>IFERROR(__xludf.DUMMYFUNCTION("""COMPUTED_VALUE"""),"United Kingdom")</f>
        <v>United Kingdom</v>
      </c>
      <c r="I1722" s="7">
        <f>IFERROR(__xludf.DUMMYFUNCTION("""COMPUTED_VALUE"""),40148.0)</f>
        <v>40148</v>
      </c>
      <c r="J1722" s="8">
        <f>IFERROR(__xludf.DUMMYFUNCTION("""COMPUTED_VALUE"""),0.5763888888905058)</f>
        <v>0.5763888889</v>
      </c>
      <c r="K1722" s="2">
        <f>IFERROR(__xludf.DUMMYFUNCTION("""COMPUTED_VALUE"""),13.0)</f>
        <v>13</v>
      </c>
      <c r="L1722" s="2">
        <f>IFERROR(__xludf.DUMMYFUNCTION("""COMPUTED_VALUE"""),61.02)</f>
        <v>61.02</v>
      </c>
    </row>
    <row r="1723">
      <c r="A1723" s="2">
        <f>IFERROR(__xludf.DUMMYFUNCTION("""COMPUTED_VALUE"""),489586.0)</f>
        <v>489586</v>
      </c>
      <c r="B1723" s="2" t="str">
        <f>IFERROR(__xludf.DUMMYFUNCTION("""COMPUTED_VALUE"""),"72753A")</f>
        <v>72753A</v>
      </c>
      <c r="C1723" s="2" t="str">
        <f>IFERROR(__xludf.DUMMYFUNCTION("""COMPUTED_VALUE"""),"S/3 FLWR FAIRY LILLY CANDLES")</f>
        <v>S/3 FLWR FAIRY LILLY CANDLES</v>
      </c>
      <c r="D1723" s="2">
        <f>IFERROR(__xludf.DUMMYFUNCTION("""COMPUTED_VALUE"""),8.0)</f>
        <v>8</v>
      </c>
      <c r="E1723" s="6">
        <f>IFERROR(__xludf.DUMMYFUNCTION("""COMPUTED_VALUE"""),40148.57638888889)</f>
        <v>40148.57639</v>
      </c>
      <c r="F1723" s="2">
        <f>IFERROR(__xludf.DUMMYFUNCTION("""COMPUTED_VALUE"""),2.1)</f>
        <v>2.1</v>
      </c>
      <c r="G1723" s="2">
        <f>IFERROR(__xludf.DUMMYFUNCTION("""COMPUTED_VALUE"""),15380.0)</f>
        <v>15380</v>
      </c>
      <c r="H1723" s="2" t="str">
        <f>IFERROR(__xludf.DUMMYFUNCTION("""COMPUTED_VALUE"""),"United Kingdom")</f>
        <v>United Kingdom</v>
      </c>
      <c r="I1723" s="7">
        <f>IFERROR(__xludf.DUMMYFUNCTION("""COMPUTED_VALUE"""),40148.0)</f>
        <v>40148</v>
      </c>
      <c r="J1723" s="8">
        <f>IFERROR(__xludf.DUMMYFUNCTION("""COMPUTED_VALUE"""),0.5763888888905058)</f>
        <v>0.5763888889</v>
      </c>
      <c r="K1723" s="2">
        <f>IFERROR(__xludf.DUMMYFUNCTION("""COMPUTED_VALUE"""),13.0)</f>
        <v>13</v>
      </c>
      <c r="L1723" s="2">
        <f>IFERROR(__xludf.DUMMYFUNCTION("""COMPUTED_VALUE"""),16.8)</f>
        <v>16.8</v>
      </c>
    </row>
    <row r="1724">
      <c r="A1724" s="2">
        <f>IFERROR(__xludf.DUMMYFUNCTION("""COMPUTED_VALUE"""),489586.0)</f>
        <v>489586</v>
      </c>
      <c r="B1724" s="2" t="str">
        <f>IFERROR(__xludf.DUMMYFUNCTION("""COMPUTED_VALUE"""),"72750C")</f>
        <v>72750C</v>
      </c>
      <c r="C1724" s="2" t="str">
        <f>IFERROR(__xludf.DUMMYFUNCTION("""COMPUTED_VALUE"""),"F.FAIRY S/3 CANDLE/GLASS, ROSE")</f>
        <v>F.FAIRY S/3 CANDLE/GLASS, ROSE</v>
      </c>
      <c r="D1724" s="2">
        <f>IFERROR(__xludf.DUMMYFUNCTION("""COMPUTED_VALUE"""),8.0)</f>
        <v>8</v>
      </c>
      <c r="E1724" s="6">
        <f>IFERROR(__xludf.DUMMYFUNCTION("""COMPUTED_VALUE"""),40148.57638888889)</f>
        <v>40148.57639</v>
      </c>
      <c r="F1724" s="2">
        <f>IFERROR(__xludf.DUMMYFUNCTION("""COMPUTED_VALUE"""),1.95)</f>
        <v>1.95</v>
      </c>
      <c r="G1724" s="2">
        <f>IFERROR(__xludf.DUMMYFUNCTION("""COMPUTED_VALUE"""),15380.0)</f>
        <v>15380</v>
      </c>
      <c r="H1724" s="2" t="str">
        <f>IFERROR(__xludf.DUMMYFUNCTION("""COMPUTED_VALUE"""),"United Kingdom")</f>
        <v>United Kingdom</v>
      </c>
      <c r="I1724" s="7">
        <f>IFERROR(__xludf.DUMMYFUNCTION("""COMPUTED_VALUE"""),40148.0)</f>
        <v>40148</v>
      </c>
      <c r="J1724" s="8">
        <f>IFERROR(__xludf.DUMMYFUNCTION("""COMPUTED_VALUE"""),0.5763888888905058)</f>
        <v>0.5763888889</v>
      </c>
      <c r="K1724" s="2">
        <f>IFERROR(__xludf.DUMMYFUNCTION("""COMPUTED_VALUE"""),13.0)</f>
        <v>13</v>
      </c>
      <c r="L1724" s="2">
        <f>IFERROR(__xludf.DUMMYFUNCTION("""COMPUTED_VALUE"""),15.6)</f>
        <v>15.6</v>
      </c>
    </row>
    <row r="1725">
      <c r="A1725" s="2">
        <f>IFERROR(__xludf.DUMMYFUNCTION("""COMPUTED_VALUE"""),489586.0)</f>
        <v>489586</v>
      </c>
      <c r="B1725" s="2" t="str">
        <f>IFERROR(__xludf.DUMMYFUNCTION("""COMPUTED_VALUE"""),"21895")</f>
        <v>21895</v>
      </c>
      <c r="C1725" s="2" t="str">
        <f>IFERROR(__xludf.DUMMYFUNCTION("""COMPUTED_VALUE"""),"POTTING SHED SOW 'N' GROW SET")</f>
        <v>POTTING SHED SOW 'N' GROW SET</v>
      </c>
      <c r="D1725" s="2">
        <f>IFERROR(__xludf.DUMMYFUNCTION("""COMPUTED_VALUE"""),4.0)</f>
        <v>4</v>
      </c>
      <c r="E1725" s="6">
        <f>IFERROR(__xludf.DUMMYFUNCTION("""COMPUTED_VALUE"""),40148.57638888889)</f>
        <v>40148.57639</v>
      </c>
      <c r="F1725" s="2">
        <f>IFERROR(__xludf.DUMMYFUNCTION("""COMPUTED_VALUE"""),4.25)</f>
        <v>4.25</v>
      </c>
      <c r="G1725" s="2">
        <f>IFERROR(__xludf.DUMMYFUNCTION("""COMPUTED_VALUE"""),15380.0)</f>
        <v>15380</v>
      </c>
      <c r="H1725" s="2" t="str">
        <f>IFERROR(__xludf.DUMMYFUNCTION("""COMPUTED_VALUE"""),"United Kingdom")</f>
        <v>United Kingdom</v>
      </c>
      <c r="I1725" s="7">
        <f>IFERROR(__xludf.DUMMYFUNCTION("""COMPUTED_VALUE"""),40148.0)</f>
        <v>40148</v>
      </c>
      <c r="J1725" s="8">
        <f>IFERROR(__xludf.DUMMYFUNCTION("""COMPUTED_VALUE"""),0.5763888888905058)</f>
        <v>0.5763888889</v>
      </c>
      <c r="K1725" s="2">
        <f>IFERROR(__xludf.DUMMYFUNCTION("""COMPUTED_VALUE"""),13.0)</f>
        <v>13</v>
      </c>
      <c r="L1725" s="2">
        <f>IFERROR(__xludf.DUMMYFUNCTION("""COMPUTED_VALUE"""),17.0)</f>
        <v>17</v>
      </c>
    </row>
    <row r="1726">
      <c r="A1726" s="2"/>
      <c r="B1726" s="2" t="str">
        <f>IFERROR(__xludf.DUMMYFUNCTION("""COMPUTED_VALUE"""),"21639")</f>
        <v>21639</v>
      </c>
      <c r="C1726" s="2" t="str">
        <f>IFERROR(__xludf.DUMMYFUNCTION("""COMPUTED_VALUE"""),"ASSORTED TUTTI FRUTTI KEYRING")</f>
        <v>ASSORTED TUTTI FRUTTI KEYRING</v>
      </c>
      <c r="D1726" s="2">
        <f>IFERROR(__xludf.DUMMYFUNCTION("""COMPUTED_VALUE"""),-5.0)</f>
        <v>-5</v>
      </c>
      <c r="E1726" s="6">
        <f>IFERROR(__xludf.DUMMYFUNCTION("""COMPUTED_VALUE"""),40148.57777777778)</f>
        <v>40148.57778</v>
      </c>
      <c r="F1726" s="2">
        <f>IFERROR(__xludf.DUMMYFUNCTION("""COMPUTED_VALUE"""),0.85)</f>
        <v>0.85</v>
      </c>
      <c r="G1726" s="2">
        <f>IFERROR(__xludf.DUMMYFUNCTION("""COMPUTED_VALUE"""),16422.0)</f>
        <v>16422</v>
      </c>
      <c r="H1726" s="2" t="str">
        <f>IFERROR(__xludf.DUMMYFUNCTION("""COMPUTED_VALUE"""),"United Kingdom")</f>
        <v>United Kingdom</v>
      </c>
      <c r="I1726" s="7">
        <f>IFERROR(__xludf.DUMMYFUNCTION("""COMPUTED_VALUE"""),40148.0)</f>
        <v>40148</v>
      </c>
      <c r="J1726" s="8">
        <f>IFERROR(__xludf.DUMMYFUNCTION("""COMPUTED_VALUE"""),0.577777777776646)</f>
        <v>0.5777777778</v>
      </c>
      <c r="K1726" s="2">
        <f>IFERROR(__xludf.DUMMYFUNCTION("""COMPUTED_VALUE"""),13.0)</f>
        <v>13</v>
      </c>
      <c r="L1726" s="2">
        <f>IFERROR(__xludf.DUMMYFUNCTION("""COMPUTED_VALUE"""),-4.25)</f>
        <v>-4.25</v>
      </c>
    </row>
    <row r="1727">
      <c r="A1727" s="2"/>
      <c r="B1727" s="2" t="str">
        <f>IFERROR(__xludf.DUMMYFUNCTION("""COMPUTED_VALUE"""),"79323P")</f>
        <v>79323P</v>
      </c>
      <c r="C1727" s="2" t="str">
        <f>IFERROR(__xludf.DUMMYFUNCTION("""COMPUTED_VALUE"""),"PINK CHERRY LIGHTS")</f>
        <v>PINK CHERRY LIGHTS</v>
      </c>
      <c r="D1727" s="2">
        <f>IFERROR(__xludf.DUMMYFUNCTION("""COMPUTED_VALUE"""),-2.0)</f>
        <v>-2</v>
      </c>
      <c r="E1727" s="6">
        <f>IFERROR(__xludf.DUMMYFUNCTION("""COMPUTED_VALUE"""),40148.584027777775)</f>
        <v>40148.58403</v>
      </c>
      <c r="F1727" s="2">
        <f>IFERROR(__xludf.DUMMYFUNCTION("""COMPUTED_VALUE"""),6.75)</f>
        <v>6.75</v>
      </c>
      <c r="G1727" s="2">
        <f>IFERROR(__xludf.DUMMYFUNCTION("""COMPUTED_VALUE"""),13711.0)</f>
        <v>13711</v>
      </c>
      <c r="H1727" s="2" t="str">
        <f>IFERROR(__xludf.DUMMYFUNCTION("""COMPUTED_VALUE"""),"United Kingdom")</f>
        <v>United Kingdom</v>
      </c>
      <c r="I1727" s="7">
        <f>IFERROR(__xludf.DUMMYFUNCTION("""COMPUTED_VALUE"""),40148.0)</f>
        <v>40148</v>
      </c>
      <c r="J1727" s="8">
        <f>IFERROR(__xludf.DUMMYFUNCTION("""COMPUTED_VALUE"""),0.5840277777788287)</f>
        <v>0.5840277778</v>
      </c>
      <c r="K1727" s="2">
        <f>IFERROR(__xludf.DUMMYFUNCTION("""COMPUTED_VALUE"""),14.0)</f>
        <v>14</v>
      </c>
      <c r="L1727" s="2">
        <f>IFERROR(__xludf.DUMMYFUNCTION("""COMPUTED_VALUE"""),-13.5)</f>
        <v>-13.5</v>
      </c>
    </row>
    <row r="1728">
      <c r="A1728" s="2"/>
      <c r="B1728" s="2" t="str">
        <f>IFERROR(__xludf.DUMMYFUNCTION("""COMPUTED_VALUE"""),"79323GR")</f>
        <v>79323GR</v>
      </c>
      <c r="C1728" s="2" t="str">
        <f>IFERROR(__xludf.DUMMYFUNCTION("""COMPUTED_VALUE"""),"GREEN CHERRY LIGHTS")</f>
        <v>GREEN CHERRY LIGHTS</v>
      </c>
      <c r="D1728" s="2">
        <f>IFERROR(__xludf.DUMMYFUNCTION("""COMPUTED_VALUE"""),-2.0)</f>
        <v>-2</v>
      </c>
      <c r="E1728" s="6">
        <f>IFERROR(__xludf.DUMMYFUNCTION("""COMPUTED_VALUE"""),40148.584027777775)</f>
        <v>40148.58403</v>
      </c>
      <c r="F1728" s="2">
        <f>IFERROR(__xludf.DUMMYFUNCTION("""COMPUTED_VALUE"""),6.75)</f>
        <v>6.75</v>
      </c>
      <c r="G1728" s="2">
        <f>IFERROR(__xludf.DUMMYFUNCTION("""COMPUTED_VALUE"""),13711.0)</f>
        <v>13711</v>
      </c>
      <c r="H1728" s="2" t="str">
        <f>IFERROR(__xludf.DUMMYFUNCTION("""COMPUTED_VALUE"""),"United Kingdom")</f>
        <v>United Kingdom</v>
      </c>
      <c r="I1728" s="7">
        <f>IFERROR(__xludf.DUMMYFUNCTION("""COMPUTED_VALUE"""),40148.0)</f>
        <v>40148</v>
      </c>
      <c r="J1728" s="8">
        <f>IFERROR(__xludf.DUMMYFUNCTION("""COMPUTED_VALUE"""),0.5840277777788287)</f>
        <v>0.5840277778</v>
      </c>
      <c r="K1728" s="2">
        <f>IFERROR(__xludf.DUMMYFUNCTION("""COMPUTED_VALUE"""),14.0)</f>
        <v>14</v>
      </c>
      <c r="L1728" s="2">
        <f>IFERROR(__xludf.DUMMYFUNCTION("""COMPUTED_VALUE"""),-13.5)</f>
        <v>-13.5</v>
      </c>
    </row>
    <row r="1729">
      <c r="A1729" s="2"/>
      <c r="B1729" s="2" t="str">
        <f>IFERROR(__xludf.DUMMYFUNCTION("""COMPUTED_VALUE"""),"22120")</f>
        <v>22120</v>
      </c>
      <c r="C1729" s="2" t="str">
        <f>IFERROR(__xludf.DUMMYFUNCTION("""COMPUTED_VALUE"""),"WELCOME WOODEN BLOCK LETTERS")</f>
        <v>WELCOME WOODEN BLOCK LETTERS</v>
      </c>
      <c r="D1729" s="2">
        <f>IFERROR(__xludf.DUMMYFUNCTION("""COMPUTED_VALUE"""),-1.0)</f>
        <v>-1</v>
      </c>
      <c r="E1729" s="6">
        <f>IFERROR(__xludf.DUMMYFUNCTION("""COMPUTED_VALUE"""),40148.584027777775)</f>
        <v>40148.58403</v>
      </c>
      <c r="F1729" s="2">
        <f>IFERROR(__xludf.DUMMYFUNCTION("""COMPUTED_VALUE"""),9.95)</f>
        <v>9.95</v>
      </c>
      <c r="G1729" s="2">
        <f>IFERROR(__xludf.DUMMYFUNCTION("""COMPUTED_VALUE"""),13711.0)</f>
        <v>13711</v>
      </c>
      <c r="H1729" s="2" t="str">
        <f>IFERROR(__xludf.DUMMYFUNCTION("""COMPUTED_VALUE"""),"United Kingdom")</f>
        <v>United Kingdom</v>
      </c>
      <c r="I1729" s="7">
        <f>IFERROR(__xludf.DUMMYFUNCTION("""COMPUTED_VALUE"""),40148.0)</f>
        <v>40148</v>
      </c>
      <c r="J1729" s="8">
        <f>IFERROR(__xludf.DUMMYFUNCTION("""COMPUTED_VALUE"""),0.5840277777788287)</f>
        <v>0.5840277778</v>
      </c>
      <c r="K1729" s="2">
        <f>IFERROR(__xludf.DUMMYFUNCTION("""COMPUTED_VALUE"""),14.0)</f>
        <v>14</v>
      </c>
      <c r="L1729" s="2">
        <f>IFERROR(__xludf.DUMMYFUNCTION("""COMPUTED_VALUE"""),-9.95)</f>
        <v>-9.95</v>
      </c>
    </row>
    <row r="1730">
      <c r="A1730" s="2"/>
      <c r="B1730" s="2" t="str">
        <f>IFERROR(__xludf.DUMMYFUNCTION("""COMPUTED_VALUE"""),"21535")</f>
        <v>21535</v>
      </c>
      <c r="C1730" s="2" t="str">
        <f>IFERROR(__xludf.DUMMYFUNCTION("""COMPUTED_VALUE"""),"RETRO SPOT SMALL MILK JUG")</f>
        <v>RETRO SPOT SMALL MILK JUG</v>
      </c>
      <c r="D1730" s="2">
        <f>IFERROR(__xludf.DUMMYFUNCTION("""COMPUTED_VALUE"""),-1.0)</f>
        <v>-1</v>
      </c>
      <c r="E1730" s="6">
        <f>IFERROR(__xludf.DUMMYFUNCTION("""COMPUTED_VALUE"""),40148.58472222222)</f>
        <v>40148.58472</v>
      </c>
      <c r="F1730" s="2">
        <f>IFERROR(__xludf.DUMMYFUNCTION("""COMPUTED_VALUE"""),2.55)</f>
        <v>2.55</v>
      </c>
      <c r="G1730" s="2">
        <f>IFERROR(__xludf.DUMMYFUNCTION("""COMPUTED_VALUE"""),16150.0)</f>
        <v>16150</v>
      </c>
      <c r="H1730" s="2" t="str">
        <f>IFERROR(__xludf.DUMMYFUNCTION("""COMPUTED_VALUE"""),"United Kingdom")</f>
        <v>United Kingdom</v>
      </c>
      <c r="I1730" s="7">
        <f>IFERROR(__xludf.DUMMYFUNCTION("""COMPUTED_VALUE"""),40148.0)</f>
        <v>40148</v>
      </c>
      <c r="J1730" s="8">
        <f>IFERROR(__xludf.DUMMYFUNCTION("""COMPUTED_VALUE"""),0.5847222222218988)</f>
        <v>0.5847222222</v>
      </c>
      <c r="K1730" s="2">
        <f>IFERROR(__xludf.DUMMYFUNCTION("""COMPUTED_VALUE"""),14.0)</f>
        <v>14</v>
      </c>
      <c r="L1730" s="2">
        <f>IFERROR(__xludf.DUMMYFUNCTION("""COMPUTED_VALUE"""),-2.55)</f>
        <v>-2.55</v>
      </c>
    </row>
    <row r="1731">
      <c r="A1731" s="2"/>
      <c r="B1731" s="2" t="str">
        <f>IFERROR(__xludf.DUMMYFUNCTION("""COMPUTED_VALUE"""),"22073")</f>
        <v>22073</v>
      </c>
      <c r="C1731" s="2" t="str">
        <f>IFERROR(__xludf.DUMMYFUNCTION("""COMPUTED_VALUE"""),"RETRO SPOT STORAGE JAR")</f>
        <v>RETRO SPOT STORAGE JAR</v>
      </c>
      <c r="D1731" s="2">
        <f>IFERROR(__xludf.DUMMYFUNCTION("""COMPUTED_VALUE"""),-1.0)</f>
        <v>-1</v>
      </c>
      <c r="E1731" s="6">
        <f>IFERROR(__xludf.DUMMYFUNCTION("""COMPUTED_VALUE"""),40148.58472222222)</f>
        <v>40148.58472</v>
      </c>
      <c r="F1731" s="2">
        <f>IFERROR(__xludf.DUMMYFUNCTION("""COMPUTED_VALUE"""),3.75)</f>
        <v>3.75</v>
      </c>
      <c r="G1731" s="2">
        <f>IFERROR(__xludf.DUMMYFUNCTION("""COMPUTED_VALUE"""),16150.0)</f>
        <v>16150</v>
      </c>
      <c r="H1731" s="2" t="str">
        <f>IFERROR(__xludf.DUMMYFUNCTION("""COMPUTED_VALUE"""),"United Kingdom")</f>
        <v>United Kingdom</v>
      </c>
      <c r="I1731" s="7">
        <f>IFERROR(__xludf.DUMMYFUNCTION("""COMPUTED_VALUE"""),40148.0)</f>
        <v>40148</v>
      </c>
      <c r="J1731" s="8">
        <f>IFERROR(__xludf.DUMMYFUNCTION("""COMPUTED_VALUE"""),0.5847222222218988)</f>
        <v>0.5847222222</v>
      </c>
      <c r="K1731" s="2">
        <f>IFERROR(__xludf.DUMMYFUNCTION("""COMPUTED_VALUE"""),14.0)</f>
        <v>14</v>
      </c>
      <c r="L1731" s="2">
        <f>IFERROR(__xludf.DUMMYFUNCTION("""COMPUTED_VALUE"""),-3.75)</f>
        <v>-3.75</v>
      </c>
    </row>
    <row r="1732">
      <c r="A1732" s="2">
        <f>IFERROR(__xludf.DUMMYFUNCTION("""COMPUTED_VALUE"""),489590.0)</f>
        <v>489590</v>
      </c>
      <c r="B1732" s="2" t="str">
        <f>IFERROR(__xludf.DUMMYFUNCTION("""COMPUTED_VALUE"""),"21733")</f>
        <v>21733</v>
      </c>
      <c r="C1732" s="2" t="str">
        <f>IFERROR(__xludf.DUMMYFUNCTION("""COMPUTED_VALUE"""),"RED HANGING HEART T-LIGHT HOLDER")</f>
        <v>RED HANGING HEART T-LIGHT HOLDER</v>
      </c>
      <c r="D1732" s="2">
        <f>IFERROR(__xludf.DUMMYFUNCTION("""COMPUTED_VALUE"""),12.0)</f>
        <v>12</v>
      </c>
      <c r="E1732" s="6">
        <f>IFERROR(__xludf.DUMMYFUNCTION("""COMPUTED_VALUE"""),40148.59305555555)</f>
        <v>40148.59306</v>
      </c>
      <c r="F1732" s="2">
        <f>IFERROR(__xludf.DUMMYFUNCTION("""COMPUTED_VALUE"""),2.95)</f>
        <v>2.95</v>
      </c>
      <c r="G1732" s="2">
        <f>IFERROR(__xludf.DUMMYFUNCTION("""COMPUTED_VALUE"""),13110.0)</f>
        <v>13110</v>
      </c>
      <c r="H1732" s="2" t="str">
        <f>IFERROR(__xludf.DUMMYFUNCTION("""COMPUTED_VALUE"""),"United Kingdom")</f>
        <v>United Kingdom</v>
      </c>
      <c r="I1732" s="7">
        <f>IFERROR(__xludf.DUMMYFUNCTION("""COMPUTED_VALUE"""),40148.0)</f>
        <v>40148</v>
      </c>
      <c r="J1732" s="8">
        <f>IFERROR(__xludf.DUMMYFUNCTION("""COMPUTED_VALUE"""),0.5930555555569299)</f>
        <v>0.5930555556</v>
      </c>
      <c r="K1732" s="2">
        <f>IFERROR(__xludf.DUMMYFUNCTION("""COMPUTED_VALUE"""),14.0)</f>
        <v>14</v>
      </c>
      <c r="L1732" s="2">
        <f>IFERROR(__xludf.DUMMYFUNCTION("""COMPUTED_VALUE"""),35.4)</f>
        <v>35.4</v>
      </c>
    </row>
    <row r="1733">
      <c r="A1733" s="2">
        <f>IFERROR(__xludf.DUMMYFUNCTION("""COMPUTED_VALUE"""),489590.0)</f>
        <v>489590</v>
      </c>
      <c r="B1733" s="2" t="str">
        <f>IFERROR(__xludf.DUMMYFUNCTION("""COMPUTED_VALUE"""),"85123A")</f>
        <v>85123A</v>
      </c>
      <c r="C1733" s="2" t="str">
        <f>IFERROR(__xludf.DUMMYFUNCTION("""COMPUTED_VALUE"""),"WHITE HANGING HEART T-LIGHT HOLDER")</f>
        <v>WHITE HANGING HEART T-LIGHT HOLDER</v>
      </c>
      <c r="D1733" s="2">
        <f>IFERROR(__xludf.DUMMYFUNCTION("""COMPUTED_VALUE"""),6.0)</f>
        <v>6</v>
      </c>
      <c r="E1733" s="6">
        <f>IFERROR(__xludf.DUMMYFUNCTION("""COMPUTED_VALUE"""),40148.59305555555)</f>
        <v>40148.59306</v>
      </c>
      <c r="F1733" s="2">
        <f>IFERROR(__xludf.DUMMYFUNCTION("""COMPUTED_VALUE"""),2.95)</f>
        <v>2.95</v>
      </c>
      <c r="G1733" s="2">
        <f>IFERROR(__xludf.DUMMYFUNCTION("""COMPUTED_VALUE"""),13110.0)</f>
        <v>13110</v>
      </c>
      <c r="H1733" s="2" t="str">
        <f>IFERROR(__xludf.DUMMYFUNCTION("""COMPUTED_VALUE"""),"United Kingdom")</f>
        <v>United Kingdom</v>
      </c>
      <c r="I1733" s="7">
        <f>IFERROR(__xludf.DUMMYFUNCTION("""COMPUTED_VALUE"""),40148.0)</f>
        <v>40148</v>
      </c>
      <c r="J1733" s="8">
        <f>IFERROR(__xludf.DUMMYFUNCTION("""COMPUTED_VALUE"""),0.5930555555569299)</f>
        <v>0.5930555556</v>
      </c>
      <c r="K1733" s="2">
        <f>IFERROR(__xludf.DUMMYFUNCTION("""COMPUTED_VALUE"""),14.0)</f>
        <v>14</v>
      </c>
      <c r="L1733" s="2">
        <f>IFERROR(__xludf.DUMMYFUNCTION("""COMPUTED_VALUE"""),17.7)</f>
        <v>17.7</v>
      </c>
    </row>
    <row r="1734">
      <c r="A1734" s="2">
        <f>IFERROR(__xludf.DUMMYFUNCTION("""COMPUTED_VALUE"""),489590.0)</f>
        <v>489590</v>
      </c>
      <c r="B1734" s="2" t="str">
        <f>IFERROR(__xludf.DUMMYFUNCTION("""COMPUTED_VALUE"""),"22113")</f>
        <v>22113</v>
      </c>
      <c r="C1734" s="2" t="str">
        <f>IFERROR(__xludf.DUMMYFUNCTION("""COMPUTED_VALUE"""),"GREY HEART HOT WATER BOTTLE")</f>
        <v>GREY HEART HOT WATER BOTTLE</v>
      </c>
      <c r="D1734" s="2">
        <f>IFERROR(__xludf.DUMMYFUNCTION("""COMPUTED_VALUE"""),7.0)</f>
        <v>7</v>
      </c>
      <c r="E1734" s="6">
        <f>IFERROR(__xludf.DUMMYFUNCTION("""COMPUTED_VALUE"""),40148.59305555555)</f>
        <v>40148.59306</v>
      </c>
      <c r="F1734" s="2">
        <f>IFERROR(__xludf.DUMMYFUNCTION("""COMPUTED_VALUE"""),3.45)</f>
        <v>3.45</v>
      </c>
      <c r="G1734" s="2">
        <f>IFERROR(__xludf.DUMMYFUNCTION("""COMPUTED_VALUE"""),13110.0)</f>
        <v>13110</v>
      </c>
      <c r="H1734" s="2" t="str">
        <f>IFERROR(__xludf.DUMMYFUNCTION("""COMPUTED_VALUE"""),"United Kingdom")</f>
        <v>United Kingdom</v>
      </c>
      <c r="I1734" s="7">
        <f>IFERROR(__xludf.DUMMYFUNCTION("""COMPUTED_VALUE"""),40148.0)</f>
        <v>40148</v>
      </c>
      <c r="J1734" s="8">
        <f>IFERROR(__xludf.DUMMYFUNCTION("""COMPUTED_VALUE"""),0.5930555555569299)</f>
        <v>0.5930555556</v>
      </c>
      <c r="K1734" s="2">
        <f>IFERROR(__xludf.DUMMYFUNCTION("""COMPUTED_VALUE"""),14.0)</f>
        <v>14</v>
      </c>
      <c r="L1734" s="2">
        <f>IFERROR(__xludf.DUMMYFUNCTION("""COMPUTED_VALUE"""),24.15)</f>
        <v>24.15</v>
      </c>
    </row>
    <row r="1735">
      <c r="A1735" s="2">
        <f>IFERROR(__xludf.DUMMYFUNCTION("""COMPUTED_VALUE"""),489590.0)</f>
        <v>489590</v>
      </c>
      <c r="B1735" s="2" t="str">
        <f>IFERROR(__xludf.DUMMYFUNCTION("""COMPUTED_VALUE"""),"85211")</f>
        <v>85211</v>
      </c>
      <c r="C1735" s="2" t="str">
        <f>IFERROR(__xludf.DUMMYFUNCTION("""COMPUTED_VALUE"""),"S/4 GROOVY CAT MAGNETS")</f>
        <v>S/4 GROOVY CAT MAGNETS</v>
      </c>
      <c r="D1735" s="2">
        <f>IFERROR(__xludf.DUMMYFUNCTION("""COMPUTED_VALUE"""),1.0)</f>
        <v>1</v>
      </c>
      <c r="E1735" s="6">
        <f>IFERROR(__xludf.DUMMYFUNCTION("""COMPUTED_VALUE"""),40148.59305555555)</f>
        <v>40148.59306</v>
      </c>
      <c r="F1735" s="2">
        <f>IFERROR(__xludf.DUMMYFUNCTION("""COMPUTED_VALUE"""),1.65)</f>
        <v>1.65</v>
      </c>
      <c r="G1735" s="2">
        <f>IFERROR(__xludf.DUMMYFUNCTION("""COMPUTED_VALUE"""),13110.0)</f>
        <v>13110</v>
      </c>
      <c r="H1735" s="2" t="str">
        <f>IFERROR(__xludf.DUMMYFUNCTION("""COMPUTED_VALUE"""),"United Kingdom")</f>
        <v>United Kingdom</v>
      </c>
      <c r="I1735" s="7">
        <f>IFERROR(__xludf.DUMMYFUNCTION("""COMPUTED_VALUE"""),40148.0)</f>
        <v>40148</v>
      </c>
      <c r="J1735" s="8">
        <f>IFERROR(__xludf.DUMMYFUNCTION("""COMPUTED_VALUE"""),0.5930555555569299)</f>
        <v>0.5930555556</v>
      </c>
      <c r="K1735" s="2">
        <f>IFERROR(__xludf.DUMMYFUNCTION("""COMPUTED_VALUE"""),14.0)</f>
        <v>14</v>
      </c>
      <c r="L1735" s="2">
        <f>IFERROR(__xludf.DUMMYFUNCTION("""COMPUTED_VALUE"""),1.65)</f>
        <v>1.65</v>
      </c>
    </row>
    <row r="1736">
      <c r="A1736" s="2">
        <f>IFERROR(__xludf.DUMMYFUNCTION("""COMPUTED_VALUE"""),489590.0)</f>
        <v>489590</v>
      </c>
      <c r="B1736" s="2" t="str">
        <f>IFERROR(__xludf.DUMMYFUNCTION("""COMPUTED_VALUE"""),"22086")</f>
        <v>22086</v>
      </c>
      <c r="C1736" s="2" t="str">
        <f>IFERROR(__xludf.DUMMYFUNCTION("""COMPUTED_VALUE"""),"PAPER CHAIN KIT 50'S CHRISTMAS")</f>
        <v>PAPER CHAIN KIT 50'S CHRISTMAS</v>
      </c>
      <c r="D1736" s="2">
        <f>IFERROR(__xludf.DUMMYFUNCTION("""COMPUTED_VALUE"""),2.0)</f>
        <v>2</v>
      </c>
      <c r="E1736" s="6">
        <f>IFERROR(__xludf.DUMMYFUNCTION("""COMPUTED_VALUE"""),40148.59305555555)</f>
        <v>40148.59306</v>
      </c>
      <c r="F1736" s="2">
        <f>IFERROR(__xludf.DUMMYFUNCTION("""COMPUTED_VALUE"""),2.95)</f>
        <v>2.95</v>
      </c>
      <c r="G1736" s="2">
        <f>IFERROR(__xludf.DUMMYFUNCTION("""COMPUTED_VALUE"""),13110.0)</f>
        <v>13110</v>
      </c>
      <c r="H1736" s="2" t="str">
        <f>IFERROR(__xludf.DUMMYFUNCTION("""COMPUTED_VALUE"""),"United Kingdom")</f>
        <v>United Kingdom</v>
      </c>
      <c r="I1736" s="7">
        <f>IFERROR(__xludf.DUMMYFUNCTION("""COMPUTED_VALUE"""),40148.0)</f>
        <v>40148</v>
      </c>
      <c r="J1736" s="8">
        <f>IFERROR(__xludf.DUMMYFUNCTION("""COMPUTED_VALUE"""),0.5930555555569299)</f>
        <v>0.5930555556</v>
      </c>
      <c r="K1736" s="2">
        <f>IFERROR(__xludf.DUMMYFUNCTION("""COMPUTED_VALUE"""),14.0)</f>
        <v>14</v>
      </c>
      <c r="L1736" s="2">
        <f>IFERROR(__xludf.DUMMYFUNCTION("""COMPUTED_VALUE"""),5.9)</f>
        <v>5.9</v>
      </c>
    </row>
    <row r="1737">
      <c r="A1737" s="2">
        <f>IFERROR(__xludf.DUMMYFUNCTION("""COMPUTED_VALUE"""),489590.0)</f>
        <v>489590</v>
      </c>
      <c r="B1737" s="2" t="str">
        <f>IFERROR(__xludf.DUMMYFUNCTION("""COMPUTED_VALUE"""),"84341B")</f>
        <v>84341B</v>
      </c>
      <c r="C1737" s="2" t="str">
        <f>IFERROR(__xludf.DUMMYFUNCTION("""COMPUTED_VALUE"""),"SMALL PINK MAGIC CHRISTMAS TREE")</f>
        <v>SMALL PINK MAGIC CHRISTMAS TREE</v>
      </c>
      <c r="D1737" s="2">
        <f>IFERROR(__xludf.DUMMYFUNCTION("""COMPUTED_VALUE"""),2.0)</f>
        <v>2</v>
      </c>
      <c r="E1737" s="6">
        <f>IFERROR(__xludf.DUMMYFUNCTION("""COMPUTED_VALUE"""),40148.59305555555)</f>
        <v>40148.59306</v>
      </c>
      <c r="F1737" s="2">
        <f>IFERROR(__xludf.DUMMYFUNCTION("""COMPUTED_VALUE"""),0.85)</f>
        <v>0.85</v>
      </c>
      <c r="G1737" s="2">
        <f>IFERROR(__xludf.DUMMYFUNCTION("""COMPUTED_VALUE"""),13110.0)</f>
        <v>13110</v>
      </c>
      <c r="H1737" s="2" t="str">
        <f>IFERROR(__xludf.DUMMYFUNCTION("""COMPUTED_VALUE"""),"United Kingdom")</f>
        <v>United Kingdom</v>
      </c>
      <c r="I1737" s="7">
        <f>IFERROR(__xludf.DUMMYFUNCTION("""COMPUTED_VALUE"""),40148.0)</f>
        <v>40148</v>
      </c>
      <c r="J1737" s="8">
        <f>IFERROR(__xludf.DUMMYFUNCTION("""COMPUTED_VALUE"""),0.5930555555569299)</f>
        <v>0.5930555556</v>
      </c>
      <c r="K1737" s="2">
        <f>IFERROR(__xludf.DUMMYFUNCTION("""COMPUTED_VALUE"""),14.0)</f>
        <v>14</v>
      </c>
      <c r="L1737" s="2">
        <f>IFERROR(__xludf.DUMMYFUNCTION("""COMPUTED_VALUE"""),1.7)</f>
        <v>1.7</v>
      </c>
    </row>
    <row r="1738">
      <c r="A1738" s="2">
        <f>IFERROR(__xludf.DUMMYFUNCTION("""COMPUTED_VALUE"""),489590.0)</f>
        <v>489590</v>
      </c>
      <c r="B1738" s="2" t="str">
        <f>IFERROR(__xludf.DUMMYFUNCTION("""COMPUTED_VALUE"""),"22211")</f>
        <v>22211</v>
      </c>
      <c r="C1738" s="2" t="str">
        <f>IFERROR(__xludf.DUMMYFUNCTION("""COMPUTED_VALUE"""),"WOOD STAMP SET FLOWERS")</f>
        <v>WOOD STAMP SET FLOWERS</v>
      </c>
      <c r="D1738" s="2">
        <f>IFERROR(__xludf.DUMMYFUNCTION("""COMPUTED_VALUE"""),1.0)</f>
        <v>1</v>
      </c>
      <c r="E1738" s="6">
        <f>IFERROR(__xludf.DUMMYFUNCTION("""COMPUTED_VALUE"""),40148.59305555555)</f>
        <v>40148.59306</v>
      </c>
      <c r="F1738" s="2">
        <f>IFERROR(__xludf.DUMMYFUNCTION("""COMPUTED_VALUE"""),1.65)</f>
        <v>1.65</v>
      </c>
      <c r="G1738" s="2">
        <f>IFERROR(__xludf.DUMMYFUNCTION("""COMPUTED_VALUE"""),13110.0)</f>
        <v>13110</v>
      </c>
      <c r="H1738" s="2" t="str">
        <f>IFERROR(__xludf.DUMMYFUNCTION("""COMPUTED_VALUE"""),"United Kingdom")</f>
        <v>United Kingdom</v>
      </c>
      <c r="I1738" s="7">
        <f>IFERROR(__xludf.DUMMYFUNCTION("""COMPUTED_VALUE"""),40148.0)</f>
        <v>40148</v>
      </c>
      <c r="J1738" s="8">
        <f>IFERROR(__xludf.DUMMYFUNCTION("""COMPUTED_VALUE"""),0.5930555555569299)</f>
        <v>0.5930555556</v>
      </c>
      <c r="K1738" s="2">
        <f>IFERROR(__xludf.DUMMYFUNCTION("""COMPUTED_VALUE"""),14.0)</f>
        <v>14</v>
      </c>
      <c r="L1738" s="2">
        <f>IFERROR(__xludf.DUMMYFUNCTION("""COMPUTED_VALUE"""),1.65)</f>
        <v>1.65</v>
      </c>
    </row>
    <row r="1739">
      <c r="A1739" s="2">
        <f>IFERROR(__xludf.DUMMYFUNCTION("""COMPUTED_VALUE"""),489590.0)</f>
        <v>489590</v>
      </c>
      <c r="B1739" s="2" t="str">
        <f>IFERROR(__xludf.DUMMYFUNCTION("""COMPUTED_VALUE"""),"22275")</f>
        <v>22275</v>
      </c>
      <c r="C1739" s="2" t="str">
        <f>IFERROR(__xludf.DUMMYFUNCTION("""COMPUTED_VALUE"""),"WEEKEND BAG VINTAGE ROSE PAISLEY")</f>
        <v>WEEKEND BAG VINTAGE ROSE PAISLEY</v>
      </c>
      <c r="D1739" s="2">
        <f>IFERROR(__xludf.DUMMYFUNCTION("""COMPUTED_VALUE"""),1.0)</f>
        <v>1</v>
      </c>
      <c r="E1739" s="6">
        <f>IFERROR(__xludf.DUMMYFUNCTION("""COMPUTED_VALUE"""),40148.59305555555)</f>
        <v>40148.59306</v>
      </c>
      <c r="F1739" s="2">
        <f>IFERROR(__xludf.DUMMYFUNCTION("""COMPUTED_VALUE"""),8.5)</f>
        <v>8.5</v>
      </c>
      <c r="G1739" s="2">
        <f>IFERROR(__xludf.DUMMYFUNCTION("""COMPUTED_VALUE"""),13110.0)</f>
        <v>13110</v>
      </c>
      <c r="H1739" s="2" t="str">
        <f>IFERROR(__xludf.DUMMYFUNCTION("""COMPUTED_VALUE"""),"United Kingdom")</f>
        <v>United Kingdom</v>
      </c>
      <c r="I1739" s="7">
        <f>IFERROR(__xludf.DUMMYFUNCTION("""COMPUTED_VALUE"""),40148.0)</f>
        <v>40148</v>
      </c>
      <c r="J1739" s="8">
        <f>IFERROR(__xludf.DUMMYFUNCTION("""COMPUTED_VALUE"""),0.5930555555569299)</f>
        <v>0.5930555556</v>
      </c>
      <c r="K1739" s="2">
        <f>IFERROR(__xludf.DUMMYFUNCTION("""COMPUTED_VALUE"""),14.0)</f>
        <v>14</v>
      </c>
      <c r="L1739" s="2">
        <f>IFERROR(__xludf.DUMMYFUNCTION("""COMPUTED_VALUE"""),8.5)</f>
        <v>8.5</v>
      </c>
    </row>
    <row r="1740">
      <c r="A1740" s="2">
        <f>IFERROR(__xludf.DUMMYFUNCTION("""COMPUTED_VALUE"""),489590.0)</f>
        <v>489590</v>
      </c>
      <c r="B1740" s="2" t="str">
        <f>IFERROR(__xludf.DUMMYFUNCTION("""COMPUTED_VALUE"""),"22283")</f>
        <v>22283</v>
      </c>
      <c r="C1740" s="2" t="str">
        <f>IFERROR(__xludf.DUMMYFUNCTION("""COMPUTED_VALUE"""),"6 EGG HOUSE PAINTED WOOD")</f>
        <v>6 EGG HOUSE PAINTED WOOD</v>
      </c>
      <c r="D1740" s="2">
        <f>IFERROR(__xludf.DUMMYFUNCTION("""COMPUTED_VALUE"""),2.0)</f>
        <v>2</v>
      </c>
      <c r="E1740" s="6">
        <f>IFERROR(__xludf.DUMMYFUNCTION("""COMPUTED_VALUE"""),40148.59305555555)</f>
        <v>40148.59306</v>
      </c>
      <c r="F1740" s="2">
        <f>IFERROR(__xludf.DUMMYFUNCTION("""COMPUTED_VALUE"""),7.95)</f>
        <v>7.95</v>
      </c>
      <c r="G1740" s="2">
        <f>IFERROR(__xludf.DUMMYFUNCTION("""COMPUTED_VALUE"""),13110.0)</f>
        <v>13110</v>
      </c>
      <c r="H1740" s="2" t="str">
        <f>IFERROR(__xludf.DUMMYFUNCTION("""COMPUTED_VALUE"""),"United Kingdom")</f>
        <v>United Kingdom</v>
      </c>
      <c r="I1740" s="7">
        <f>IFERROR(__xludf.DUMMYFUNCTION("""COMPUTED_VALUE"""),40148.0)</f>
        <v>40148</v>
      </c>
      <c r="J1740" s="8">
        <f>IFERROR(__xludf.DUMMYFUNCTION("""COMPUTED_VALUE"""),0.5930555555569299)</f>
        <v>0.5930555556</v>
      </c>
      <c r="K1740" s="2">
        <f>IFERROR(__xludf.DUMMYFUNCTION("""COMPUTED_VALUE"""),14.0)</f>
        <v>14</v>
      </c>
      <c r="L1740" s="2">
        <f>IFERROR(__xludf.DUMMYFUNCTION("""COMPUTED_VALUE"""),15.9)</f>
        <v>15.9</v>
      </c>
    </row>
    <row r="1741">
      <c r="A1741" s="2">
        <f>IFERROR(__xludf.DUMMYFUNCTION("""COMPUTED_VALUE"""),489590.0)</f>
        <v>489590</v>
      </c>
      <c r="B1741" s="2" t="str">
        <f>IFERROR(__xludf.DUMMYFUNCTION("""COMPUTED_VALUE"""),"22186")</f>
        <v>22186</v>
      </c>
      <c r="C1741" s="2" t="str">
        <f>IFERROR(__xludf.DUMMYFUNCTION("""COMPUTED_VALUE"""),"RED STAR CARD HOLDER")</f>
        <v>RED STAR CARD HOLDER</v>
      </c>
      <c r="D1741" s="2">
        <f>IFERROR(__xludf.DUMMYFUNCTION("""COMPUTED_VALUE"""),2.0)</f>
        <v>2</v>
      </c>
      <c r="E1741" s="6">
        <f>IFERROR(__xludf.DUMMYFUNCTION("""COMPUTED_VALUE"""),40148.59305555555)</f>
        <v>40148.59306</v>
      </c>
      <c r="F1741" s="2">
        <f>IFERROR(__xludf.DUMMYFUNCTION("""COMPUTED_VALUE"""),2.95)</f>
        <v>2.95</v>
      </c>
      <c r="G1741" s="2">
        <f>IFERROR(__xludf.DUMMYFUNCTION("""COMPUTED_VALUE"""),13110.0)</f>
        <v>13110</v>
      </c>
      <c r="H1741" s="2" t="str">
        <f>IFERROR(__xludf.DUMMYFUNCTION("""COMPUTED_VALUE"""),"United Kingdom")</f>
        <v>United Kingdom</v>
      </c>
      <c r="I1741" s="7">
        <f>IFERROR(__xludf.DUMMYFUNCTION("""COMPUTED_VALUE"""),40148.0)</f>
        <v>40148</v>
      </c>
      <c r="J1741" s="8">
        <f>IFERROR(__xludf.DUMMYFUNCTION("""COMPUTED_VALUE"""),0.5930555555569299)</f>
        <v>0.5930555556</v>
      </c>
      <c r="K1741" s="2">
        <f>IFERROR(__xludf.DUMMYFUNCTION("""COMPUTED_VALUE"""),14.0)</f>
        <v>14</v>
      </c>
      <c r="L1741" s="2">
        <f>IFERROR(__xludf.DUMMYFUNCTION("""COMPUTED_VALUE"""),5.9)</f>
        <v>5.9</v>
      </c>
    </row>
    <row r="1742">
      <c r="A1742" s="2">
        <f>IFERROR(__xludf.DUMMYFUNCTION("""COMPUTED_VALUE"""),489590.0)</f>
        <v>489590</v>
      </c>
      <c r="B1742" s="2" t="str">
        <f>IFERROR(__xludf.DUMMYFUNCTION("""COMPUTED_VALUE"""),"22187")</f>
        <v>22187</v>
      </c>
      <c r="C1742" s="2" t="str">
        <f>IFERROR(__xludf.DUMMYFUNCTION("""COMPUTED_VALUE"""),"GREEN CHRISTMAS TREE CARD HOLDER")</f>
        <v>GREEN CHRISTMAS TREE CARD HOLDER</v>
      </c>
      <c r="D1742" s="2">
        <f>IFERROR(__xludf.DUMMYFUNCTION("""COMPUTED_VALUE"""),2.0)</f>
        <v>2</v>
      </c>
      <c r="E1742" s="6">
        <f>IFERROR(__xludf.DUMMYFUNCTION("""COMPUTED_VALUE"""),40148.59305555555)</f>
        <v>40148.59306</v>
      </c>
      <c r="F1742" s="2">
        <f>IFERROR(__xludf.DUMMYFUNCTION("""COMPUTED_VALUE"""),4.25)</f>
        <v>4.25</v>
      </c>
      <c r="G1742" s="2">
        <f>IFERROR(__xludf.DUMMYFUNCTION("""COMPUTED_VALUE"""),13110.0)</f>
        <v>13110</v>
      </c>
      <c r="H1742" s="2" t="str">
        <f>IFERROR(__xludf.DUMMYFUNCTION("""COMPUTED_VALUE"""),"United Kingdom")</f>
        <v>United Kingdom</v>
      </c>
      <c r="I1742" s="7">
        <f>IFERROR(__xludf.DUMMYFUNCTION("""COMPUTED_VALUE"""),40148.0)</f>
        <v>40148</v>
      </c>
      <c r="J1742" s="8">
        <f>IFERROR(__xludf.DUMMYFUNCTION("""COMPUTED_VALUE"""),0.5930555555569299)</f>
        <v>0.5930555556</v>
      </c>
      <c r="K1742" s="2">
        <f>IFERROR(__xludf.DUMMYFUNCTION("""COMPUTED_VALUE"""),14.0)</f>
        <v>14</v>
      </c>
      <c r="L1742" s="2">
        <f>IFERROR(__xludf.DUMMYFUNCTION("""COMPUTED_VALUE"""),8.5)</f>
        <v>8.5</v>
      </c>
    </row>
    <row r="1743">
      <c r="A1743" s="2">
        <f>IFERROR(__xludf.DUMMYFUNCTION("""COMPUTED_VALUE"""),489590.0)</f>
        <v>489590</v>
      </c>
      <c r="B1743" s="2" t="str">
        <f>IFERROR(__xludf.DUMMYFUNCTION("""COMPUTED_VALUE"""),"35001G")</f>
        <v>35001G</v>
      </c>
      <c r="C1743" s="2" t="str">
        <f>IFERROR(__xludf.DUMMYFUNCTION("""COMPUTED_VALUE"""),"HAND OPEN SHAPE GOLD")</f>
        <v>HAND OPEN SHAPE GOLD</v>
      </c>
      <c r="D1743" s="2">
        <f>IFERROR(__xludf.DUMMYFUNCTION("""COMPUTED_VALUE"""),2.0)</f>
        <v>2</v>
      </c>
      <c r="E1743" s="6">
        <f>IFERROR(__xludf.DUMMYFUNCTION("""COMPUTED_VALUE"""),40148.59305555555)</f>
        <v>40148.59306</v>
      </c>
      <c r="F1743" s="2">
        <f>IFERROR(__xludf.DUMMYFUNCTION("""COMPUTED_VALUE"""),4.25)</f>
        <v>4.25</v>
      </c>
      <c r="G1743" s="2">
        <f>IFERROR(__xludf.DUMMYFUNCTION("""COMPUTED_VALUE"""),13110.0)</f>
        <v>13110</v>
      </c>
      <c r="H1743" s="2" t="str">
        <f>IFERROR(__xludf.DUMMYFUNCTION("""COMPUTED_VALUE"""),"United Kingdom")</f>
        <v>United Kingdom</v>
      </c>
      <c r="I1743" s="7">
        <f>IFERROR(__xludf.DUMMYFUNCTION("""COMPUTED_VALUE"""),40148.0)</f>
        <v>40148</v>
      </c>
      <c r="J1743" s="8">
        <f>IFERROR(__xludf.DUMMYFUNCTION("""COMPUTED_VALUE"""),0.5930555555569299)</f>
        <v>0.5930555556</v>
      </c>
      <c r="K1743" s="2">
        <f>IFERROR(__xludf.DUMMYFUNCTION("""COMPUTED_VALUE"""),14.0)</f>
        <v>14</v>
      </c>
      <c r="L1743" s="2">
        <f>IFERROR(__xludf.DUMMYFUNCTION("""COMPUTED_VALUE"""),8.5)</f>
        <v>8.5</v>
      </c>
    </row>
    <row r="1744">
      <c r="A1744" s="2">
        <f>IFERROR(__xludf.DUMMYFUNCTION("""COMPUTED_VALUE"""),489590.0)</f>
        <v>489590</v>
      </c>
      <c r="B1744" s="2" t="str">
        <f>IFERROR(__xludf.DUMMYFUNCTION("""COMPUTED_VALUE"""),"35001W")</f>
        <v>35001W</v>
      </c>
      <c r="C1744" s="2" t="str">
        <f>IFERROR(__xludf.DUMMYFUNCTION("""COMPUTED_VALUE"""),"HAND OPEN SHAPE DECO.WHITE")</f>
        <v>HAND OPEN SHAPE DECO.WHITE</v>
      </c>
      <c r="D1744" s="2">
        <f>IFERROR(__xludf.DUMMYFUNCTION("""COMPUTED_VALUE"""),2.0)</f>
        <v>2</v>
      </c>
      <c r="E1744" s="6">
        <f>IFERROR(__xludf.DUMMYFUNCTION("""COMPUTED_VALUE"""),40148.59305555555)</f>
        <v>40148.59306</v>
      </c>
      <c r="F1744" s="2">
        <f>IFERROR(__xludf.DUMMYFUNCTION("""COMPUTED_VALUE"""),3.49)</f>
        <v>3.49</v>
      </c>
      <c r="G1744" s="2">
        <f>IFERROR(__xludf.DUMMYFUNCTION("""COMPUTED_VALUE"""),13110.0)</f>
        <v>13110</v>
      </c>
      <c r="H1744" s="2" t="str">
        <f>IFERROR(__xludf.DUMMYFUNCTION("""COMPUTED_VALUE"""),"United Kingdom")</f>
        <v>United Kingdom</v>
      </c>
      <c r="I1744" s="7">
        <f>IFERROR(__xludf.DUMMYFUNCTION("""COMPUTED_VALUE"""),40148.0)</f>
        <v>40148</v>
      </c>
      <c r="J1744" s="8">
        <f>IFERROR(__xludf.DUMMYFUNCTION("""COMPUTED_VALUE"""),0.5930555555569299)</f>
        <v>0.5930555556</v>
      </c>
      <c r="K1744" s="2">
        <f>IFERROR(__xludf.DUMMYFUNCTION("""COMPUTED_VALUE"""),14.0)</f>
        <v>14</v>
      </c>
      <c r="L1744" s="2">
        <f>IFERROR(__xludf.DUMMYFUNCTION("""COMPUTED_VALUE"""),6.98)</f>
        <v>6.98</v>
      </c>
    </row>
    <row r="1745">
      <c r="A1745" s="2">
        <f>IFERROR(__xludf.DUMMYFUNCTION("""COMPUTED_VALUE"""),489590.0)</f>
        <v>489590</v>
      </c>
      <c r="B1745" s="2" t="str">
        <f>IFERROR(__xludf.DUMMYFUNCTION("""COMPUTED_VALUE"""),"35400")</f>
        <v>35400</v>
      </c>
      <c r="C1745" s="2" t="str">
        <f>IFERROR(__xludf.DUMMYFUNCTION("""COMPUTED_VALUE"""),"WOODEN BOX ADVENT CALENDAR")</f>
        <v>WOODEN BOX ADVENT CALENDAR</v>
      </c>
      <c r="D1745" s="2">
        <f>IFERROR(__xludf.DUMMYFUNCTION("""COMPUTED_VALUE"""),2.0)</f>
        <v>2</v>
      </c>
      <c r="E1745" s="6">
        <f>IFERROR(__xludf.DUMMYFUNCTION("""COMPUTED_VALUE"""),40148.59305555555)</f>
        <v>40148.59306</v>
      </c>
      <c r="F1745" s="2">
        <f>IFERROR(__xludf.DUMMYFUNCTION("""COMPUTED_VALUE"""),8.95)</f>
        <v>8.95</v>
      </c>
      <c r="G1745" s="2">
        <f>IFERROR(__xludf.DUMMYFUNCTION("""COMPUTED_VALUE"""),13110.0)</f>
        <v>13110</v>
      </c>
      <c r="H1745" s="2" t="str">
        <f>IFERROR(__xludf.DUMMYFUNCTION("""COMPUTED_VALUE"""),"United Kingdom")</f>
        <v>United Kingdom</v>
      </c>
      <c r="I1745" s="7">
        <f>IFERROR(__xludf.DUMMYFUNCTION("""COMPUTED_VALUE"""),40148.0)</f>
        <v>40148</v>
      </c>
      <c r="J1745" s="8">
        <f>IFERROR(__xludf.DUMMYFUNCTION("""COMPUTED_VALUE"""),0.5930555555569299)</f>
        <v>0.5930555556</v>
      </c>
      <c r="K1745" s="2">
        <f>IFERROR(__xludf.DUMMYFUNCTION("""COMPUTED_VALUE"""),14.0)</f>
        <v>14</v>
      </c>
      <c r="L1745" s="2">
        <f>IFERROR(__xludf.DUMMYFUNCTION("""COMPUTED_VALUE"""),17.9)</f>
        <v>17.9</v>
      </c>
    </row>
    <row r="1746">
      <c r="A1746" s="2">
        <f>IFERROR(__xludf.DUMMYFUNCTION("""COMPUTED_VALUE"""),489590.0)</f>
        <v>489590</v>
      </c>
      <c r="B1746" s="2" t="str">
        <f>IFERROR(__xludf.DUMMYFUNCTION("""COMPUTED_VALUE"""),"21804")</f>
        <v>21804</v>
      </c>
      <c r="C1746" s="2" t="str">
        <f>IFERROR(__xludf.DUMMYFUNCTION("""COMPUTED_VALUE"""),"WHITE CHRISTMAS GARLAND STARS TREES")</f>
        <v>WHITE CHRISTMAS GARLAND STARS TREES</v>
      </c>
      <c r="D1746" s="2">
        <f>IFERROR(__xludf.DUMMYFUNCTION("""COMPUTED_VALUE"""),12.0)</f>
        <v>12</v>
      </c>
      <c r="E1746" s="6">
        <f>IFERROR(__xludf.DUMMYFUNCTION("""COMPUTED_VALUE"""),40148.59305555555)</f>
        <v>40148.59306</v>
      </c>
      <c r="F1746" s="2">
        <f>IFERROR(__xludf.DUMMYFUNCTION("""COMPUTED_VALUE"""),3.75)</f>
        <v>3.75</v>
      </c>
      <c r="G1746" s="2">
        <f>IFERROR(__xludf.DUMMYFUNCTION("""COMPUTED_VALUE"""),13110.0)</f>
        <v>13110</v>
      </c>
      <c r="H1746" s="2" t="str">
        <f>IFERROR(__xludf.DUMMYFUNCTION("""COMPUTED_VALUE"""),"United Kingdom")</f>
        <v>United Kingdom</v>
      </c>
      <c r="I1746" s="7">
        <f>IFERROR(__xludf.DUMMYFUNCTION("""COMPUTED_VALUE"""),40148.0)</f>
        <v>40148</v>
      </c>
      <c r="J1746" s="8">
        <f>IFERROR(__xludf.DUMMYFUNCTION("""COMPUTED_VALUE"""),0.5930555555569299)</f>
        <v>0.5930555556</v>
      </c>
      <c r="K1746" s="2">
        <f>IFERROR(__xludf.DUMMYFUNCTION("""COMPUTED_VALUE"""),14.0)</f>
        <v>14</v>
      </c>
      <c r="L1746" s="2">
        <f>IFERROR(__xludf.DUMMYFUNCTION("""COMPUTED_VALUE"""),45.0)</f>
        <v>45</v>
      </c>
    </row>
    <row r="1747">
      <c r="A1747" s="2">
        <f>IFERROR(__xludf.DUMMYFUNCTION("""COMPUTED_VALUE"""),489590.0)</f>
        <v>489590</v>
      </c>
      <c r="B1747" s="2" t="str">
        <f>IFERROR(__xludf.DUMMYFUNCTION("""COMPUTED_VALUE"""),"21735")</f>
        <v>21735</v>
      </c>
      <c r="C1747" s="2" t="str">
        <f>IFERROR(__xludf.DUMMYFUNCTION("""COMPUTED_VALUE"""),"TWO DOOR CURIO CABINET")</f>
        <v>TWO DOOR CURIO CABINET</v>
      </c>
      <c r="D1747" s="2">
        <f>IFERROR(__xludf.DUMMYFUNCTION("""COMPUTED_VALUE"""),2.0)</f>
        <v>2</v>
      </c>
      <c r="E1747" s="6">
        <f>IFERROR(__xludf.DUMMYFUNCTION("""COMPUTED_VALUE"""),40148.59305555555)</f>
        <v>40148.59306</v>
      </c>
      <c r="F1747" s="2">
        <f>IFERROR(__xludf.DUMMYFUNCTION("""COMPUTED_VALUE"""),12.75)</f>
        <v>12.75</v>
      </c>
      <c r="G1747" s="2">
        <f>IFERROR(__xludf.DUMMYFUNCTION("""COMPUTED_VALUE"""),13110.0)</f>
        <v>13110</v>
      </c>
      <c r="H1747" s="2" t="str">
        <f>IFERROR(__xludf.DUMMYFUNCTION("""COMPUTED_VALUE"""),"United Kingdom")</f>
        <v>United Kingdom</v>
      </c>
      <c r="I1747" s="7">
        <f>IFERROR(__xludf.DUMMYFUNCTION("""COMPUTED_VALUE"""),40148.0)</f>
        <v>40148</v>
      </c>
      <c r="J1747" s="8">
        <f>IFERROR(__xludf.DUMMYFUNCTION("""COMPUTED_VALUE"""),0.5930555555569299)</f>
        <v>0.5930555556</v>
      </c>
      <c r="K1747" s="2">
        <f>IFERROR(__xludf.DUMMYFUNCTION("""COMPUTED_VALUE"""),14.0)</f>
        <v>14</v>
      </c>
      <c r="L1747" s="2">
        <f>IFERROR(__xludf.DUMMYFUNCTION("""COMPUTED_VALUE"""),25.5)</f>
        <v>25.5</v>
      </c>
    </row>
    <row r="1748">
      <c r="A1748" s="2">
        <f>IFERROR(__xludf.DUMMYFUNCTION("""COMPUTED_VALUE"""),489590.0)</f>
        <v>489590</v>
      </c>
      <c r="B1748" s="2" t="str">
        <f>IFERROR(__xludf.DUMMYFUNCTION("""COMPUTED_VALUE"""),"22295")</f>
        <v>22295</v>
      </c>
      <c r="C1748" s="2" t="str">
        <f>IFERROR(__xludf.DUMMYFUNCTION("""COMPUTED_VALUE"""),"HEART FILIGREE DOVE LARGE")</f>
        <v>HEART FILIGREE DOVE LARGE</v>
      </c>
      <c r="D1748" s="2">
        <f>IFERROR(__xludf.DUMMYFUNCTION("""COMPUTED_VALUE"""),12.0)</f>
        <v>12</v>
      </c>
      <c r="E1748" s="6">
        <f>IFERROR(__xludf.DUMMYFUNCTION("""COMPUTED_VALUE"""),40148.59305555555)</f>
        <v>40148.59306</v>
      </c>
      <c r="F1748" s="2">
        <f>IFERROR(__xludf.DUMMYFUNCTION("""COMPUTED_VALUE"""),1.65)</f>
        <v>1.65</v>
      </c>
      <c r="G1748" s="2">
        <f>IFERROR(__xludf.DUMMYFUNCTION("""COMPUTED_VALUE"""),13110.0)</f>
        <v>13110</v>
      </c>
      <c r="H1748" s="2" t="str">
        <f>IFERROR(__xludf.DUMMYFUNCTION("""COMPUTED_VALUE"""),"United Kingdom")</f>
        <v>United Kingdom</v>
      </c>
      <c r="I1748" s="7">
        <f>IFERROR(__xludf.DUMMYFUNCTION("""COMPUTED_VALUE"""),40148.0)</f>
        <v>40148</v>
      </c>
      <c r="J1748" s="8">
        <f>IFERROR(__xludf.DUMMYFUNCTION("""COMPUTED_VALUE"""),0.5930555555569299)</f>
        <v>0.5930555556</v>
      </c>
      <c r="K1748" s="2">
        <f>IFERROR(__xludf.DUMMYFUNCTION("""COMPUTED_VALUE"""),14.0)</f>
        <v>14</v>
      </c>
      <c r="L1748" s="2">
        <f>IFERROR(__xludf.DUMMYFUNCTION("""COMPUTED_VALUE"""),19.7999999999999)</f>
        <v>19.8</v>
      </c>
    </row>
    <row r="1749">
      <c r="A1749" s="2">
        <f>IFERROR(__xludf.DUMMYFUNCTION("""COMPUTED_VALUE"""),489590.0)</f>
        <v>489590</v>
      </c>
      <c r="B1749" s="2" t="str">
        <f>IFERROR(__xludf.DUMMYFUNCTION("""COMPUTED_VALUE"""),"21755")</f>
        <v>21755</v>
      </c>
      <c r="C1749" s="2" t="str">
        <f>IFERROR(__xludf.DUMMYFUNCTION("""COMPUTED_VALUE"""),"LOVE BUILDING BLOCK WORD")</f>
        <v>LOVE BUILDING BLOCK WORD</v>
      </c>
      <c r="D1749" s="2">
        <f>IFERROR(__xludf.DUMMYFUNCTION("""COMPUTED_VALUE"""),6.0)</f>
        <v>6</v>
      </c>
      <c r="E1749" s="6">
        <f>IFERROR(__xludf.DUMMYFUNCTION("""COMPUTED_VALUE"""),40148.59305555555)</f>
        <v>40148.59306</v>
      </c>
      <c r="F1749" s="2">
        <f>IFERROR(__xludf.DUMMYFUNCTION("""COMPUTED_VALUE"""),5.95)</f>
        <v>5.95</v>
      </c>
      <c r="G1749" s="2">
        <f>IFERROR(__xludf.DUMMYFUNCTION("""COMPUTED_VALUE"""),13110.0)</f>
        <v>13110</v>
      </c>
      <c r="H1749" s="2" t="str">
        <f>IFERROR(__xludf.DUMMYFUNCTION("""COMPUTED_VALUE"""),"United Kingdom")</f>
        <v>United Kingdom</v>
      </c>
      <c r="I1749" s="7">
        <f>IFERROR(__xludf.DUMMYFUNCTION("""COMPUTED_VALUE"""),40148.0)</f>
        <v>40148</v>
      </c>
      <c r="J1749" s="8">
        <f>IFERROR(__xludf.DUMMYFUNCTION("""COMPUTED_VALUE"""),0.5930555555569299)</f>
        <v>0.5930555556</v>
      </c>
      <c r="K1749" s="2">
        <f>IFERROR(__xludf.DUMMYFUNCTION("""COMPUTED_VALUE"""),14.0)</f>
        <v>14</v>
      </c>
      <c r="L1749" s="2">
        <f>IFERROR(__xludf.DUMMYFUNCTION("""COMPUTED_VALUE"""),35.7)</f>
        <v>35.7</v>
      </c>
    </row>
    <row r="1750">
      <c r="A1750" s="2">
        <f>IFERROR(__xludf.DUMMYFUNCTION("""COMPUTED_VALUE"""),489590.0)</f>
        <v>489590</v>
      </c>
      <c r="B1750" s="2" t="str">
        <f>IFERROR(__xludf.DUMMYFUNCTION("""COMPUTED_VALUE"""),"22325")</f>
        <v>22325</v>
      </c>
      <c r="C1750" s="2" t="str">
        <f>IFERROR(__xludf.DUMMYFUNCTION("""COMPUTED_VALUE"""),"MOBILE VINTAGE HEARTS")</f>
        <v>MOBILE VINTAGE HEARTS</v>
      </c>
      <c r="D1750" s="2">
        <f>IFERROR(__xludf.DUMMYFUNCTION("""COMPUTED_VALUE"""),1.0)</f>
        <v>1</v>
      </c>
      <c r="E1750" s="6">
        <f>IFERROR(__xludf.DUMMYFUNCTION("""COMPUTED_VALUE"""),40148.59305555555)</f>
        <v>40148.59306</v>
      </c>
      <c r="F1750" s="2">
        <f>IFERROR(__xludf.DUMMYFUNCTION("""COMPUTED_VALUE"""),4.95)</f>
        <v>4.95</v>
      </c>
      <c r="G1750" s="2">
        <f>IFERROR(__xludf.DUMMYFUNCTION("""COMPUTED_VALUE"""),13110.0)</f>
        <v>13110</v>
      </c>
      <c r="H1750" s="2" t="str">
        <f>IFERROR(__xludf.DUMMYFUNCTION("""COMPUTED_VALUE"""),"United Kingdom")</f>
        <v>United Kingdom</v>
      </c>
      <c r="I1750" s="7">
        <f>IFERROR(__xludf.DUMMYFUNCTION("""COMPUTED_VALUE"""),40148.0)</f>
        <v>40148</v>
      </c>
      <c r="J1750" s="8">
        <f>IFERROR(__xludf.DUMMYFUNCTION("""COMPUTED_VALUE"""),0.5930555555569299)</f>
        <v>0.5930555556</v>
      </c>
      <c r="K1750" s="2">
        <f>IFERROR(__xludf.DUMMYFUNCTION("""COMPUTED_VALUE"""),14.0)</f>
        <v>14</v>
      </c>
      <c r="L1750" s="2">
        <f>IFERROR(__xludf.DUMMYFUNCTION("""COMPUTED_VALUE"""),4.95)</f>
        <v>4.95</v>
      </c>
    </row>
    <row r="1751">
      <c r="A1751" s="2">
        <f>IFERROR(__xludf.DUMMYFUNCTION("""COMPUTED_VALUE"""),489590.0)</f>
        <v>489590</v>
      </c>
      <c r="B1751" s="2" t="str">
        <f>IFERROR(__xludf.DUMMYFUNCTION("""COMPUTED_VALUE"""),"22320")</f>
        <v>22320</v>
      </c>
      <c r="C1751" s="2" t="str">
        <f>IFERROR(__xludf.DUMMYFUNCTION("""COMPUTED_VALUE"""),"BIRDS MOBILE VINTAGE DESIGN")</f>
        <v>BIRDS MOBILE VINTAGE DESIGN</v>
      </c>
      <c r="D1751" s="2">
        <f>IFERROR(__xludf.DUMMYFUNCTION("""COMPUTED_VALUE"""),1.0)</f>
        <v>1</v>
      </c>
      <c r="E1751" s="6">
        <f>IFERROR(__xludf.DUMMYFUNCTION("""COMPUTED_VALUE"""),40148.59305555555)</f>
        <v>40148.59306</v>
      </c>
      <c r="F1751" s="2">
        <f>IFERROR(__xludf.DUMMYFUNCTION("""COMPUTED_VALUE"""),5.95)</f>
        <v>5.95</v>
      </c>
      <c r="G1751" s="2">
        <f>IFERROR(__xludf.DUMMYFUNCTION("""COMPUTED_VALUE"""),13110.0)</f>
        <v>13110</v>
      </c>
      <c r="H1751" s="2" t="str">
        <f>IFERROR(__xludf.DUMMYFUNCTION("""COMPUTED_VALUE"""),"United Kingdom")</f>
        <v>United Kingdom</v>
      </c>
      <c r="I1751" s="7">
        <f>IFERROR(__xludf.DUMMYFUNCTION("""COMPUTED_VALUE"""),40148.0)</f>
        <v>40148</v>
      </c>
      <c r="J1751" s="8">
        <f>IFERROR(__xludf.DUMMYFUNCTION("""COMPUTED_VALUE"""),0.5930555555569299)</f>
        <v>0.5930555556</v>
      </c>
      <c r="K1751" s="2">
        <f>IFERROR(__xludf.DUMMYFUNCTION("""COMPUTED_VALUE"""),14.0)</f>
        <v>14</v>
      </c>
      <c r="L1751" s="2">
        <f>IFERROR(__xludf.DUMMYFUNCTION("""COMPUTED_VALUE"""),5.95)</f>
        <v>5.95</v>
      </c>
    </row>
    <row r="1752">
      <c r="A1752" s="2">
        <f>IFERROR(__xludf.DUMMYFUNCTION("""COMPUTED_VALUE"""),489590.0)</f>
        <v>489590</v>
      </c>
      <c r="B1752" s="2" t="str">
        <f>IFERROR(__xludf.DUMMYFUNCTION("""COMPUTED_VALUE"""),"21756")</f>
        <v>21756</v>
      </c>
      <c r="C1752" s="2" t="str">
        <f>IFERROR(__xludf.DUMMYFUNCTION("""COMPUTED_VALUE"""),"BATH BUILDING BLOCK WORD")</f>
        <v>BATH BUILDING BLOCK WORD</v>
      </c>
      <c r="D1752" s="2">
        <f>IFERROR(__xludf.DUMMYFUNCTION("""COMPUTED_VALUE"""),2.0)</f>
        <v>2</v>
      </c>
      <c r="E1752" s="6">
        <f>IFERROR(__xludf.DUMMYFUNCTION("""COMPUTED_VALUE"""),40148.59305555555)</f>
        <v>40148.59306</v>
      </c>
      <c r="F1752" s="2">
        <f>IFERROR(__xludf.DUMMYFUNCTION("""COMPUTED_VALUE"""),5.95)</f>
        <v>5.95</v>
      </c>
      <c r="G1752" s="2">
        <f>IFERROR(__xludf.DUMMYFUNCTION("""COMPUTED_VALUE"""),13110.0)</f>
        <v>13110</v>
      </c>
      <c r="H1752" s="2" t="str">
        <f>IFERROR(__xludf.DUMMYFUNCTION("""COMPUTED_VALUE"""),"United Kingdom")</f>
        <v>United Kingdom</v>
      </c>
      <c r="I1752" s="7">
        <f>IFERROR(__xludf.DUMMYFUNCTION("""COMPUTED_VALUE"""),40148.0)</f>
        <v>40148</v>
      </c>
      <c r="J1752" s="8">
        <f>IFERROR(__xludf.DUMMYFUNCTION("""COMPUTED_VALUE"""),0.5930555555569299)</f>
        <v>0.5930555556</v>
      </c>
      <c r="K1752" s="2">
        <f>IFERROR(__xludf.DUMMYFUNCTION("""COMPUTED_VALUE"""),14.0)</f>
        <v>14</v>
      </c>
      <c r="L1752" s="2">
        <f>IFERROR(__xludf.DUMMYFUNCTION("""COMPUTED_VALUE"""),11.9)</f>
        <v>11.9</v>
      </c>
    </row>
    <row r="1753">
      <c r="A1753" s="2">
        <f>IFERROR(__xludf.DUMMYFUNCTION("""COMPUTED_VALUE"""),489590.0)</f>
        <v>489590</v>
      </c>
      <c r="B1753" s="2" t="str">
        <f>IFERROR(__xludf.DUMMYFUNCTION("""COMPUTED_VALUE"""),"22120")</f>
        <v>22120</v>
      </c>
      <c r="C1753" s="2" t="str">
        <f>IFERROR(__xludf.DUMMYFUNCTION("""COMPUTED_VALUE"""),"WELCOME WOODEN BLOCK LETTERS")</f>
        <v>WELCOME WOODEN BLOCK LETTERS</v>
      </c>
      <c r="D1753" s="2">
        <f>IFERROR(__xludf.DUMMYFUNCTION("""COMPUTED_VALUE"""),2.0)</f>
        <v>2</v>
      </c>
      <c r="E1753" s="6">
        <f>IFERROR(__xludf.DUMMYFUNCTION("""COMPUTED_VALUE"""),40148.59305555555)</f>
        <v>40148.59306</v>
      </c>
      <c r="F1753" s="2">
        <f>IFERROR(__xludf.DUMMYFUNCTION("""COMPUTED_VALUE"""),9.95)</f>
        <v>9.95</v>
      </c>
      <c r="G1753" s="2">
        <f>IFERROR(__xludf.DUMMYFUNCTION("""COMPUTED_VALUE"""),13110.0)</f>
        <v>13110</v>
      </c>
      <c r="H1753" s="2" t="str">
        <f>IFERROR(__xludf.DUMMYFUNCTION("""COMPUTED_VALUE"""),"United Kingdom")</f>
        <v>United Kingdom</v>
      </c>
      <c r="I1753" s="7">
        <f>IFERROR(__xludf.DUMMYFUNCTION("""COMPUTED_VALUE"""),40148.0)</f>
        <v>40148</v>
      </c>
      <c r="J1753" s="8">
        <f>IFERROR(__xludf.DUMMYFUNCTION("""COMPUTED_VALUE"""),0.5930555555569299)</f>
        <v>0.5930555556</v>
      </c>
      <c r="K1753" s="2">
        <f>IFERROR(__xludf.DUMMYFUNCTION("""COMPUTED_VALUE"""),14.0)</f>
        <v>14</v>
      </c>
      <c r="L1753" s="2">
        <f>IFERROR(__xludf.DUMMYFUNCTION("""COMPUTED_VALUE"""),19.9)</f>
        <v>19.9</v>
      </c>
    </row>
    <row r="1754">
      <c r="A1754" s="2">
        <f>IFERROR(__xludf.DUMMYFUNCTION("""COMPUTED_VALUE"""),489590.0)</f>
        <v>489590</v>
      </c>
      <c r="B1754" s="2" t="str">
        <f>IFERROR(__xludf.DUMMYFUNCTION("""COMPUTED_VALUE"""),"20685")</f>
        <v>20685</v>
      </c>
      <c r="C1754" s="2" t="str">
        <f>IFERROR(__xludf.DUMMYFUNCTION("""COMPUTED_VALUE"""),"RED SPOTTY COIR DOORMAT")</f>
        <v>RED SPOTTY COIR DOORMAT</v>
      </c>
      <c r="D1754" s="2">
        <f>IFERROR(__xludf.DUMMYFUNCTION("""COMPUTED_VALUE"""),1.0)</f>
        <v>1</v>
      </c>
      <c r="E1754" s="6">
        <f>IFERROR(__xludf.DUMMYFUNCTION("""COMPUTED_VALUE"""),40148.59305555555)</f>
        <v>40148.59306</v>
      </c>
      <c r="F1754" s="2">
        <f>IFERROR(__xludf.DUMMYFUNCTION("""COMPUTED_VALUE"""),6.75)</f>
        <v>6.75</v>
      </c>
      <c r="G1754" s="2">
        <f>IFERROR(__xludf.DUMMYFUNCTION("""COMPUTED_VALUE"""),13110.0)</f>
        <v>13110</v>
      </c>
      <c r="H1754" s="2" t="str">
        <f>IFERROR(__xludf.DUMMYFUNCTION("""COMPUTED_VALUE"""),"United Kingdom")</f>
        <v>United Kingdom</v>
      </c>
      <c r="I1754" s="7">
        <f>IFERROR(__xludf.DUMMYFUNCTION("""COMPUTED_VALUE"""),40148.0)</f>
        <v>40148</v>
      </c>
      <c r="J1754" s="8">
        <f>IFERROR(__xludf.DUMMYFUNCTION("""COMPUTED_VALUE"""),0.5930555555569299)</f>
        <v>0.5930555556</v>
      </c>
      <c r="K1754" s="2">
        <f>IFERROR(__xludf.DUMMYFUNCTION("""COMPUTED_VALUE"""),14.0)</f>
        <v>14</v>
      </c>
      <c r="L1754" s="2">
        <f>IFERROR(__xludf.DUMMYFUNCTION("""COMPUTED_VALUE"""),6.75)</f>
        <v>6.75</v>
      </c>
    </row>
    <row r="1755">
      <c r="A1755" s="2">
        <f>IFERROR(__xludf.DUMMYFUNCTION("""COMPUTED_VALUE"""),489590.0)</f>
        <v>489590</v>
      </c>
      <c r="B1755" s="2" t="str">
        <f>IFERROR(__xludf.DUMMYFUNCTION("""COMPUTED_VALUE"""),"48194")</f>
        <v>48194</v>
      </c>
      <c r="C1755" s="2" t="str">
        <f>IFERROR(__xludf.DUMMYFUNCTION("""COMPUTED_VALUE"""),"DOORMAT HEARTS")</f>
        <v>DOORMAT HEARTS</v>
      </c>
      <c r="D1755" s="2">
        <f>IFERROR(__xludf.DUMMYFUNCTION("""COMPUTED_VALUE"""),1.0)</f>
        <v>1</v>
      </c>
      <c r="E1755" s="6">
        <f>IFERROR(__xludf.DUMMYFUNCTION("""COMPUTED_VALUE"""),40148.59305555555)</f>
        <v>40148.59306</v>
      </c>
      <c r="F1755" s="2">
        <f>IFERROR(__xludf.DUMMYFUNCTION("""COMPUTED_VALUE"""),6.75)</f>
        <v>6.75</v>
      </c>
      <c r="G1755" s="2">
        <f>IFERROR(__xludf.DUMMYFUNCTION("""COMPUTED_VALUE"""),13110.0)</f>
        <v>13110</v>
      </c>
      <c r="H1755" s="2" t="str">
        <f>IFERROR(__xludf.DUMMYFUNCTION("""COMPUTED_VALUE"""),"United Kingdom")</f>
        <v>United Kingdom</v>
      </c>
      <c r="I1755" s="7">
        <f>IFERROR(__xludf.DUMMYFUNCTION("""COMPUTED_VALUE"""),40148.0)</f>
        <v>40148</v>
      </c>
      <c r="J1755" s="8">
        <f>IFERROR(__xludf.DUMMYFUNCTION("""COMPUTED_VALUE"""),0.5930555555569299)</f>
        <v>0.5930555556</v>
      </c>
      <c r="K1755" s="2">
        <f>IFERROR(__xludf.DUMMYFUNCTION("""COMPUTED_VALUE"""),14.0)</f>
        <v>14</v>
      </c>
      <c r="L1755" s="2">
        <f>IFERROR(__xludf.DUMMYFUNCTION("""COMPUTED_VALUE"""),6.75)</f>
        <v>6.75</v>
      </c>
    </row>
    <row r="1756">
      <c r="A1756" s="2">
        <f>IFERROR(__xludf.DUMMYFUNCTION("""COMPUTED_VALUE"""),489590.0)</f>
        <v>489590</v>
      </c>
      <c r="B1756" s="2" t="str">
        <f>IFERROR(__xludf.DUMMYFUNCTION("""COMPUTED_VALUE"""),"48173C")</f>
        <v>48173C</v>
      </c>
      <c r="C1756" s="2" t="str">
        <f>IFERROR(__xludf.DUMMYFUNCTION("""COMPUTED_VALUE"""),"DOOR MAT BLACK FLOCK")</f>
        <v>DOOR MAT BLACK FLOCK</v>
      </c>
      <c r="D1756" s="2">
        <f>IFERROR(__xludf.DUMMYFUNCTION("""COMPUTED_VALUE"""),1.0)</f>
        <v>1</v>
      </c>
      <c r="E1756" s="6">
        <f>IFERROR(__xludf.DUMMYFUNCTION("""COMPUTED_VALUE"""),40148.59305555555)</f>
        <v>40148.59306</v>
      </c>
      <c r="F1756" s="2">
        <f>IFERROR(__xludf.DUMMYFUNCTION("""COMPUTED_VALUE"""),6.75)</f>
        <v>6.75</v>
      </c>
      <c r="G1756" s="2">
        <f>IFERROR(__xludf.DUMMYFUNCTION("""COMPUTED_VALUE"""),13110.0)</f>
        <v>13110</v>
      </c>
      <c r="H1756" s="2" t="str">
        <f>IFERROR(__xludf.DUMMYFUNCTION("""COMPUTED_VALUE"""),"United Kingdom")</f>
        <v>United Kingdom</v>
      </c>
      <c r="I1756" s="7">
        <f>IFERROR(__xludf.DUMMYFUNCTION("""COMPUTED_VALUE"""),40148.0)</f>
        <v>40148</v>
      </c>
      <c r="J1756" s="8">
        <f>IFERROR(__xludf.DUMMYFUNCTION("""COMPUTED_VALUE"""),0.5930555555569299)</f>
        <v>0.5930555556</v>
      </c>
      <c r="K1756" s="2">
        <f>IFERROR(__xludf.DUMMYFUNCTION("""COMPUTED_VALUE"""),14.0)</f>
        <v>14</v>
      </c>
      <c r="L1756" s="2">
        <f>IFERROR(__xludf.DUMMYFUNCTION("""COMPUTED_VALUE"""),6.75)</f>
        <v>6.75</v>
      </c>
    </row>
    <row r="1757">
      <c r="A1757" s="2">
        <f>IFERROR(__xludf.DUMMYFUNCTION("""COMPUTED_VALUE"""),489590.0)</f>
        <v>489590</v>
      </c>
      <c r="B1757" s="2" t="str">
        <f>IFERROR(__xludf.DUMMYFUNCTION("""COMPUTED_VALUE"""),"48189")</f>
        <v>48189</v>
      </c>
      <c r="C1757" s="2" t="str">
        <f>IFERROR(__xludf.DUMMYFUNCTION("""COMPUTED_VALUE"""),"DOOR MAT FRIENDSHIP")</f>
        <v>DOOR MAT FRIENDSHIP</v>
      </c>
      <c r="D1757" s="2">
        <f>IFERROR(__xludf.DUMMYFUNCTION("""COMPUTED_VALUE"""),1.0)</f>
        <v>1</v>
      </c>
      <c r="E1757" s="6">
        <f>IFERROR(__xludf.DUMMYFUNCTION("""COMPUTED_VALUE"""),40148.59305555555)</f>
        <v>40148.59306</v>
      </c>
      <c r="F1757" s="2">
        <f>IFERROR(__xludf.DUMMYFUNCTION("""COMPUTED_VALUE"""),6.75)</f>
        <v>6.75</v>
      </c>
      <c r="G1757" s="2">
        <f>IFERROR(__xludf.DUMMYFUNCTION("""COMPUTED_VALUE"""),13110.0)</f>
        <v>13110</v>
      </c>
      <c r="H1757" s="2" t="str">
        <f>IFERROR(__xludf.DUMMYFUNCTION("""COMPUTED_VALUE"""),"United Kingdom")</f>
        <v>United Kingdom</v>
      </c>
      <c r="I1757" s="7">
        <f>IFERROR(__xludf.DUMMYFUNCTION("""COMPUTED_VALUE"""),40148.0)</f>
        <v>40148</v>
      </c>
      <c r="J1757" s="8">
        <f>IFERROR(__xludf.DUMMYFUNCTION("""COMPUTED_VALUE"""),0.5930555555569299)</f>
        <v>0.5930555556</v>
      </c>
      <c r="K1757" s="2">
        <f>IFERROR(__xludf.DUMMYFUNCTION("""COMPUTED_VALUE"""),14.0)</f>
        <v>14</v>
      </c>
      <c r="L1757" s="2">
        <f>IFERROR(__xludf.DUMMYFUNCTION("""COMPUTED_VALUE"""),6.75)</f>
        <v>6.75</v>
      </c>
    </row>
    <row r="1758">
      <c r="A1758" s="2">
        <f>IFERROR(__xludf.DUMMYFUNCTION("""COMPUTED_VALUE"""),489590.0)</f>
        <v>489590</v>
      </c>
      <c r="B1758" s="2" t="str">
        <f>IFERROR(__xludf.DUMMYFUNCTION("""COMPUTED_VALUE"""),"48116")</f>
        <v>48116</v>
      </c>
      <c r="C1758" s="2" t="str">
        <f>IFERROR(__xludf.DUMMYFUNCTION("""COMPUTED_VALUE"""),"DOOR MAT MULTICOLOUR STRIPE")</f>
        <v>DOOR MAT MULTICOLOUR STRIPE</v>
      </c>
      <c r="D1758" s="2">
        <f>IFERROR(__xludf.DUMMYFUNCTION("""COMPUTED_VALUE"""),1.0)</f>
        <v>1</v>
      </c>
      <c r="E1758" s="6">
        <f>IFERROR(__xludf.DUMMYFUNCTION("""COMPUTED_VALUE"""),40148.59305555555)</f>
        <v>40148.59306</v>
      </c>
      <c r="F1758" s="2">
        <f>IFERROR(__xludf.DUMMYFUNCTION("""COMPUTED_VALUE"""),6.75)</f>
        <v>6.75</v>
      </c>
      <c r="G1758" s="2">
        <f>IFERROR(__xludf.DUMMYFUNCTION("""COMPUTED_VALUE"""),13110.0)</f>
        <v>13110</v>
      </c>
      <c r="H1758" s="2" t="str">
        <f>IFERROR(__xludf.DUMMYFUNCTION("""COMPUTED_VALUE"""),"United Kingdom")</f>
        <v>United Kingdom</v>
      </c>
      <c r="I1758" s="7">
        <f>IFERROR(__xludf.DUMMYFUNCTION("""COMPUTED_VALUE"""),40148.0)</f>
        <v>40148</v>
      </c>
      <c r="J1758" s="8">
        <f>IFERROR(__xludf.DUMMYFUNCTION("""COMPUTED_VALUE"""),0.5930555555569299)</f>
        <v>0.5930555556</v>
      </c>
      <c r="K1758" s="2">
        <f>IFERROR(__xludf.DUMMYFUNCTION("""COMPUTED_VALUE"""),14.0)</f>
        <v>14</v>
      </c>
      <c r="L1758" s="2">
        <f>IFERROR(__xludf.DUMMYFUNCTION("""COMPUTED_VALUE"""),6.75)</f>
        <v>6.75</v>
      </c>
    </row>
    <row r="1759">
      <c r="A1759" s="2"/>
      <c r="B1759" s="2" t="str">
        <f>IFERROR(__xludf.DUMMYFUNCTION("""COMPUTED_VALUE"""),"79323B")</f>
        <v>79323B</v>
      </c>
      <c r="C1759" s="2" t="str">
        <f>IFERROR(__xludf.DUMMYFUNCTION("""COMPUTED_VALUE"""),"BLACK CHERRY LIGHTS")</f>
        <v>BLACK CHERRY LIGHTS</v>
      </c>
      <c r="D1759" s="2">
        <f>IFERROR(__xludf.DUMMYFUNCTION("""COMPUTED_VALUE"""),-3.0)</f>
        <v>-3</v>
      </c>
      <c r="E1759" s="6">
        <f>IFERROR(__xludf.DUMMYFUNCTION("""COMPUTED_VALUE"""),40148.59513888889)</f>
        <v>40148.59514</v>
      </c>
      <c r="F1759" s="2">
        <f>IFERROR(__xludf.DUMMYFUNCTION("""COMPUTED_VALUE"""),5.45)</f>
        <v>5.45</v>
      </c>
      <c r="G1759" s="2">
        <f>IFERROR(__xludf.DUMMYFUNCTION("""COMPUTED_VALUE"""),12921.0)</f>
        <v>12921</v>
      </c>
      <c r="H1759" s="2" t="str">
        <f>IFERROR(__xludf.DUMMYFUNCTION("""COMPUTED_VALUE"""),"United Kingdom")</f>
        <v>United Kingdom</v>
      </c>
      <c r="I1759" s="7">
        <f>IFERROR(__xludf.DUMMYFUNCTION("""COMPUTED_VALUE"""),40148.0)</f>
        <v>40148</v>
      </c>
      <c r="J1759" s="8">
        <f>IFERROR(__xludf.DUMMYFUNCTION("""COMPUTED_VALUE"""),0.5951388888897782)</f>
        <v>0.5951388889</v>
      </c>
      <c r="K1759" s="2">
        <f>IFERROR(__xludf.DUMMYFUNCTION("""COMPUTED_VALUE"""),14.0)</f>
        <v>14</v>
      </c>
      <c r="L1759" s="2">
        <f>IFERROR(__xludf.DUMMYFUNCTION("""COMPUTED_VALUE"""),-16.35)</f>
        <v>-16.35</v>
      </c>
    </row>
    <row r="1760">
      <c r="A1760" s="2">
        <f>IFERROR(__xludf.DUMMYFUNCTION("""COMPUTED_VALUE"""),489593.0)</f>
        <v>489593</v>
      </c>
      <c r="B1760" s="2" t="str">
        <f>IFERROR(__xludf.DUMMYFUNCTION("""COMPUTED_VALUE"""),"48194")</f>
        <v>48194</v>
      </c>
      <c r="C1760" s="2" t="str">
        <f>IFERROR(__xludf.DUMMYFUNCTION("""COMPUTED_VALUE"""),"DOORMAT HEARTS")</f>
        <v>DOORMAT HEARTS</v>
      </c>
      <c r="D1760" s="2">
        <f>IFERROR(__xludf.DUMMYFUNCTION("""COMPUTED_VALUE"""),3.0)</f>
        <v>3</v>
      </c>
      <c r="E1760" s="6">
        <f>IFERROR(__xludf.DUMMYFUNCTION("""COMPUTED_VALUE"""),40148.59652777778)</f>
        <v>40148.59653</v>
      </c>
      <c r="F1760" s="2">
        <f>IFERROR(__xludf.DUMMYFUNCTION("""COMPUTED_VALUE"""),6.75)</f>
        <v>6.75</v>
      </c>
      <c r="G1760" s="2">
        <f>IFERROR(__xludf.DUMMYFUNCTION("""COMPUTED_VALUE"""),12836.0)</f>
        <v>12836</v>
      </c>
      <c r="H1760" s="2" t="str">
        <f>IFERROR(__xludf.DUMMYFUNCTION("""COMPUTED_VALUE"""),"United Kingdom")</f>
        <v>United Kingdom</v>
      </c>
      <c r="I1760" s="7">
        <f>IFERROR(__xludf.DUMMYFUNCTION("""COMPUTED_VALUE"""),40148.0)</f>
        <v>40148</v>
      </c>
      <c r="J1760" s="8">
        <f>IFERROR(__xludf.DUMMYFUNCTION("""COMPUTED_VALUE"""),0.5965277777795563)</f>
        <v>0.5965277778</v>
      </c>
      <c r="K1760" s="2">
        <f>IFERROR(__xludf.DUMMYFUNCTION("""COMPUTED_VALUE"""),14.0)</f>
        <v>14</v>
      </c>
      <c r="L1760" s="2">
        <f>IFERROR(__xludf.DUMMYFUNCTION("""COMPUTED_VALUE"""),20.25)</f>
        <v>20.25</v>
      </c>
    </row>
    <row r="1761">
      <c r="A1761" s="2">
        <f>IFERROR(__xludf.DUMMYFUNCTION("""COMPUTED_VALUE"""),489593.0)</f>
        <v>489593</v>
      </c>
      <c r="B1761" s="2" t="str">
        <f>IFERROR(__xludf.DUMMYFUNCTION("""COMPUTED_VALUE"""),"21181")</f>
        <v>21181</v>
      </c>
      <c r="C1761" s="2" t="str">
        <f>IFERROR(__xludf.DUMMYFUNCTION("""COMPUTED_VALUE"""),"PLEASE ONE PERSON METAL SIGN")</f>
        <v>PLEASE ONE PERSON METAL SIGN</v>
      </c>
      <c r="D1761" s="2">
        <f>IFERROR(__xludf.DUMMYFUNCTION("""COMPUTED_VALUE"""),12.0)</f>
        <v>12</v>
      </c>
      <c r="E1761" s="6">
        <f>IFERROR(__xludf.DUMMYFUNCTION("""COMPUTED_VALUE"""),40148.59652777778)</f>
        <v>40148.59653</v>
      </c>
      <c r="F1761" s="2">
        <f>IFERROR(__xludf.DUMMYFUNCTION("""COMPUTED_VALUE"""),2.1)</f>
        <v>2.1</v>
      </c>
      <c r="G1761" s="2">
        <f>IFERROR(__xludf.DUMMYFUNCTION("""COMPUTED_VALUE"""),12836.0)</f>
        <v>12836</v>
      </c>
      <c r="H1761" s="2" t="str">
        <f>IFERROR(__xludf.DUMMYFUNCTION("""COMPUTED_VALUE"""),"United Kingdom")</f>
        <v>United Kingdom</v>
      </c>
      <c r="I1761" s="7">
        <f>IFERROR(__xludf.DUMMYFUNCTION("""COMPUTED_VALUE"""),40148.0)</f>
        <v>40148</v>
      </c>
      <c r="J1761" s="8">
        <f>IFERROR(__xludf.DUMMYFUNCTION("""COMPUTED_VALUE"""),0.5965277777795563)</f>
        <v>0.5965277778</v>
      </c>
      <c r="K1761" s="2">
        <f>IFERROR(__xludf.DUMMYFUNCTION("""COMPUTED_VALUE"""),14.0)</f>
        <v>14</v>
      </c>
      <c r="L1761" s="2">
        <f>IFERROR(__xludf.DUMMYFUNCTION("""COMPUTED_VALUE"""),25.2)</f>
        <v>25.2</v>
      </c>
    </row>
    <row r="1762">
      <c r="A1762" s="2">
        <f>IFERROR(__xludf.DUMMYFUNCTION("""COMPUTED_VALUE"""),489593.0)</f>
        <v>489593</v>
      </c>
      <c r="B1762" s="2" t="str">
        <f>IFERROR(__xludf.DUMMYFUNCTION("""COMPUTED_VALUE"""),"21761")</f>
        <v>21761</v>
      </c>
      <c r="C1762" s="2" t="str">
        <f>IFERROR(__xludf.DUMMYFUNCTION("""COMPUTED_VALUE"""),"WOOD AND GLASS MEDICINE CABINET")</f>
        <v>WOOD AND GLASS MEDICINE CABINET</v>
      </c>
      <c r="D1762" s="2">
        <f>IFERROR(__xludf.DUMMYFUNCTION("""COMPUTED_VALUE"""),1.0)</f>
        <v>1</v>
      </c>
      <c r="E1762" s="6">
        <f>IFERROR(__xludf.DUMMYFUNCTION("""COMPUTED_VALUE"""),40148.59652777778)</f>
        <v>40148.59653</v>
      </c>
      <c r="F1762" s="2">
        <f>IFERROR(__xludf.DUMMYFUNCTION("""COMPUTED_VALUE"""),29.95)</f>
        <v>29.95</v>
      </c>
      <c r="G1762" s="2">
        <f>IFERROR(__xludf.DUMMYFUNCTION("""COMPUTED_VALUE"""),12836.0)</f>
        <v>12836</v>
      </c>
      <c r="H1762" s="2" t="str">
        <f>IFERROR(__xludf.DUMMYFUNCTION("""COMPUTED_VALUE"""),"United Kingdom")</f>
        <v>United Kingdom</v>
      </c>
      <c r="I1762" s="7">
        <f>IFERROR(__xludf.DUMMYFUNCTION("""COMPUTED_VALUE"""),40148.0)</f>
        <v>40148</v>
      </c>
      <c r="J1762" s="8">
        <f>IFERROR(__xludf.DUMMYFUNCTION("""COMPUTED_VALUE"""),0.5965277777795563)</f>
        <v>0.5965277778</v>
      </c>
      <c r="K1762" s="2">
        <f>IFERROR(__xludf.DUMMYFUNCTION("""COMPUTED_VALUE"""),14.0)</f>
        <v>14</v>
      </c>
      <c r="L1762" s="2">
        <f>IFERROR(__xludf.DUMMYFUNCTION("""COMPUTED_VALUE"""),29.95)</f>
        <v>29.95</v>
      </c>
    </row>
    <row r="1763">
      <c r="A1763" s="2">
        <f>IFERROR(__xludf.DUMMYFUNCTION("""COMPUTED_VALUE"""),489593.0)</f>
        <v>489593</v>
      </c>
      <c r="B1763" s="2" t="str">
        <f>IFERROR(__xludf.DUMMYFUNCTION("""COMPUTED_VALUE"""),"84879")</f>
        <v>84879</v>
      </c>
      <c r="C1763" s="2" t="str">
        <f>IFERROR(__xludf.DUMMYFUNCTION("""COMPUTED_VALUE"""),"ASSORTED COLOUR BIRD ORNAMENT")</f>
        <v>ASSORTED COLOUR BIRD ORNAMENT</v>
      </c>
      <c r="D1763" s="2">
        <f>IFERROR(__xludf.DUMMYFUNCTION("""COMPUTED_VALUE"""),8.0)</f>
        <v>8</v>
      </c>
      <c r="E1763" s="6">
        <f>IFERROR(__xludf.DUMMYFUNCTION("""COMPUTED_VALUE"""),40148.59652777778)</f>
        <v>40148.59653</v>
      </c>
      <c r="F1763" s="2">
        <f>IFERROR(__xludf.DUMMYFUNCTION("""COMPUTED_VALUE"""),1.69)</f>
        <v>1.69</v>
      </c>
      <c r="G1763" s="2">
        <f>IFERROR(__xludf.DUMMYFUNCTION("""COMPUTED_VALUE"""),12836.0)</f>
        <v>12836</v>
      </c>
      <c r="H1763" s="2" t="str">
        <f>IFERROR(__xludf.DUMMYFUNCTION("""COMPUTED_VALUE"""),"United Kingdom")</f>
        <v>United Kingdom</v>
      </c>
      <c r="I1763" s="7">
        <f>IFERROR(__xludf.DUMMYFUNCTION("""COMPUTED_VALUE"""),40148.0)</f>
        <v>40148</v>
      </c>
      <c r="J1763" s="8">
        <f>IFERROR(__xludf.DUMMYFUNCTION("""COMPUTED_VALUE"""),0.5965277777795563)</f>
        <v>0.5965277778</v>
      </c>
      <c r="K1763" s="2">
        <f>IFERROR(__xludf.DUMMYFUNCTION("""COMPUTED_VALUE"""),14.0)</f>
        <v>14</v>
      </c>
      <c r="L1763" s="2">
        <f>IFERROR(__xludf.DUMMYFUNCTION("""COMPUTED_VALUE"""),13.52)</f>
        <v>13.52</v>
      </c>
    </row>
    <row r="1764">
      <c r="A1764" s="2">
        <f>IFERROR(__xludf.DUMMYFUNCTION("""COMPUTED_VALUE"""),489593.0)</f>
        <v>489593</v>
      </c>
      <c r="B1764" s="2" t="str">
        <f>IFERROR(__xludf.DUMMYFUNCTION("""COMPUTED_VALUE"""),"85067")</f>
        <v>85067</v>
      </c>
      <c r="C1764" s="2" t="str">
        <f>IFERROR(__xludf.DUMMYFUNCTION("""COMPUTED_VALUE"""),"CREAM SWEETHEART WALL CABINET")</f>
        <v>CREAM SWEETHEART WALL CABINET</v>
      </c>
      <c r="D1764" s="2">
        <f>IFERROR(__xludf.DUMMYFUNCTION("""COMPUTED_VALUE"""),1.0)</f>
        <v>1</v>
      </c>
      <c r="E1764" s="6">
        <f>IFERROR(__xludf.DUMMYFUNCTION("""COMPUTED_VALUE"""),40148.59652777778)</f>
        <v>40148.59653</v>
      </c>
      <c r="F1764" s="2">
        <f>IFERROR(__xludf.DUMMYFUNCTION("""COMPUTED_VALUE"""),18.95)</f>
        <v>18.95</v>
      </c>
      <c r="G1764" s="2">
        <f>IFERROR(__xludf.DUMMYFUNCTION("""COMPUTED_VALUE"""),12836.0)</f>
        <v>12836</v>
      </c>
      <c r="H1764" s="2" t="str">
        <f>IFERROR(__xludf.DUMMYFUNCTION("""COMPUTED_VALUE"""),"United Kingdom")</f>
        <v>United Kingdom</v>
      </c>
      <c r="I1764" s="7">
        <f>IFERROR(__xludf.DUMMYFUNCTION("""COMPUTED_VALUE"""),40148.0)</f>
        <v>40148</v>
      </c>
      <c r="J1764" s="8">
        <f>IFERROR(__xludf.DUMMYFUNCTION("""COMPUTED_VALUE"""),0.5965277777795563)</f>
        <v>0.5965277778</v>
      </c>
      <c r="K1764" s="2">
        <f>IFERROR(__xludf.DUMMYFUNCTION("""COMPUTED_VALUE"""),14.0)</f>
        <v>14</v>
      </c>
      <c r="L1764" s="2">
        <f>IFERROR(__xludf.DUMMYFUNCTION("""COMPUTED_VALUE"""),18.95)</f>
        <v>18.95</v>
      </c>
    </row>
    <row r="1765">
      <c r="A1765" s="2">
        <f>IFERROR(__xludf.DUMMYFUNCTION("""COMPUTED_VALUE"""),489593.0)</f>
        <v>489593</v>
      </c>
      <c r="B1765" s="2" t="str">
        <f>IFERROR(__xludf.DUMMYFUNCTION("""COMPUTED_VALUE"""),"22113")</f>
        <v>22113</v>
      </c>
      <c r="C1765" s="2" t="str">
        <f>IFERROR(__xludf.DUMMYFUNCTION("""COMPUTED_VALUE"""),"GREY HEART HOT WATER BOTTLE")</f>
        <v>GREY HEART HOT WATER BOTTLE</v>
      </c>
      <c r="D1765" s="2">
        <f>IFERROR(__xludf.DUMMYFUNCTION("""COMPUTED_VALUE"""),3.0)</f>
        <v>3</v>
      </c>
      <c r="E1765" s="6">
        <f>IFERROR(__xludf.DUMMYFUNCTION("""COMPUTED_VALUE"""),40148.59652777778)</f>
        <v>40148.59653</v>
      </c>
      <c r="F1765" s="2">
        <f>IFERROR(__xludf.DUMMYFUNCTION("""COMPUTED_VALUE"""),3.45)</f>
        <v>3.45</v>
      </c>
      <c r="G1765" s="2">
        <f>IFERROR(__xludf.DUMMYFUNCTION("""COMPUTED_VALUE"""),12836.0)</f>
        <v>12836</v>
      </c>
      <c r="H1765" s="2" t="str">
        <f>IFERROR(__xludf.DUMMYFUNCTION("""COMPUTED_VALUE"""),"United Kingdom")</f>
        <v>United Kingdom</v>
      </c>
      <c r="I1765" s="7">
        <f>IFERROR(__xludf.DUMMYFUNCTION("""COMPUTED_VALUE"""),40148.0)</f>
        <v>40148</v>
      </c>
      <c r="J1765" s="8">
        <f>IFERROR(__xludf.DUMMYFUNCTION("""COMPUTED_VALUE"""),0.5965277777795563)</f>
        <v>0.5965277778</v>
      </c>
      <c r="K1765" s="2">
        <f>IFERROR(__xludf.DUMMYFUNCTION("""COMPUTED_VALUE"""),14.0)</f>
        <v>14</v>
      </c>
      <c r="L1765" s="2">
        <f>IFERROR(__xludf.DUMMYFUNCTION("""COMPUTED_VALUE"""),10.35)</f>
        <v>10.35</v>
      </c>
    </row>
    <row r="1766">
      <c r="A1766" s="2">
        <f>IFERROR(__xludf.DUMMYFUNCTION("""COMPUTED_VALUE"""),489593.0)</f>
        <v>489593</v>
      </c>
      <c r="B1766" s="2" t="str">
        <f>IFERROR(__xludf.DUMMYFUNCTION("""COMPUTED_VALUE"""),"22112")</f>
        <v>22112</v>
      </c>
      <c r="C1766" s="2" t="str">
        <f>IFERROR(__xludf.DUMMYFUNCTION("""COMPUTED_VALUE"""),"CHOCOLATE HOT WATER BOTTLE")</f>
        <v>CHOCOLATE HOT WATER BOTTLE</v>
      </c>
      <c r="D1766" s="2">
        <f>IFERROR(__xludf.DUMMYFUNCTION("""COMPUTED_VALUE"""),2.0)</f>
        <v>2</v>
      </c>
      <c r="E1766" s="6">
        <f>IFERROR(__xludf.DUMMYFUNCTION("""COMPUTED_VALUE"""),40148.59652777778)</f>
        <v>40148.59653</v>
      </c>
      <c r="F1766" s="2">
        <f>IFERROR(__xludf.DUMMYFUNCTION("""COMPUTED_VALUE"""),4.95)</f>
        <v>4.95</v>
      </c>
      <c r="G1766" s="2">
        <f>IFERROR(__xludf.DUMMYFUNCTION("""COMPUTED_VALUE"""),12836.0)</f>
        <v>12836</v>
      </c>
      <c r="H1766" s="2" t="str">
        <f>IFERROR(__xludf.DUMMYFUNCTION("""COMPUTED_VALUE"""),"United Kingdom")</f>
        <v>United Kingdom</v>
      </c>
      <c r="I1766" s="7">
        <f>IFERROR(__xludf.DUMMYFUNCTION("""COMPUTED_VALUE"""),40148.0)</f>
        <v>40148</v>
      </c>
      <c r="J1766" s="8">
        <f>IFERROR(__xludf.DUMMYFUNCTION("""COMPUTED_VALUE"""),0.5965277777795563)</f>
        <v>0.5965277778</v>
      </c>
      <c r="K1766" s="2">
        <f>IFERROR(__xludf.DUMMYFUNCTION("""COMPUTED_VALUE"""),14.0)</f>
        <v>14</v>
      </c>
      <c r="L1766" s="2">
        <f>IFERROR(__xludf.DUMMYFUNCTION("""COMPUTED_VALUE"""),9.9)</f>
        <v>9.9</v>
      </c>
    </row>
    <row r="1767">
      <c r="A1767" s="2">
        <f>IFERROR(__xludf.DUMMYFUNCTION("""COMPUTED_VALUE"""),489593.0)</f>
        <v>489593</v>
      </c>
      <c r="B1767" s="2" t="str">
        <f>IFERROR(__xludf.DUMMYFUNCTION("""COMPUTED_VALUE"""),"21480")</f>
        <v>21480</v>
      </c>
      <c r="C1767" s="2" t="str">
        <f>IFERROR(__xludf.DUMMYFUNCTION("""COMPUTED_VALUE"""),"PINK STRIPE HOT WATER BOTTLE")</f>
        <v>PINK STRIPE HOT WATER BOTTLE</v>
      </c>
      <c r="D1767" s="2">
        <f>IFERROR(__xludf.DUMMYFUNCTION("""COMPUTED_VALUE"""),2.0)</f>
        <v>2</v>
      </c>
      <c r="E1767" s="6">
        <f>IFERROR(__xludf.DUMMYFUNCTION("""COMPUTED_VALUE"""),40148.59652777778)</f>
        <v>40148.59653</v>
      </c>
      <c r="F1767" s="2">
        <f>IFERROR(__xludf.DUMMYFUNCTION("""COMPUTED_VALUE"""),2.95)</f>
        <v>2.95</v>
      </c>
      <c r="G1767" s="2">
        <f>IFERROR(__xludf.DUMMYFUNCTION("""COMPUTED_VALUE"""),12836.0)</f>
        <v>12836</v>
      </c>
      <c r="H1767" s="2" t="str">
        <f>IFERROR(__xludf.DUMMYFUNCTION("""COMPUTED_VALUE"""),"United Kingdom")</f>
        <v>United Kingdom</v>
      </c>
      <c r="I1767" s="7">
        <f>IFERROR(__xludf.DUMMYFUNCTION("""COMPUTED_VALUE"""),40148.0)</f>
        <v>40148</v>
      </c>
      <c r="J1767" s="8">
        <f>IFERROR(__xludf.DUMMYFUNCTION("""COMPUTED_VALUE"""),0.5965277777795563)</f>
        <v>0.5965277778</v>
      </c>
      <c r="K1767" s="2">
        <f>IFERROR(__xludf.DUMMYFUNCTION("""COMPUTED_VALUE"""),14.0)</f>
        <v>14</v>
      </c>
      <c r="L1767" s="2">
        <f>IFERROR(__xludf.DUMMYFUNCTION("""COMPUTED_VALUE"""),5.9)</f>
        <v>5.9</v>
      </c>
    </row>
    <row r="1768">
      <c r="A1768" s="2">
        <f>IFERROR(__xludf.DUMMYFUNCTION("""COMPUTED_VALUE"""),489593.0)</f>
        <v>489593</v>
      </c>
      <c r="B1768" s="2" t="str">
        <f>IFERROR(__xludf.DUMMYFUNCTION("""COMPUTED_VALUE"""),"79323S")</f>
        <v>79323S</v>
      </c>
      <c r="C1768" s="2" t="str">
        <f>IFERROR(__xludf.DUMMYFUNCTION("""COMPUTED_VALUE"""),"SILVER CHERRY LIGHTS")</f>
        <v>SILVER CHERRY LIGHTS</v>
      </c>
      <c r="D1768" s="2">
        <f>IFERROR(__xludf.DUMMYFUNCTION("""COMPUTED_VALUE"""),4.0)</f>
        <v>4</v>
      </c>
      <c r="E1768" s="6">
        <f>IFERROR(__xludf.DUMMYFUNCTION("""COMPUTED_VALUE"""),40148.59652777778)</f>
        <v>40148.59653</v>
      </c>
      <c r="F1768" s="2">
        <f>IFERROR(__xludf.DUMMYFUNCTION("""COMPUTED_VALUE"""),6.75)</f>
        <v>6.75</v>
      </c>
      <c r="G1768" s="2">
        <f>IFERROR(__xludf.DUMMYFUNCTION("""COMPUTED_VALUE"""),12836.0)</f>
        <v>12836</v>
      </c>
      <c r="H1768" s="2" t="str">
        <f>IFERROR(__xludf.DUMMYFUNCTION("""COMPUTED_VALUE"""),"United Kingdom")</f>
        <v>United Kingdom</v>
      </c>
      <c r="I1768" s="7">
        <f>IFERROR(__xludf.DUMMYFUNCTION("""COMPUTED_VALUE"""),40148.0)</f>
        <v>40148</v>
      </c>
      <c r="J1768" s="8">
        <f>IFERROR(__xludf.DUMMYFUNCTION("""COMPUTED_VALUE"""),0.5965277777795563)</f>
        <v>0.5965277778</v>
      </c>
      <c r="K1768" s="2">
        <f>IFERROR(__xludf.DUMMYFUNCTION("""COMPUTED_VALUE"""),14.0)</f>
        <v>14</v>
      </c>
      <c r="L1768" s="2">
        <f>IFERROR(__xludf.DUMMYFUNCTION("""COMPUTED_VALUE"""),27.0)</f>
        <v>27</v>
      </c>
    </row>
    <row r="1769">
      <c r="A1769" s="2">
        <f>IFERROR(__xludf.DUMMYFUNCTION("""COMPUTED_VALUE"""),489593.0)</f>
        <v>489593</v>
      </c>
      <c r="B1769" s="2" t="str">
        <f>IFERROR(__xludf.DUMMYFUNCTION("""COMPUTED_VALUE"""),"79323W")</f>
        <v>79323W</v>
      </c>
      <c r="C1769" s="2" t="str">
        <f>IFERROR(__xludf.DUMMYFUNCTION("""COMPUTED_VALUE"""),"WHITE CHERRY LIGHTS")</f>
        <v>WHITE CHERRY LIGHTS</v>
      </c>
      <c r="D1769" s="2">
        <f>IFERROR(__xludf.DUMMYFUNCTION("""COMPUTED_VALUE"""),6.0)</f>
        <v>6</v>
      </c>
      <c r="E1769" s="6">
        <f>IFERROR(__xludf.DUMMYFUNCTION("""COMPUTED_VALUE"""),40148.59652777778)</f>
        <v>40148.59653</v>
      </c>
      <c r="F1769" s="2">
        <f>IFERROR(__xludf.DUMMYFUNCTION("""COMPUTED_VALUE"""),6.75)</f>
        <v>6.75</v>
      </c>
      <c r="G1769" s="2">
        <f>IFERROR(__xludf.DUMMYFUNCTION("""COMPUTED_VALUE"""),12836.0)</f>
        <v>12836</v>
      </c>
      <c r="H1769" s="2" t="str">
        <f>IFERROR(__xludf.DUMMYFUNCTION("""COMPUTED_VALUE"""),"United Kingdom")</f>
        <v>United Kingdom</v>
      </c>
      <c r="I1769" s="7">
        <f>IFERROR(__xludf.DUMMYFUNCTION("""COMPUTED_VALUE"""),40148.0)</f>
        <v>40148</v>
      </c>
      <c r="J1769" s="8">
        <f>IFERROR(__xludf.DUMMYFUNCTION("""COMPUTED_VALUE"""),0.5965277777795563)</f>
        <v>0.5965277778</v>
      </c>
      <c r="K1769" s="2">
        <f>IFERROR(__xludf.DUMMYFUNCTION("""COMPUTED_VALUE"""),14.0)</f>
        <v>14</v>
      </c>
      <c r="L1769" s="2">
        <f>IFERROR(__xludf.DUMMYFUNCTION("""COMPUTED_VALUE"""),40.5)</f>
        <v>40.5</v>
      </c>
    </row>
    <row r="1770">
      <c r="A1770" s="2">
        <f>IFERROR(__xludf.DUMMYFUNCTION("""COMPUTED_VALUE"""),489593.0)</f>
        <v>489593</v>
      </c>
      <c r="B1770" s="2" t="str">
        <f>IFERROR(__xludf.DUMMYFUNCTION("""COMPUTED_VALUE"""),"37503")</f>
        <v>37503</v>
      </c>
      <c r="C1770" s="2" t="str">
        <f>IFERROR(__xludf.DUMMYFUNCTION("""COMPUTED_VALUE"""),"TEA TIME CAKE STAND IN GIFT BOX")</f>
        <v>TEA TIME CAKE STAND IN GIFT BOX</v>
      </c>
      <c r="D1770" s="2">
        <f>IFERROR(__xludf.DUMMYFUNCTION("""COMPUTED_VALUE"""),4.0)</f>
        <v>4</v>
      </c>
      <c r="E1770" s="6">
        <f>IFERROR(__xludf.DUMMYFUNCTION("""COMPUTED_VALUE"""),40148.59652777778)</f>
        <v>40148.59653</v>
      </c>
      <c r="F1770" s="2">
        <f>IFERROR(__xludf.DUMMYFUNCTION("""COMPUTED_VALUE"""),10.75)</f>
        <v>10.75</v>
      </c>
      <c r="G1770" s="2">
        <f>IFERROR(__xludf.DUMMYFUNCTION("""COMPUTED_VALUE"""),12836.0)</f>
        <v>12836</v>
      </c>
      <c r="H1770" s="2" t="str">
        <f>IFERROR(__xludf.DUMMYFUNCTION("""COMPUTED_VALUE"""),"United Kingdom")</f>
        <v>United Kingdom</v>
      </c>
      <c r="I1770" s="7">
        <f>IFERROR(__xludf.DUMMYFUNCTION("""COMPUTED_VALUE"""),40148.0)</f>
        <v>40148</v>
      </c>
      <c r="J1770" s="8">
        <f>IFERROR(__xludf.DUMMYFUNCTION("""COMPUTED_VALUE"""),0.5965277777795563)</f>
        <v>0.5965277778</v>
      </c>
      <c r="K1770" s="2">
        <f>IFERROR(__xludf.DUMMYFUNCTION("""COMPUTED_VALUE"""),14.0)</f>
        <v>14</v>
      </c>
      <c r="L1770" s="2">
        <f>IFERROR(__xludf.DUMMYFUNCTION("""COMPUTED_VALUE"""),43.0)</f>
        <v>43</v>
      </c>
    </row>
    <row r="1771">
      <c r="A1771" s="2">
        <f>IFERROR(__xludf.DUMMYFUNCTION("""COMPUTED_VALUE"""),489593.0)</f>
        <v>489593</v>
      </c>
      <c r="B1771" s="2" t="str">
        <f>IFERROR(__xludf.DUMMYFUNCTION("""COMPUTED_VALUE"""),"22086")</f>
        <v>22086</v>
      </c>
      <c r="C1771" s="2" t="str">
        <f>IFERROR(__xludf.DUMMYFUNCTION("""COMPUTED_VALUE"""),"PAPER CHAIN KIT 50'S CHRISTMAS")</f>
        <v>PAPER CHAIN KIT 50'S CHRISTMAS</v>
      </c>
      <c r="D1771" s="2">
        <f>IFERROR(__xludf.DUMMYFUNCTION("""COMPUTED_VALUE"""),4.0)</f>
        <v>4</v>
      </c>
      <c r="E1771" s="6">
        <f>IFERROR(__xludf.DUMMYFUNCTION("""COMPUTED_VALUE"""),40148.59652777778)</f>
        <v>40148.59653</v>
      </c>
      <c r="F1771" s="2">
        <f>IFERROR(__xludf.DUMMYFUNCTION("""COMPUTED_VALUE"""),2.95)</f>
        <v>2.95</v>
      </c>
      <c r="G1771" s="2">
        <f>IFERROR(__xludf.DUMMYFUNCTION("""COMPUTED_VALUE"""),12836.0)</f>
        <v>12836</v>
      </c>
      <c r="H1771" s="2" t="str">
        <f>IFERROR(__xludf.DUMMYFUNCTION("""COMPUTED_VALUE"""),"United Kingdom")</f>
        <v>United Kingdom</v>
      </c>
      <c r="I1771" s="7">
        <f>IFERROR(__xludf.DUMMYFUNCTION("""COMPUTED_VALUE"""),40148.0)</f>
        <v>40148</v>
      </c>
      <c r="J1771" s="8">
        <f>IFERROR(__xludf.DUMMYFUNCTION("""COMPUTED_VALUE"""),0.5965277777795563)</f>
        <v>0.5965277778</v>
      </c>
      <c r="K1771" s="2">
        <f>IFERROR(__xludf.DUMMYFUNCTION("""COMPUTED_VALUE"""),14.0)</f>
        <v>14</v>
      </c>
      <c r="L1771" s="2">
        <f>IFERROR(__xludf.DUMMYFUNCTION("""COMPUTED_VALUE"""),11.8)</f>
        <v>11.8</v>
      </c>
    </row>
    <row r="1772">
      <c r="A1772" s="2">
        <f>IFERROR(__xludf.DUMMYFUNCTION("""COMPUTED_VALUE"""),489593.0)</f>
        <v>489593</v>
      </c>
      <c r="B1772" s="2" t="str">
        <f>IFERROR(__xludf.DUMMYFUNCTION("""COMPUTED_VALUE"""),"21016")</f>
        <v>21016</v>
      </c>
      <c r="C1772" s="2" t="str">
        <f>IFERROR(__xludf.DUMMYFUNCTION("""COMPUTED_VALUE"""),"LIGHT BIRD HOUSE TREE DECORATION")</f>
        <v>LIGHT BIRD HOUSE TREE DECORATION</v>
      </c>
      <c r="D1772" s="2">
        <f>IFERROR(__xludf.DUMMYFUNCTION("""COMPUTED_VALUE"""),1.0)</f>
        <v>1</v>
      </c>
      <c r="E1772" s="6">
        <f>IFERROR(__xludf.DUMMYFUNCTION("""COMPUTED_VALUE"""),40148.59652777778)</f>
        <v>40148.59653</v>
      </c>
      <c r="F1772" s="2">
        <f>IFERROR(__xludf.DUMMYFUNCTION("""COMPUTED_VALUE"""),0.85)</f>
        <v>0.85</v>
      </c>
      <c r="G1772" s="2">
        <f>IFERROR(__xludf.DUMMYFUNCTION("""COMPUTED_VALUE"""),12836.0)</f>
        <v>12836</v>
      </c>
      <c r="H1772" s="2" t="str">
        <f>IFERROR(__xludf.DUMMYFUNCTION("""COMPUTED_VALUE"""),"United Kingdom")</f>
        <v>United Kingdom</v>
      </c>
      <c r="I1772" s="7">
        <f>IFERROR(__xludf.DUMMYFUNCTION("""COMPUTED_VALUE"""),40148.0)</f>
        <v>40148</v>
      </c>
      <c r="J1772" s="8">
        <f>IFERROR(__xludf.DUMMYFUNCTION("""COMPUTED_VALUE"""),0.5965277777795563)</f>
        <v>0.5965277778</v>
      </c>
      <c r="K1772" s="2">
        <f>IFERROR(__xludf.DUMMYFUNCTION("""COMPUTED_VALUE"""),14.0)</f>
        <v>14</v>
      </c>
      <c r="L1772" s="2">
        <f>IFERROR(__xludf.DUMMYFUNCTION("""COMPUTED_VALUE"""),0.85)</f>
        <v>0.85</v>
      </c>
    </row>
    <row r="1773">
      <c r="A1773" s="2">
        <f>IFERROR(__xludf.DUMMYFUNCTION("""COMPUTED_VALUE"""),489593.0)</f>
        <v>489593</v>
      </c>
      <c r="B1773" s="2" t="str">
        <f>IFERROR(__xludf.DUMMYFUNCTION("""COMPUTED_VALUE"""),"21257")</f>
        <v>21257</v>
      </c>
      <c r="C1773" s="2" t="str">
        <f>IFERROR(__xludf.DUMMYFUNCTION("""COMPUTED_VALUE"""),"VICTORIAN SEWING BOX MEDIUM")</f>
        <v>VICTORIAN SEWING BOX MEDIUM</v>
      </c>
      <c r="D1773" s="2">
        <f>IFERROR(__xludf.DUMMYFUNCTION("""COMPUTED_VALUE"""),2.0)</f>
        <v>2</v>
      </c>
      <c r="E1773" s="6">
        <f>IFERROR(__xludf.DUMMYFUNCTION("""COMPUTED_VALUE"""),40148.59652777778)</f>
        <v>40148.59653</v>
      </c>
      <c r="F1773" s="2">
        <f>IFERROR(__xludf.DUMMYFUNCTION("""COMPUTED_VALUE"""),7.95)</f>
        <v>7.95</v>
      </c>
      <c r="G1773" s="2">
        <f>IFERROR(__xludf.DUMMYFUNCTION("""COMPUTED_VALUE"""),12836.0)</f>
        <v>12836</v>
      </c>
      <c r="H1773" s="2" t="str">
        <f>IFERROR(__xludf.DUMMYFUNCTION("""COMPUTED_VALUE"""),"United Kingdom")</f>
        <v>United Kingdom</v>
      </c>
      <c r="I1773" s="7">
        <f>IFERROR(__xludf.DUMMYFUNCTION("""COMPUTED_VALUE"""),40148.0)</f>
        <v>40148</v>
      </c>
      <c r="J1773" s="8">
        <f>IFERROR(__xludf.DUMMYFUNCTION("""COMPUTED_VALUE"""),0.5965277777795563)</f>
        <v>0.5965277778</v>
      </c>
      <c r="K1773" s="2">
        <f>IFERROR(__xludf.DUMMYFUNCTION("""COMPUTED_VALUE"""),14.0)</f>
        <v>14</v>
      </c>
      <c r="L1773" s="2">
        <f>IFERROR(__xludf.DUMMYFUNCTION("""COMPUTED_VALUE"""),15.9)</f>
        <v>15.9</v>
      </c>
    </row>
    <row r="1774">
      <c r="A1774" s="2">
        <f>IFERROR(__xludf.DUMMYFUNCTION("""COMPUTED_VALUE"""),489593.0)</f>
        <v>489593</v>
      </c>
      <c r="B1774" s="2" t="str">
        <f>IFERROR(__xludf.DUMMYFUNCTION("""COMPUTED_VALUE"""),"21767")</f>
        <v>21767</v>
      </c>
      <c r="C1774" s="2" t="str">
        <f>IFERROR(__xludf.DUMMYFUNCTION("""COMPUTED_VALUE"""),"FRENCH STYLE WIRE DOOR CABINET")</f>
        <v>FRENCH STYLE WIRE DOOR CABINET</v>
      </c>
      <c r="D1774" s="2">
        <f>IFERROR(__xludf.DUMMYFUNCTION("""COMPUTED_VALUE"""),1.0)</f>
        <v>1</v>
      </c>
      <c r="E1774" s="6">
        <f>IFERROR(__xludf.DUMMYFUNCTION("""COMPUTED_VALUE"""),40148.59652777778)</f>
        <v>40148.59653</v>
      </c>
      <c r="F1774" s="2">
        <f>IFERROR(__xludf.DUMMYFUNCTION("""COMPUTED_VALUE"""),29.95)</f>
        <v>29.95</v>
      </c>
      <c r="G1774" s="2">
        <f>IFERROR(__xludf.DUMMYFUNCTION("""COMPUTED_VALUE"""),12836.0)</f>
        <v>12836</v>
      </c>
      <c r="H1774" s="2" t="str">
        <f>IFERROR(__xludf.DUMMYFUNCTION("""COMPUTED_VALUE"""),"United Kingdom")</f>
        <v>United Kingdom</v>
      </c>
      <c r="I1774" s="7">
        <f>IFERROR(__xludf.DUMMYFUNCTION("""COMPUTED_VALUE"""),40148.0)</f>
        <v>40148</v>
      </c>
      <c r="J1774" s="8">
        <f>IFERROR(__xludf.DUMMYFUNCTION("""COMPUTED_VALUE"""),0.5965277777795563)</f>
        <v>0.5965277778</v>
      </c>
      <c r="K1774" s="2">
        <f>IFERROR(__xludf.DUMMYFUNCTION("""COMPUTED_VALUE"""),14.0)</f>
        <v>14</v>
      </c>
      <c r="L1774" s="2">
        <f>IFERROR(__xludf.DUMMYFUNCTION("""COMPUTED_VALUE"""),29.95)</f>
        <v>29.95</v>
      </c>
    </row>
    <row r="1775">
      <c r="A1775" s="2">
        <f>IFERROR(__xludf.DUMMYFUNCTION("""COMPUTED_VALUE"""),489593.0)</f>
        <v>489593</v>
      </c>
      <c r="B1775" s="2" t="str">
        <f>IFERROR(__xludf.DUMMYFUNCTION("""COMPUTED_VALUE"""),"85068")</f>
        <v>85068</v>
      </c>
      <c r="C1775" s="2" t="str">
        <f>IFERROR(__xludf.DUMMYFUNCTION("""COMPUTED_VALUE"""),"CREAM SWEETHEART SHELF + HOOKS")</f>
        <v>CREAM SWEETHEART SHELF + HOOKS</v>
      </c>
      <c r="D1775" s="2">
        <f>IFERROR(__xludf.DUMMYFUNCTION("""COMPUTED_VALUE"""),1.0)</f>
        <v>1</v>
      </c>
      <c r="E1775" s="6">
        <f>IFERROR(__xludf.DUMMYFUNCTION("""COMPUTED_VALUE"""),40148.59652777778)</f>
        <v>40148.59653</v>
      </c>
      <c r="F1775" s="2">
        <f>IFERROR(__xludf.DUMMYFUNCTION("""COMPUTED_VALUE"""),7.95)</f>
        <v>7.95</v>
      </c>
      <c r="G1775" s="2">
        <f>IFERROR(__xludf.DUMMYFUNCTION("""COMPUTED_VALUE"""),12836.0)</f>
        <v>12836</v>
      </c>
      <c r="H1775" s="2" t="str">
        <f>IFERROR(__xludf.DUMMYFUNCTION("""COMPUTED_VALUE"""),"United Kingdom")</f>
        <v>United Kingdom</v>
      </c>
      <c r="I1775" s="7">
        <f>IFERROR(__xludf.DUMMYFUNCTION("""COMPUTED_VALUE"""),40148.0)</f>
        <v>40148</v>
      </c>
      <c r="J1775" s="8">
        <f>IFERROR(__xludf.DUMMYFUNCTION("""COMPUTED_VALUE"""),0.5965277777795563)</f>
        <v>0.5965277778</v>
      </c>
      <c r="K1775" s="2">
        <f>IFERROR(__xludf.DUMMYFUNCTION("""COMPUTED_VALUE"""),14.0)</f>
        <v>14</v>
      </c>
      <c r="L1775" s="2">
        <f>IFERROR(__xludf.DUMMYFUNCTION("""COMPUTED_VALUE"""),7.95)</f>
        <v>7.95</v>
      </c>
    </row>
    <row r="1776">
      <c r="A1776" s="2">
        <f>IFERROR(__xludf.DUMMYFUNCTION("""COMPUTED_VALUE"""),489593.0)</f>
        <v>489593</v>
      </c>
      <c r="B1776" s="2" t="str">
        <f>IFERROR(__xludf.DUMMYFUNCTION("""COMPUTED_VALUE"""),"21768")</f>
        <v>21768</v>
      </c>
      <c r="C1776" s="2" t="str">
        <f>IFERROR(__xludf.DUMMYFUNCTION("""COMPUTED_VALUE"""),"WALL MOUNTED VINTAGE ORGANISER")</f>
        <v>WALL MOUNTED VINTAGE ORGANISER</v>
      </c>
      <c r="D1776" s="2">
        <f>IFERROR(__xludf.DUMMYFUNCTION("""COMPUTED_VALUE"""),1.0)</f>
        <v>1</v>
      </c>
      <c r="E1776" s="6">
        <f>IFERROR(__xludf.DUMMYFUNCTION("""COMPUTED_VALUE"""),40148.59652777778)</f>
        <v>40148.59653</v>
      </c>
      <c r="F1776" s="2">
        <f>IFERROR(__xludf.DUMMYFUNCTION("""COMPUTED_VALUE"""),14.95)</f>
        <v>14.95</v>
      </c>
      <c r="G1776" s="2">
        <f>IFERROR(__xludf.DUMMYFUNCTION("""COMPUTED_VALUE"""),12836.0)</f>
        <v>12836</v>
      </c>
      <c r="H1776" s="2" t="str">
        <f>IFERROR(__xludf.DUMMYFUNCTION("""COMPUTED_VALUE"""),"United Kingdom")</f>
        <v>United Kingdom</v>
      </c>
      <c r="I1776" s="7">
        <f>IFERROR(__xludf.DUMMYFUNCTION("""COMPUTED_VALUE"""),40148.0)</f>
        <v>40148</v>
      </c>
      <c r="J1776" s="8">
        <f>IFERROR(__xludf.DUMMYFUNCTION("""COMPUTED_VALUE"""),0.5965277777795563)</f>
        <v>0.5965277778</v>
      </c>
      <c r="K1776" s="2">
        <f>IFERROR(__xludf.DUMMYFUNCTION("""COMPUTED_VALUE"""),14.0)</f>
        <v>14</v>
      </c>
      <c r="L1776" s="2">
        <f>IFERROR(__xludf.DUMMYFUNCTION("""COMPUTED_VALUE"""),14.95)</f>
        <v>14.95</v>
      </c>
    </row>
    <row r="1777">
      <c r="A1777" s="2">
        <f>IFERROR(__xludf.DUMMYFUNCTION("""COMPUTED_VALUE"""),489593.0)</f>
        <v>489593</v>
      </c>
      <c r="B1777" s="2" t="str">
        <f>IFERROR(__xludf.DUMMYFUNCTION("""COMPUTED_VALUE"""),"22171")</f>
        <v>22171</v>
      </c>
      <c r="C1777" s="2" t="str">
        <f>IFERROR(__xludf.DUMMYFUNCTION("""COMPUTED_VALUE"""),"3 HOOK PHOTO SHELF ANTIQUE WHITE")</f>
        <v>3 HOOK PHOTO SHELF ANTIQUE WHITE</v>
      </c>
      <c r="D1777" s="2">
        <f>IFERROR(__xludf.DUMMYFUNCTION("""COMPUTED_VALUE"""),2.0)</f>
        <v>2</v>
      </c>
      <c r="E1777" s="6">
        <f>IFERROR(__xludf.DUMMYFUNCTION("""COMPUTED_VALUE"""),40148.59652777778)</f>
        <v>40148.59653</v>
      </c>
      <c r="F1777" s="2">
        <f>IFERROR(__xludf.DUMMYFUNCTION("""COMPUTED_VALUE"""),8.5)</f>
        <v>8.5</v>
      </c>
      <c r="G1777" s="2">
        <f>IFERROR(__xludf.DUMMYFUNCTION("""COMPUTED_VALUE"""),12836.0)</f>
        <v>12836</v>
      </c>
      <c r="H1777" s="2" t="str">
        <f>IFERROR(__xludf.DUMMYFUNCTION("""COMPUTED_VALUE"""),"United Kingdom")</f>
        <v>United Kingdom</v>
      </c>
      <c r="I1777" s="7">
        <f>IFERROR(__xludf.DUMMYFUNCTION("""COMPUTED_VALUE"""),40148.0)</f>
        <v>40148</v>
      </c>
      <c r="J1777" s="8">
        <f>IFERROR(__xludf.DUMMYFUNCTION("""COMPUTED_VALUE"""),0.5965277777795563)</f>
        <v>0.5965277778</v>
      </c>
      <c r="K1777" s="2">
        <f>IFERROR(__xludf.DUMMYFUNCTION("""COMPUTED_VALUE"""),14.0)</f>
        <v>14</v>
      </c>
      <c r="L1777" s="2">
        <f>IFERROR(__xludf.DUMMYFUNCTION("""COMPUTED_VALUE"""),17.0)</f>
        <v>17</v>
      </c>
    </row>
    <row r="1778">
      <c r="A1778" s="2">
        <f>IFERROR(__xludf.DUMMYFUNCTION("""COMPUTED_VALUE"""),489593.0)</f>
        <v>489593</v>
      </c>
      <c r="B1778" s="2" t="str">
        <f>IFERROR(__xludf.DUMMYFUNCTION("""COMPUTED_VALUE"""),"21490")</f>
        <v>21490</v>
      </c>
      <c r="C1778" s="2" t="str">
        <f>IFERROR(__xludf.DUMMYFUNCTION("""COMPUTED_VALUE"""),"SET OF THREE 50'S GIFT WRAPS")</f>
        <v>SET OF THREE 50'S GIFT WRAPS</v>
      </c>
      <c r="D1778" s="2">
        <f>IFERROR(__xludf.DUMMYFUNCTION("""COMPUTED_VALUE"""),4.0)</f>
        <v>4</v>
      </c>
      <c r="E1778" s="6">
        <f>IFERROR(__xludf.DUMMYFUNCTION("""COMPUTED_VALUE"""),40148.59652777778)</f>
        <v>40148.59653</v>
      </c>
      <c r="F1778" s="2">
        <f>IFERROR(__xludf.DUMMYFUNCTION("""COMPUTED_VALUE"""),1.95)</f>
        <v>1.95</v>
      </c>
      <c r="G1778" s="2">
        <f>IFERROR(__xludf.DUMMYFUNCTION("""COMPUTED_VALUE"""),12836.0)</f>
        <v>12836</v>
      </c>
      <c r="H1778" s="2" t="str">
        <f>IFERROR(__xludf.DUMMYFUNCTION("""COMPUTED_VALUE"""),"United Kingdom")</f>
        <v>United Kingdom</v>
      </c>
      <c r="I1778" s="7">
        <f>IFERROR(__xludf.DUMMYFUNCTION("""COMPUTED_VALUE"""),40148.0)</f>
        <v>40148</v>
      </c>
      <c r="J1778" s="8">
        <f>IFERROR(__xludf.DUMMYFUNCTION("""COMPUTED_VALUE"""),0.5965277777795563)</f>
        <v>0.5965277778</v>
      </c>
      <c r="K1778" s="2">
        <f>IFERROR(__xludf.DUMMYFUNCTION("""COMPUTED_VALUE"""),14.0)</f>
        <v>14</v>
      </c>
      <c r="L1778" s="2">
        <f>IFERROR(__xludf.DUMMYFUNCTION("""COMPUTED_VALUE"""),7.8)</f>
        <v>7.8</v>
      </c>
    </row>
    <row r="1779">
      <c r="A1779" s="2">
        <f>IFERROR(__xludf.DUMMYFUNCTION("""COMPUTED_VALUE"""),489593.0)</f>
        <v>489593</v>
      </c>
      <c r="B1779" s="2" t="str">
        <f>IFERROR(__xludf.DUMMYFUNCTION("""COMPUTED_VALUE"""),"21491")</f>
        <v>21491</v>
      </c>
      <c r="C1779" s="2" t="str">
        <f>IFERROR(__xludf.DUMMYFUNCTION("""COMPUTED_VALUE"""),"SET OF THREE VINTAGE GIFT WRAPS")</f>
        <v>SET OF THREE VINTAGE GIFT WRAPS</v>
      </c>
      <c r="D1779" s="2">
        <f>IFERROR(__xludf.DUMMYFUNCTION("""COMPUTED_VALUE"""),4.0)</f>
        <v>4</v>
      </c>
      <c r="E1779" s="6">
        <f>IFERROR(__xludf.DUMMYFUNCTION("""COMPUTED_VALUE"""),40148.59652777778)</f>
        <v>40148.59653</v>
      </c>
      <c r="F1779" s="2">
        <f>IFERROR(__xludf.DUMMYFUNCTION("""COMPUTED_VALUE"""),1.95)</f>
        <v>1.95</v>
      </c>
      <c r="G1779" s="2">
        <f>IFERROR(__xludf.DUMMYFUNCTION("""COMPUTED_VALUE"""),12836.0)</f>
        <v>12836</v>
      </c>
      <c r="H1779" s="2" t="str">
        <f>IFERROR(__xludf.DUMMYFUNCTION("""COMPUTED_VALUE"""),"United Kingdom")</f>
        <v>United Kingdom</v>
      </c>
      <c r="I1779" s="7">
        <f>IFERROR(__xludf.DUMMYFUNCTION("""COMPUTED_VALUE"""),40148.0)</f>
        <v>40148</v>
      </c>
      <c r="J1779" s="8">
        <f>IFERROR(__xludf.DUMMYFUNCTION("""COMPUTED_VALUE"""),0.5965277777795563)</f>
        <v>0.5965277778</v>
      </c>
      <c r="K1779" s="2">
        <f>IFERROR(__xludf.DUMMYFUNCTION("""COMPUTED_VALUE"""),14.0)</f>
        <v>14</v>
      </c>
      <c r="L1779" s="2">
        <f>IFERROR(__xludf.DUMMYFUNCTION("""COMPUTED_VALUE"""),7.8)</f>
        <v>7.8</v>
      </c>
    </row>
    <row r="1780">
      <c r="A1780" s="2">
        <f>IFERROR(__xludf.DUMMYFUNCTION("""COMPUTED_VALUE"""),489593.0)</f>
        <v>489593</v>
      </c>
      <c r="B1780" s="2" t="str">
        <f>IFERROR(__xludf.DUMMYFUNCTION("""COMPUTED_VALUE"""),"22273")</f>
        <v>22273</v>
      </c>
      <c r="C1780" s="2" t="str">
        <f>IFERROR(__xludf.DUMMYFUNCTION("""COMPUTED_VALUE"""),"FELTCRAFT DOLL MOLLY")</f>
        <v>FELTCRAFT DOLL MOLLY</v>
      </c>
      <c r="D1780" s="2">
        <f>IFERROR(__xludf.DUMMYFUNCTION("""COMPUTED_VALUE"""),2.0)</f>
        <v>2</v>
      </c>
      <c r="E1780" s="6">
        <f>IFERROR(__xludf.DUMMYFUNCTION("""COMPUTED_VALUE"""),40148.59652777778)</f>
        <v>40148.59653</v>
      </c>
      <c r="F1780" s="2">
        <f>IFERROR(__xludf.DUMMYFUNCTION("""COMPUTED_VALUE"""),2.95)</f>
        <v>2.95</v>
      </c>
      <c r="G1780" s="2">
        <f>IFERROR(__xludf.DUMMYFUNCTION("""COMPUTED_VALUE"""),12836.0)</f>
        <v>12836</v>
      </c>
      <c r="H1780" s="2" t="str">
        <f>IFERROR(__xludf.DUMMYFUNCTION("""COMPUTED_VALUE"""),"United Kingdom")</f>
        <v>United Kingdom</v>
      </c>
      <c r="I1780" s="7">
        <f>IFERROR(__xludf.DUMMYFUNCTION("""COMPUTED_VALUE"""),40148.0)</f>
        <v>40148</v>
      </c>
      <c r="J1780" s="8">
        <f>IFERROR(__xludf.DUMMYFUNCTION("""COMPUTED_VALUE"""),0.5965277777795563)</f>
        <v>0.5965277778</v>
      </c>
      <c r="K1780" s="2">
        <f>IFERROR(__xludf.DUMMYFUNCTION("""COMPUTED_VALUE"""),14.0)</f>
        <v>14</v>
      </c>
      <c r="L1780" s="2">
        <f>IFERROR(__xludf.DUMMYFUNCTION("""COMPUTED_VALUE"""),5.9)</f>
        <v>5.9</v>
      </c>
    </row>
    <row r="1781">
      <c r="A1781" s="2">
        <f>IFERROR(__xludf.DUMMYFUNCTION("""COMPUTED_VALUE"""),489593.0)</f>
        <v>489593</v>
      </c>
      <c r="B1781" s="2" t="str">
        <f>IFERROR(__xludf.DUMMYFUNCTION("""COMPUTED_VALUE"""),"22272")</f>
        <v>22272</v>
      </c>
      <c r="C1781" s="2" t="str">
        <f>IFERROR(__xludf.DUMMYFUNCTION("""COMPUTED_VALUE"""),"FELTCRAFT DOLL MARIA")</f>
        <v>FELTCRAFT DOLL MARIA</v>
      </c>
      <c r="D1781" s="2">
        <f>IFERROR(__xludf.DUMMYFUNCTION("""COMPUTED_VALUE"""),2.0)</f>
        <v>2</v>
      </c>
      <c r="E1781" s="6">
        <f>IFERROR(__xludf.DUMMYFUNCTION("""COMPUTED_VALUE"""),40148.59652777778)</f>
        <v>40148.59653</v>
      </c>
      <c r="F1781" s="2">
        <f>IFERROR(__xludf.DUMMYFUNCTION("""COMPUTED_VALUE"""),2.95)</f>
        <v>2.95</v>
      </c>
      <c r="G1781" s="2">
        <f>IFERROR(__xludf.DUMMYFUNCTION("""COMPUTED_VALUE"""),12836.0)</f>
        <v>12836</v>
      </c>
      <c r="H1781" s="2" t="str">
        <f>IFERROR(__xludf.DUMMYFUNCTION("""COMPUTED_VALUE"""),"United Kingdom")</f>
        <v>United Kingdom</v>
      </c>
      <c r="I1781" s="7">
        <f>IFERROR(__xludf.DUMMYFUNCTION("""COMPUTED_VALUE"""),40148.0)</f>
        <v>40148</v>
      </c>
      <c r="J1781" s="8">
        <f>IFERROR(__xludf.DUMMYFUNCTION("""COMPUTED_VALUE"""),0.5965277777795563)</f>
        <v>0.5965277778</v>
      </c>
      <c r="K1781" s="2">
        <f>IFERROR(__xludf.DUMMYFUNCTION("""COMPUTED_VALUE"""),14.0)</f>
        <v>14</v>
      </c>
      <c r="L1781" s="2">
        <f>IFERROR(__xludf.DUMMYFUNCTION("""COMPUTED_VALUE"""),5.9)</f>
        <v>5.9</v>
      </c>
    </row>
    <row r="1782">
      <c r="A1782" s="2">
        <f>IFERROR(__xludf.DUMMYFUNCTION("""COMPUTED_VALUE"""),489593.0)</f>
        <v>489593</v>
      </c>
      <c r="B1782" s="2" t="str">
        <f>IFERROR(__xludf.DUMMYFUNCTION("""COMPUTED_VALUE"""),"22349")</f>
        <v>22349</v>
      </c>
      <c r="C1782" s="2" t="str">
        <f>IFERROR(__xludf.DUMMYFUNCTION("""COMPUTED_VALUE"""),"DOG BOWL , CHASING BALL DESIGN")</f>
        <v>DOG BOWL , CHASING BALL DESIGN</v>
      </c>
      <c r="D1782" s="2">
        <f>IFERROR(__xludf.DUMMYFUNCTION("""COMPUTED_VALUE"""),3.0)</f>
        <v>3</v>
      </c>
      <c r="E1782" s="6">
        <f>IFERROR(__xludf.DUMMYFUNCTION("""COMPUTED_VALUE"""),40148.59652777778)</f>
        <v>40148.59653</v>
      </c>
      <c r="F1782" s="2">
        <f>IFERROR(__xludf.DUMMYFUNCTION("""COMPUTED_VALUE"""),3.75)</f>
        <v>3.75</v>
      </c>
      <c r="G1782" s="2">
        <f>IFERROR(__xludf.DUMMYFUNCTION("""COMPUTED_VALUE"""),12836.0)</f>
        <v>12836</v>
      </c>
      <c r="H1782" s="2" t="str">
        <f>IFERROR(__xludf.DUMMYFUNCTION("""COMPUTED_VALUE"""),"United Kingdom")</f>
        <v>United Kingdom</v>
      </c>
      <c r="I1782" s="7">
        <f>IFERROR(__xludf.DUMMYFUNCTION("""COMPUTED_VALUE"""),40148.0)</f>
        <v>40148</v>
      </c>
      <c r="J1782" s="8">
        <f>IFERROR(__xludf.DUMMYFUNCTION("""COMPUTED_VALUE"""),0.5965277777795563)</f>
        <v>0.5965277778</v>
      </c>
      <c r="K1782" s="2">
        <f>IFERROR(__xludf.DUMMYFUNCTION("""COMPUTED_VALUE"""),14.0)</f>
        <v>14</v>
      </c>
      <c r="L1782" s="2">
        <f>IFERROR(__xludf.DUMMYFUNCTION("""COMPUTED_VALUE"""),11.25)</f>
        <v>11.25</v>
      </c>
    </row>
    <row r="1783">
      <c r="A1783" s="2">
        <f>IFERROR(__xludf.DUMMYFUNCTION("""COMPUTED_VALUE"""),489593.0)</f>
        <v>489593</v>
      </c>
      <c r="B1783" s="2" t="str">
        <f>IFERROR(__xludf.DUMMYFUNCTION("""COMPUTED_VALUE"""),"21790")</f>
        <v>21790</v>
      </c>
      <c r="C1783" s="2" t="str">
        <f>IFERROR(__xludf.DUMMYFUNCTION("""COMPUTED_VALUE"""),"VINTAGE SNAP CARDS")</f>
        <v>VINTAGE SNAP CARDS</v>
      </c>
      <c r="D1783" s="2">
        <f>IFERROR(__xludf.DUMMYFUNCTION("""COMPUTED_VALUE"""),6.0)</f>
        <v>6</v>
      </c>
      <c r="E1783" s="6">
        <f>IFERROR(__xludf.DUMMYFUNCTION("""COMPUTED_VALUE"""),40148.59652777778)</f>
        <v>40148.59653</v>
      </c>
      <c r="F1783" s="2">
        <f>IFERROR(__xludf.DUMMYFUNCTION("""COMPUTED_VALUE"""),0.85)</f>
        <v>0.85</v>
      </c>
      <c r="G1783" s="2">
        <f>IFERROR(__xludf.DUMMYFUNCTION("""COMPUTED_VALUE"""),12836.0)</f>
        <v>12836</v>
      </c>
      <c r="H1783" s="2" t="str">
        <f>IFERROR(__xludf.DUMMYFUNCTION("""COMPUTED_VALUE"""),"United Kingdom")</f>
        <v>United Kingdom</v>
      </c>
      <c r="I1783" s="7">
        <f>IFERROR(__xludf.DUMMYFUNCTION("""COMPUTED_VALUE"""),40148.0)</f>
        <v>40148</v>
      </c>
      <c r="J1783" s="8">
        <f>IFERROR(__xludf.DUMMYFUNCTION("""COMPUTED_VALUE"""),0.5965277777795563)</f>
        <v>0.5965277778</v>
      </c>
      <c r="K1783" s="2">
        <f>IFERROR(__xludf.DUMMYFUNCTION("""COMPUTED_VALUE"""),14.0)</f>
        <v>14</v>
      </c>
      <c r="L1783" s="2">
        <f>IFERROR(__xludf.DUMMYFUNCTION("""COMPUTED_VALUE"""),5.1)</f>
        <v>5.1</v>
      </c>
    </row>
    <row r="1784">
      <c r="A1784" s="2">
        <f>IFERROR(__xludf.DUMMYFUNCTION("""COMPUTED_VALUE"""),489593.0)</f>
        <v>489593</v>
      </c>
      <c r="B1784" s="2" t="str">
        <f>IFERROR(__xludf.DUMMYFUNCTION("""COMPUTED_VALUE"""),"21791")</f>
        <v>21791</v>
      </c>
      <c r="C1784" s="2" t="str">
        <f>IFERROR(__xludf.DUMMYFUNCTION("""COMPUTED_VALUE"""),"VINTAGE HEADS AND TAILS CARD GAME")</f>
        <v>VINTAGE HEADS AND TAILS CARD GAME</v>
      </c>
      <c r="D1784" s="2">
        <f>IFERROR(__xludf.DUMMYFUNCTION("""COMPUTED_VALUE"""),3.0)</f>
        <v>3</v>
      </c>
      <c r="E1784" s="6">
        <f>IFERROR(__xludf.DUMMYFUNCTION("""COMPUTED_VALUE"""),40148.59652777778)</f>
        <v>40148.59653</v>
      </c>
      <c r="F1784" s="2">
        <f>IFERROR(__xludf.DUMMYFUNCTION("""COMPUTED_VALUE"""),1.25)</f>
        <v>1.25</v>
      </c>
      <c r="G1784" s="2">
        <f>IFERROR(__xludf.DUMMYFUNCTION("""COMPUTED_VALUE"""),12836.0)</f>
        <v>12836</v>
      </c>
      <c r="H1784" s="2" t="str">
        <f>IFERROR(__xludf.DUMMYFUNCTION("""COMPUTED_VALUE"""),"United Kingdom")</f>
        <v>United Kingdom</v>
      </c>
      <c r="I1784" s="7">
        <f>IFERROR(__xludf.DUMMYFUNCTION("""COMPUTED_VALUE"""),40148.0)</f>
        <v>40148</v>
      </c>
      <c r="J1784" s="8">
        <f>IFERROR(__xludf.DUMMYFUNCTION("""COMPUTED_VALUE"""),0.5965277777795563)</f>
        <v>0.5965277778</v>
      </c>
      <c r="K1784" s="2">
        <f>IFERROR(__xludf.DUMMYFUNCTION("""COMPUTED_VALUE"""),14.0)</f>
        <v>14</v>
      </c>
      <c r="L1784" s="2">
        <f>IFERROR(__xludf.DUMMYFUNCTION("""COMPUTED_VALUE"""),3.75)</f>
        <v>3.75</v>
      </c>
    </row>
    <row r="1785">
      <c r="A1785" s="2">
        <f>IFERROR(__xludf.DUMMYFUNCTION("""COMPUTED_VALUE"""),489593.0)</f>
        <v>489593</v>
      </c>
      <c r="B1785" s="2" t="str">
        <f>IFERROR(__xludf.DUMMYFUNCTION("""COMPUTED_VALUE"""),"21591")</f>
        <v>21591</v>
      </c>
      <c r="C1785" s="2" t="str">
        <f>IFERROR(__xludf.DUMMYFUNCTION("""COMPUTED_VALUE"""),"COSY HOUR CIGAR BOX MATCHES")</f>
        <v>COSY HOUR CIGAR BOX MATCHES</v>
      </c>
      <c r="D1785" s="2">
        <f>IFERROR(__xludf.DUMMYFUNCTION("""COMPUTED_VALUE"""),2.0)</f>
        <v>2</v>
      </c>
      <c r="E1785" s="6">
        <f>IFERROR(__xludf.DUMMYFUNCTION("""COMPUTED_VALUE"""),40148.59652777778)</f>
        <v>40148.59653</v>
      </c>
      <c r="F1785" s="2">
        <f>IFERROR(__xludf.DUMMYFUNCTION("""COMPUTED_VALUE"""),1.25)</f>
        <v>1.25</v>
      </c>
      <c r="G1785" s="2">
        <f>IFERROR(__xludf.DUMMYFUNCTION("""COMPUTED_VALUE"""),12836.0)</f>
        <v>12836</v>
      </c>
      <c r="H1785" s="2" t="str">
        <f>IFERROR(__xludf.DUMMYFUNCTION("""COMPUTED_VALUE"""),"United Kingdom")</f>
        <v>United Kingdom</v>
      </c>
      <c r="I1785" s="7">
        <f>IFERROR(__xludf.DUMMYFUNCTION("""COMPUTED_VALUE"""),40148.0)</f>
        <v>40148</v>
      </c>
      <c r="J1785" s="8">
        <f>IFERROR(__xludf.DUMMYFUNCTION("""COMPUTED_VALUE"""),0.5965277777795563)</f>
        <v>0.5965277778</v>
      </c>
      <c r="K1785" s="2">
        <f>IFERROR(__xludf.DUMMYFUNCTION("""COMPUTED_VALUE"""),14.0)</f>
        <v>14</v>
      </c>
      <c r="L1785" s="2">
        <f>IFERROR(__xludf.DUMMYFUNCTION("""COMPUTED_VALUE"""),2.5)</f>
        <v>2.5</v>
      </c>
    </row>
    <row r="1786">
      <c r="A1786" s="2">
        <f>IFERROR(__xludf.DUMMYFUNCTION("""COMPUTED_VALUE"""),489593.0)</f>
        <v>489593</v>
      </c>
      <c r="B1786" s="2" t="str">
        <f>IFERROR(__xludf.DUMMYFUNCTION("""COMPUTED_VALUE"""),"22150")</f>
        <v>22150</v>
      </c>
      <c r="C1786" s="2" t="str">
        <f>IFERROR(__xludf.DUMMYFUNCTION("""COMPUTED_VALUE"""),"3 STRIPEY MICE FELTCRAFT")</f>
        <v>3 STRIPEY MICE FELTCRAFT</v>
      </c>
      <c r="D1786" s="2">
        <f>IFERROR(__xludf.DUMMYFUNCTION("""COMPUTED_VALUE"""),3.0)</f>
        <v>3</v>
      </c>
      <c r="E1786" s="6">
        <f>IFERROR(__xludf.DUMMYFUNCTION("""COMPUTED_VALUE"""),40148.59652777778)</f>
        <v>40148.59653</v>
      </c>
      <c r="F1786" s="2">
        <f>IFERROR(__xludf.DUMMYFUNCTION("""COMPUTED_VALUE"""),1.95)</f>
        <v>1.95</v>
      </c>
      <c r="G1786" s="2">
        <f>IFERROR(__xludf.DUMMYFUNCTION("""COMPUTED_VALUE"""),12836.0)</f>
        <v>12836</v>
      </c>
      <c r="H1786" s="2" t="str">
        <f>IFERROR(__xludf.DUMMYFUNCTION("""COMPUTED_VALUE"""),"United Kingdom")</f>
        <v>United Kingdom</v>
      </c>
      <c r="I1786" s="7">
        <f>IFERROR(__xludf.DUMMYFUNCTION("""COMPUTED_VALUE"""),40148.0)</f>
        <v>40148</v>
      </c>
      <c r="J1786" s="8">
        <f>IFERROR(__xludf.DUMMYFUNCTION("""COMPUTED_VALUE"""),0.5965277777795563)</f>
        <v>0.5965277778</v>
      </c>
      <c r="K1786" s="2">
        <f>IFERROR(__xludf.DUMMYFUNCTION("""COMPUTED_VALUE"""),14.0)</f>
        <v>14</v>
      </c>
      <c r="L1786" s="2">
        <f>IFERROR(__xludf.DUMMYFUNCTION("""COMPUTED_VALUE"""),5.85)</f>
        <v>5.85</v>
      </c>
    </row>
    <row r="1787">
      <c r="A1787" s="2">
        <f>IFERROR(__xludf.DUMMYFUNCTION("""COMPUTED_VALUE"""),489593.0)</f>
        <v>489593</v>
      </c>
      <c r="B1787" s="2" t="str">
        <f>IFERROR(__xludf.DUMMYFUNCTION("""COMPUTED_VALUE"""),"21493")</f>
        <v>21493</v>
      </c>
      <c r="C1787" s="2" t="str">
        <f>IFERROR(__xludf.DUMMYFUNCTION("""COMPUTED_VALUE"""),"VINTAGE DESIGN GIFT TAGS")</f>
        <v>VINTAGE DESIGN GIFT TAGS</v>
      </c>
      <c r="D1787" s="2">
        <f>IFERROR(__xludf.DUMMYFUNCTION("""COMPUTED_VALUE"""),5.0)</f>
        <v>5</v>
      </c>
      <c r="E1787" s="6">
        <f>IFERROR(__xludf.DUMMYFUNCTION("""COMPUTED_VALUE"""),40148.59652777778)</f>
        <v>40148.59653</v>
      </c>
      <c r="F1787" s="2">
        <f>IFERROR(__xludf.DUMMYFUNCTION("""COMPUTED_VALUE"""),0.85)</f>
        <v>0.85</v>
      </c>
      <c r="G1787" s="2">
        <f>IFERROR(__xludf.DUMMYFUNCTION("""COMPUTED_VALUE"""),12836.0)</f>
        <v>12836</v>
      </c>
      <c r="H1787" s="2" t="str">
        <f>IFERROR(__xludf.DUMMYFUNCTION("""COMPUTED_VALUE"""),"United Kingdom")</f>
        <v>United Kingdom</v>
      </c>
      <c r="I1787" s="7">
        <f>IFERROR(__xludf.DUMMYFUNCTION("""COMPUTED_VALUE"""),40148.0)</f>
        <v>40148</v>
      </c>
      <c r="J1787" s="8">
        <f>IFERROR(__xludf.DUMMYFUNCTION("""COMPUTED_VALUE"""),0.5965277777795563)</f>
        <v>0.5965277778</v>
      </c>
      <c r="K1787" s="2">
        <f>IFERROR(__xludf.DUMMYFUNCTION("""COMPUTED_VALUE"""),14.0)</f>
        <v>14</v>
      </c>
      <c r="L1787" s="2">
        <f>IFERROR(__xludf.DUMMYFUNCTION("""COMPUTED_VALUE"""),4.25)</f>
        <v>4.25</v>
      </c>
    </row>
    <row r="1788">
      <c r="A1788" s="2">
        <f>IFERROR(__xludf.DUMMYFUNCTION("""COMPUTED_VALUE"""),489593.0)</f>
        <v>489593</v>
      </c>
      <c r="B1788" s="2" t="str">
        <f>IFERROR(__xludf.DUMMYFUNCTION("""COMPUTED_VALUE"""),"84855")</f>
        <v>84855</v>
      </c>
      <c r="C1788" s="2" t="str">
        <f>IFERROR(__xludf.DUMMYFUNCTION("""COMPUTED_VALUE"""),"BLOKEY SILVER TOOL SET")</f>
        <v>BLOKEY SILVER TOOL SET</v>
      </c>
      <c r="D1788" s="2">
        <f>IFERROR(__xludf.DUMMYFUNCTION("""COMPUTED_VALUE"""),1.0)</f>
        <v>1</v>
      </c>
      <c r="E1788" s="6">
        <f>IFERROR(__xludf.DUMMYFUNCTION("""COMPUTED_VALUE"""),40148.59652777778)</f>
        <v>40148.59653</v>
      </c>
      <c r="F1788" s="2">
        <f>IFERROR(__xludf.DUMMYFUNCTION("""COMPUTED_VALUE"""),4.95)</f>
        <v>4.95</v>
      </c>
      <c r="G1788" s="2">
        <f>IFERROR(__xludf.DUMMYFUNCTION("""COMPUTED_VALUE"""),12836.0)</f>
        <v>12836</v>
      </c>
      <c r="H1788" s="2" t="str">
        <f>IFERROR(__xludf.DUMMYFUNCTION("""COMPUTED_VALUE"""),"United Kingdom")</f>
        <v>United Kingdom</v>
      </c>
      <c r="I1788" s="7">
        <f>IFERROR(__xludf.DUMMYFUNCTION("""COMPUTED_VALUE"""),40148.0)</f>
        <v>40148</v>
      </c>
      <c r="J1788" s="8">
        <f>IFERROR(__xludf.DUMMYFUNCTION("""COMPUTED_VALUE"""),0.5965277777795563)</f>
        <v>0.5965277778</v>
      </c>
      <c r="K1788" s="2">
        <f>IFERROR(__xludf.DUMMYFUNCTION("""COMPUTED_VALUE"""),14.0)</f>
        <v>14</v>
      </c>
      <c r="L1788" s="2">
        <f>IFERROR(__xludf.DUMMYFUNCTION("""COMPUTED_VALUE"""),4.95)</f>
        <v>4.95</v>
      </c>
    </row>
    <row r="1789">
      <c r="A1789" s="2"/>
      <c r="B1789" s="2" t="str">
        <f>IFERROR(__xludf.DUMMYFUNCTION("""COMPUTED_VALUE"""),"22301")</f>
        <v>22301</v>
      </c>
      <c r="C1789" s="2" t="str">
        <f>IFERROR(__xludf.DUMMYFUNCTION("""COMPUTED_VALUE"""),"COFFEE MUG CAT + BIRD DESIGN")</f>
        <v>COFFEE MUG CAT + BIRD DESIGN</v>
      </c>
      <c r="D1789" s="2">
        <f>IFERROR(__xludf.DUMMYFUNCTION("""COMPUTED_VALUE"""),-2.0)</f>
        <v>-2</v>
      </c>
      <c r="E1789" s="6">
        <f>IFERROR(__xludf.DUMMYFUNCTION("""COMPUTED_VALUE"""),40148.59652777778)</f>
        <v>40148.59653</v>
      </c>
      <c r="F1789" s="2">
        <f>IFERROR(__xludf.DUMMYFUNCTION("""COMPUTED_VALUE"""),2.55)</f>
        <v>2.55</v>
      </c>
      <c r="G1789" s="2">
        <f>IFERROR(__xludf.DUMMYFUNCTION("""COMPUTED_VALUE"""),18287.0)</f>
        <v>18287</v>
      </c>
      <c r="H1789" s="2" t="str">
        <f>IFERROR(__xludf.DUMMYFUNCTION("""COMPUTED_VALUE"""),"United Kingdom")</f>
        <v>United Kingdom</v>
      </c>
      <c r="I1789" s="7">
        <f>IFERROR(__xludf.DUMMYFUNCTION("""COMPUTED_VALUE"""),40148.0)</f>
        <v>40148</v>
      </c>
      <c r="J1789" s="8">
        <f>IFERROR(__xludf.DUMMYFUNCTION("""COMPUTED_VALUE"""),0.5965277777795563)</f>
        <v>0.5965277778</v>
      </c>
      <c r="K1789" s="2">
        <f>IFERROR(__xludf.DUMMYFUNCTION("""COMPUTED_VALUE"""),14.0)</f>
        <v>14</v>
      </c>
      <c r="L1789" s="2">
        <f>IFERROR(__xludf.DUMMYFUNCTION("""COMPUTED_VALUE"""),-5.1)</f>
        <v>-5.1</v>
      </c>
    </row>
    <row r="1790">
      <c r="A1790" s="2">
        <f>IFERROR(__xludf.DUMMYFUNCTION("""COMPUTED_VALUE"""),489594.0)</f>
        <v>489594</v>
      </c>
      <c r="B1790" s="2" t="str">
        <f>IFERROR(__xludf.DUMMYFUNCTION("""COMPUTED_VALUE"""),"85045")</f>
        <v>85045</v>
      </c>
      <c r="C1790" s="2" t="str">
        <f>IFERROR(__xludf.DUMMYFUNCTION("""COMPUTED_VALUE"""),"GREEN CHRISTMAS TREE STRING 20LIGHT")</f>
        <v>GREEN CHRISTMAS TREE STRING 20LIGHT</v>
      </c>
      <c r="D1790" s="2">
        <f>IFERROR(__xludf.DUMMYFUNCTION("""COMPUTED_VALUE"""),1.0)</f>
        <v>1</v>
      </c>
      <c r="E1790" s="6">
        <f>IFERROR(__xludf.DUMMYFUNCTION("""COMPUTED_VALUE"""),40148.59652777778)</f>
        <v>40148.59653</v>
      </c>
      <c r="F1790" s="2">
        <f>IFERROR(__xludf.DUMMYFUNCTION("""COMPUTED_VALUE"""),4.95)</f>
        <v>4.95</v>
      </c>
      <c r="G1790" s="2">
        <f>IFERROR(__xludf.DUMMYFUNCTION("""COMPUTED_VALUE"""),15005.0)</f>
        <v>15005</v>
      </c>
      <c r="H1790" s="2" t="str">
        <f>IFERROR(__xludf.DUMMYFUNCTION("""COMPUTED_VALUE"""),"United Kingdom")</f>
        <v>United Kingdom</v>
      </c>
      <c r="I1790" s="7">
        <f>IFERROR(__xludf.DUMMYFUNCTION("""COMPUTED_VALUE"""),40148.0)</f>
        <v>40148</v>
      </c>
      <c r="J1790" s="8">
        <f>IFERROR(__xludf.DUMMYFUNCTION("""COMPUTED_VALUE"""),0.5965277777795563)</f>
        <v>0.5965277778</v>
      </c>
      <c r="K1790" s="2">
        <f>IFERROR(__xludf.DUMMYFUNCTION("""COMPUTED_VALUE"""),14.0)</f>
        <v>14</v>
      </c>
      <c r="L1790" s="2">
        <f>IFERROR(__xludf.DUMMYFUNCTION("""COMPUTED_VALUE"""),4.95)</f>
        <v>4.95</v>
      </c>
    </row>
    <row r="1791">
      <c r="A1791" s="2">
        <f>IFERROR(__xludf.DUMMYFUNCTION("""COMPUTED_VALUE"""),489594.0)</f>
        <v>489594</v>
      </c>
      <c r="B1791" s="2" t="str">
        <f>IFERROR(__xludf.DUMMYFUNCTION("""COMPUTED_VALUE"""),"85042")</f>
        <v>85042</v>
      </c>
      <c r="C1791" s="2" t="str">
        <f>IFERROR(__xludf.DUMMYFUNCTION("""COMPUTED_VALUE"""),"ANTIQUE LILY FAIRY LIGHTS")</f>
        <v>ANTIQUE LILY FAIRY LIGHTS</v>
      </c>
      <c r="D1791" s="2">
        <f>IFERROR(__xludf.DUMMYFUNCTION("""COMPUTED_VALUE"""),1.0)</f>
        <v>1</v>
      </c>
      <c r="E1791" s="6">
        <f>IFERROR(__xludf.DUMMYFUNCTION("""COMPUTED_VALUE"""),40148.59652777778)</f>
        <v>40148.59653</v>
      </c>
      <c r="F1791" s="2">
        <f>IFERROR(__xludf.DUMMYFUNCTION("""COMPUTED_VALUE"""),4.95)</f>
        <v>4.95</v>
      </c>
      <c r="G1791" s="2">
        <f>IFERROR(__xludf.DUMMYFUNCTION("""COMPUTED_VALUE"""),15005.0)</f>
        <v>15005</v>
      </c>
      <c r="H1791" s="2" t="str">
        <f>IFERROR(__xludf.DUMMYFUNCTION("""COMPUTED_VALUE"""),"United Kingdom")</f>
        <v>United Kingdom</v>
      </c>
      <c r="I1791" s="7">
        <f>IFERROR(__xludf.DUMMYFUNCTION("""COMPUTED_VALUE"""),40148.0)</f>
        <v>40148</v>
      </c>
      <c r="J1791" s="8">
        <f>IFERROR(__xludf.DUMMYFUNCTION("""COMPUTED_VALUE"""),0.5965277777795563)</f>
        <v>0.5965277778</v>
      </c>
      <c r="K1791" s="2">
        <f>IFERROR(__xludf.DUMMYFUNCTION("""COMPUTED_VALUE"""),14.0)</f>
        <v>14</v>
      </c>
      <c r="L1791" s="2">
        <f>IFERROR(__xludf.DUMMYFUNCTION("""COMPUTED_VALUE"""),4.95)</f>
        <v>4.95</v>
      </c>
    </row>
    <row r="1792">
      <c r="A1792" s="2">
        <f>IFERROR(__xludf.DUMMYFUNCTION("""COMPUTED_VALUE"""),489594.0)</f>
        <v>489594</v>
      </c>
      <c r="B1792" s="2" t="str">
        <f>IFERROR(__xludf.DUMMYFUNCTION("""COMPUTED_VALUE"""),"72349B")</f>
        <v>72349B</v>
      </c>
      <c r="C1792" s="2" t="str">
        <f>IFERROR(__xludf.DUMMYFUNCTION("""COMPUTED_VALUE"""),"SET/6 PURPLE BUTTERFLY T-LIGHTS")</f>
        <v>SET/6 PURPLE BUTTERFLY T-LIGHTS</v>
      </c>
      <c r="D1792" s="2">
        <f>IFERROR(__xludf.DUMMYFUNCTION("""COMPUTED_VALUE"""),4.0)</f>
        <v>4</v>
      </c>
      <c r="E1792" s="6">
        <f>IFERROR(__xludf.DUMMYFUNCTION("""COMPUTED_VALUE"""),40148.59652777778)</f>
        <v>40148.59653</v>
      </c>
      <c r="F1792" s="2">
        <f>IFERROR(__xludf.DUMMYFUNCTION("""COMPUTED_VALUE"""),2.1)</f>
        <v>2.1</v>
      </c>
      <c r="G1792" s="2">
        <f>IFERROR(__xludf.DUMMYFUNCTION("""COMPUTED_VALUE"""),15005.0)</f>
        <v>15005</v>
      </c>
      <c r="H1792" s="2" t="str">
        <f>IFERROR(__xludf.DUMMYFUNCTION("""COMPUTED_VALUE"""),"United Kingdom")</f>
        <v>United Kingdom</v>
      </c>
      <c r="I1792" s="7">
        <f>IFERROR(__xludf.DUMMYFUNCTION("""COMPUTED_VALUE"""),40148.0)</f>
        <v>40148</v>
      </c>
      <c r="J1792" s="8">
        <f>IFERROR(__xludf.DUMMYFUNCTION("""COMPUTED_VALUE"""),0.5965277777795563)</f>
        <v>0.5965277778</v>
      </c>
      <c r="K1792" s="2">
        <f>IFERROR(__xludf.DUMMYFUNCTION("""COMPUTED_VALUE"""),14.0)</f>
        <v>14</v>
      </c>
      <c r="L1792" s="2">
        <f>IFERROR(__xludf.DUMMYFUNCTION("""COMPUTED_VALUE"""),8.4)</f>
        <v>8.4</v>
      </c>
    </row>
    <row r="1793">
      <c r="A1793" s="2">
        <f>IFERROR(__xludf.DUMMYFUNCTION("""COMPUTED_VALUE"""),489594.0)</f>
        <v>489594</v>
      </c>
      <c r="B1793" s="2" t="str">
        <f>IFERROR(__xludf.DUMMYFUNCTION("""COMPUTED_VALUE"""),"84596K")</f>
        <v>84596K</v>
      </c>
      <c r="C1793" s="2" t="str">
        <f>IFERROR(__xludf.DUMMYFUNCTION("""COMPUTED_VALUE"""),"JELLY BABIES YELLOW SMALL BOWL")</f>
        <v>JELLY BABIES YELLOW SMALL BOWL</v>
      </c>
      <c r="D1793" s="2">
        <f>IFERROR(__xludf.DUMMYFUNCTION("""COMPUTED_VALUE"""),7.0)</f>
        <v>7</v>
      </c>
      <c r="E1793" s="6">
        <f>IFERROR(__xludf.DUMMYFUNCTION("""COMPUTED_VALUE"""),40148.59652777778)</f>
        <v>40148.59653</v>
      </c>
      <c r="F1793" s="2">
        <f>IFERROR(__xludf.DUMMYFUNCTION("""COMPUTED_VALUE"""),1.25)</f>
        <v>1.25</v>
      </c>
      <c r="G1793" s="2">
        <f>IFERROR(__xludf.DUMMYFUNCTION("""COMPUTED_VALUE"""),15005.0)</f>
        <v>15005</v>
      </c>
      <c r="H1793" s="2" t="str">
        <f>IFERROR(__xludf.DUMMYFUNCTION("""COMPUTED_VALUE"""),"United Kingdom")</f>
        <v>United Kingdom</v>
      </c>
      <c r="I1793" s="7">
        <f>IFERROR(__xludf.DUMMYFUNCTION("""COMPUTED_VALUE"""),40148.0)</f>
        <v>40148</v>
      </c>
      <c r="J1793" s="8">
        <f>IFERROR(__xludf.DUMMYFUNCTION("""COMPUTED_VALUE"""),0.5965277777795563)</f>
        <v>0.5965277778</v>
      </c>
      <c r="K1793" s="2">
        <f>IFERROR(__xludf.DUMMYFUNCTION("""COMPUTED_VALUE"""),14.0)</f>
        <v>14</v>
      </c>
      <c r="L1793" s="2">
        <f>IFERROR(__xludf.DUMMYFUNCTION("""COMPUTED_VALUE"""),8.75)</f>
        <v>8.75</v>
      </c>
    </row>
    <row r="1794">
      <c r="A1794" s="2">
        <f>IFERROR(__xludf.DUMMYFUNCTION("""COMPUTED_VALUE"""),489594.0)</f>
        <v>489594</v>
      </c>
      <c r="B1794" s="2" t="str">
        <f>IFERROR(__xludf.DUMMYFUNCTION("""COMPUTED_VALUE"""),"20977")</f>
        <v>20977</v>
      </c>
      <c r="C1794" s="2" t="str">
        <f>IFERROR(__xludf.DUMMYFUNCTION("""COMPUTED_VALUE"""),"36 PENCILS TUBE WOODLAND")</f>
        <v>36 PENCILS TUBE WOODLAND</v>
      </c>
      <c r="D1794" s="2">
        <f>IFERROR(__xludf.DUMMYFUNCTION("""COMPUTED_VALUE"""),3.0)</f>
        <v>3</v>
      </c>
      <c r="E1794" s="6">
        <f>IFERROR(__xludf.DUMMYFUNCTION("""COMPUTED_VALUE"""),40148.59652777778)</f>
        <v>40148.59653</v>
      </c>
      <c r="F1794" s="2">
        <f>IFERROR(__xludf.DUMMYFUNCTION("""COMPUTED_VALUE"""),1.25)</f>
        <v>1.25</v>
      </c>
      <c r="G1794" s="2">
        <f>IFERROR(__xludf.DUMMYFUNCTION("""COMPUTED_VALUE"""),15005.0)</f>
        <v>15005</v>
      </c>
      <c r="H1794" s="2" t="str">
        <f>IFERROR(__xludf.DUMMYFUNCTION("""COMPUTED_VALUE"""),"United Kingdom")</f>
        <v>United Kingdom</v>
      </c>
      <c r="I1794" s="7">
        <f>IFERROR(__xludf.DUMMYFUNCTION("""COMPUTED_VALUE"""),40148.0)</f>
        <v>40148</v>
      </c>
      <c r="J1794" s="8">
        <f>IFERROR(__xludf.DUMMYFUNCTION("""COMPUTED_VALUE"""),0.5965277777795563)</f>
        <v>0.5965277778</v>
      </c>
      <c r="K1794" s="2">
        <f>IFERROR(__xludf.DUMMYFUNCTION("""COMPUTED_VALUE"""),14.0)</f>
        <v>14</v>
      </c>
      <c r="L1794" s="2">
        <f>IFERROR(__xludf.DUMMYFUNCTION("""COMPUTED_VALUE"""),3.75)</f>
        <v>3.75</v>
      </c>
    </row>
    <row r="1795">
      <c r="A1795" s="2">
        <f>IFERROR(__xludf.DUMMYFUNCTION("""COMPUTED_VALUE"""),489594.0)</f>
        <v>489594</v>
      </c>
      <c r="B1795" s="2" t="str">
        <f>IFERROR(__xludf.DUMMYFUNCTION("""COMPUTED_VALUE"""),"20676")</f>
        <v>20676</v>
      </c>
      <c r="C1795" s="2" t="str">
        <f>IFERROR(__xludf.DUMMYFUNCTION("""COMPUTED_VALUE"""),"RED SPOTTY BOWL")</f>
        <v>RED SPOTTY BOWL</v>
      </c>
      <c r="D1795" s="2">
        <f>IFERROR(__xludf.DUMMYFUNCTION("""COMPUTED_VALUE"""),6.0)</f>
        <v>6</v>
      </c>
      <c r="E1795" s="6">
        <f>IFERROR(__xludf.DUMMYFUNCTION("""COMPUTED_VALUE"""),40148.59652777778)</f>
        <v>40148.59653</v>
      </c>
      <c r="F1795" s="2">
        <f>IFERROR(__xludf.DUMMYFUNCTION("""COMPUTED_VALUE"""),1.25)</f>
        <v>1.25</v>
      </c>
      <c r="G1795" s="2">
        <f>IFERROR(__xludf.DUMMYFUNCTION("""COMPUTED_VALUE"""),15005.0)</f>
        <v>15005</v>
      </c>
      <c r="H1795" s="2" t="str">
        <f>IFERROR(__xludf.DUMMYFUNCTION("""COMPUTED_VALUE"""),"United Kingdom")</f>
        <v>United Kingdom</v>
      </c>
      <c r="I1795" s="7">
        <f>IFERROR(__xludf.DUMMYFUNCTION("""COMPUTED_VALUE"""),40148.0)</f>
        <v>40148</v>
      </c>
      <c r="J1795" s="8">
        <f>IFERROR(__xludf.DUMMYFUNCTION("""COMPUTED_VALUE"""),0.5965277777795563)</f>
        <v>0.5965277778</v>
      </c>
      <c r="K1795" s="2">
        <f>IFERROR(__xludf.DUMMYFUNCTION("""COMPUTED_VALUE"""),14.0)</f>
        <v>14</v>
      </c>
      <c r="L1795" s="2">
        <f>IFERROR(__xludf.DUMMYFUNCTION("""COMPUTED_VALUE"""),7.5)</f>
        <v>7.5</v>
      </c>
    </row>
    <row r="1796">
      <c r="A1796" s="2">
        <f>IFERROR(__xludf.DUMMYFUNCTION("""COMPUTED_VALUE"""),489594.0)</f>
        <v>489594</v>
      </c>
      <c r="B1796" s="2" t="str">
        <f>IFERROR(__xludf.DUMMYFUNCTION("""COMPUTED_VALUE"""),"20675")</f>
        <v>20675</v>
      </c>
      <c r="C1796" s="2" t="str">
        <f>IFERROR(__xludf.DUMMYFUNCTION("""COMPUTED_VALUE"""),"BLUE SPOTTY BOWL")</f>
        <v>BLUE SPOTTY BOWL</v>
      </c>
      <c r="D1796" s="2">
        <f>IFERROR(__xludf.DUMMYFUNCTION("""COMPUTED_VALUE"""),4.0)</f>
        <v>4</v>
      </c>
      <c r="E1796" s="6">
        <f>IFERROR(__xludf.DUMMYFUNCTION("""COMPUTED_VALUE"""),40148.59652777778)</f>
        <v>40148.59653</v>
      </c>
      <c r="F1796" s="2">
        <f>IFERROR(__xludf.DUMMYFUNCTION("""COMPUTED_VALUE"""),1.25)</f>
        <v>1.25</v>
      </c>
      <c r="G1796" s="2">
        <f>IFERROR(__xludf.DUMMYFUNCTION("""COMPUTED_VALUE"""),15005.0)</f>
        <v>15005</v>
      </c>
      <c r="H1796" s="2" t="str">
        <f>IFERROR(__xludf.DUMMYFUNCTION("""COMPUTED_VALUE"""),"United Kingdom")</f>
        <v>United Kingdom</v>
      </c>
      <c r="I1796" s="7">
        <f>IFERROR(__xludf.DUMMYFUNCTION("""COMPUTED_VALUE"""),40148.0)</f>
        <v>40148</v>
      </c>
      <c r="J1796" s="8">
        <f>IFERROR(__xludf.DUMMYFUNCTION("""COMPUTED_VALUE"""),0.5965277777795563)</f>
        <v>0.5965277778</v>
      </c>
      <c r="K1796" s="2">
        <f>IFERROR(__xludf.DUMMYFUNCTION("""COMPUTED_VALUE"""),14.0)</f>
        <v>14</v>
      </c>
      <c r="L1796" s="2">
        <f>IFERROR(__xludf.DUMMYFUNCTION("""COMPUTED_VALUE"""),5.0)</f>
        <v>5</v>
      </c>
    </row>
    <row r="1797">
      <c r="A1797" s="2">
        <f>IFERROR(__xludf.DUMMYFUNCTION("""COMPUTED_VALUE"""),489594.0)</f>
        <v>489594</v>
      </c>
      <c r="B1797" s="2" t="str">
        <f>IFERROR(__xludf.DUMMYFUNCTION("""COMPUTED_VALUE"""),"84596E")</f>
        <v>84596E</v>
      </c>
      <c r="C1797" s="2" t="str">
        <f>IFERROR(__xludf.DUMMYFUNCTION("""COMPUTED_VALUE"""),"SMALL LICORICE DES PINK BOWL")</f>
        <v>SMALL LICORICE DES PINK BOWL</v>
      </c>
      <c r="D1797" s="2">
        <f>IFERROR(__xludf.DUMMYFUNCTION("""COMPUTED_VALUE"""),5.0)</f>
        <v>5</v>
      </c>
      <c r="E1797" s="6">
        <f>IFERROR(__xludf.DUMMYFUNCTION("""COMPUTED_VALUE"""),40148.59652777778)</f>
        <v>40148.59653</v>
      </c>
      <c r="F1797" s="2">
        <f>IFERROR(__xludf.DUMMYFUNCTION("""COMPUTED_VALUE"""),1.25)</f>
        <v>1.25</v>
      </c>
      <c r="G1797" s="2">
        <f>IFERROR(__xludf.DUMMYFUNCTION("""COMPUTED_VALUE"""),15005.0)</f>
        <v>15005</v>
      </c>
      <c r="H1797" s="2" t="str">
        <f>IFERROR(__xludf.DUMMYFUNCTION("""COMPUTED_VALUE"""),"United Kingdom")</f>
        <v>United Kingdom</v>
      </c>
      <c r="I1797" s="7">
        <f>IFERROR(__xludf.DUMMYFUNCTION("""COMPUTED_VALUE"""),40148.0)</f>
        <v>40148</v>
      </c>
      <c r="J1797" s="8">
        <f>IFERROR(__xludf.DUMMYFUNCTION("""COMPUTED_VALUE"""),0.5965277777795563)</f>
        <v>0.5965277778</v>
      </c>
      <c r="K1797" s="2">
        <f>IFERROR(__xludf.DUMMYFUNCTION("""COMPUTED_VALUE"""),14.0)</f>
        <v>14</v>
      </c>
      <c r="L1797" s="2">
        <f>IFERROR(__xludf.DUMMYFUNCTION("""COMPUTED_VALUE"""),6.25)</f>
        <v>6.25</v>
      </c>
    </row>
    <row r="1798">
      <c r="A1798" s="2">
        <f>IFERROR(__xludf.DUMMYFUNCTION("""COMPUTED_VALUE"""),489594.0)</f>
        <v>489594</v>
      </c>
      <c r="B1798" s="2" t="str">
        <f>IFERROR(__xludf.DUMMYFUNCTION("""COMPUTED_VALUE"""),"84596G")</f>
        <v>84596G</v>
      </c>
      <c r="C1798" s="2" t="str">
        <f>IFERROR(__xludf.DUMMYFUNCTION("""COMPUTED_VALUE"""),"SMALL CHOCOLATES PINK BOWL")</f>
        <v>SMALL CHOCOLATES PINK BOWL</v>
      </c>
      <c r="D1798" s="2">
        <f>IFERROR(__xludf.DUMMYFUNCTION("""COMPUTED_VALUE"""),5.0)</f>
        <v>5</v>
      </c>
      <c r="E1798" s="6">
        <f>IFERROR(__xludf.DUMMYFUNCTION("""COMPUTED_VALUE"""),40148.59652777778)</f>
        <v>40148.59653</v>
      </c>
      <c r="F1798" s="2">
        <f>IFERROR(__xludf.DUMMYFUNCTION("""COMPUTED_VALUE"""),1.25)</f>
        <v>1.25</v>
      </c>
      <c r="G1798" s="2">
        <f>IFERROR(__xludf.DUMMYFUNCTION("""COMPUTED_VALUE"""),15005.0)</f>
        <v>15005</v>
      </c>
      <c r="H1798" s="2" t="str">
        <f>IFERROR(__xludf.DUMMYFUNCTION("""COMPUTED_VALUE"""),"United Kingdom")</f>
        <v>United Kingdom</v>
      </c>
      <c r="I1798" s="7">
        <f>IFERROR(__xludf.DUMMYFUNCTION("""COMPUTED_VALUE"""),40148.0)</f>
        <v>40148</v>
      </c>
      <c r="J1798" s="8">
        <f>IFERROR(__xludf.DUMMYFUNCTION("""COMPUTED_VALUE"""),0.5965277777795563)</f>
        <v>0.5965277778</v>
      </c>
      <c r="K1798" s="2">
        <f>IFERROR(__xludf.DUMMYFUNCTION("""COMPUTED_VALUE"""),14.0)</f>
        <v>14</v>
      </c>
      <c r="L1798" s="2">
        <f>IFERROR(__xludf.DUMMYFUNCTION("""COMPUTED_VALUE"""),6.25)</f>
        <v>6.25</v>
      </c>
    </row>
    <row r="1799">
      <c r="A1799" s="2">
        <f>IFERROR(__xludf.DUMMYFUNCTION("""COMPUTED_VALUE"""),489594.0)</f>
        <v>489594</v>
      </c>
      <c r="B1799" s="2" t="str">
        <f>IFERROR(__xludf.DUMMYFUNCTION("""COMPUTED_VALUE"""),"20975")</f>
        <v>20975</v>
      </c>
      <c r="C1799" s="2" t="str">
        <f>IFERROR(__xludf.DUMMYFUNCTION("""COMPUTED_VALUE"""),"12 PENCILS SMALL TUBE RED SPOTTY")</f>
        <v>12 PENCILS SMALL TUBE RED SPOTTY</v>
      </c>
      <c r="D1799" s="2">
        <f>IFERROR(__xludf.DUMMYFUNCTION("""COMPUTED_VALUE"""),4.0)</f>
        <v>4</v>
      </c>
      <c r="E1799" s="6">
        <f>IFERROR(__xludf.DUMMYFUNCTION("""COMPUTED_VALUE"""),40148.59652777778)</f>
        <v>40148.59653</v>
      </c>
      <c r="F1799" s="2">
        <f>IFERROR(__xludf.DUMMYFUNCTION("""COMPUTED_VALUE"""),0.65)</f>
        <v>0.65</v>
      </c>
      <c r="G1799" s="2">
        <f>IFERROR(__xludf.DUMMYFUNCTION("""COMPUTED_VALUE"""),15005.0)</f>
        <v>15005</v>
      </c>
      <c r="H1799" s="2" t="str">
        <f>IFERROR(__xludf.DUMMYFUNCTION("""COMPUTED_VALUE"""),"United Kingdom")</f>
        <v>United Kingdom</v>
      </c>
      <c r="I1799" s="7">
        <f>IFERROR(__xludf.DUMMYFUNCTION("""COMPUTED_VALUE"""),40148.0)</f>
        <v>40148</v>
      </c>
      <c r="J1799" s="8">
        <f>IFERROR(__xludf.DUMMYFUNCTION("""COMPUTED_VALUE"""),0.5965277777795563)</f>
        <v>0.5965277778</v>
      </c>
      <c r="K1799" s="2">
        <f>IFERROR(__xludf.DUMMYFUNCTION("""COMPUTED_VALUE"""),14.0)</f>
        <v>14</v>
      </c>
      <c r="L1799" s="2">
        <f>IFERROR(__xludf.DUMMYFUNCTION("""COMPUTED_VALUE"""),2.6)</f>
        <v>2.6</v>
      </c>
    </row>
    <row r="1800">
      <c r="A1800" s="2">
        <f>IFERROR(__xludf.DUMMYFUNCTION("""COMPUTED_VALUE"""),489594.0)</f>
        <v>489594</v>
      </c>
      <c r="B1800" s="2" t="str">
        <f>IFERROR(__xludf.DUMMYFUNCTION("""COMPUTED_VALUE"""),"21931")</f>
        <v>21931</v>
      </c>
      <c r="C1800" s="2" t="str">
        <f>IFERROR(__xludf.DUMMYFUNCTION("""COMPUTED_VALUE"""),"JUMBO STORAGE BAG SUKI")</f>
        <v>JUMBO STORAGE BAG SUKI</v>
      </c>
      <c r="D1800" s="2">
        <f>IFERROR(__xludf.DUMMYFUNCTION("""COMPUTED_VALUE"""),2.0)</f>
        <v>2</v>
      </c>
      <c r="E1800" s="6">
        <f>IFERROR(__xludf.DUMMYFUNCTION("""COMPUTED_VALUE"""),40148.59652777778)</f>
        <v>40148.59653</v>
      </c>
      <c r="F1800" s="2">
        <f>IFERROR(__xludf.DUMMYFUNCTION("""COMPUTED_VALUE"""),1.95)</f>
        <v>1.95</v>
      </c>
      <c r="G1800" s="2">
        <f>IFERROR(__xludf.DUMMYFUNCTION("""COMPUTED_VALUE"""),15005.0)</f>
        <v>15005</v>
      </c>
      <c r="H1800" s="2" t="str">
        <f>IFERROR(__xludf.DUMMYFUNCTION("""COMPUTED_VALUE"""),"United Kingdom")</f>
        <v>United Kingdom</v>
      </c>
      <c r="I1800" s="7">
        <f>IFERROR(__xludf.DUMMYFUNCTION("""COMPUTED_VALUE"""),40148.0)</f>
        <v>40148</v>
      </c>
      <c r="J1800" s="8">
        <f>IFERROR(__xludf.DUMMYFUNCTION("""COMPUTED_VALUE"""),0.5965277777795563)</f>
        <v>0.5965277778</v>
      </c>
      <c r="K1800" s="2">
        <f>IFERROR(__xludf.DUMMYFUNCTION("""COMPUTED_VALUE"""),14.0)</f>
        <v>14</v>
      </c>
      <c r="L1800" s="2">
        <f>IFERROR(__xludf.DUMMYFUNCTION("""COMPUTED_VALUE"""),3.9)</f>
        <v>3.9</v>
      </c>
    </row>
    <row r="1801">
      <c r="A1801" s="2">
        <f>IFERROR(__xludf.DUMMYFUNCTION("""COMPUTED_VALUE"""),489594.0)</f>
        <v>489594</v>
      </c>
      <c r="B1801" s="2" t="str">
        <f>IFERROR(__xludf.DUMMYFUNCTION("""COMPUTED_VALUE"""),"85099C")</f>
        <v>85099C</v>
      </c>
      <c r="C1801" s="2" t="str">
        <f>IFERROR(__xludf.DUMMYFUNCTION("""COMPUTED_VALUE"""),"JUMBO BAG BAROQUE BLACK WHITE")</f>
        <v>JUMBO BAG BAROQUE BLACK WHITE</v>
      </c>
      <c r="D1801" s="2">
        <f>IFERROR(__xludf.DUMMYFUNCTION("""COMPUTED_VALUE"""),2.0)</f>
        <v>2</v>
      </c>
      <c r="E1801" s="6">
        <f>IFERROR(__xludf.DUMMYFUNCTION("""COMPUTED_VALUE"""),40148.59652777778)</f>
        <v>40148.59653</v>
      </c>
      <c r="F1801" s="2">
        <f>IFERROR(__xludf.DUMMYFUNCTION("""COMPUTED_VALUE"""),1.95)</f>
        <v>1.95</v>
      </c>
      <c r="G1801" s="2">
        <f>IFERROR(__xludf.DUMMYFUNCTION("""COMPUTED_VALUE"""),15005.0)</f>
        <v>15005</v>
      </c>
      <c r="H1801" s="2" t="str">
        <f>IFERROR(__xludf.DUMMYFUNCTION("""COMPUTED_VALUE"""),"United Kingdom")</f>
        <v>United Kingdom</v>
      </c>
      <c r="I1801" s="7">
        <f>IFERROR(__xludf.DUMMYFUNCTION("""COMPUTED_VALUE"""),40148.0)</f>
        <v>40148</v>
      </c>
      <c r="J1801" s="8">
        <f>IFERROR(__xludf.DUMMYFUNCTION("""COMPUTED_VALUE"""),0.5965277777795563)</f>
        <v>0.5965277778</v>
      </c>
      <c r="K1801" s="2">
        <f>IFERROR(__xludf.DUMMYFUNCTION("""COMPUTED_VALUE"""),14.0)</f>
        <v>14</v>
      </c>
      <c r="L1801" s="2">
        <f>IFERROR(__xludf.DUMMYFUNCTION("""COMPUTED_VALUE"""),3.9)</f>
        <v>3.9</v>
      </c>
    </row>
    <row r="1802">
      <c r="A1802" s="2">
        <f>IFERROR(__xludf.DUMMYFUNCTION("""COMPUTED_VALUE"""),489594.0)</f>
        <v>489594</v>
      </c>
      <c r="B1802" s="2" t="str">
        <f>IFERROR(__xludf.DUMMYFUNCTION("""COMPUTED_VALUE"""),"21929")</f>
        <v>21929</v>
      </c>
      <c r="C1802" s="2" t="str">
        <f>IFERROR(__xludf.DUMMYFUNCTION("""COMPUTED_VALUE"""),"JUMBO BAG PINK VINTAGE PAISLEY")</f>
        <v>JUMBO BAG PINK VINTAGE PAISLEY</v>
      </c>
      <c r="D1802" s="2">
        <f>IFERROR(__xludf.DUMMYFUNCTION("""COMPUTED_VALUE"""),2.0)</f>
        <v>2</v>
      </c>
      <c r="E1802" s="6">
        <f>IFERROR(__xludf.DUMMYFUNCTION("""COMPUTED_VALUE"""),40148.59652777778)</f>
        <v>40148.59653</v>
      </c>
      <c r="F1802" s="2">
        <f>IFERROR(__xludf.DUMMYFUNCTION("""COMPUTED_VALUE"""),1.95)</f>
        <v>1.95</v>
      </c>
      <c r="G1802" s="2">
        <f>IFERROR(__xludf.DUMMYFUNCTION("""COMPUTED_VALUE"""),15005.0)</f>
        <v>15005</v>
      </c>
      <c r="H1802" s="2" t="str">
        <f>IFERROR(__xludf.DUMMYFUNCTION("""COMPUTED_VALUE"""),"United Kingdom")</f>
        <v>United Kingdom</v>
      </c>
      <c r="I1802" s="7">
        <f>IFERROR(__xludf.DUMMYFUNCTION("""COMPUTED_VALUE"""),40148.0)</f>
        <v>40148</v>
      </c>
      <c r="J1802" s="8">
        <f>IFERROR(__xludf.DUMMYFUNCTION("""COMPUTED_VALUE"""),0.5965277777795563)</f>
        <v>0.5965277778</v>
      </c>
      <c r="K1802" s="2">
        <f>IFERROR(__xludf.DUMMYFUNCTION("""COMPUTED_VALUE"""),14.0)</f>
        <v>14</v>
      </c>
      <c r="L1802" s="2">
        <f>IFERROR(__xludf.DUMMYFUNCTION("""COMPUTED_VALUE"""),3.9)</f>
        <v>3.9</v>
      </c>
    </row>
    <row r="1803">
      <c r="A1803" s="2">
        <f>IFERROR(__xludf.DUMMYFUNCTION("""COMPUTED_VALUE"""),489594.0)</f>
        <v>489594</v>
      </c>
      <c r="B1803" s="2" t="str">
        <f>IFERROR(__xludf.DUMMYFUNCTION("""COMPUTED_VALUE"""),"37448")</f>
        <v>37448</v>
      </c>
      <c r="C1803" s="2" t="str">
        <f>IFERROR(__xludf.DUMMYFUNCTION("""COMPUTED_VALUE"""),"CERAMIC CAKE DESIGN SPOTTED MUG")</f>
        <v>CERAMIC CAKE DESIGN SPOTTED MUG</v>
      </c>
      <c r="D1803" s="2">
        <f>IFERROR(__xludf.DUMMYFUNCTION("""COMPUTED_VALUE"""),3.0)</f>
        <v>3</v>
      </c>
      <c r="E1803" s="6">
        <f>IFERROR(__xludf.DUMMYFUNCTION("""COMPUTED_VALUE"""),40148.59652777778)</f>
        <v>40148.59653</v>
      </c>
      <c r="F1803" s="2">
        <f>IFERROR(__xludf.DUMMYFUNCTION("""COMPUTED_VALUE"""),1.49)</f>
        <v>1.49</v>
      </c>
      <c r="G1803" s="2">
        <f>IFERROR(__xludf.DUMMYFUNCTION("""COMPUTED_VALUE"""),15005.0)</f>
        <v>15005</v>
      </c>
      <c r="H1803" s="2" t="str">
        <f>IFERROR(__xludf.DUMMYFUNCTION("""COMPUTED_VALUE"""),"United Kingdom")</f>
        <v>United Kingdom</v>
      </c>
      <c r="I1803" s="7">
        <f>IFERROR(__xludf.DUMMYFUNCTION("""COMPUTED_VALUE"""),40148.0)</f>
        <v>40148</v>
      </c>
      <c r="J1803" s="8">
        <f>IFERROR(__xludf.DUMMYFUNCTION("""COMPUTED_VALUE"""),0.5965277777795563)</f>
        <v>0.5965277778</v>
      </c>
      <c r="K1803" s="2">
        <f>IFERROR(__xludf.DUMMYFUNCTION("""COMPUTED_VALUE"""),14.0)</f>
        <v>14</v>
      </c>
      <c r="L1803" s="2">
        <f>IFERROR(__xludf.DUMMYFUNCTION("""COMPUTED_VALUE"""),4.47)</f>
        <v>4.47</v>
      </c>
    </row>
    <row r="1804">
      <c r="A1804" s="2">
        <f>IFERROR(__xludf.DUMMYFUNCTION("""COMPUTED_VALUE"""),489594.0)</f>
        <v>489594</v>
      </c>
      <c r="B1804" s="2" t="str">
        <f>IFERROR(__xludf.DUMMYFUNCTION("""COMPUTED_VALUE"""),"22131")</f>
        <v>22131</v>
      </c>
      <c r="C1804" s="2" t="str">
        <f>IFERROR(__xludf.DUMMYFUNCTION("""COMPUTED_VALUE"""),"FOOD CONTAINER SET 3 LOVE HEART")</f>
        <v>FOOD CONTAINER SET 3 LOVE HEART</v>
      </c>
      <c r="D1804" s="2">
        <f>IFERROR(__xludf.DUMMYFUNCTION("""COMPUTED_VALUE"""),3.0)</f>
        <v>3</v>
      </c>
      <c r="E1804" s="6">
        <f>IFERROR(__xludf.DUMMYFUNCTION("""COMPUTED_VALUE"""),40148.59652777778)</f>
        <v>40148.59653</v>
      </c>
      <c r="F1804" s="2">
        <f>IFERROR(__xludf.DUMMYFUNCTION("""COMPUTED_VALUE"""),1.95)</f>
        <v>1.95</v>
      </c>
      <c r="G1804" s="2">
        <f>IFERROR(__xludf.DUMMYFUNCTION("""COMPUTED_VALUE"""),15005.0)</f>
        <v>15005</v>
      </c>
      <c r="H1804" s="2" t="str">
        <f>IFERROR(__xludf.DUMMYFUNCTION("""COMPUTED_VALUE"""),"United Kingdom")</f>
        <v>United Kingdom</v>
      </c>
      <c r="I1804" s="7">
        <f>IFERROR(__xludf.DUMMYFUNCTION("""COMPUTED_VALUE"""),40148.0)</f>
        <v>40148</v>
      </c>
      <c r="J1804" s="8">
        <f>IFERROR(__xludf.DUMMYFUNCTION("""COMPUTED_VALUE"""),0.5965277777795563)</f>
        <v>0.5965277778</v>
      </c>
      <c r="K1804" s="2">
        <f>IFERROR(__xludf.DUMMYFUNCTION("""COMPUTED_VALUE"""),14.0)</f>
        <v>14</v>
      </c>
      <c r="L1804" s="2">
        <f>IFERROR(__xludf.DUMMYFUNCTION("""COMPUTED_VALUE"""),5.85)</f>
        <v>5.85</v>
      </c>
    </row>
    <row r="1805">
      <c r="A1805" s="2">
        <f>IFERROR(__xludf.DUMMYFUNCTION("""COMPUTED_VALUE"""),489594.0)</f>
        <v>489594</v>
      </c>
      <c r="B1805" s="2" t="str">
        <f>IFERROR(__xludf.DUMMYFUNCTION("""COMPUTED_VALUE"""),"37447")</f>
        <v>37447</v>
      </c>
      <c r="C1805" s="2" t="str">
        <f>IFERROR(__xludf.DUMMYFUNCTION("""COMPUTED_VALUE"""),"CERAMIC CAKE DESIGN SPOTTED PLATE")</f>
        <v>CERAMIC CAKE DESIGN SPOTTED PLATE</v>
      </c>
      <c r="D1805" s="2">
        <f>IFERROR(__xludf.DUMMYFUNCTION("""COMPUTED_VALUE"""),2.0)</f>
        <v>2</v>
      </c>
      <c r="E1805" s="6">
        <f>IFERROR(__xludf.DUMMYFUNCTION("""COMPUTED_VALUE"""),40148.59652777778)</f>
        <v>40148.59653</v>
      </c>
      <c r="F1805" s="2">
        <f>IFERROR(__xludf.DUMMYFUNCTION("""COMPUTED_VALUE"""),1.49)</f>
        <v>1.49</v>
      </c>
      <c r="G1805" s="2">
        <f>IFERROR(__xludf.DUMMYFUNCTION("""COMPUTED_VALUE"""),15005.0)</f>
        <v>15005</v>
      </c>
      <c r="H1805" s="2" t="str">
        <f>IFERROR(__xludf.DUMMYFUNCTION("""COMPUTED_VALUE"""),"United Kingdom")</f>
        <v>United Kingdom</v>
      </c>
      <c r="I1805" s="7">
        <f>IFERROR(__xludf.DUMMYFUNCTION("""COMPUTED_VALUE"""),40148.0)</f>
        <v>40148</v>
      </c>
      <c r="J1805" s="8">
        <f>IFERROR(__xludf.DUMMYFUNCTION("""COMPUTED_VALUE"""),0.5965277777795563)</f>
        <v>0.5965277778</v>
      </c>
      <c r="K1805" s="2">
        <f>IFERROR(__xludf.DUMMYFUNCTION("""COMPUTED_VALUE"""),14.0)</f>
        <v>14</v>
      </c>
      <c r="L1805" s="2">
        <f>IFERROR(__xludf.DUMMYFUNCTION("""COMPUTED_VALUE"""),2.98)</f>
        <v>2.98</v>
      </c>
    </row>
    <row r="1806">
      <c r="A1806" s="2">
        <f>IFERROR(__xludf.DUMMYFUNCTION("""COMPUTED_VALUE"""),489594.0)</f>
        <v>489594</v>
      </c>
      <c r="B1806" s="2" t="str">
        <f>IFERROR(__xludf.DUMMYFUNCTION("""COMPUTED_VALUE"""),"22055")</f>
        <v>22055</v>
      </c>
      <c r="C1806" s="2" t="str">
        <f>IFERROR(__xludf.DUMMYFUNCTION("""COMPUTED_VALUE"""),"MINI CAKE STAND HANGING STRAWBERY")</f>
        <v>MINI CAKE STAND HANGING STRAWBERY</v>
      </c>
      <c r="D1806" s="2">
        <f>IFERROR(__xludf.DUMMYFUNCTION("""COMPUTED_VALUE"""),2.0)</f>
        <v>2</v>
      </c>
      <c r="E1806" s="6">
        <f>IFERROR(__xludf.DUMMYFUNCTION("""COMPUTED_VALUE"""),40148.59652777778)</f>
        <v>40148.59653</v>
      </c>
      <c r="F1806" s="2">
        <f>IFERROR(__xludf.DUMMYFUNCTION("""COMPUTED_VALUE"""),1.65)</f>
        <v>1.65</v>
      </c>
      <c r="G1806" s="2">
        <f>IFERROR(__xludf.DUMMYFUNCTION("""COMPUTED_VALUE"""),15005.0)</f>
        <v>15005</v>
      </c>
      <c r="H1806" s="2" t="str">
        <f>IFERROR(__xludf.DUMMYFUNCTION("""COMPUTED_VALUE"""),"United Kingdom")</f>
        <v>United Kingdom</v>
      </c>
      <c r="I1806" s="7">
        <f>IFERROR(__xludf.DUMMYFUNCTION("""COMPUTED_VALUE"""),40148.0)</f>
        <v>40148</v>
      </c>
      <c r="J1806" s="8">
        <f>IFERROR(__xludf.DUMMYFUNCTION("""COMPUTED_VALUE"""),0.5965277777795563)</f>
        <v>0.5965277778</v>
      </c>
      <c r="K1806" s="2">
        <f>IFERROR(__xludf.DUMMYFUNCTION("""COMPUTED_VALUE"""),14.0)</f>
        <v>14</v>
      </c>
      <c r="L1806" s="2">
        <f>IFERROR(__xludf.DUMMYFUNCTION("""COMPUTED_VALUE"""),3.3)</f>
        <v>3.3</v>
      </c>
    </row>
    <row r="1807">
      <c r="A1807" s="2">
        <f>IFERROR(__xludf.DUMMYFUNCTION("""COMPUTED_VALUE"""),489594.0)</f>
        <v>489594</v>
      </c>
      <c r="B1807" s="2" t="str">
        <f>IFERROR(__xludf.DUMMYFUNCTION("""COMPUTED_VALUE"""),"22062")</f>
        <v>22062</v>
      </c>
      <c r="C1807" s="2" t="str">
        <f>IFERROR(__xludf.DUMMYFUNCTION("""COMPUTED_VALUE"""),"CERAMIC BOWL WITH LOVE HEART DESIGN")</f>
        <v>CERAMIC BOWL WITH LOVE HEART DESIGN</v>
      </c>
      <c r="D1807" s="2">
        <f>IFERROR(__xludf.DUMMYFUNCTION("""COMPUTED_VALUE"""),1.0)</f>
        <v>1</v>
      </c>
      <c r="E1807" s="6">
        <f>IFERROR(__xludf.DUMMYFUNCTION("""COMPUTED_VALUE"""),40148.59652777778)</f>
        <v>40148.59653</v>
      </c>
      <c r="F1807" s="2">
        <f>IFERROR(__xludf.DUMMYFUNCTION("""COMPUTED_VALUE"""),2.95)</f>
        <v>2.95</v>
      </c>
      <c r="G1807" s="2">
        <f>IFERROR(__xludf.DUMMYFUNCTION("""COMPUTED_VALUE"""),15005.0)</f>
        <v>15005</v>
      </c>
      <c r="H1807" s="2" t="str">
        <f>IFERROR(__xludf.DUMMYFUNCTION("""COMPUTED_VALUE"""),"United Kingdom")</f>
        <v>United Kingdom</v>
      </c>
      <c r="I1807" s="7">
        <f>IFERROR(__xludf.DUMMYFUNCTION("""COMPUTED_VALUE"""),40148.0)</f>
        <v>40148</v>
      </c>
      <c r="J1807" s="8">
        <f>IFERROR(__xludf.DUMMYFUNCTION("""COMPUTED_VALUE"""),0.5965277777795563)</f>
        <v>0.5965277778</v>
      </c>
      <c r="K1807" s="2">
        <f>IFERROR(__xludf.DUMMYFUNCTION("""COMPUTED_VALUE"""),14.0)</f>
        <v>14</v>
      </c>
      <c r="L1807" s="2">
        <f>IFERROR(__xludf.DUMMYFUNCTION("""COMPUTED_VALUE"""),2.95)</f>
        <v>2.95</v>
      </c>
    </row>
    <row r="1808">
      <c r="A1808" s="2">
        <f>IFERROR(__xludf.DUMMYFUNCTION("""COMPUTED_VALUE"""),489594.0)</f>
        <v>489594</v>
      </c>
      <c r="B1808" s="2" t="str">
        <f>IFERROR(__xludf.DUMMYFUNCTION("""COMPUTED_VALUE"""),"84596B")</f>
        <v>84596B</v>
      </c>
      <c r="C1808" s="2" t="str">
        <f>IFERROR(__xludf.DUMMYFUNCTION("""COMPUTED_VALUE"""),"SMALL DOLLY MIX DESIGN ORANGE BOWL")</f>
        <v>SMALL DOLLY MIX DESIGN ORANGE BOWL</v>
      </c>
      <c r="D1808" s="2">
        <f>IFERROR(__xludf.DUMMYFUNCTION("""COMPUTED_VALUE"""),8.0)</f>
        <v>8</v>
      </c>
      <c r="E1808" s="6">
        <f>IFERROR(__xludf.DUMMYFUNCTION("""COMPUTED_VALUE"""),40148.59652777778)</f>
        <v>40148.59653</v>
      </c>
      <c r="F1808" s="2">
        <f>IFERROR(__xludf.DUMMYFUNCTION("""COMPUTED_VALUE"""),1.25)</f>
        <v>1.25</v>
      </c>
      <c r="G1808" s="2">
        <f>IFERROR(__xludf.DUMMYFUNCTION("""COMPUTED_VALUE"""),15005.0)</f>
        <v>15005</v>
      </c>
      <c r="H1808" s="2" t="str">
        <f>IFERROR(__xludf.DUMMYFUNCTION("""COMPUTED_VALUE"""),"United Kingdom")</f>
        <v>United Kingdom</v>
      </c>
      <c r="I1808" s="7">
        <f>IFERROR(__xludf.DUMMYFUNCTION("""COMPUTED_VALUE"""),40148.0)</f>
        <v>40148</v>
      </c>
      <c r="J1808" s="8">
        <f>IFERROR(__xludf.DUMMYFUNCTION("""COMPUTED_VALUE"""),0.5965277777795563)</f>
        <v>0.5965277778</v>
      </c>
      <c r="K1808" s="2">
        <f>IFERROR(__xludf.DUMMYFUNCTION("""COMPUTED_VALUE"""),14.0)</f>
        <v>14</v>
      </c>
      <c r="L1808" s="2">
        <f>IFERROR(__xludf.DUMMYFUNCTION("""COMPUTED_VALUE"""),10.0)</f>
        <v>10</v>
      </c>
    </row>
    <row r="1809">
      <c r="A1809" s="2">
        <f>IFERROR(__xludf.DUMMYFUNCTION("""COMPUTED_VALUE"""),489594.0)</f>
        <v>489594</v>
      </c>
      <c r="B1809" s="2" t="str">
        <f>IFERROR(__xludf.DUMMYFUNCTION("""COMPUTED_VALUE"""),"21232")</f>
        <v>21232</v>
      </c>
      <c r="C1809" s="2" t="str">
        <f>IFERROR(__xludf.DUMMYFUNCTION("""COMPUTED_VALUE"""),"STRAWBERRY CERAMIC TRINKET BOX")</f>
        <v>STRAWBERRY CERAMIC TRINKET BOX</v>
      </c>
      <c r="D1809" s="2">
        <f>IFERROR(__xludf.DUMMYFUNCTION("""COMPUTED_VALUE"""),12.0)</f>
        <v>12</v>
      </c>
      <c r="E1809" s="6">
        <f>IFERROR(__xludf.DUMMYFUNCTION("""COMPUTED_VALUE"""),40148.59652777778)</f>
        <v>40148.59653</v>
      </c>
      <c r="F1809" s="2">
        <f>IFERROR(__xludf.DUMMYFUNCTION("""COMPUTED_VALUE"""),1.25)</f>
        <v>1.25</v>
      </c>
      <c r="G1809" s="2">
        <f>IFERROR(__xludf.DUMMYFUNCTION("""COMPUTED_VALUE"""),15005.0)</f>
        <v>15005</v>
      </c>
      <c r="H1809" s="2" t="str">
        <f>IFERROR(__xludf.DUMMYFUNCTION("""COMPUTED_VALUE"""),"United Kingdom")</f>
        <v>United Kingdom</v>
      </c>
      <c r="I1809" s="7">
        <f>IFERROR(__xludf.DUMMYFUNCTION("""COMPUTED_VALUE"""),40148.0)</f>
        <v>40148</v>
      </c>
      <c r="J1809" s="8">
        <f>IFERROR(__xludf.DUMMYFUNCTION("""COMPUTED_VALUE"""),0.5965277777795563)</f>
        <v>0.5965277778</v>
      </c>
      <c r="K1809" s="2">
        <f>IFERROR(__xludf.DUMMYFUNCTION("""COMPUTED_VALUE"""),14.0)</f>
        <v>14</v>
      </c>
      <c r="L1809" s="2">
        <f>IFERROR(__xludf.DUMMYFUNCTION("""COMPUTED_VALUE"""),15.0)</f>
        <v>15</v>
      </c>
    </row>
    <row r="1810">
      <c r="A1810" s="2">
        <f>IFERROR(__xludf.DUMMYFUNCTION("""COMPUTED_VALUE"""),489594.0)</f>
        <v>489594</v>
      </c>
      <c r="B1810" s="2" t="str">
        <f>IFERROR(__xludf.DUMMYFUNCTION("""COMPUTED_VALUE"""),"22055")</f>
        <v>22055</v>
      </c>
      <c r="C1810" s="2" t="str">
        <f>IFERROR(__xludf.DUMMYFUNCTION("""COMPUTED_VALUE"""),"MINI CAKE STAND HANGING STRAWBERY")</f>
        <v>MINI CAKE STAND HANGING STRAWBERY</v>
      </c>
      <c r="D1810" s="2">
        <f>IFERROR(__xludf.DUMMYFUNCTION("""COMPUTED_VALUE"""),1.0)</f>
        <v>1</v>
      </c>
      <c r="E1810" s="6">
        <f>IFERROR(__xludf.DUMMYFUNCTION("""COMPUTED_VALUE"""),40148.59652777778)</f>
        <v>40148.59653</v>
      </c>
      <c r="F1810" s="2">
        <f>IFERROR(__xludf.DUMMYFUNCTION("""COMPUTED_VALUE"""),1.65)</f>
        <v>1.65</v>
      </c>
      <c r="G1810" s="2">
        <f>IFERROR(__xludf.DUMMYFUNCTION("""COMPUTED_VALUE"""),15005.0)</f>
        <v>15005</v>
      </c>
      <c r="H1810" s="2" t="str">
        <f>IFERROR(__xludf.DUMMYFUNCTION("""COMPUTED_VALUE"""),"United Kingdom")</f>
        <v>United Kingdom</v>
      </c>
      <c r="I1810" s="7">
        <f>IFERROR(__xludf.DUMMYFUNCTION("""COMPUTED_VALUE"""),40148.0)</f>
        <v>40148</v>
      </c>
      <c r="J1810" s="8">
        <f>IFERROR(__xludf.DUMMYFUNCTION("""COMPUTED_VALUE"""),0.5965277777795563)</f>
        <v>0.5965277778</v>
      </c>
      <c r="K1810" s="2">
        <f>IFERROR(__xludf.DUMMYFUNCTION("""COMPUTED_VALUE"""),14.0)</f>
        <v>14</v>
      </c>
      <c r="L1810" s="2">
        <f>IFERROR(__xludf.DUMMYFUNCTION("""COMPUTED_VALUE"""),1.65)</f>
        <v>1.65</v>
      </c>
    </row>
    <row r="1811">
      <c r="A1811" s="2">
        <f>IFERROR(__xludf.DUMMYFUNCTION("""COMPUTED_VALUE"""),489594.0)</f>
        <v>489594</v>
      </c>
      <c r="B1811" s="2" t="str">
        <f>IFERROR(__xludf.DUMMYFUNCTION("""COMPUTED_VALUE"""),"37448")</f>
        <v>37448</v>
      </c>
      <c r="C1811" s="2" t="str">
        <f>IFERROR(__xludf.DUMMYFUNCTION("""COMPUTED_VALUE"""),"CERAMIC CAKE DESIGN SPOTTED MUG")</f>
        <v>CERAMIC CAKE DESIGN SPOTTED MUG</v>
      </c>
      <c r="D1811" s="2">
        <f>IFERROR(__xludf.DUMMYFUNCTION("""COMPUTED_VALUE"""),2.0)</f>
        <v>2</v>
      </c>
      <c r="E1811" s="6">
        <f>IFERROR(__xludf.DUMMYFUNCTION("""COMPUTED_VALUE"""),40148.59652777778)</f>
        <v>40148.59653</v>
      </c>
      <c r="F1811" s="2">
        <f>IFERROR(__xludf.DUMMYFUNCTION("""COMPUTED_VALUE"""),1.49)</f>
        <v>1.49</v>
      </c>
      <c r="G1811" s="2">
        <f>IFERROR(__xludf.DUMMYFUNCTION("""COMPUTED_VALUE"""),15005.0)</f>
        <v>15005</v>
      </c>
      <c r="H1811" s="2" t="str">
        <f>IFERROR(__xludf.DUMMYFUNCTION("""COMPUTED_VALUE"""),"United Kingdom")</f>
        <v>United Kingdom</v>
      </c>
      <c r="I1811" s="7">
        <f>IFERROR(__xludf.DUMMYFUNCTION("""COMPUTED_VALUE"""),40148.0)</f>
        <v>40148</v>
      </c>
      <c r="J1811" s="8">
        <f>IFERROR(__xludf.DUMMYFUNCTION("""COMPUTED_VALUE"""),0.5965277777795563)</f>
        <v>0.5965277778</v>
      </c>
      <c r="K1811" s="2">
        <f>IFERROR(__xludf.DUMMYFUNCTION("""COMPUTED_VALUE"""),14.0)</f>
        <v>14</v>
      </c>
      <c r="L1811" s="2">
        <f>IFERROR(__xludf.DUMMYFUNCTION("""COMPUTED_VALUE"""),2.98)</f>
        <v>2.98</v>
      </c>
    </row>
    <row r="1812">
      <c r="A1812" s="2">
        <f>IFERROR(__xludf.DUMMYFUNCTION("""COMPUTED_VALUE"""),489594.0)</f>
        <v>489594</v>
      </c>
      <c r="B1812" s="2" t="str">
        <f>IFERROR(__xludf.DUMMYFUNCTION("""COMPUTED_VALUE"""),"22347")</f>
        <v>22347</v>
      </c>
      <c r="C1812" s="2" t="str">
        <f>IFERROR(__xludf.DUMMYFUNCTION("""COMPUTED_VALUE"""),"PIZZA SLICE DISH")</f>
        <v>PIZZA SLICE DISH</v>
      </c>
      <c r="D1812" s="2">
        <f>IFERROR(__xludf.DUMMYFUNCTION("""COMPUTED_VALUE"""),6.0)</f>
        <v>6</v>
      </c>
      <c r="E1812" s="6">
        <f>IFERROR(__xludf.DUMMYFUNCTION("""COMPUTED_VALUE"""),40148.59652777778)</f>
        <v>40148.59653</v>
      </c>
      <c r="F1812" s="2">
        <f>IFERROR(__xludf.DUMMYFUNCTION("""COMPUTED_VALUE"""),1.25)</f>
        <v>1.25</v>
      </c>
      <c r="G1812" s="2">
        <f>IFERROR(__xludf.DUMMYFUNCTION("""COMPUTED_VALUE"""),15005.0)</f>
        <v>15005</v>
      </c>
      <c r="H1812" s="2" t="str">
        <f>IFERROR(__xludf.DUMMYFUNCTION("""COMPUTED_VALUE"""),"United Kingdom")</f>
        <v>United Kingdom</v>
      </c>
      <c r="I1812" s="7">
        <f>IFERROR(__xludf.DUMMYFUNCTION("""COMPUTED_VALUE"""),40148.0)</f>
        <v>40148</v>
      </c>
      <c r="J1812" s="8">
        <f>IFERROR(__xludf.DUMMYFUNCTION("""COMPUTED_VALUE"""),0.5965277777795563)</f>
        <v>0.5965277778</v>
      </c>
      <c r="K1812" s="2">
        <f>IFERROR(__xludf.DUMMYFUNCTION("""COMPUTED_VALUE"""),14.0)</f>
        <v>14</v>
      </c>
      <c r="L1812" s="2">
        <f>IFERROR(__xludf.DUMMYFUNCTION("""COMPUTED_VALUE"""),7.5)</f>
        <v>7.5</v>
      </c>
    </row>
    <row r="1813">
      <c r="A1813" s="2">
        <f>IFERROR(__xludf.DUMMYFUNCTION("""COMPUTED_VALUE"""),489594.0)</f>
        <v>489594</v>
      </c>
      <c r="B1813" s="2" t="str">
        <f>IFERROR(__xludf.DUMMYFUNCTION("""COMPUTED_VALUE"""),"37448")</f>
        <v>37448</v>
      </c>
      <c r="C1813" s="2" t="str">
        <f>IFERROR(__xludf.DUMMYFUNCTION("""COMPUTED_VALUE"""),"CERAMIC CAKE DESIGN SPOTTED MUG")</f>
        <v>CERAMIC CAKE DESIGN SPOTTED MUG</v>
      </c>
      <c r="D1813" s="2">
        <f>IFERROR(__xludf.DUMMYFUNCTION("""COMPUTED_VALUE"""),1.0)</f>
        <v>1</v>
      </c>
      <c r="E1813" s="6">
        <f>IFERROR(__xludf.DUMMYFUNCTION("""COMPUTED_VALUE"""),40148.59652777778)</f>
        <v>40148.59653</v>
      </c>
      <c r="F1813" s="2">
        <f>IFERROR(__xludf.DUMMYFUNCTION("""COMPUTED_VALUE"""),1.49)</f>
        <v>1.49</v>
      </c>
      <c r="G1813" s="2">
        <f>IFERROR(__xludf.DUMMYFUNCTION("""COMPUTED_VALUE"""),15005.0)</f>
        <v>15005</v>
      </c>
      <c r="H1813" s="2" t="str">
        <f>IFERROR(__xludf.DUMMYFUNCTION("""COMPUTED_VALUE"""),"United Kingdom")</f>
        <v>United Kingdom</v>
      </c>
      <c r="I1813" s="7">
        <f>IFERROR(__xludf.DUMMYFUNCTION("""COMPUTED_VALUE"""),40148.0)</f>
        <v>40148</v>
      </c>
      <c r="J1813" s="8">
        <f>IFERROR(__xludf.DUMMYFUNCTION("""COMPUTED_VALUE"""),0.5965277777795563)</f>
        <v>0.5965277778</v>
      </c>
      <c r="K1813" s="2">
        <f>IFERROR(__xludf.DUMMYFUNCTION("""COMPUTED_VALUE"""),14.0)</f>
        <v>14</v>
      </c>
      <c r="L1813" s="2">
        <f>IFERROR(__xludf.DUMMYFUNCTION("""COMPUTED_VALUE"""),1.49)</f>
        <v>1.49</v>
      </c>
    </row>
    <row r="1814">
      <c r="A1814" s="2">
        <f>IFERROR(__xludf.DUMMYFUNCTION("""COMPUTED_VALUE"""),489594.0)</f>
        <v>489594</v>
      </c>
      <c r="B1814" s="2" t="str">
        <f>IFERROR(__xludf.DUMMYFUNCTION("""COMPUTED_VALUE"""),"22350")</f>
        <v>22350</v>
      </c>
      <c r="C1814" s="2" t="str">
        <f>IFERROR(__xludf.DUMMYFUNCTION("""COMPUTED_VALUE"""),"CAT BOWL")</f>
        <v>CAT BOWL</v>
      </c>
      <c r="D1814" s="2">
        <f>IFERROR(__xludf.DUMMYFUNCTION("""COMPUTED_VALUE"""),2.0)</f>
        <v>2</v>
      </c>
      <c r="E1814" s="6">
        <f>IFERROR(__xludf.DUMMYFUNCTION("""COMPUTED_VALUE"""),40148.59652777778)</f>
        <v>40148.59653</v>
      </c>
      <c r="F1814" s="2">
        <f>IFERROR(__xludf.DUMMYFUNCTION("""COMPUTED_VALUE"""),2.55)</f>
        <v>2.55</v>
      </c>
      <c r="G1814" s="2">
        <f>IFERROR(__xludf.DUMMYFUNCTION("""COMPUTED_VALUE"""),15005.0)</f>
        <v>15005</v>
      </c>
      <c r="H1814" s="2" t="str">
        <f>IFERROR(__xludf.DUMMYFUNCTION("""COMPUTED_VALUE"""),"United Kingdom")</f>
        <v>United Kingdom</v>
      </c>
      <c r="I1814" s="7">
        <f>IFERROR(__xludf.DUMMYFUNCTION("""COMPUTED_VALUE"""),40148.0)</f>
        <v>40148</v>
      </c>
      <c r="J1814" s="8">
        <f>IFERROR(__xludf.DUMMYFUNCTION("""COMPUTED_VALUE"""),0.5965277777795563)</f>
        <v>0.5965277778</v>
      </c>
      <c r="K1814" s="2">
        <f>IFERROR(__xludf.DUMMYFUNCTION("""COMPUTED_VALUE"""),14.0)</f>
        <v>14</v>
      </c>
      <c r="L1814" s="2">
        <f>IFERROR(__xludf.DUMMYFUNCTION("""COMPUTED_VALUE"""),5.1)</f>
        <v>5.1</v>
      </c>
    </row>
    <row r="1815">
      <c r="A1815" s="2">
        <f>IFERROR(__xludf.DUMMYFUNCTION("""COMPUTED_VALUE"""),489594.0)</f>
        <v>489594</v>
      </c>
      <c r="B1815" s="2" t="str">
        <f>IFERROR(__xludf.DUMMYFUNCTION("""COMPUTED_VALUE"""),"21791")</f>
        <v>21791</v>
      </c>
      <c r="C1815" s="2" t="str">
        <f>IFERROR(__xludf.DUMMYFUNCTION("""COMPUTED_VALUE"""),"VINTAGE HEADS AND TAILS CARD GAME")</f>
        <v>VINTAGE HEADS AND TAILS CARD GAME</v>
      </c>
      <c r="D1815" s="2">
        <f>IFERROR(__xludf.DUMMYFUNCTION("""COMPUTED_VALUE"""),4.0)</f>
        <v>4</v>
      </c>
      <c r="E1815" s="6">
        <f>IFERROR(__xludf.DUMMYFUNCTION("""COMPUTED_VALUE"""),40148.59652777778)</f>
        <v>40148.59653</v>
      </c>
      <c r="F1815" s="2">
        <f>IFERROR(__xludf.DUMMYFUNCTION("""COMPUTED_VALUE"""),1.25)</f>
        <v>1.25</v>
      </c>
      <c r="G1815" s="2">
        <f>IFERROR(__xludf.DUMMYFUNCTION("""COMPUTED_VALUE"""),15005.0)</f>
        <v>15005</v>
      </c>
      <c r="H1815" s="2" t="str">
        <f>IFERROR(__xludf.DUMMYFUNCTION("""COMPUTED_VALUE"""),"United Kingdom")</f>
        <v>United Kingdom</v>
      </c>
      <c r="I1815" s="7">
        <f>IFERROR(__xludf.DUMMYFUNCTION("""COMPUTED_VALUE"""),40148.0)</f>
        <v>40148</v>
      </c>
      <c r="J1815" s="8">
        <f>IFERROR(__xludf.DUMMYFUNCTION("""COMPUTED_VALUE"""),0.5965277777795563)</f>
        <v>0.5965277778</v>
      </c>
      <c r="K1815" s="2">
        <f>IFERROR(__xludf.DUMMYFUNCTION("""COMPUTED_VALUE"""),14.0)</f>
        <v>14</v>
      </c>
      <c r="L1815" s="2">
        <f>IFERROR(__xludf.DUMMYFUNCTION("""COMPUTED_VALUE"""),5.0)</f>
        <v>5</v>
      </c>
    </row>
    <row r="1816">
      <c r="A1816" s="2">
        <f>IFERROR(__xludf.DUMMYFUNCTION("""COMPUTED_VALUE"""),489594.0)</f>
        <v>489594</v>
      </c>
      <c r="B1816" s="2" t="str">
        <f>IFERROR(__xludf.DUMMYFUNCTION("""COMPUTED_VALUE"""),"84507C")</f>
        <v>84507C</v>
      </c>
      <c r="C1816" s="2" t="str">
        <f>IFERROR(__xludf.DUMMYFUNCTION("""COMPUTED_VALUE"""),"BLUE CIRCLES DESIGN MONKEY DOLL")</f>
        <v>BLUE CIRCLES DESIGN MONKEY DOLL</v>
      </c>
      <c r="D1816" s="2">
        <f>IFERROR(__xludf.DUMMYFUNCTION("""COMPUTED_VALUE"""),1.0)</f>
        <v>1</v>
      </c>
      <c r="E1816" s="6">
        <f>IFERROR(__xludf.DUMMYFUNCTION("""COMPUTED_VALUE"""),40148.59652777778)</f>
        <v>40148.59653</v>
      </c>
      <c r="F1816" s="2">
        <f>IFERROR(__xludf.DUMMYFUNCTION("""COMPUTED_VALUE"""),2.55)</f>
        <v>2.55</v>
      </c>
      <c r="G1816" s="2">
        <f>IFERROR(__xludf.DUMMYFUNCTION("""COMPUTED_VALUE"""),15005.0)</f>
        <v>15005</v>
      </c>
      <c r="H1816" s="2" t="str">
        <f>IFERROR(__xludf.DUMMYFUNCTION("""COMPUTED_VALUE"""),"United Kingdom")</f>
        <v>United Kingdom</v>
      </c>
      <c r="I1816" s="7">
        <f>IFERROR(__xludf.DUMMYFUNCTION("""COMPUTED_VALUE"""),40148.0)</f>
        <v>40148</v>
      </c>
      <c r="J1816" s="8">
        <f>IFERROR(__xludf.DUMMYFUNCTION("""COMPUTED_VALUE"""),0.5965277777795563)</f>
        <v>0.5965277778</v>
      </c>
      <c r="K1816" s="2">
        <f>IFERROR(__xludf.DUMMYFUNCTION("""COMPUTED_VALUE"""),14.0)</f>
        <v>14</v>
      </c>
      <c r="L1816" s="2">
        <f>IFERROR(__xludf.DUMMYFUNCTION("""COMPUTED_VALUE"""),2.55)</f>
        <v>2.55</v>
      </c>
    </row>
    <row r="1817">
      <c r="A1817" s="2">
        <f>IFERROR(__xludf.DUMMYFUNCTION("""COMPUTED_VALUE"""),489594.0)</f>
        <v>489594</v>
      </c>
      <c r="B1817" s="2" t="str">
        <f>IFERROR(__xludf.DUMMYFUNCTION("""COMPUTED_VALUE"""),"84507B")</f>
        <v>84507B</v>
      </c>
      <c r="C1817" s="2" t="str">
        <f>IFERROR(__xludf.DUMMYFUNCTION("""COMPUTED_VALUE"""),"STRIPES DESIGN MONKEY DOLL")</f>
        <v>STRIPES DESIGN MONKEY DOLL</v>
      </c>
      <c r="D1817" s="2">
        <f>IFERROR(__xludf.DUMMYFUNCTION("""COMPUTED_VALUE"""),1.0)</f>
        <v>1</v>
      </c>
      <c r="E1817" s="6">
        <f>IFERROR(__xludf.DUMMYFUNCTION("""COMPUTED_VALUE"""),40148.59652777778)</f>
        <v>40148.59653</v>
      </c>
      <c r="F1817" s="2">
        <f>IFERROR(__xludf.DUMMYFUNCTION("""COMPUTED_VALUE"""),2.55)</f>
        <v>2.55</v>
      </c>
      <c r="G1817" s="2">
        <f>IFERROR(__xludf.DUMMYFUNCTION("""COMPUTED_VALUE"""),15005.0)</f>
        <v>15005</v>
      </c>
      <c r="H1817" s="2" t="str">
        <f>IFERROR(__xludf.DUMMYFUNCTION("""COMPUTED_VALUE"""),"United Kingdom")</f>
        <v>United Kingdom</v>
      </c>
      <c r="I1817" s="7">
        <f>IFERROR(__xludf.DUMMYFUNCTION("""COMPUTED_VALUE"""),40148.0)</f>
        <v>40148</v>
      </c>
      <c r="J1817" s="8">
        <f>IFERROR(__xludf.DUMMYFUNCTION("""COMPUTED_VALUE"""),0.5965277777795563)</f>
        <v>0.5965277778</v>
      </c>
      <c r="K1817" s="2">
        <f>IFERROR(__xludf.DUMMYFUNCTION("""COMPUTED_VALUE"""),14.0)</f>
        <v>14</v>
      </c>
      <c r="L1817" s="2">
        <f>IFERROR(__xludf.DUMMYFUNCTION("""COMPUTED_VALUE"""),2.55)</f>
        <v>2.55</v>
      </c>
    </row>
    <row r="1818">
      <c r="A1818" s="2">
        <f>IFERROR(__xludf.DUMMYFUNCTION("""COMPUTED_VALUE"""),489594.0)</f>
        <v>489594</v>
      </c>
      <c r="B1818" s="2" t="str">
        <f>IFERROR(__xludf.DUMMYFUNCTION("""COMPUTED_VALUE"""),"84508A")</f>
        <v>84508A</v>
      </c>
      <c r="C1818" s="2" t="str">
        <f>IFERROR(__xludf.DUMMYFUNCTION("""COMPUTED_VALUE"""),"CAMOFLAGE DESIGN TEDDY")</f>
        <v>CAMOFLAGE DESIGN TEDDY</v>
      </c>
      <c r="D1818" s="2">
        <f>IFERROR(__xludf.DUMMYFUNCTION("""COMPUTED_VALUE"""),2.0)</f>
        <v>2</v>
      </c>
      <c r="E1818" s="6">
        <f>IFERROR(__xludf.DUMMYFUNCTION("""COMPUTED_VALUE"""),40148.59652777778)</f>
        <v>40148.59653</v>
      </c>
      <c r="F1818" s="2">
        <f>IFERROR(__xludf.DUMMYFUNCTION("""COMPUTED_VALUE"""),2.55)</f>
        <v>2.55</v>
      </c>
      <c r="G1818" s="2">
        <f>IFERROR(__xludf.DUMMYFUNCTION("""COMPUTED_VALUE"""),15005.0)</f>
        <v>15005</v>
      </c>
      <c r="H1818" s="2" t="str">
        <f>IFERROR(__xludf.DUMMYFUNCTION("""COMPUTED_VALUE"""),"United Kingdom")</f>
        <v>United Kingdom</v>
      </c>
      <c r="I1818" s="7">
        <f>IFERROR(__xludf.DUMMYFUNCTION("""COMPUTED_VALUE"""),40148.0)</f>
        <v>40148</v>
      </c>
      <c r="J1818" s="8">
        <f>IFERROR(__xludf.DUMMYFUNCTION("""COMPUTED_VALUE"""),0.5965277777795563)</f>
        <v>0.5965277778</v>
      </c>
      <c r="K1818" s="2">
        <f>IFERROR(__xludf.DUMMYFUNCTION("""COMPUTED_VALUE"""),14.0)</f>
        <v>14</v>
      </c>
      <c r="L1818" s="2">
        <f>IFERROR(__xludf.DUMMYFUNCTION("""COMPUTED_VALUE"""),5.1)</f>
        <v>5.1</v>
      </c>
    </row>
    <row r="1819">
      <c r="A1819" s="2">
        <f>IFERROR(__xludf.DUMMYFUNCTION("""COMPUTED_VALUE"""),489594.0)</f>
        <v>489594</v>
      </c>
      <c r="B1819" s="2" t="str">
        <f>IFERROR(__xludf.DUMMYFUNCTION("""COMPUTED_VALUE"""),"37450")</f>
        <v>37450</v>
      </c>
      <c r="C1819" s="2" t="str">
        <f>IFERROR(__xludf.DUMMYFUNCTION("""COMPUTED_VALUE"""),"CERAMIC CAKE BOWL + HANGING CAKES")</f>
        <v>CERAMIC CAKE BOWL + HANGING CAKES</v>
      </c>
      <c r="D1819" s="2">
        <f>IFERROR(__xludf.DUMMYFUNCTION("""COMPUTED_VALUE"""),3.0)</f>
        <v>3</v>
      </c>
      <c r="E1819" s="6">
        <f>IFERROR(__xludf.DUMMYFUNCTION("""COMPUTED_VALUE"""),40148.59652777778)</f>
        <v>40148.59653</v>
      </c>
      <c r="F1819" s="2">
        <f>IFERROR(__xludf.DUMMYFUNCTION("""COMPUTED_VALUE"""),2.95)</f>
        <v>2.95</v>
      </c>
      <c r="G1819" s="2">
        <f>IFERROR(__xludf.DUMMYFUNCTION("""COMPUTED_VALUE"""),15005.0)</f>
        <v>15005</v>
      </c>
      <c r="H1819" s="2" t="str">
        <f>IFERROR(__xludf.DUMMYFUNCTION("""COMPUTED_VALUE"""),"United Kingdom")</f>
        <v>United Kingdom</v>
      </c>
      <c r="I1819" s="7">
        <f>IFERROR(__xludf.DUMMYFUNCTION("""COMPUTED_VALUE"""),40148.0)</f>
        <v>40148</v>
      </c>
      <c r="J1819" s="8">
        <f>IFERROR(__xludf.DUMMYFUNCTION("""COMPUTED_VALUE"""),0.5965277777795563)</f>
        <v>0.5965277778</v>
      </c>
      <c r="K1819" s="2">
        <f>IFERROR(__xludf.DUMMYFUNCTION("""COMPUTED_VALUE"""),14.0)</f>
        <v>14</v>
      </c>
      <c r="L1819" s="2">
        <f>IFERROR(__xludf.DUMMYFUNCTION("""COMPUTED_VALUE"""),8.85)</f>
        <v>8.85</v>
      </c>
    </row>
    <row r="1820">
      <c r="A1820" s="2">
        <f>IFERROR(__xludf.DUMMYFUNCTION("""COMPUTED_VALUE"""),489594.0)</f>
        <v>489594</v>
      </c>
      <c r="B1820" s="2" t="str">
        <f>IFERROR(__xludf.DUMMYFUNCTION("""COMPUTED_VALUE"""),"22065")</f>
        <v>22065</v>
      </c>
      <c r="C1820" s="2" t="str">
        <f>IFERROR(__xludf.DUMMYFUNCTION("""COMPUTED_VALUE"""),"CHRISTMAS PUDDING TRINKET POT")</f>
        <v>CHRISTMAS PUDDING TRINKET POT</v>
      </c>
      <c r="D1820" s="2">
        <f>IFERROR(__xludf.DUMMYFUNCTION("""COMPUTED_VALUE"""),6.0)</f>
        <v>6</v>
      </c>
      <c r="E1820" s="6">
        <f>IFERROR(__xludf.DUMMYFUNCTION("""COMPUTED_VALUE"""),40148.59652777778)</f>
        <v>40148.59653</v>
      </c>
      <c r="F1820" s="2">
        <f>IFERROR(__xludf.DUMMYFUNCTION("""COMPUTED_VALUE"""),1.45)</f>
        <v>1.45</v>
      </c>
      <c r="G1820" s="2">
        <f>IFERROR(__xludf.DUMMYFUNCTION("""COMPUTED_VALUE"""),15005.0)</f>
        <v>15005</v>
      </c>
      <c r="H1820" s="2" t="str">
        <f>IFERROR(__xludf.DUMMYFUNCTION("""COMPUTED_VALUE"""),"United Kingdom")</f>
        <v>United Kingdom</v>
      </c>
      <c r="I1820" s="7">
        <f>IFERROR(__xludf.DUMMYFUNCTION("""COMPUTED_VALUE"""),40148.0)</f>
        <v>40148</v>
      </c>
      <c r="J1820" s="8">
        <f>IFERROR(__xludf.DUMMYFUNCTION("""COMPUTED_VALUE"""),0.5965277777795563)</f>
        <v>0.5965277778</v>
      </c>
      <c r="K1820" s="2">
        <f>IFERROR(__xludf.DUMMYFUNCTION("""COMPUTED_VALUE"""),14.0)</f>
        <v>14</v>
      </c>
      <c r="L1820" s="2">
        <f>IFERROR(__xludf.DUMMYFUNCTION("""COMPUTED_VALUE"""),8.7)</f>
        <v>8.7</v>
      </c>
    </row>
    <row r="1821">
      <c r="A1821" s="2">
        <f>IFERROR(__xludf.DUMMYFUNCTION("""COMPUTED_VALUE"""),489594.0)</f>
        <v>489594</v>
      </c>
      <c r="B1821" s="2" t="str">
        <f>IFERROR(__xludf.DUMMYFUNCTION("""COMPUTED_VALUE"""),"79302M")</f>
        <v>79302M</v>
      </c>
      <c r="C1821" s="2" t="str">
        <f>IFERROR(__xludf.DUMMYFUNCTION("""COMPUTED_VALUE"""),"ART LIGHTS,FUNK MONKEY")</f>
        <v>ART LIGHTS,FUNK MONKEY</v>
      </c>
      <c r="D1821" s="2">
        <f>IFERROR(__xludf.DUMMYFUNCTION("""COMPUTED_VALUE"""),1.0)</f>
        <v>1</v>
      </c>
      <c r="E1821" s="6">
        <f>IFERROR(__xludf.DUMMYFUNCTION("""COMPUTED_VALUE"""),40148.59652777778)</f>
        <v>40148.59653</v>
      </c>
      <c r="F1821" s="2">
        <f>IFERROR(__xludf.DUMMYFUNCTION("""COMPUTED_VALUE"""),2.95)</f>
        <v>2.95</v>
      </c>
      <c r="G1821" s="2">
        <f>IFERROR(__xludf.DUMMYFUNCTION("""COMPUTED_VALUE"""),15005.0)</f>
        <v>15005</v>
      </c>
      <c r="H1821" s="2" t="str">
        <f>IFERROR(__xludf.DUMMYFUNCTION("""COMPUTED_VALUE"""),"United Kingdom")</f>
        <v>United Kingdom</v>
      </c>
      <c r="I1821" s="7">
        <f>IFERROR(__xludf.DUMMYFUNCTION("""COMPUTED_VALUE"""),40148.0)</f>
        <v>40148</v>
      </c>
      <c r="J1821" s="8">
        <f>IFERROR(__xludf.DUMMYFUNCTION("""COMPUTED_VALUE"""),0.5965277777795563)</f>
        <v>0.5965277778</v>
      </c>
      <c r="K1821" s="2">
        <f>IFERROR(__xludf.DUMMYFUNCTION("""COMPUTED_VALUE"""),14.0)</f>
        <v>14</v>
      </c>
      <c r="L1821" s="2">
        <f>IFERROR(__xludf.DUMMYFUNCTION("""COMPUTED_VALUE"""),2.95)</f>
        <v>2.95</v>
      </c>
    </row>
    <row r="1822">
      <c r="A1822" s="2">
        <f>IFERROR(__xludf.DUMMYFUNCTION("""COMPUTED_VALUE"""),489594.0)</f>
        <v>489594</v>
      </c>
      <c r="B1822" s="2" t="str">
        <f>IFERROR(__xludf.DUMMYFUNCTION("""COMPUTED_VALUE"""),"21034")</f>
        <v>21034</v>
      </c>
      <c r="C1822" s="2" t="str">
        <f>IFERROR(__xludf.DUMMYFUNCTION("""COMPUTED_VALUE"""),"REX CASH+CARRY JUMBO SHOPPER")</f>
        <v>REX CASH+CARRY JUMBO SHOPPER</v>
      </c>
      <c r="D1822" s="2">
        <f>IFERROR(__xludf.DUMMYFUNCTION("""COMPUTED_VALUE"""),3.0)</f>
        <v>3</v>
      </c>
      <c r="E1822" s="6">
        <f>IFERROR(__xludf.DUMMYFUNCTION("""COMPUTED_VALUE"""),40148.59652777778)</f>
        <v>40148.59653</v>
      </c>
      <c r="F1822" s="2">
        <f>IFERROR(__xludf.DUMMYFUNCTION("""COMPUTED_VALUE"""),0.95)</f>
        <v>0.95</v>
      </c>
      <c r="G1822" s="2">
        <f>IFERROR(__xludf.DUMMYFUNCTION("""COMPUTED_VALUE"""),15005.0)</f>
        <v>15005</v>
      </c>
      <c r="H1822" s="2" t="str">
        <f>IFERROR(__xludf.DUMMYFUNCTION("""COMPUTED_VALUE"""),"United Kingdom")</f>
        <v>United Kingdom</v>
      </c>
      <c r="I1822" s="7">
        <f>IFERROR(__xludf.DUMMYFUNCTION("""COMPUTED_VALUE"""),40148.0)</f>
        <v>40148</v>
      </c>
      <c r="J1822" s="8">
        <f>IFERROR(__xludf.DUMMYFUNCTION("""COMPUTED_VALUE"""),0.5965277777795563)</f>
        <v>0.5965277778</v>
      </c>
      <c r="K1822" s="2">
        <f>IFERROR(__xludf.DUMMYFUNCTION("""COMPUTED_VALUE"""),14.0)</f>
        <v>14</v>
      </c>
      <c r="L1822" s="2">
        <f>IFERROR(__xludf.DUMMYFUNCTION("""COMPUTED_VALUE"""),2.84999999999999)</f>
        <v>2.85</v>
      </c>
    </row>
    <row r="1823">
      <c r="A1823" s="2">
        <f>IFERROR(__xludf.DUMMYFUNCTION("""COMPUTED_VALUE"""),489594.0)</f>
        <v>489594</v>
      </c>
      <c r="B1823" s="2" t="str">
        <f>IFERROR(__xludf.DUMMYFUNCTION("""COMPUTED_VALUE"""),"37502")</f>
        <v>37502</v>
      </c>
      <c r="C1823" s="2" t="str">
        <f>IFERROR(__xludf.DUMMYFUNCTION("""COMPUTED_VALUE"""),"TEA TIME MUG IN GIFT BOX")</f>
        <v>TEA TIME MUG IN GIFT BOX</v>
      </c>
      <c r="D1823" s="2">
        <f>IFERROR(__xludf.DUMMYFUNCTION("""COMPUTED_VALUE"""),8.0)</f>
        <v>8</v>
      </c>
      <c r="E1823" s="6">
        <f>IFERROR(__xludf.DUMMYFUNCTION("""COMPUTED_VALUE"""),40148.59652777778)</f>
        <v>40148.59653</v>
      </c>
      <c r="F1823" s="2">
        <f>IFERROR(__xludf.DUMMYFUNCTION("""COMPUTED_VALUE"""),2.95)</f>
        <v>2.95</v>
      </c>
      <c r="G1823" s="2">
        <f>IFERROR(__xludf.DUMMYFUNCTION("""COMPUTED_VALUE"""),15005.0)</f>
        <v>15005</v>
      </c>
      <c r="H1823" s="2" t="str">
        <f>IFERROR(__xludf.DUMMYFUNCTION("""COMPUTED_VALUE"""),"United Kingdom")</f>
        <v>United Kingdom</v>
      </c>
      <c r="I1823" s="7">
        <f>IFERROR(__xludf.DUMMYFUNCTION("""COMPUTED_VALUE"""),40148.0)</f>
        <v>40148</v>
      </c>
      <c r="J1823" s="8">
        <f>IFERROR(__xludf.DUMMYFUNCTION("""COMPUTED_VALUE"""),0.5965277777795563)</f>
        <v>0.5965277778</v>
      </c>
      <c r="K1823" s="2">
        <f>IFERROR(__xludf.DUMMYFUNCTION("""COMPUTED_VALUE"""),14.0)</f>
        <v>14</v>
      </c>
      <c r="L1823" s="2">
        <f>IFERROR(__xludf.DUMMYFUNCTION("""COMPUTED_VALUE"""),23.6)</f>
        <v>23.6</v>
      </c>
    </row>
    <row r="1824">
      <c r="A1824" s="2">
        <f>IFERROR(__xludf.DUMMYFUNCTION("""COMPUTED_VALUE"""),489594.0)</f>
        <v>489594</v>
      </c>
      <c r="B1824" s="2" t="str">
        <f>IFERROR(__xludf.DUMMYFUNCTION("""COMPUTED_VALUE"""),"37503")</f>
        <v>37503</v>
      </c>
      <c r="C1824" s="2" t="str">
        <f>IFERROR(__xludf.DUMMYFUNCTION("""COMPUTED_VALUE"""),"TEA TIME CAKE STAND IN GIFT BOX")</f>
        <v>TEA TIME CAKE STAND IN GIFT BOX</v>
      </c>
      <c r="D1824" s="2">
        <f>IFERROR(__xludf.DUMMYFUNCTION("""COMPUTED_VALUE"""),1.0)</f>
        <v>1</v>
      </c>
      <c r="E1824" s="6">
        <f>IFERROR(__xludf.DUMMYFUNCTION("""COMPUTED_VALUE"""),40148.59652777778)</f>
        <v>40148.59653</v>
      </c>
      <c r="F1824" s="2">
        <f>IFERROR(__xludf.DUMMYFUNCTION("""COMPUTED_VALUE"""),10.75)</f>
        <v>10.75</v>
      </c>
      <c r="G1824" s="2">
        <f>IFERROR(__xludf.DUMMYFUNCTION("""COMPUTED_VALUE"""),15005.0)</f>
        <v>15005</v>
      </c>
      <c r="H1824" s="2" t="str">
        <f>IFERROR(__xludf.DUMMYFUNCTION("""COMPUTED_VALUE"""),"United Kingdom")</f>
        <v>United Kingdom</v>
      </c>
      <c r="I1824" s="7">
        <f>IFERROR(__xludf.DUMMYFUNCTION("""COMPUTED_VALUE"""),40148.0)</f>
        <v>40148</v>
      </c>
      <c r="J1824" s="8">
        <f>IFERROR(__xludf.DUMMYFUNCTION("""COMPUTED_VALUE"""),0.5965277777795563)</f>
        <v>0.5965277778</v>
      </c>
      <c r="K1824" s="2">
        <f>IFERROR(__xludf.DUMMYFUNCTION("""COMPUTED_VALUE"""),14.0)</f>
        <v>14</v>
      </c>
      <c r="L1824" s="2">
        <f>IFERROR(__xludf.DUMMYFUNCTION("""COMPUTED_VALUE"""),10.75)</f>
        <v>10.75</v>
      </c>
    </row>
    <row r="1825">
      <c r="A1825" s="2">
        <f>IFERROR(__xludf.DUMMYFUNCTION("""COMPUTED_VALUE"""),489594.0)</f>
        <v>489594</v>
      </c>
      <c r="B1825" s="2" t="str">
        <f>IFERROR(__xludf.DUMMYFUNCTION("""COMPUTED_VALUE"""),"37449")</f>
        <v>37449</v>
      </c>
      <c r="C1825" s="2" t="str">
        <f>IFERROR(__xludf.DUMMYFUNCTION("""COMPUTED_VALUE"""),"CERAMIC CAKE STAND + HANGING CAKES")</f>
        <v>CERAMIC CAKE STAND + HANGING CAKES</v>
      </c>
      <c r="D1825" s="2">
        <f>IFERROR(__xludf.DUMMYFUNCTION("""COMPUTED_VALUE"""),2.0)</f>
        <v>2</v>
      </c>
      <c r="E1825" s="6">
        <f>IFERROR(__xludf.DUMMYFUNCTION("""COMPUTED_VALUE"""),40148.59652777778)</f>
        <v>40148.59653</v>
      </c>
      <c r="F1825" s="2">
        <f>IFERROR(__xludf.DUMMYFUNCTION("""COMPUTED_VALUE"""),9.95)</f>
        <v>9.95</v>
      </c>
      <c r="G1825" s="2">
        <f>IFERROR(__xludf.DUMMYFUNCTION("""COMPUTED_VALUE"""),15005.0)</f>
        <v>15005</v>
      </c>
      <c r="H1825" s="2" t="str">
        <f>IFERROR(__xludf.DUMMYFUNCTION("""COMPUTED_VALUE"""),"United Kingdom")</f>
        <v>United Kingdom</v>
      </c>
      <c r="I1825" s="7">
        <f>IFERROR(__xludf.DUMMYFUNCTION("""COMPUTED_VALUE"""),40148.0)</f>
        <v>40148</v>
      </c>
      <c r="J1825" s="8">
        <f>IFERROR(__xludf.DUMMYFUNCTION("""COMPUTED_VALUE"""),0.5965277777795563)</f>
        <v>0.5965277778</v>
      </c>
      <c r="K1825" s="2">
        <f>IFERROR(__xludf.DUMMYFUNCTION("""COMPUTED_VALUE"""),14.0)</f>
        <v>14</v>
      </c>
      <c r="L1825" s="2">
        <f>IFERROR(__xludf.DUMMYFUNCTION("""COMPUTED_VALUE"""),19.9)</f>
        <v>19.9</v>
      </c>
    </row>
    <row r="1826">
      <c r="A1826" s="2">
        <f>IFERROR(__xludf.DUMMYFUNCTION("""COMPUTED_VALUE"""),489594.0)</f>
        <v>489594</v>
      </c>
      <c r="B1826" s="2" t="str">
        <f>IFERROR(__xludf.DUMMYFUNCTION("""COMPUTED_VALUE"""),"84534B")</f>
        <v>84534B</v>
      </c>
      <c r="C1826" s="2" t="str">
        <f>IFERROR(__xludf.DUMMYFUNCTION("""COMPUTED_VALUE"""),"FAIRY CAKE NOTEBOOK A5 SIZE")</f>
        <v>FAIRY CAKE NOTEBOOK A5 SIZE</v>
      </c>
      <c r="D1826" s="2">
        <f>IFERROR(__xludf.DUMMYFUNCTION("""COMPUTED_VALUE"""),4.0)</f>
        <v>4</v>
      </c>
      <c r="E1826" s="6">
        <f>IFERROR(__xludf.DUMMYFUNCTION("""COMPUTED_VALUE"""),40148.59652777778)</f>
        <v>40148.59653</v>
      </c>
      <c r="F1826" s="2">
        <f>IFERROR(__xludf.DUMMYFUNCTION("""COMPUTED_VALUE"""),0.85)</f>
        <v>0.85</v>
      </c>
      <c r="G1826" s="2">
        <f>IFERROR(__xludf.DUMMYFUNCTION("""COMPUTED_VALUE"""),15005.0)</f>
        <v>15005</v>
      </c>
      <c r="H1826" s="2" t="str">
        <f>IFERROR(__xludf.DUMMYFUNCTION("""COMPUTED_VALUE"""),"United Kingdom")</f>
        <v>United Kingdom</v>
      </c>
      <c r="I1826" s="7">
        <f>IFERROR(__xludf.DUMMYFUNCTION("""COMPUTED_VALUE"""),40148.0)</f>
        <v>40148</v>
      </c>
      <c r="J1826" s="8">
        <f>IFERROR(__xludf.DUMMYFUNCTION("""COMPUTED_VALUE"""),0.5965277777795563)</f>
        <v>0.5965277778</v>
      </c>
      <c r="K1826" s="2">
        <f>IFERROR(__xludf.DUMMYFUNCTION("""COMPUTED_VALUE"""),14.0)</f>
        <v>14</v>
      </c>
      <c r="L1826" s="2">
        <f>IFERROR(__xludf.DUMMYFUNCTION("""COMPUTED_VALUE"""),3.4)</f>
        <v>3.4</v>
      </c>
    </row>
    <row r="1827">
      <c r="A1827" s="2">
        <f>IFERROR(__xludf.DUMMYFUNCTION("""COMPUTED_VALUE"""),489594.0)</f>
        <v>489594</v>
      </c>
      <c r="B1827" s="2" t="str">
        <f>IFERROR(__xludf.DUMMYFUNCTION("""COMPUTED_VALUE"""),"84535B")</f>
        <v>84535B</v>
      </c>
      <c r="C1827" s="2" t="str">
        <f>IFERROR(__xludf.DUMMYFUNCTION("""COMPUTED_VALUE"""),"FAIRY CAKES NOTEBOOK A6 SIZE")</f>
        <v>FAIRY CAKES NOTEBOOK A6 SIZE</v>
      </c>
      <c r="D1827" s="2">
        <f>IFERROR(__xludf.DUMMYFUNCTION("""COMPUTED_VALUE"""),8.0)</f>
        <v>8</v>
      </c>
      <c r="E1827" s="6">
        <f>IFERROR(__xludf.DUMMYFUNCTION("""COMPUTED_VALUE"""),40148.59652777778)</f>
        <v>40148.59653</v>
      </c>
      <c r="F1827" s="2">
        <f>IFERROR(__xludf.DUMMYFUNCTION("""COMPUTED_VALUE"""),0.65)</f>
        <v>0.65</v>
      </c>
      <c r="G1827" s="2">
        <f>IFERROR(__xludf.DUMMYFUNCTION("""COMPUTED_VALUE"""),15005.0)</f>
        <v>15005</v>
      </c>
      <c r="H1827" s="2" t="str">
        <f>IFERROR(__xludf.DUMMYFUNCTION("""COMPUTED_VALUE"""),"United Kingdom")</f>
        <v>United Kingdom</v>
      </c>
      <c r="I1827" s="7">
        <f>IFERROR(__xludf.DUMMYFUNCTION("""COMPUTED_VALUE"""),40148.0)</f>
        <v>40148</v>
      </c>
      <c r="J1827" s="8">
        <f>IFERROR(__xludf.DUMMYFUNCTION("""COMPUTED_VALUE"""),0.5965277777795563)</f>
        <v>0.5965277778</v>
      </c>
      <c r="K1827" s="2">
        <f>IFERROR(__xludf.DUMMYFUNCTION("""COMPUTED_VALUE"""),14.0)</f>
        <v>14</v>
      </c>
      <c r="L1827" s="2">
        <f>IFERROR(__xludf.DUMMYFUNCTION("""COMPUTED_VALUE"""),5.2)</f>
        <v>5.2</v>
      </c>
    </row>
    <row r="1828">
      <c r="A1828" s="2">
        <f>IFERROR(__xludf.DUMMYFUNCTION("""COMPUTED_VALUE"""),489594.0)</f>
        <v>489594</v>
      </c>
      <c r="B1828" s="2" t="str">
        <f>IFERROR(__xludf.DUMMYFUNCTION("""COMPUTED_VALUE"""),"84536B")</f>
        <v>84536B</v>
      </c>
      <c r="C1828" s="2" t="str">
        <f>IFERROR(__xludf.DUMMYFUNCTION("""COMPUTED_VALUE"""),"FAIRY CAKES NOTEBOOK A7 SIZE")</f>
        <v>FAIRY CAKES NOTEBOOK A7 SIZE</v>
      </c>
      <c r="D1828" s="2">
        <f>IFERROR(__xludf.DUMMYFUNCTION("""COMPUTED_VALUE"""),8.0)</f>
        <v>8</v>
      </c>
      <c r="E1828" s="6">
        <f>IFERROR(__xludf.DUMMYFUNCTION("""COMPUTED_VALUE"""),40148.59652777778)</f>
        <v>40148.59653</v>
      </c>
      <c r="F1828" s="2">
        <f>IFERROR(__xludf.DUMMYFUNCTION("""COMPUTED_VALUE"""),0.42)</f>
        <v>0.42</v>
      </c>
      <c r="G1828" s="2">
        <f>IFERROR(__xludf.DUMMYFUNCTION("""COMPUTED_VALUE"""),15005.0)</f>
        <v>15005</v>
      </c>
      <c r="H1828" s="2" t="str">
        <f>IFERROR(__xludf.DUMMYFUNCTION("""COMPUTED_VALUE"""),"United Kingdom")</f>
        <v>United Kingdom</v>
      </c>
      <c r="I1828" s="7">
        <f>IFERROR(__xludf.DUMMYFUNCTION("""COMPUTED_VALUE"""),40148.0)</f>
        <v>40148</v>
      </c>
      <c r="J1828" s="8">
        <f>IFERROR(__xludf.DUMMYFUNCTION("""COMPUTED_VALUE"""),0.5965277777795563)</f>
        <v>0.5965277778</v>
      </c>
      <c r="K1828" s="2">
        <f>IFERROR(__xludf.DUMMYFUNCTION("""COMPUTED_VALUE"""),14.0)</f>
        <v>14</v>
      </c>
      <c r="L1828" s="2">
        <f>IFERROR(__xludf.DUMMYFUNCTION("""COMPUTED_VALUE"""),3.36)</f>
        <v>3.36</v>
      </c>
    </row>
    <row r="1829">
      <c r="A1829" s="2">
        <f>IFERROR(__xludf.DUMMYFUNCTION("""COMPUTED_VALUE"""),489594.0)</f>
        <v>489594</v>
      </c>
      <c r="B1829" s="2" t="str">
        <f>IFERROR(__xludf.DUMMYFUNCTION("""COMPUTED_VALUE"""),"21875")</f>
        <v>21875</v>
      </c>
      <c r="C1829" s="2" t="str">
        <f>IFERROR(__xludf.DUMMYFUNCTION("""COMPUTED_VALUE"""),"KINGS CHOICE MUG")</f>
        <v>KINGS CHOICE MUG</v>
      </c>
      <c r="D1829" s="2">
        <f>IFERROR(__xludf.DUMMYFUNCTION("""COMPUTED_VALUE"""),2.0)</f>
        <v>2</v>
      </c>
      <c r="E1829" s="6">
        <f>IFERROR(__xludf.DUMMYFUNCTION("""COMPUTED_VALUE"""),40148.59652777778)</f>
        <v>40148.59653</v>
      </c>
      <c r="F1829" s="2">
        <f>IFERROR(__xludf.DUMMYFUNCTION("""COMPUTED_VALUE"""),1.25)</f>
        <v>1.25</v>
      </c>
      <c r="G1829" s="2">
        <f>IFERROR(__xludf.DUMMYFUNCTION("""COMPUTED_VALUE"""),15005.0)</f>
        <v>15005</v>
      </c>
      <c r="H1829" s="2" t="str">
        <f>IFERROR(__xludf.DUMMYFUNCTION("""COMPUTED_VALUE"""),"United Kingdom")</f>
        <v>United Kingdom</v>
      </c>
      <c r="I1829" s="7">
        <f>IFERROR(__xludf.DUMMYFUNCTION("""COMPUTED_VALUE"""),40148.0)</f>
        <v>40148</v>
      </c>
      <c r="J1829" s="8">
        <f>IFERROR(__xludf.DUMMYFUNCTION("""COMPUTED_VALUE"""),0.5965277777795563)</f>
        <v>0.5965277778</v>
      </c>
      <c r="K1829" s="2">
        <f>IFERROR(__xludf.DUMMYFUNCTION("""COMPUTED_VALUE"""),14.0)</f>
        <v>14</v>
      </c>
      <c r="L1829" s="2">
        <f>IFERROR(__xludf.DUMMYFUNCTION("""COMPUTED_VALUE"""),2.5)</f>
        <v>2.5</v>
      </c>
    </row>
    <row r="1830">
      <c r="A1830" s="2">
        <f>IFERROR(__xludf.DUMMYFUNCTION("""COMPUTED_VALUE"""),489594.0)</f>
        <v>489594</v>
      </c>
      <c r="B1830" s="2" t="str">
        <f>IFERROR(__xludf.DUMMYFUNCTION("""COMPUTED_VALUE"""),"37450")</f>
        <v>37450</v>
      </c>
      <c r="C1830" s="2" t="str">
        <f>IFERROR(__xludf.DUMMYFUNCTION("""COMPUTED_VALUE"""),"CERAMIC CAKE BOWL + HANGING CAKES")</f>
        <v>CERAMIC CAKE BOWL + HANGING CAKES</v>
      </c>
      <c r="D1830" s="2">
        <f>IFERROR(__xludf.DUMMYFUNCTION("""COMPUTED_VALUE"""),1.0)</f>
        <v>1</v>
      </c>
      <c r="E1830" s="6">
        <f>IFERROR(__xludf.DUMMYFUNCTION("""COMPUTED_VALUE"""),40148.59652777778)</f>
        <v>40148.59653</v>
      </c>
      <c r="F1830" s="2">
        <f>IFERROR(__xludf.DUMMYFUNCTION("""COMPUTED_VALUE"""),2.95)</f>
        <v>2.95</v>
      </c>
      <c r="G1830" s="2">
        <f>IFERROR(__xludf.DUMMYFUNCTION("""COMPUTED_VALUE"""),15005.0)</f>
        <v>15005</v>
      </c>
      <c r="H1830" s="2" t="str">
        <f>IFERROR(__xludf.DUMMYFUNCTION("""COMPUTED_VALUE"""),"United Kingdom")</f>
        <v>United Kingdom</v>
      </c>
      <c r="I1830" s="7">
        <f>IFERROR(__xludf.DUMMYFUNCTION("""COMPUTED_VALUE"""),40148.0)</f>
        <v>40148</v>
      </c>
      <c r="J1830" s="8">
        <f>IFERROR(__xludf.DUMMYFUNCTION("""COMPUTED_VALUE"""),0.5965277777795563)</f>
        <v>0.5965277778</v>
      </c>
      <c r="K1830" s="2">
        <f>IFERROR(__xludf.DUMMYFUNCTION("""COMPUTED_VALUE"""),14.0)</f>
        <v>14</v>
      </c>
      <c r="L1830" s="2">
        <f>IFERROR(__xludf.DUMMYFUNCTION("""COMPUTED_VALUE"""),2.95)</f>
        <v>2.95</v>
      </c>
    </row>
    <row r="1831">
      <c r="A1831" s="2">
        <f>IFERROR(__xludf.DUMMYFUNCTION("""COMPUTED_VALUE"""),489594.0)</f>
        <v>489594</v>
      </c>
      <c r="B1831" s="2" t="str">
        <f>IFERROR(__xludf.DUMMYFUNCTION("""COMPUTED_VALUE"""),"22068")</f>
        <v>22068</v>
      </c>
      <c r="C1831" s="2" t="str">
        <f>IFERROR(__xludf.DUMMYFUNCTION("""COMPUTED_VALUE"""),"BLACK PIRATE TREASURE CHEST")</f>
        <v>BLACK PIRATE TREASURE CHEST</v>
      </c>
      <c r="D1831" s="2">
        <f>IFERROR(__xludf.DUMMYFUNCTION("""COMPUTED_VALUE"""),2.0)</f>
        <v>2</v>
      </c>
      <c r="E1831" s="6">
        <f>IFERROR(__xludf.DUMMYFUNCTION("""COMPUTED_VALUE"""),40148.59652777778)</f>
        <v>40148.59653</v>
      </c>
      <c r="F1831" s="2">
        <f>IFERROR(__xludf.DUMMYFUNCTION("""COMPUTED_VALUE"""),1.65)</f>
        <v>1.65</v>
      </c>
      <c r="G1831" s="2">
        <f>IFERROR(__xludf.DUMMYFUNCTION("""COMPUTED_VALUE"""),15005.0)</f>
        <v>15005</v>
      </c>
      <c r="H1831" s="2" t="str">
        <f>IFERROR(__xludf.DUMMYFUNCTION("""COMPUTED_VALUE"""),"United Kingdom")</f>
        <v>United Kingdom</v>
      </c>
      <c r="I1831" s="7">
        <f>IFERROR(__xludf.DUMMYFUNCTION("""COMPUTED_VALUE"""),40148.0)</f>
        <v>40148</v>
      </c>
      <c r="J1831" s="8">
        <f>IFERROR(__xludf.DUMMYFUNCTION("""COMPUTED_VALUE"""),0.5965277777795563)</f>
        <v>0.5965277778</v>
      </c>
      <c r="K1831" s="2">
        <f>IFERROR(__xludf.DUMMYFUNCTION("""COMPUTED_VALUE"""),14.0)</f>
        <v>14</v>
      </c>
      <c r="L1831" s="2">
        <f>IFERROR(__xludf.DUMMYFUNCTION("""COMPUTED_VALUE"""),3.3)</f>
        <v>3.3</v>
      </c>
    </row>
    <row r="1832">
      <c r="A1832" s="2">
        <f>IFERROR(__xludf.DUMMYFUNCTION("""COMPUTED_VALUE"""),489594.0)</f>
        <v>489594</v>
      </c>
      <c r="B1832" s="2" t="str">
        <f>IFERROR(__xludf.DUMMYFUNCTION("""COMPUTED_VALUE"""),"22064")</f>
        <v>22064</v>
      </c>
      <c r="C1832" s="2" t="str">
        <f>IFERROR(__xludf.DUMMYFUNCTION("""COMPUTED_VALUE"""),"PINK DOUGHNUT TRINKET POT")</f>
        <v>PINK DOUGHNUT TRINKET POT</v>
      </c>
      <c r="D1832" s="2">
        <f>IFERROR(__xludf.DUMMYFUNCTION("""COMPUTED_VALUE"""),4.0)</f>
        <v>4</v>
      </c>
      <c r="E1832" s="6">
        <f>IFERROR(__xludf.DUMMYFUNCTION("""COMPUTED_VALUE"""),40148.59652777778)</f>
        <v>40148.59653</v>
      </c>
      <c r="F1832" s="2">
        <f>IFERROR(__xludf.DUMMYFUNCTION("""COMPUTED_VALUE"""),1.65)</f>
        <v>1.65</v>
      </c>
      <c r="G1832" s="2">
        <f>IFERROR(__xludf.DUMMYFUNCTION("""COMPUTED_VALUE"""),15005.0)</f>
        <v>15005</v>
      </c>
      <c r="H1832" s="2" t="str">
        <f>IFERROR(__xludf.DUMMYFUNCTION("""COMPUTED_VALUE"""),"United Kingdom")</f>
        <v>United Kingdom</v>
      </c>
      <c r="I1832" s="7">
        <f>IFERROR(__xludf.DUMMYFUNCTION("""COMPUTED_VALUE"""),40148.0)</f>
        <v>40148</v>
      </c>
      <c r="J1832" s="8">
        <f>IFERROR(__xludf.DUMMYFUNCTION("""COMPUTED_VALUE"""),0.5965277777795563)</f>
        <v>0.5965277778</v>
      </c>
      <c r="K1832" s="2">
        <f>IFERROR(__xludf.DUMMYFUNCTION("""COMPUTED_VALUE"""),14.0)</f>
        <v>14</v>
      </c>
      <c r="L1832" s="2">
        <f>IFERROR(__xludf.DUMMYFUNCTION("""COMPUTED_VALUE"""),6.6)</f>
        <v>6.6</v>
      </c>
    </row>
    <row r="1833">
      <c r="A1833" s="2">
        <f>IFERROR(__xludf.DUMMYFUNCTION("""COMPUTED_VALUE"""),489594.0)</f>
        <v>489594</v>
      </c>
      <c r="B1833" s="2" t="str">
        <f>IFERROR(__xludf.DUMMYFUNCTION("""COMPUTED_VALUE"""),"20726")</f>
        <v>20726</v>
      </c>
      <c r="C1833" s="2" t="str">
        <f>IFERROR(__xludf.DUMMYFUNCTION("""COMPUTED_VALUE"""),"LUNCH BAG WOODLAND")</f>
        <v>LUNCH BAG WOODLAND</v>
      </c>
      <c r="D1833" s="2">
        <f>IFERROR(__xludf.DUMMYFUNCTION("""COMPUTED_VALUE"""),4.0)</f>
        <v>4</v>
      </c>
      <c r="E1833" s="6">
        <f>IFERROR(__xludf.DUMMYFUNCTION("""COMPUTED_VALUE"""),40148.59652777778)</f>
        <v>40148.59653</v>
      </c>
      <c r="F1833" s="2">
        <f>IFERROR(__xludf.DUMMYFUNCTION("""COMPUTED_VALUE"""),1.65)</f>
        <v>1.65</v>
      </c>
      <c r="G1833" s="2">
        <f>IFERROR(__xludf.DUMMYFUNCTION("""COMPUTED_VALUE"""),15005.0)</f>
        <v>15005</v>
      </c>
      <c r="H1833" s="2" t="str">
        <f>IFERROR(__xludf.DUMMYFUNCTION("""COMPUTED_VALUE"""),"United Kingdom")</f>
        <v>United Kingdom</v>
      </c>
      <c r="I1833" s="7">
        <f>IFERROR(__xludf.DUMMYFUNCTION("""COMPUTED_VALUE"""),40148.0)</f>
        <v>40148</v>
      </c>
      <c r="J1833" s="8">
        <f>IFERROR(__xludf.DUMMYFUNCTION("""COMPUTED_VALUE"""),0.5965277777795563)</f>
        <v>0.5965277778</v>
      </c>
      <c r="K1833" s="2">
        <f>IFERROR(__xludf.DUMMYFUNCTION("""COMPUTED_VALUE"""),14.0)</f>
        <v>14</v>
      </c>
      <c r="L1833" s="2">
        <f>IFERROR(__xludf.DUMMYFUNCTION("""COMPUTED_VALUE"""),6.6)</f>
        <v>6.6</v>
      </c>
    </row>
    <row r="1834">
      <c r="A1834" s="2">
        <f>IFERROR(__xludf.DUMMYFUNCTION("""COMPUTED_VALUE"""),489594.0)</f>
        <v>489594</v>
      </c>
      <c r="B1834" s="2" t="str">
        <f>IFERROR(__xludf.DUMMYFUNCTION("""COMPUTED_VALUE"""),"20725")</f>
        <v>20725</v>
      </c>
      <c r="C1834" s="2" t="str">
        <f>IFERROR(__xludf.DUMMYFUNCTION("""COMPUTED_VALUE"""),"LUNCH BAG RED SPOTTY")</f>
        <v>LUNCH BAG RED SPOTTY</v>
      </c>
      <c r="D1834" s="2">
        <f>IFERROR(__xludf.DUMMYFUNCTION("""COMPUTED_VALUE"""),3.0)</f>
        <v>3</v>
      </c>
      <c r="E1834" s="6">
        <f>IFERROR(__xludf.DUMMYFUNCTION("""COMPUTED_VALUE"""),40148.59652777778)</f>
        <v>40148.59653</v>
      </c>
      <c r="F1834" s="2">
        <f>IFERROR(__xludf.DUMMYFUNCTION("""COMPUTED_VALUE"""),1.65)</f>
        <v>1.65</v>
      </c>
      <c r="G1834" s="2">
        <f>IFERROR(__xludf.DUMMYFUNCTION("""COMPUTED_VALUE"""),15005.0)</f>
        <v>15005</v>
      </c>
      <c r="H1834" s="2" t="str">
        <f>IFERROR(__xludf.DUMMYFUNCTION("""COMPUTED_VALUE"""),"United Kingdom")</f>
        <v>United Kingdom</v>
      </c>
      <c r="I1834" s="7">
        <f>IFERROR(__xludf.DUMMYFUNCTION("""COMPUTED_VALUE"""),40148.0)</f>
        <v>40148</v>
      </c>
      <c r="J1834" s="8">
        <f>IFERROR(__xludf.DUMMYFUNCTION("""COMPUTED_VALUE"""),0.5965277777795563)</f>
        <v>0.5965277778</v>
      </c>
      <c r="K1834" s="2">
        <f>IFERROR(__xludf.DUMMYFUNCTION("""COMPUTED_VALUE"""),14.0)</f>
        <v>14</v>
      </c>
      <c r="L1834" s="2">
        <f>IFERROR(__xludf.DUMMYFUNCTION("""COMPUTED_VALUE"""),4.94999999999999)</f>
        <v>4.95</v>
      </c>
    </row>
    <row r="1835">
      <c r="A1835" s="2">
        <f>IFERROR(__xludf.DUMMYFUNCTION("""COMPUTED_VALUE"""),489594.0)</f>
        <v>489594</v>
      </c>
      <c r="B1835" s="2" t="str">
        <f>IFERROR(__xludf.DUMMYFUNCTION("""COMPUTED_VALUE"""),"21216")</f>
        <v>21216</v>
      </c>
      <c r="C1835" s="2" t="str">
        <f>IFERROR(__xludf.DUMMYFUNCTION("""COMPUTED_VALUE"""),"SET 3 RED SPOT TIN TEA,COFFEE,SUGAR")</f>
        <v>SET 3 RED SPOT TIN TEA,COFFEE,SUGAR</v>
      </c>
      <c r="D1835" s="2">
        <f>IFERROR(__xludf.DUMMYFUNCTION("""COMPUTED_VALUE"""),1.0)</f>
        <v>1</v>
      </c>
      <c r="E1835" s="6">
        <f>IFERROR(__xludf.DUMMYFUNCTION("""COMPUTED_VALUE"""),40148.59652777778)</f>
        <v>40148.59653</v>
      </c>
      <c r="F1835" s="2">
        <f>IFERROR(__xludf.DUMMYFUNCTION("""COMPUTED_VALUE"""),4.95)</f>
        <v>4.95</v>
      </c>
      <c r="G1835" s="2">
        <f>IFERROR(__xludf.DUMMYFUNCTION("""COMPUTED_VALUE"""),15005.0)</f>
        <v>15005</v>
      </c>
      <c r="H1835" s="2" t="str">
        <f>IFERROR(__xludf.DUMMYFUNCTION("""COMPUTED_VALUE"""),"United Kingdom")</f>
        <v>United Kingdom</v>
      </c>
      <c r="I1835" s="7">
        <f>IFERROR(__xludf.DUMMYFUNCTION("""COMPUTED_VALUE"""),40148.0)</f>
        <v>40148</v>
      </c>
      <c r="J1835" s="8">
        <f>IFERROR(__xludf.DUMMYFUNCTION("""COMPUTED_VALUE"""),0.5965277777795563)</f>
        <v>0.5965277778</v>
      </c>
      <c r="K1835" s="2">
        <f>IFERROR(__xludf.DUMMYFUNCTION("""COMPUTED_VALUE"""),14.0)</f>
        <v>14</v>
      </c>
      <c r="L1835" s="2">
        <f>IFERROR(__xludf.DUMMYFUNCTION("""COMPUTED_VALUE"""),4.95)</f>
        <v>4.95</v>
      </c>
    </row>
    <row r="1836">
      <c r="A1836" s="2">
        <f>IFERROR(__xludf.DUMMYFUNCTION("""COMPUTED_VALUE"""),489594.0)</f>
        <v>489594</v>
      </c>
      <c r="B1836" s="2" t="str">
        <f>IFERROR(__xludf.DUMMYFUNCTION("""COMPUTED_VALUE"""),"22114")</f>
        <v>22114</v>
      </c>
      <c r="C1836" s="2" t="str">
        <f>IFERROR(__xludf.DUMMYFUNCTION("""COMPUTED_VALUE"""),"HOT WATER BOTTLE TEA AND SYMPATHY")</f>
        <v>HOT WATER BOTTLE TEA AND SYMPATHY</v>
      </c>
      <c r="D1836" s="2">
        <f>IFERROR(__xludf.DUMMYFUNCTION("""COMPUTED_VALUE"""),3.0)</f>
        <v>3</v>
      </c>
      <c r="E1836" s="6">
        <f>IFERROR(__xludf.DUMMYFUNCTION("""COMPUTED_VALUE"""),40148.59652777778)</f>
        <v>40148.59653</v>
      </c>
      <c r="F1836" s="2">
        <f>IFERROR(__xludf.DUMMYFUNCTION("""COMPUTED_VALUE"""),3.95)</f>
        <v>3.95</v>
      </c>
      <c r="G1836" s="2">
        <f>IFERROR(__xludf.DUMMYFUNCTION("""COMPUTED_VALUE"""),15005.0)</f>
        <v>15005</v>
      </c>
      <c r="H1836" s="2" t="str">
        <f>IFERROR(__xludf.DUMMYFUNCTION("""COMPUTED_VALUE"""),"United Kingdom")</f>
        <v>United Kingdom</v>
      </c>
      <c r="I1836" s="7">
        <f>IFERROR(__xludf.DUMMYFUNCTION("""COMPUTED_VALUE"""),40148.0)</f>
        <v>40148</v>
      </c>
      <c r="J1836" s="8">
        <f>IFERROR(__xludf.DUMMYFUNCTION("""COMPUTED_VALUE"""),0.5965277777795563)</f>
        <v>0.5965277778</v>
      </c>
      <c r="K1836" s="2">
        <f>IFERROR(__xludf.DUMMYFUNCTION("""COMPUTED_VALUE"""),14.0)</f>
        <v>14</v>
      </c>
      <c r="L1836" s="2">
        <f>IFERROR(__xludf.DUMMYFUNCTION("""COMPUTED_VALUE"""),11.85)</f>
        <v>11.85</v>
      </c>
    </row>
    <row r="1837">
      <c r="A1837" s="2">
        <f>IFERROR(__xludf.DUMMYFUNCTION("""COMPUTED_VALUE"""),489594.0)</f>
        <v>489594</v>
      </c>
      <c r="B1837" s="2" t="str">
        <f>IFERROR(__xludf.DUMMYFUNCTION("""COMPUTED_VALUE"""),"22187")</f>
        <v>22187</v>
      </c>
      <c r="C1837" s="2" t="str">
        <f>IFERROR(__xludf.DUMMYFUNCTION("""COMPUTED_VALUE"""),"GREEN CHRISTMAS TREE CARD HOLDER")</f>
        <v>GREEN CHRISTMAS TREE CARD HOLDER</v>
      </c>
      <c r="D1837" s="2">
        <f>IFERROR(__xludf.DUMMYFUNCTION("""COMPUTED_VALUE"""),2.0)</f>
        <v>2</v>
      </c>
      <c r="E1837" s="6">
        <f>IFERROR(__xludf.DUMMYFUNCTION("""COMPUTED_VALUE"""),40148.59652777778)</f>
        <v>40148.59653</v>
      </c>
      <c r="F1837" s="2">
        <f>IFERROR(__xludf.DUMMYFUNCTION("""COMPUTED_VALUE"""),4.25)</f>
        <v>4.25</v>
      </c>
      <c r="G1837" s="2">
        <f>IFERROR(__xludf.DUMMYFUNCTION("""COMPUTED_VALUE"""),15005.0)</f>
        <v>15005</v>
      </c>
      <c r="H1837" s="2" t="str">
        <f>IFERROR(__xludf.DUMMYFUNCTION("""COMPUTED_VALUE"""),"United Kingdom")</f>
        <v>United Kingdom</v>
      </c>
      <c r="I1837" s="7">
        <f>IFERROR(__xludf.DUMMYFUNCTION("""COMPUTED_VALUE"""),40148.0)</f>
        <v>40148</v>
      </c>
      <c r="J1837" s="8">
        <f>IFERROR(__xludf.DUMMYFUNCTION("""COMPUTED_VALUE"""),0.5965277777795563)</f>
        <v>0.5965277778</v>
      </c>
      <c r="K1837" s="2">
        <f>IFERROR(__xludf.DUMMYFUNCTION("""COMPUTED_VALUE"""),14.0)</f>
        <v>14</v>
      </c>
      <c r="L1837" s="2">
        <f>IFERROR(__xludf.DUMMYFUNCTION("""COMPUTED_VALUE"""),8.5)</f>
        <v>8.5</v>
      </c>
    </row>
    <row r="1838">
      <c r="A1838" s="2">
        <f>IFERROR(__xludf.DUMMYFUNCTION("""COMPUTED_VALUE"""),489594.0)</f>
        <v>489594</v>
      </c>
      <c r="B1838" s="2" t="str">
        <f>IFERROR(__xludf.DUMMYFUNCTION("""COMPUTED_VALUE"""),"82482")</f>
        <v>82482</v>
      </c>
      <c r="C1838" s="2" t="str">
        <f>IFERROR(__xludf.DUMMYFUNCTION("""COMPUTED_VALUE"""),"WOODEN PICTURE FRAME WHITE FINISH")</f>
        <v>WOODEN PICTURE FRAME WHITE FINISH</v>
      </c>
      <c r="D1838" s="2">
        <f>IFERROR(__xludf.DUMMYFUNCTION("""COMPUTED_VALUE"""),6.0)</f>
        <v>6</v>
      </c>
      <c r="E1838" s="6">
        <f>IFERROR(__xludf.DUMMYFUNCTION("""COMPUTED_VALUE"""),40148.59652777778)</f>
        <v>40148.59653</v>
      </c>
      <c r="F1838" s="2">
        <f>IFERROR(__xludf.DUMMYFUNCTION("""COMPUTED_VALUE"""),2.55)</f>
        <v>2.55</v>
      </c>
      <c r="G1838" s="2">
        <f>IFERROR(__xludf.DUMMYFUNCTION("""COMPUTED_VALUE"""),15005.0)</f>
        <v>15005</v>
      </c>
      <c r="H1838" s="2" t="str">
        <f>IFERROR(__xludf.DUMMYFUNCTION("""COMPUTED_VALUE"""),"United Kingdom")</f>
        <v>United Kingdom</v>
      </c>
      <c r="I1838" s="7">
        <f>IFERROR(__xludf.DUMMYFUNCTION("""COMPUTED_VALUE"""),40148.0)</f>
        <v>40148</v>
      </c>
      <c r="J1838" s="8">
        <f>IFERROR(__xludf.DUMMYFUNCTION("""COMPUTED_VALUE"""),0.5965277777795563)</f>
        <v>0.5965277778</v>
      </c>
      <c r="K1838" s="2">
        <f>IFERROR(__xludf.DUMMYFUNCTION("""COMPUTED_VALUE"""),14.0)</f>
        <v>14</v>
      </c>
      <c r="L1838" s="2">
        <f>IFERROR(__xludf.DUMMYFUNCTION("""COMPUTED_VALUE"""),15.2999999999999)</f>
        <v>15.3</v>
      </c>
    </row>
    <row r="1839">
      <c r="A1839" s="2">
        <f>IFERROR(__xludf.DUMMYFUNCTION("""COMPUTED_VALUE"""),489594.0)</f>
        <v>489594</v>
      </c>
      <c r="B1839" s="2" t="str">
        <f>IFERROR(__xludf.DUMMYFUNCTION("""COMPUTED_VALUE"""),"21231")</f>
        <v>21231</v>
      </c>
      <c r="C1839" s="2" t="str">
        <f>IFERROR(__xludf.DUMMYFUNCTION("""COMPUTED_VALUE"""),"SWEETHEART CERAMIC TRINKET BOX")</f>
        <v>SWEETHEART CERAMIC TRINKET BOX</v>
      </c>
      <c r="D1839" s="2">
        <f>IFERROR(__xludf.DUMMYFUNCTION("""COMPUTED_VALUE"""),11.0)</f>
        <v>11</v>
      </c>
      <c r="E1839" s="6">
        <f>IFERROR(__xludf.DUMMYFUNCTION("""COMPUTED_VALUE"""),40148.59652777778)</f>
        <v>40148.59653</v>
      </c>
      <c r="F1839" s="2">
        <f>IFERROR(__xludf.DUMMYFUNCTION("""COMPUTED_VALUE"""),1.25)</f>
        <v>1.25</v>
      </c>
      <c r="G1839" s="2">
        <f>IFERROR(__xludf.DUMMYFUNCTION("""COMPUTED_VALUE"""),15005.0)</f>
        <v>15005</v>
      </c>
      <c r="H1839" s="2" t="str">
        <f>IFERROR(__xludf.DUMMYFUNCTION("""COMPUTED_VALUE"""),"United Kingdom")</f>
        <v>United Kingdom</v>
      </c>
      <c r="I1839" s="7">
        <f>IFERROR(__xludf.DUMMYFUNCTION("""COMPUTED_VALUE"""),40148.0)</f>
        <v>40148</v>
      </c>
      <c r="J1839" s="8">
        <f>IFERROR(__xludf.DUMMYFUNCTION("""COMPUTED_VALUE"""),0.5965277777795563)</f>
        <v>0.5965277778</v>
      </c>
      <c r="K1839" s="2">
        <f>IFERROR(__xludf.DUMMYFUNCTION("""COMPUTED_VALUE"""),14.0)</f>
        <v>14</v>
      </c>
      <c r="L1839" s="2">
        <f>IFERROR(__xludf.DUMMYFUNCTION("""COMPUTED_VALUE"""),13.75)</f>
        <v>13.75</v>
      </c>
    </row>
    <row r="1840">
      <c r="A1840" s="2"/>
      <c r="B1840" s="2" t="str">
        <f>IFERROR(__xludf.DUMMYFUNCTION("""COMPUTED_VALUE"""),"21752")</f>
        <v>21752</v>
      </c>
      <c r="C1840" s="2" t="str">
        <f>IFERROR(__xludf.DUMMYFUNCTION("""COMPUTED_VALUE"""),"GLASS CAKE STAND MIRRORED BASE")</f>
        <v>GLASS CAKE STAND MIRRORED BASE</v>
      </c>
      <c r="D1840" s="2">
        <f>IFERROR(__xludf.DUMMYFUNCTION("""COMPUTED_VALUE"""),-1.0)</f>
        <v>-1</v>
      </c>
      <c r="E1840" s="6">
        <f>IFERROR(__xludf.DUMMYFUNCTION("""COMPUTED_VALUE"""),40148.59722222222)</f>
        <v>40148.59722</v>
      </c>
      <c r="F1840" s="2">
        <f>IFERROR(__xludf.DUMMYFUNCTION("""COMPUTED_VALUE"""),14.95)</f>
        <v>14.95</v>
      </c>
      <c r="G1840" s="2">
        <f>IFERROR(__xludf.DUMMYFUNCTION("""COMPUTED_VALUE"""),15254.0)</f>
        <v>15254</v>
      </c>
      <c r="H1840" s="2" t="str">
        <f>IFERROR(__xludf.DUMMYFUNCTION("""COMPUTED_VALUE"""),"United Kingdom")</f>
        <v>United Kingdom</v>
      </c>
      <c r="I1840" s="7">
        <f>IFERROR(__xludf.DUMMYFUNCTION("""COMPUTED_VALUE"""),40148.0)</f>
        <v>40148</v>
      </c>
      <c r="J1840" s="8">
        <f>IFERROR(__xludf.DUMMYFUNCTION("""COMPUTED_VALUE"""),0.5972222222226264)</f>
        <v>0.5972222222</v>
      </c>
      <c r="K1840" s="2">
        <f>IFERROR(__xludf.DUMMYFUNCTION("""COMPUTED_VALUE"""),14.0)</f>
        <v>14</v>
      </c>
      <c r="L1840" s="2">
        <f>IFERROR(__xludf.DUMMYFUNCTION("""COMPUTED_VALUE"""),-14.95)</f>
        <v>-14.95</v>
      </c>
    </row>
    <row r="1841">
      <c r="A1841" s="2">
        <f>IFERROR(__xludf.DUMMYFUNCTION("""COMPUTED_VALUE"""),489596.0)</f>
        <v>489596</v>
      </c>
      <c r="B1841" s="2" t="str">
        <f>IFERROR(__xludf.DUMMYFUNCTION("""COMPUTED_VALUE"""),"22275")</f>
        <v>22275</v>
      </c>
      <c r="C1841" s="2" t="str">
        <f>IFERROR(__xludf.DUMMYFUNCTION("""COMPUTED_VALUE"""),"WEEKEND BAG VINTAGE ROSE PAISLEY")</f>
        <v>WEEKEND BAG VINTAGE ROSE PAISLEY</v>
      </c>
      <c r="D1841" s="2">
        <f>IFERROR(__xludf.DUMMYFUNCTION("""COMPUTED_VALUE"""),2.0)</f>
        <v>2</v>
      </c>
      <c r="E1841" s="6">
        <f>IFERROR(__xludf.DUMMYFUNCTION("""COMPUTED_VALUE"""),40148.60208333333)</f>
        <v>40148.60208</v>
      </c>
      <c r="F1841" s="2">
        <f>IFERROR(__xludf.DUMMYFUNCTION("""COMPUTED_VALUE"""),8.5)</f>
        <v>8.5</v>
      </c>
      <c r="G1841" s="2"/>
      <c r="H1841" s="2" t="str">
        <f>IFERROR(__xludf.DUMMYFUNCTION("""COMPUTED_VALUE"""),"United Kingdom")</f>
        <v>United Kingdom</v>
      </c>
      <c r="I1841" s="7">
        <f>IFERROR(__xludf.DUMMYFUNCTION("""COMPUTED_VALUE"""),40148.0)</f>
        <v>40148</v>
      </c>
      <c r="J1841" s="8">
        <f>IFERROR(__xludf.DUMMYFUNCTION("""COMPUTED_VALUE"""),0.6020833333350311)</f>
        <v>0.6020833333</v>
      </c>
      <c r="K1841" s="2">
        <f>IFERROR(__xludf.DUMMYFUNCTION("""COMPUTED_VALUE"""),14.0)</f>
        <v>14</v>
      </c>
      <c r="L1841" s="2">
        <f>IFERROR(__xludf.DUMMYFUNCTION("""COMPUTED_VALUE"""),17.0)</f>
        <v>17</v>
      </c>
    </row>
    <row r="1842">
      <c r="A1842" s="2">
        <f>IFERROR(__xludf.DUMMYFUNCTION("""COMPUTED_VALUE"""),489597.0)</f>
        <v>489597</v>
      </c>
      <c r="B1842" s="2" t="str">
        <f>IFERROR(__xludf.DUMMYFUNCTION("""COMPUTED_VALUE"""),"17012A")</f>
        <v>17012A</v>
      </c>
      <c r="C1842" s="2" t="str">
        <f>IFERROR(__xludf.DUMMYFUNCTION("""COMPUTED_VALUE"""),"ORIGAMI VANILLA INCENSE/CANDLE SET")</f>
        <v>ORIGAMI VANILLA INCENSE/CANDLE SET</v>
      </c>
      <c r="D1842" s="2">
        <f>IFERROR(__xludf.DUMMYFUNCTION("""COMPUTED_VALUE"""),1.0)</f>
        <v>1</v>
      </c>
      <c r="E1842" s="6">
        <f>IFERROR(__xludf.DUMMYFUNCTION("""COMPUTED_VALUE"""),40148.60277777778)</f>
        <v>40148.60278</v>
      </c>
      <c r="F1842" s="2">
        <f>IFERROR(__xludf.DUMMYFUNCTION("""COMPUTED_VALUE"""),5.17)</f>
        <v>5.17</v>
      </c>
      <c r="G1842" s="2"/>
      <c r="H1842" s="2" t="str">
        <f>IFERROR(__xludf.DUMMYFUNCTION("""COMPUTED_VALUE"""),"United Kingdom")</f>
        <v>United Kingdom</v>
      </c>
      <c r="I1842" s="7">
        <f>IFERROR(__xludf.DUMMYFUNCTION("""COMPUTED_VALUE"""),40148.0)</f>
        <v>40148</v>
      </c>
      <c r="J1842" s="8">
        <f>IFERROR(__xludf.DUMMYFUNCTION("""COMPUTED_VALUE"""),0.6027777777781012)</f>
        <v>0.6027777778</v>
      </c>
      <c r="K1842" s="2">
        <f>IFERROR(__xludf.DUMMYFUNCTION("""COMPUTED_VALUE"""),14.0)</f>
        <v>14</v>
      </c>
      <c r="L1842" s="2">
        <f>IFERROR(__xludf.DUMMYFUNCTION("""COMPUTED_VALUE"""),5.17)</f>
        <v>5.17</v>
      </c>
    </row>
    <row r="1843">
      <c r="A1843" s="2">
        <f>IFERROR(__xludf.DUMMYFUNCTION("""COMPUTED_VALUE"""),489597.0)</f>
        <v>489597</v>
      </c>
      <c r="B1843" s="2" t="str">
        <f>IFERROR(__xludf.DUMMYFUNCTION("""COMPUTED_VALUE"""),"17129D")</f>
        <v>17129D</v>
      </c>
      <c r="C1843" s="2" t="str">
        <f>IFERROR(__xludf.DUMMYFUNCTION("""COMPUTED_VALUE"""),"CLEAR COLOUR GLASS GEMS IN BAG")</f>
        <v>CLEAR COLOUR GLASS GEMS IN BAG</v>
      </c>
      <c r="D1843" s="2">
        <f>IFERROR(__xludf.DUMMYFUNCTION("""COMPUTED_VALUE"""),1.0)</f>
        <v>1</v>
      </c>
      <c r="E1843" s="6">
        <f>IFERROR(__xludf.DUMMYFUNCTION("""COMPUTED_VALUE"""),40148.60277777778)</f>
        <v>40148.60278</v>
      </c>
      <c r="F1843" s="2">
        <f>IFERROR(__xludf.DUMMYFUNCTION("""COMPUTED_VALUE"""),1.7)</f>
        <v>1.7</v>
      </c>
      <c r="G1843" s="2"/>
      <c r="H1843" s="2" t="str">
        <f>IFERROR(__xludf.DUMMYFUNCTION("""COMPUTED_VALUE"""),"United Kingdom")</f>
        <v>United Kingdom</v>
      </c>
      <c r="I1843" s="7">
        <f>IFERROR(__xludf.DUMMYFUNCTION("""COMPUTED_VALUE"""),40148.0)</f>
        <v>40148</v>
      </c>
      <c r="J1843" s="8">
        <f>IFERROR(__xludf.DUMMYFUNCTION("""COMPUTED_VALUE"""),0.6027777777781012)</f>
        <v>0.6027777778</v>
      </c>
      <c r="K1843" s="2">
        <f>IFERROR(__xludf.DUMMYFUNCTION("""COMPUTED_VALUE"""),14.0)</f>
        <v>14</v>
      </c>
      <c r="L1843" s="2">
        <f>IFERROR(__xludf.DUMMYFUNCTION("""COMPUTED_VALUE"""),1.7)</f>
        <v>1.7</v>
      </c>
    </row>
    <row r="1844">
      <c r="A1844" s="2">
        <f>IFERROR(__xludf.DUMMYFUNCTION("""COMPUTED_VALUE"""),489597.0)</f>
        <v>489597</v>
      </c>
      <c r="B1844" s="2" t="str">
        <f>IFERROR(__xludf.DUMMYFUNCTION("""COMPUTED_VALUE"""),"20616")</f>
        <v>20616</v>
      </c>
      <c r="C1844" s="2" t="str">
        <f>IFERROR(__xludf.DUMMYFUNCTION("""COMPUTED_VALUE"""),"CHERRY BLOSSOM PASSPORT COVER")</f>
        <v>CHERRY BLOSSOM PASSPORT COVER</v>
      </c>
      <c r="D1844" s="2">
        <f>IFERROR(__xludf.DUMMYFUNCTION("""COMPUTED_VALUE"""),1.0)</f>
        <v>1</v>
      </c>
      <c r="E1844" s="6">
        <f>IFERROR(__xludf.DUMMYFUNCTION("""COMPUTED_VALUE"""),40148.60277777778)</f>
        <v>40148.60278</v>
      </c>
      <c r="F1844" s="2">
        <f>IFERROR(__xludf.DUMMYFUNCTION("""COMPUTED_VALUE"""),4.3)</f>
        <v>4.3</v>
      </c>
      <c r="G1844" s="2"/>
      <c r="H1844" s="2" t="str">
        <f>IFERROR(__xludf.DUMMYFUNCTION("""COMPUTED_VALUE"""),"United Kingdom")</f>
        <v>United Kingdom</v>
      </c>
      <c r="I1844" s="7">
        <f>IFERROR(__xludf.DUMMYFUNCTION("""COMPUTED_VALUE"""),40148.0)</f>
        <v>40148</v>
      </c>
      <c r="J1844" s="8">
        <f>IFERROR(__xludf.DUMMYFUNCTION("""COMPUTED_VALUE"""),0.6027777777781012)</f>
        <v>0.6027777778</v>
      </c>
      <c r="K1844" s="2">
        <f>IFERROR(__xludf.DUMMYFUNCTION("""COMPUTED_VALUE"""),14.0)</f>
        <v>14</v>
      </c>
      <c r="L1844" s="2">
        <f>IFERROR(__xludf.DUMMYFUNCTION("""COMPUTED_VALUE"""),4.3)</f>
        <v>4.3</v>
      </c>
    </row>
    <row r="1845">
      <c r="A1845" s="2">
        <f>IFERROR(__xludf.DUMMYFUNCTION("""COMPUTED_VALUE"""),489597.0)</f>
        <v>489597</v>
      </c>
      <c r="B1845" s="2" t="str">
        <f>IFERROR(__xludf.DUMMYFUNCTION("""COMPUTED_VALUE"""),"20618")</f>
        <v>20618</v>
      </c>
      <c r="C1845" s="2" t="str">
        <f>IFERROR(__xludf.DUMMYFUNCTION("""COMPUTED_VALUE"""),"QUEEN OF THE SKIES PASSPORT COVER")</f>
        <v>QUEEN OF THE SKIES PASSPORT COVER</v>
      </c>
      <c r="D1845" s="2">
        <f>IFERROR(__xludf.DUMMYFUNCTION("""COMPUTED_VALUE"""),1.0)</f>
        <v>1</v>
      </c>
      <c r="E1845" s="6">
        <f>IFERROR(__xludf.DUMMYFUNCTION("""COMPUTED_VALUE"""),40148.60277777778)</f>
        <v>40148.60278</v>
      </c>
      <c r="F1845" s="2">
        <f>IFERROR(__xludf.DUMMYFUNCTION("""COMPUTED_VALUE"""),4.3)</f>
        <v>4.3</v>
      </c>
      <c r="G1845" s="2"/>
      <c r="H1845" s="2" t="str">
        <f>IFERROR(__xludf.DUMMYFUNCTION("""COMPUTED_VALUE"""),"United Kingdom")</f>
        <v>United Kingdom</v>
      </c>
      <c r="I1845" s="7">
        <f>IFERROR(__xludf.DUMMYFUNCTION("""COMPUTED_VALUE"""),40148.0)</f>
        <v>40148</v>
      </c>
      <c r="J1845" s="8">
        <f>IFERROR(__xludf.DUMMYFUNCTION("""COMPUTED_VALUE"""),0.6027777777781012)</f>
        <v>0.6027777778</v>
      </c>
      <c r="K1845" s="2">
        <f>IFERROR(__xludf.DUMMYFUNCTION("""COMPUTED_VALUE"""),14.0)</f>
        <v>14</v>
      </c>
      <c r="L1845" s="2">
        <f>IFERROR(__xludf.DUMMYFUNCTION("""COMPUTED_VALUE"""),4.3)</f>
        <v>4.3</v>
      </c>
    </row>
    <row r="1846">
      <c r="A1846" s="2">
        <f>IFERROR(__xludf.DUMMYFUNCTION("""COMPUTED_VALUE"""),489597.0)</f>
        <v>489597</v>
      </c>
      <c r="B1846" s="2" t="str">
        <f>IFERROR(__xludf.DUMMYFUNCTION("""COMPUTED_VALUE"""),"20652")</f>
        <v>20652</v>
      </c>
      <c r="C1846" s="2" t="str">
        <f>IFERROR(__xludf.DUMMYFUNCTION("""COMPUTED_VALUE"""),"BLUE SPOTTY LUGGAGE TAG")</f>
        <v>BLUE SPOTTY LUGGAGE TAG</v>
      </c>
      <c r="D1846" s="2">
        <f>IFERROR(__xludf.DUMMYFUNCTION("""COMPUTED_VALUE"""),1.0)</f>
        <v>1</v>
      </c>
      <c r="E1846" s="6">
        <f>IFERROR(__xludf.DUMMYFUNCTION("""COMPUTED_VALUE"""),40148.60277777778)</f>
        <v>40148.60278</v>
      </c>
      <c r="F1846" s="2">
        <f>IFERROR(__xludf.DUMMYFUNCTION("""COMPUTED_VALUE"""),2.57)</f>
        <v>2.57</v>
      </c>
      <c r="G1846" s="2"/>
      <c r="H1846" s="2" t="str">
        <f>IFERROR(__xludf.DUMMYFUNCTION("""COMPUTED_VALUE"""),"United Kingdom")</f>
        <v>United Kingdom</v>
      </c>
      <c r="I1846" s="7">
        <f>IFERROR(__xludf.DUMMYFUNCTION("""COMPUTED_VALUE"""),40148.0)</f>
        <v>40148</v>
      </c>
      <c r="J1846" s="8">
        <f>IFERROR(__xludf.DUMMYFUNCTION("""COMPUTED_VALUE"""),0.6027777777781012)</f>
        <v>0.6027777778</v>
      </c>
      <c r="K1846" s="2">
        <f>IFERROR(__xludf.DUMMYFUNCTION("""COMPUTED_VALUE"""),14.0)</f>
        <v>14</v>
      </c>
      <c r="L1846" s="2">
        <f>IFERROR(__xludf.DUMMYFUNCTION("""COMPUTED_VALUE"""),2.57)</f>
        <v>2.57</v>
      </c>
    </row>
    <row r="1847">
      <c r="A1847" s="2">
        <f>IFERROR(__xludf.DUMMYFUNCTION("""COMPUTED_VALUE"""),489597.0)</f>
        <v>489597</v>
      </c>
      <c r="B1847" s="2" t="str">
        <f>IFERROR(__xludf.DUMMYFUNCTION("""COMPUTED_VALUE"""),"20654")</f>
        <v>20654</v>
      </c>
      <c r="C1847" s="2" t="str">
        <f>IFERROR(__xludf.DUMMYFUNCTION("""COMPUTED_VALUE"""),"FIRST CLASS LUGGAGE TAG")</f>
        <v>FIRST CLASS LUGGAGE TAG</v>
      </c>
      <c r="D1847" s="2">
        <f>IFERROR(__xludf.DUMMYFUNCTION("""COMPUTED_VALUE"""),1.0)</f>
        <v>1</v>
      </c>
      <c r="E1847" s="6">
        <f>IFERROR(__xludf.DUMMYFUNCTION("""COMPUTED_VALUE"""),40148.60277777778)</f>
        <v>40148.60278</v>
      </c>
      <c r="F1847" s="2">
        <f>IFERROR(__xludf.DUMMYFUNCTION("""COMPUTED_VALUE"""),2.57)</f>
        <v>2.57</v>
      </c>
      <c r="G1847" s="2"/>
      <c r="H1847" s="2" t="str">
        <f>IFERROR(__xludf.DUMMYFUNCTION("""COMPUTED_VALUE"""),"United Kingdom")</f>
        <v>United Kingdom</v>
      </c>
      <c r="I1847" s="7">
        <f>IFERROR(__xludf.DUMMYFUNCTION("""COMPUTED_VALUE"""),40148.0)</f>
        <v>40148</v>
      </c>
      <c r="J1847" s="8">
        <f>IFERROR(__xludf.DUMMYFUNCTION("""COMPUTED_VALUE"""),0.6027777777781012)</f>
        <v>0.6027777778</v>
      </c>
      <c r="K1847" s="2">
        <f>IFERROR(__xludf.DUMMYFUNCTION("""COMPUTED_VALUE"""),14.0)</f>
        <v>14</v>
      </c>
      <c r="L1847" s="2">
        <f>IFERROR(__xludf.DUMMYFUNCTION("""COMPUTED_VALUE"""),2.57)</f>
        <v>2.57</v>
      </c>
    </row>
    <row r="1848">
      <c r="A1848" s="2">
        <f>IFERROR(__xludf.DUMMYFUNCTION("""COMPUTED_VALUE"""),489597.0)</f>
        <v>489597</v>
      </c>
      <c r="B1848" s="2" t="str">
        <f>IFERROR(__xludf.DUMMYFUNCTION("""COMPUTED_VALUE"""),"20655")</f>
        <v>20655</v>
      </c>
      <c r="C1848" s="2" t="str">
        <f>IFERROR(__xludf.DUMMYFUNCTION("""COMPUTED_VALUE"""),"QUEEN OF SKIES LUGGAGE TAG")</f>
        <v>QUEEN OF SKIES LUGGAGE TAG</v>
      </c>
      <c r="D1848" s="2">
        <f>IFERROR(__xludf.DUMMYFUNCTION("""COMPUTED_VALUE"""),1.0)</f>
        <v>1</v>
      </c>
      <c r="E1848" s="6">
        <f>IFERROR(__xludf.DUMMYFUNCTION("""COMPUTED_VALUE"""),40148.60277777778)</f>
        <v>40148.60278</v>
      </c>
      <c r="F1848" s="2">
        <f>IFERROR(__xludf.DUMMYFUNCTION("""COMPUTED_VALUE"""),2.57)</f>
        <v>2.57</v>
      </c>
      <c r="G1848" s="2"/>
      <c r="H1848" s="2" t="str">
        <f>IFERROR(__xludf.DUMMYFUNCTION("""COMPUTED_VALUE"""),"United Kingdom")</f>
        <v>United Kingdom</v>
      </c>
      <c r="I1848" s="7">
        <f>IFERROR(__xludf.DUMMYFUNCTION("""COMPUTED_VALUE"""),40148.0)</f>
        <v>40148</v>
      </c>
      <c r="J1848" s="8">
        <f>IFERROR(__xludf.DUMMYFUNCTION("""COMPUTED_VALUE"""),0.6027777777781012)</f>
        <v>0.6027777778</v>
      </c>
      <c r="K1848" s="2">
        <f>IFERROR(__xludf.DUMMYFUNCTION("""COMPUTED_VALUE"""),14.0)</f>
        <v>14</v>
      </c>
      <c r="L1848" s="2">
        <f>IFERROR(__xludf.DUMMYFUNCTION("""COMPUTED_VALUE"""),2.57)</f>
        <v>2.57</v>
      </c>
    </row>
    <row r="1849">
      <c r="A1849" s="2">
        <f>IFERROR(__xludf.DUMMYFUNCTION("""COMPUTED_VALUE"""),489597.0)</f>
        <v>489597</v>
      </c>
      <c r="B1849" s="2" t="str">
        <f>IFERROR(__xludf.DUMMYFUNCTION("""COMPUTED_VALUE"""),"20659")</f>
        <v>20659</v>
      </c>
      <c r="C1849" s="2" t="str">
        <f>IFERROR(__xludf.DUMMYFUNCTION("""COMPUTED_VALUE"""),"ECONOMY LUGGAGE TAG")</f>
        <v>ECONOMY LUGGAGE TAG</v>
      </c>
      <c r="D1849" s="2">
        <f>IFERROR(__xludf.DUMMYFUNCTION("""COMPUTED_VALUE"""),1.0)</f>
        <v>1</v>
      </c>
      <c r="E1849" s="6">
        <f>IFERROR(__xludf.DUMMYFUNCTION("""COMPUTED_VALUE"""),40148.60277777778)</f>
        <v>40148.60278</v>
      </c>
      <c r="F1849" s="2">
        <f>IFERROR(__xludf.DUMMYFUNCTION("""COMPUTED_VALUE"""),2.57)</f>
        <v>2.57</v>
      </c>
      <c r="G1849" s="2"/>
      <c r="H1849" s="2" t="str">
        <f>IFERROR(__xludf.DUMMYFUNCTION("""COMPUTED_VALUE"""),"United Kingdom")</f>
        <v>United Kingdom</v>
      </c>
      <c r="I1849" s="7">
        <f>IFERROR(__xludf.DUMMYFUNCTION("""COMPUTED_VALUE"""),40148.0)</f>
        <v>40148</v>
      </c>
      <c r="J1849" s="8">
        <f>IFERROR(__xludf.DUMMYFUNCTION("""COMPUTED_VALUE"""),0.6027777777781012)</f>
        <v>0.6027777778</v>
      </c>
      <c r="K1849" s="2">
        <f>IFERROR(__xludf.DUMMYFUNCTION("""COMPUTED_VALUE"""),14.0)</f>
        <v>14</v>
      </c>
      <c r="L1849" s="2">
        <f>IFERROR(__xludf.DUMMYFUNCTION("""COMPUTED_VALUE"""),2.57)</f>
        <v>2.57</v>
      </c>
    </row>
    <row r="1850">
      <c r="A1850" s="2">
        <f>IFERROR(__xludf.DUMMYFUNCTION("""COMPUTED_VALUE"""),489597.0)</f>
        <v>489597</v>
      </c>
      <c r="B1850" s="2" t="str">
        <f>IFERROR(__xludf.DUMMYFUNCTION("""COMPUTED_VALUE"""),"20674")</f>
        <v>20674</v>
      </c>
      <c r="C1850" s="2" t="str">
        <f>IFERROR(__xludf.DUMMYFUNCTION("""COMPUTED_VALUE"""),"GREEN SPOTTY BOWL")</f>
        <v>GREEN SPOTTY BOWL</v>
      </c>
      <c r="D1850" s="2">
        <f>IFERROR(__xludf.DUMMYFUNCTION("""COMPUTED_VALUE"""),1.0)</f>
        <v>1</v>
      </c>
      <c r="E1850" s="6">
        <f>IFERROR(__xludf.DUMMYFUNCTION("""COMPUTED_VALUE"""),40148.60277777778)</f>
        <v>40148.60278</v>
      </c>
      <c r="F1850" s="2">
        <f>IFERROR(__xludf.DUMMYFUNCTION("""COMPUTED_VALUE"""),2.57)</f>
        <v>2.57</v>
      </c>
      <c r="G1850" s="2"/>
      <c r="H1850" s="2" t="str">
        <f>IFERROR(__xludf.DUMMYFUNCTION("""COMPUTED_VALUE"""),"United Kingdom")</f>
        <v>United Kingdom</v>
      </c>
      <c r="I1850" s="7">
        <f>IFERROR(__xludf.DUMMYFUNCTION("""COMPUTED_VALUE"""),40148.0)</f>
        <v>40148</v>
      </c>
      <c r="J1850" s="8">
        <f>IFERROR(__xludf.DUMMYFUNCTION("""COMPUTED_VALUE"""),0.6027777777781012)</f>
        <v>0.6027777778</v>
      </c>
      <c r="K1850" s="2">
        <f>IFERROR(__xludf.DUMMYFUNCTION("""COMPUTED_VALUE"""),14.0)</f>
        <v>14</v>
      </c>
      <c r="L1850" s="2">
        <f>IFERROR(__xludf.DUMMYFUNCTION("""COMPUTED_VALUE"""),2.57)</f>
        <v>2.57</v>
      </c>
    </row>
    <row r="1851">
      <c r="A1851" s="2">
        <f>IFERROR(__xludf.DUMMYFUNCTION("""COMPUTED_VALUE"""),489597.0)</f>
        <v>489597</v>
      </c>
      <c r="B1851" s="2" t="str">
        <f>IFERROR(__xludf.DUMMYFUNCTION("""COMPUTED_VALUE"""),"20675")</f>
        <v>20675</v>
      </c>
      <c r="C1851" s="2" t="str">
        <f>IFERROR(__xludf.DUMMYFUNCTION("""COMPUTED_VALUE"""),"BLUE SPOTTY BOWL")</f>
        <v>BLUE SPOTTY BOWL</v>
      </c>
      <c r="D1851" s="2">
        <f>IFERROR(__xludf.DUMMYFUNCTION("""COMPUTED_VALUE"""),2.0)</f>
        <v>2</v>
      </c>
      <c r="E1851" s="6">
        <f>IFERROR(__xludf.DUMMYFUNCTION("""COMPUTED_VALUE"""),40148.60277777778)</f>
        <v>40148.60278</v>
      </c>
      <c r="F1851" s="2">
        <f>IFERROR(__xludf.DUMMYFUNCTION("""COMPUTED_VALUE"""),2.57)</f>
        <v>2.57</v>
      </c>
      <c r="G1851" s="2"/>
      <c r="H1851" s="2" t="str">
        <f>IFERROR(__xludf.DUMMYFUNCTION("""COMPUTED_VALUE"""),"United Kingdom")</f>
        <v>United Kingdom</v>
      </c>
      <c r="I1851" s="7">
        <f>IFERROR(__xludf.DUMMYFUNCTION("""COMPUTED_VALUE"""),40148.0)</f>
        <v>40148</v>
      </c>
      <c r="J1851" s="8">
        <f>IFERROR(__xludf.DUMMYFUNCTION("""COMPUTED_VALUE"""),0.6027777777781012)</f>
        <v>0.6027777778</v>
      </c>
      <c r="K1851" s="2">
        <f>IFERROR(__xludf.DUMMYFUNCTION("""COMPUTED_VALUE"""),14.0)</f>
        <v>14</v>
      </c>
      <c r="L1851" s="2">
        <f>IFERROR(__xludf.DUMMYFUNCTION("""COMPUTED_VALUE"""),5.14)</f>
        <v>5.14</v>
      </c>
    </row>
    <row r="1852">
      <c r="A1852" s="2">
        <f>IFERROR(__xludf.DUMMYFUNCTION("""COMPUTED_VALUE"""),489597.0)</f>
        <v>489597</v>
      </c>
      <c r="B1852" s="2" t="str">
        <f>IFERROR(__xludf.DUMMYFUNCTION("""COMPUTED_VALUE"""),"20677")</f>
        <v>20677</v>
      </c>
      <c r="C1852" s="2" t="str">
        <f>IFERROR(__xludf.DUMMYFUNCTION("""COMPUTED_VALUE"""),"PINK SPOTTY BOWL")</f>
        <v>PINK SPOTTY BOWL</v>
      </c>
      <c r="D1852" s="2">
        <f>IFERROR(__xludf.DUMMYFUNCTION("""COMPUTED_VALUE"""),2.0)</f>
        <v>2</v>
      </c>
      <c r="E1852" s="6">
        <f>IFERROR(__xludf.DUMMYFUNCTION("""COMPUTED_VALUE"""),40148.60277777778)</f>
        <v>40148.60278</v>
      </c>
      <c r="F1852" s="2">
        <f>IFERROR(__xludf.DUMMYFUNCTION("""COMPUTED_VALUE"""),2.57)</f>
        <v>2.57</v>
      </c>
      <c r="G1852" s="2"/>
      <c r="H1852" s="2" t="str">
        <f>IFERROR(__xludf.DUMMYFUNCTION("""COMPUTED_VALUE"""),"United Kingdom")</f>
        <v>United Kingdom</v>
      </c>
      <c r="I1852" s="7">
        <f>IFERROR(__xludf.DUMMYFUNCTION("""COMPUTED_VALUE"""),40148.0)</f>
        <v>40148</v>
      </c>
      <c r="J1852" s="8">
        <f>IFERROR(__xludf.DUMMYFUNCTION("""COMPUTED_VALUE"""),0.6027777777781012)</f>
        <v>0.6027777778</v>
      </c>
      <c r="K1852" s="2">
        <f>IFERROR(__xludf.DUMMYFUNCTION("""COMPUTED_VALUE"""),14.0)</f>
        <v>14</v>
      </c>
      <c r="L1852" s="2">
        <f>IFERROR(__xludf.DUMMYFUNCTION("""COMPUTED_VALUE"""),5.14)</f>
        <v>5.14</v>
      </c>
    </row>
    <row r="1853">
      <c r="A1853" s="2">
        <f>IFERROR(__xludf.DUMMYFUNCTION("""COMPUTED_VALUE"""),489597.0)</f>
        <v>489597</v>
      </c>
      <c r="B1853" s="2" t="str">
        <f>IFERROR(__xludf.DUMMYFUNCTION("""COMPUTED_VALUE"""),"20682")</f>
        <v>20682</v>
      </c>
      <c r="C1853" s="2" t="str">
        <f>IFERROR(__xludf.DUMMYFUNCTION("""COMPUTED_VALUE"""),"RED SPOTTY CHILDS UMBRELLA")</f>
        <v>RED SPOTTY CHILDS UMBRELLA</v>
      </c>
      <c r="D1853" s="2">
        <f>IFERROR(__xludf.DUMMYFUNCTION("""COMPUTED_VALUE"""),1.0)</f>
        <v>1</v>
      </c>
      <c r="E1853" s="6">
        <f>IFERROR(__xludf.DUMMYFUNCTION("""COMPUTED_VALUE"""),40148.60277777778)</f>
        <v>40148.60278</v>
      </c>
      <c r="F1853" s="2">
        <f>IFERROR(__xludf.DUMMYFUNCTION("""COMPUTED_VALUE"""),6.91)</f>
        <v>6.91</v>
      </c>
      <c r="G1853" s="2"/>
      <c r="H1853" s="2" t="str">
        <f>IFERROR(__xludf.DUMMYFUNCTION("""COMPUTED_VALUE"""),"United Kingdom")</f>
        <v>United Kingdom</v>
      </c>
      <c r="I1853" s="7">
        <f>IFERROR(__xludf.DUMMYFUNCTION("""COMPUTED_VALUE"""),40148.0)</f>
        <v>40148</v>
      </c>
      <c r="J1853" s="8">
        <f>IFERROR(__xludf.DUMMYFUNCTION("""COMPUTED_VALUE"""),0.6027777777781012)</f>
        <v>0.6027777778</v>
      </c>
      <c r="K1853" s="2">
        <f>IFERROR(__xludf.DUMMYFUNCTION("""COMPUTED_VALUE"""),14.0)</f>
        <v>14</v>
      </c>
      <c r="L1853" s="2">
        <f>IFERROR(__xludf.DUMMYFUNCTION("""COMPUTED_VALUE"""),6.91)</f>
        <v>6.91</v>
      </c>
    </row>
    <row r="1854">
      <c r="A1854" s="2">
        <f>IFERROR(__xludf.DUMMYFUNCTION("""COMPUTED_VALUE"""),489597.0)</f>
        <v>489597</v>
      </c>
      <c r="B1854" s="2" t="str">
        <f>IFERROR(__xludf.DUMMYFUNCTION("""COMPUTED_VALUE"""),"20694")</f>
        <v>20694</v>
      </c>
      <c r="C1854" s="2" t="str">
        <f>IFERROR(__xludf.DUMMYFUNCTION("""COMPUTED_VALUE"""),"FLORAL PINK MONSTER")</f>
        <v>FLORAL PINK MONSTER</v>
      </c>
      <c r="D1854" s="2">
        <f>IFERROR(__xludf.DUMMYFUNCTION("""COMPUTED_VALUE"""),1.0)</f>
        <v>1</v>
      </c>
      <c r="E1854" s="6">
        <f>IFERROR(__xludf.DUMMYFUNCTION("""COMPUTED_VALUE"""),40148.60277777778)</f>
        <v>40148.60278</v>
      </c>
      <c r="F1854" s="2">
        <f>IFERROR(__xludf.DUMMYFUNCTION("""COMPUTED_VALUE"""),7.78)</f>
        <v>7.78</v>
      </c>
      <c r="G1854" s="2"/>
      <c r="H1854" s="2" t="str">
        <f>IFERROR(__xludf.DUMMYFUNCTION("""COMPUTED_VALUE"""),"United Kingdom")</f>
        <v>United Kingdom</v>
      </c>
      <c r="I1854" s="7">
        <f>IFERROR(__xludf.DUMMYFUNCTION("""COMPUTED_VALUE"""),40148.0)</f>
        <v>40148</v>
      </c>
      <c r="J1854" s="8">
        <f>IFERROR(__xludf.DUMMYFUNCTION("""COMPUTED_VALUE"""),0.6027777777781012)</f>
        <v>0.6027777778</v>
      </c>
      <c r="K1854" s="2">
        <f>IFERROR(__xludf.DUMMYFUNCTION("""COMPUTED_VALUE"""),14.0)</f>
        <v>14</v>
      </c>
      <c r="L1854" s="2">
        <f>IFERROR(__xludf.DUMMYFUNCTION("""COMPUTED_VALUE"""),7.78)</f>
        <v>7.78</v>
      </c>
    </row>
    <row r="1855">
      <c r="A1855" s="2">
        <f>IFERROR(__xludf.DUMMYFUNCTION("""COMPUTED_VALUE"""),489597.0)</f>
        <v>489597</v>
      </c>
      <c r="B1855" s="2" t="str">
        <f>IFERROR(__xludf.DUMMYFUNCTION("""COMPUTED_VALUE"""),"20695")</f>
        <v>20695</v>
      </c>
      <c r="C1855" s="2" t="str">
        <f>IFERROR(__xludf.DUMMYFUNCTION("""COMPUTED_VALUE"""),"FLORAL BLUE MONSTER")</f>
        <v>FLORAL BLUE MONSTER</v>
      </c>
      <c r="D1855" s="2">
        <f>IFERROR(__xludf.DUMMYFUNCTION("""COMPUTED_VALUE"""),1.0)</f>
        <v>1</v>
      </c>
      <c r="E1855" s="6">
        <f>IFERROR(__xludf.DUMMYFUNCTION("""COMPUTED_VALUE"""),40148.60277777778)</f>
        <v>40148.60278</v>
      </c>
      <c r="F1855" s="2">
        <f>IFERROR(__xludf.DUMMYFUNCTION("""COMPUTED_VALUE"""),8.65)</f>
        <v>8.65</v>
      </c>
      <c r="G1855" s="2"/>
      <c r="H1855" s="2" t="str">
        <f>IFERROR(__xludf.DUMMYFUNCTION("""COMPUTED_VALUE"""),"United Kingdom")</f>
        <v>United Kingdom</v>
      </c>
      <c r="I1855" s="7">
        <f>IFERROR(__xludf.DUMMYFUNCTION("""COMPUTED_VALUE"""),40148.0)</f>
        <v>40148</v>
      </c>
      <c r="J1855" s="8">
        <f>IFERROR(__xludf.DUMMYFUNCTION("""COMPUTED_VALUE"""),0.6027777777781012)</f>
        <v>0.6027777778</v>
      </c>
      <c r="K1855" s="2">
        <f>IFERROR(__xludf.DUMMYFUNCTION("""COMPUTED_VALUE"""),14.0)</f>
        <v>14</v>
      </c>
      <c r="L1855" s="2">
        <f>IFERROR(__xludf.DUMMYFUNCTION("""COMPUTED_VALUE"""),8.65)</f>
        <v>8.65</v>
      </c>
    </row>
    <row r="1856">
      <c r="A1856" s="2">
        <f>IFERROR(__xludf.DUMMYFUNCTION("""COMPUTED_VALUE"""),489597.0)</f>
        <v>489597</v>
      </c>
      <c r="B1856" s="2" t="str">
        <f>IFERROR(__xludf.DUMMYFUNCTION("""COMPUTED_VALUE"""),"20712")</f>
        <v>20712</v>
      </c>
      <c r="C1856" s="2" t="str">
        <f>IFERROR(__xludf.DUMMYFUNCTION("""COMPUTED_VALUE"""),"JUMBO BAG WOODLAND ANIMALS")</f>
        <v>JUMBO BAG WOODLAND ANIMALS</v>
      </c>
      <c r="D1856" s="2">
        <f>IFERROR(__xludf.DUMMYFUNCTION("""COMPUTED_VALUE"""),6.0)</f>
        <v>6</v>
      </c>
      <c r="E1856" s="6">
        <f>IFERROR(__xludf.DUMMYFUNCTION("""COMPUTED_VALUE"""),40148.60277777778)</f>
        <v>40148.60278</v>
      </c>
      <c r="F1856" s="2">
        <f>IFERROR(__xludf.DUMMYFUNCTION("""COMPUTED_VALUE"""),4.3)</f>
        <v>4.3</v>
      </c>
      <c r="G1856" s="2"/>
      <c r="H1856" s="2" t="str">
        <f>IFERROR(__xludf.DUMMYFUNCTION("""COMPUTED_VALUE"""),"United Kingdom")</f>
        <v>United Kingdom</v>
      </c>
      <c r="I1856" s="7">
        <f>IFERROR(__xludf.DUMMYFUNCTION("""COMPUTED_VALUE"""),40148.0)</f>
        <v>40148</v>
      </c>
      <c r="J1856" s="8">
        <f>IFERROR(__xludf.DUMMYFUNCTION("""COMPUTED_VALUE"""),0.6027777777781012)</f>
        <v>0.6027777778</v>
      </c>
      <c r="K1856" s="2">
        <f>IFERROR(__xludf.DUMMYFUNCTION("""COMPUTED_VALUE"""),14.0)</f>
        <v>14</v>
      </c>
      <c r="L1856" s="2">
        <f>IFERROR(__xludf.DUMMYFUNCTION("""COMPUTED_VALUE"""),25.7999999999999)</f>
        <v>25.8</v>
      </c>
    </row>
    <row r="1857">
      <c r="A1857" s="2">
        <f>IFERROR(__xludf.DUMMYFUNCTION("""COMPUTED_VALUE"""),489597.0)</f>
        <v>489597</v>
      </c>
      <c r="B1857" s="2" t="str">
        <f>IFERROR(__xludf.DUMMYFUNCTION("""COMPUTED_VALUE"""),"20714")</f>
        <v>20714</v>
      </c>
      <c r="C1857" s="2" t="str">
        <f>IFERROR(__xludf.DUMMYFUNCTION("""COMPUTED_VALUE"""),"POSY SHOPPER BAG")</f>
        <v>POSY SHOPPER BAG</v>
      </c>
      <c r="D1857" s="2">
        <f>IFERROR(__xludf.DUMMYFUNCTION("""COMPUTED_VALUE"""),1.0)</f>
        <v>1</v>
      </c>
      <c r="E1857" s="6">
        <f>IFERROR(__xludf.DUMMYFUNCTION("""COMPUTED_VALUE"""),40148.60277777778)</f>
        <v>40148.60278</v>
      </c>
      <c r="F1857" s="2">
        <f>IFERROR(__xludf.DUMMYFUNCTION("""COMPUTED_VALUE"""),2.57)</f>
        <v>2.57</v>
      </c>
      <c r="G1857" s="2"/>
      <c r="H1857" s="2" t="str">
        <f>IFERROR(__xludf.DUMMYFUNCTION("""COMPUTED_VALUE"""),"United Kingdom")</f>
        <v>United Kingdom</v>
      </c>
      <c r="I1857" s="7">
        <f>IFERROR(__xludf.DUMMYFUNCTION("""COMPUTED_VALUE"""),40148.0)</f>
        <v>40148</v>
      </c>
      <c r="J1857" s="8">
        <f>IFERROR(__xludf.DUMMYFUNCTION("""COMPUTED_VALUE"""),0.6027777777781012)</f>
        <v>0.6027777778</v>
      </c>
      <c r="K1857" s="2">
        <f>IFERROR(__xludf.DUMMYFUNCTION("""COMPUTED_VALUE"""),14.0)</f>
        <v>14</v>
      </c>
      <c r="L1857" s="2">
        <f>IFERROR(__xludf.DUMMYFUNCTION("""COMPUTED_VALUE"""),2.57)</f>
        <v>2.57</v>
      </c>
    </row>
    <row r="1858">
      <c r="A1858" s="2">
        <f>IFERROR(__xludf.DUMMYFUNCTION("""COMPUTED_VALUE"""),489597.0)</f>
        <v>489597</v>
      </c>
      <c r="B1858" s="2" t="str">
        <f>IFERROR(__xludf.DUMMYFUNCTION("""COMPUTED_VALUE"""),"20719")</f>
        <v>20719</v>
      </c>
      <c r="C1858" s="2" t="str">
        <f>IFERROR(__xludf.DUMMYFUNCTION("""COMPUTED_VALUE"""),"WOODLAND CHARLOTTE BAG")</f>
        <v>WOODLAND CHARLOTTE BAG</v>
      </c>
      <c r="D1858" s="2">
        <f>IFERROR(__xludf.DUMMYFUNCTION("""COMPUTED_VALUE"""),1.0)</f>
        <v>1</v>
      </c>
      <c r="E1858" s="6">
        <f>IFERROR(__xludf.DUMMYFUNCTION("""COMPUTED_VALUE"""),40148.60277777778)</f>
        <v>40148.60278</v>
      </c>
      <c r="F1858" s="2">
        <f>IFERROR(__xludf.DUMMYFUNCTION("""COMPUTED_VALUE"""),1.7)</f>
        <v>1.7</v>
      </c>
      <c r="G1858" s="2"/>
      <c r="H1858" s="2" t="str">
        <f>IFERROR(__xludf.DUMMYFUNCTION("""COMPUTED_VALUE"""),"United Kingdom")</f>
        <v>United Kingdom</v>
      </c>
      <c r="I1858" s="7">
        <f>IFERROR(__xludf.DUMMYFUNCTION("""COMPUTED_VALUE"""),40148.0)</f>
        <v>40148</v>
      </c>
      <c r="J1858" s="8">
        <f>IFERROR(__xludf.DUMMYFUNCTION("""COMPUTED_VALUE"""),0.6027777777781012)</f>
        <v>0.6027777778</v>
      </c>
      <c r="K1858" s="2">
        <f>IFERROR(__xludf.DUMMYFUNCTION("""COMPUTED_VALUE"""),14.0)</f>
        <v>14</v>
      </c>
      <c r="L1858" s="2">
        <f>IFERROR(__xludf.DUMMYFUNCTION("""COMPUTED_VALUE"""),1.7)</f>
        <v>1.7</v>
      </c>
    </row>
    <row r="1859">
      <c r="A1859" s="2">
        <f>IFERROR(__xludf.DUMMYFUNCTION("""COMPUTED_VALUE"""),489597.0)</f>
        <v>489597</v>
      </c>
      <c r="B1859" s="2" t="str">
        <f>IFERROR(__xludf.DUMMYFUNCTION("""COMPUTED_VALUE"""),"20724")</f>
        <v>20724</v>
      </c>
      <c r="C1859" s="2" t="str">
        <f>IFERROR(__xludf.DUMMYFUNCTION("""COMPUTED_VALUE"""),"RED SPOTTY CHARLOTTE BAG")</f>
        <v>RED SPOTTY CHARLOTTE BAG</v>
      </c>
      <c r="D1859" s="2">
        <f>IFERROR(__xludf.DUMMYFUNCTION("""COMPUTED_VALUE"""),3.0)</f>
        <v>3</v>
      </c>
      <c r="E1859" s="6">
        <f>IFERROR(__xludf.DUMMYFUNCTION("""COMPUTED_VALUE"""),40148.60277777778)</f>
        <v>40148.60278</v>
      </c>
      <c r="F1859" s="2">
        <f>IFERROR(__xludf.DUMMYFUNCTION("""COMPUTED_VALUE"""),1.7)</f>
        <v>1.7</v>
      </c>
      <c r="G1859" s="2"/>
      <c r="H1859" s="2" t="str">
        <f>IFERROR(__xludf.DUMMYFUNCTION("""COMPUTED_VALUE"""),"United Kingdom")</f>
        <v>United Kingdom</v>
      </c>
      <c r="I1859" s="7">
        <f>IFERROR(__xludf.DUMMYFUNCTION("""COMPUTED_VALUE"""),40148.0)</f>
        <v>40148</v>
      </c>
      <c r="J1859" s="8">
        <f>IFERROR(__xludf.DUMMYFUNCTION("""COMPUTED_VALUE"""),0.6027777777781012)</f>
        <v>0.6027777778</v>
      </c>
      <c r="K1859" s="2">
        <f>IFERROR(__xludf.DUMMYFUNCTION("""COMPUTED_VALUE"""),14.0)</f>
        <v>14</v>
      </c>
      <c r="L1859" s="2">
        <f>IFERROR(__xludf.DUMMYFUNCTION("""COMPUTED_VALUE"""),5.1)</f>
        <v>5.1</v>
      </c>
    </row>
    <row r="1860">
      <c r="A1860" s="2">
        <f>IFERROR(__xludf.DUMMYFUNCTION("""COMPUTED_VALUE"""),489597.0)</f>
        <v>489597</v>
      </c>
      <c r="B1860" s="2" t="str">
        <f>IFERROR(__xludf.DUMMYFUNCTION("""COMPUTED_VALUE"""),"20725")</f>
        <v>20725</v>
      </c>
      <c r="C1860" s="2" t="str">
        <f>IFERROR(__xludf.DUMMYFUNCTION("""COMPUTED_VALUE"""),"LUNCH BAG RED SPOTTY")</f>
        <v>LUNCH BAG RED SPOTTY</v>
      </c>
      <c r="D1860" s="2">
        <f>IFERROR(__xludf.DUMMYFUNCTION("""COMPUTED_VALUE"""),1.0)</f>
        <v>1</v>
      </c>
      <c r="E1860" s="6">
        <f>IFERROR(__xludf.DUMMYFUNCTION("""COMPUTED_VALUE"""),40148.60277777778)</f>
        <v>40148.60278</v>
      </c>
      <c r="F1860" s="2">
        <f>IFERROR(__xludf.DUMMYFUNCTION("""COMPUTED_VALUE"""),4.3)</f>
        <v>4.3</v>
      </c>
      <c r="G1860" s="2"/>
      <c r="H1860" s="2" t="str">
        <f>IFERROR(__xludf.DUMMYFUNCTION("""COMPUTED_VALUE"""),"United Kingdom")</f>
        <v>United Kingdom</v>
      </c>
      <c r="I1860" s="7">
        <f>IFERROR(__xludf.DUMMYFUNCTION("""COMPUTED_VALUE"""),40148.0)</f>
        <v>40148</v>
      </c>
      <c r="J1860" s="8">
        <f>IFERROR(__xludf.DUMMYFUNCTION("""COMPUTED_VALUE"""),0.6027777777781012)</f>
        <v>0.6027777778</v>
      </c>
      <c r="K1860" s="2">
        <f>IFERROR(__xludf.DUMMYFUNCTION("""COMPUTED_VALUE"""),14.0)</f>
        <v>14</v>
      </c>
      <c r="L1860" s="2">
        <f>IFERROR(__xludf.DUMMYFUNCTION("""COMPUTED_VALUE"""),4.3)</f>
        <v>4.3</v>
      </c>
    </row>
    <row r="1861">
      <c r="A1861" s="2">
        <f>IFERROR(__xludf.DUMMYFUNCTION("""COMPUTED_VALUE"""),489597.0)</f>
        <v>489597</v>
      </c>
      <c r="B1861" s="2" t="str">
        <f>IFERROR(__xludf.DUMMYFUNCTION("""COMPUTED_VALUE"""),"20729")</f>
        <v>20729</v>
      </c>
      <c r="C1861" s="2" t="str">
        <f>IFERROR(__xludf.DUMMYFUNCTION("""COMPUTED_VALUE"""),"RED SPOTTY CANDY BAG")</f>
        <v>RED SPOTTY CANDY BAG</v>
      </c>
      <c r="D1861" s="2">
        <f>IFERROR(__xludf.DUMMYFUNCTION("""COMPUTED_VALUE"""),1.0)</f>
        <v>1</v>
      </c>
      <c r="E1861" s="6">
        <f>IFERROR(__xludf.DUMMYFUNCTION("""COMPUTED_VALUE"""),40148.60277777778)</f>
        <v>40148.60278</v>
      </c>
      <c r="F1861" s="2">
        <f>IFERROR(__xludf.DUMMYFUNCTION("""COMPUTED_VALUE"""),2.57)</f>
        <v>2.57</v>
      </c>
      <c r="G1861" s="2"/>
      <c r="H1861" s="2" t="str">
        <f>IFERROR(__xludf.DUMMYFUNCTION("""COMPUTED_VALUE"""),"United Kingdom")</f>
        <v>United Kingdom</v>
      </c>
      <c r="I1861" s="7">
        <f>IFERROR(__xludf.DUMMYFUNCTION("""COMPUTED_VALUE"""),40148.0)</f>
        <v>40148</v>
      </c>
      <c r="J1861" s="8">
        <f>IFERROR(__xludf.DUMMYFUNCTION("""COMPUTED_VALUE"""),0.6027777777781012)</f>
        <v>0.6027777778</v>
      </c>
      <c r="K1861" s="2">
        <f>IFERROR(__xludf.DUMMYFUNCTION("""COMPUTED_VALUE"""),14.0)</f>
        <v>14</v>
      </c>
      <c r="L1861" s="2">
        <f>IFERROR(__xludf.DUMMYFUNCTION("""COMPUTED_VALUE"""),2.57)</f>
        <v>2.57</v>
      </c>
    </row>
    <row r="1862">
      <c r="A1862" s="2">
        <f>IFERROR(__xludf.DUMMYFUNCTION("""COMPUTED_VALUE"""),489597.0)</f>
        <v>489597</v>
      </c>
      <c r="B1862" s="2" t="str">
        <f>IFERROR(__xludf.DUMMYFUNCTION("""COMPUTED_VALUE"""),"20739")</f>
        <v>20739</v>
      </c>
      <c r="C1862" s="2" t="str">
        <f>IFERROR(__xludf.DUMMYFUNCTION("""COMPUTED_VALUE"""),"*USB Office Glitter Lamp")</f>
        <v>*USB Office Glitter Lamp</v>
      </c>
      <c r="D1862" s="2">
        <f>IFERROR(__xludf.DUMMYFUNCTION("""COMPUTED_VALUE"""),1.0)</f>
        <v>1</v>
      </c>
      <c r="E1862" s="6">
        <f>IFERROR(__xludf.DUMMYFUNCTION("""COMPUTED_VALUE"""),40148.60277777778)</f>
        <v>40148.60278</v>
      </c>
      <c r="F1862" s="2">
        <f>IFERROR(__xludf.DUMMYFUNCTION("""COMPUTED_VALUE"""),8.65)</f>
        <v>8.65</v>
      </c>
      <c r="G1862" s="2"/>
      <c r="H1862" s="2" t="str">
        <f>IFERROR(__xludf.DUMMYFUNCTION("""COMPUTED_VALUE"""),"United Kingdom")</f>
        <v>United Kingdom</v>
      </c>
      <c r="I1862" s="7">
        <f>IFERROR(__xludf.DUMMYFUNCTION("""COMPUTED_VALUE"""),40148.0)</f>
        <v>40148</v>
      </c>
      <c r="J1862" s="8">
        <f>IFERROR(__xludf.DUMMYFUNCTION("""COMPUTED_VALUE"""),0.6027777777781012)</f>
        <v>0.6027777778</v>
      </c>
      <c r="K1862" s="2">
        <f>IFERROR(__xludf.DUMMYFUNCTION("""COMPUTED_VALUE"""),14.0)</f>
        <v>14</v>
      </c>
      <c r="L1862" s="2">
        <f>IFERROR(__xludf.DUMMYFUNCTION("""COMPUTED_VALUE"""),8.65)</f>
        <v>8.65</v>
      </c>
    </row>
    <row r="1863">
      <c r="A1863" s="2">
        <f>IFERROR(__xludf.DUMMYFUNCTION("""COMPUTED_VALUE"""),489597.0)</f>
        <v>489597</v>
      </c>
      <c r="B1863" s="2" t="str">
        <f>IFERROR(__xludf.DUMMYFUNCTION("""COMPUTED_VALUE"""),"20752")</f>
        <v>20752</v>
      </c>
      <c r="C1863" s="2" t="str">
        <f>IFERROR(__xludf.DUMMYFUNCTION("""COMPUTED_VALUE"""),"RETRO BLUE SPOTTY WASHING UP GLOVES")</f>
        <v>RETRO BLUE SPOTTY WASHING UP GLOVES</v>
      </c>
      <c r="D1863" s="2">
        <f>IFERROR(__xludf.DUMMYFUNCTION("""COMPUTED_VALUE"""),3.0)</f>
        <v>3</v>
      </c>
      <c r="E1863" s="6">
        <f>IFERROR(__xludf.DUMMYFUNCTION("""COMPUTED_VALUE"""),40148.60277777778)</f>
        <v>40148.60278</v>
      </c>
      <c r="F1863" s="2">
        <f>IFERROR(__xludf.DUMMYFUNCTION("""COMPUTED_VALUE"""),4.3)</f>
        <v>4.3</v>
      </c>
      <c r="G1863" s="2"/>
      <c r="H1863" s="2" t="str">
        <f>IFERROR(__xludf.DUMMYFUNCTION("""COMPUTED_VALUE"""),"United Kingdom")</f>
        <v>United Kingdom</v>
      </c>
      <c r="I1863" s="7">
        <f>IFERROR(__xludf.DUMMYFUNCTION("""COMPUTED_VALUE"""),40148.0)</f>
        <v>40148</v>
      </c>
      <c r="J1863" s="8">
        <f>IFERROR(__xludf.DUMMYFUNCTION("""COMPUTED_VALUE"""),0.6027777777781012)</f>
        <v>0.6027777778</v>
      </c>
      <c r="K1863" s="2">
        <f>IFERROR(__xludf.DUMMYFUNCTION("""COMPUTED_VALUE"""),14.0)</f>
        <v>14</v>
      </c>
      <c r="L1863" s="2">
        <f>IFERROR(__xludf.DUMMYFUNCTION("""COMPUTED_VALUE"""),12.8999999999999)</f>
        <v>12.9</v>
      </c>
    </row>
    <row r="1864">
      <c r="A1864" s="2">
        <f>IFERROR(__xludf.DUMMYFUNCTION("""COMPUTED_VALUE"""),489597.0)</f>
        <v>489597</v>
      </c>
      <c r="B1864" s="2" t="str">
        <f>IFERROR(__xludf.DUMMYFUNCTION("""COMPUTED_VALUE"""),"20753")</f>
        <v>20753</v>
      </c>
      <c r="C1864" s="2" t="str">
        <f>IFERROR(__xludf.DUMMYFUNCTION("""COMPUTED_VALUE"""),"RETRO PINK SPOT WASHING UP GLOVES")</f>
        <v>RETRO PINK SPOT WASHING UP GLOVES</v>
      </c>
      <c r="D1864" s="2">
        <f>IFERROR(__xludf.DUMMYFUNCTION("""COMPUTED_VALUE"""),1.0)</f>
        <v>1</v>
      </c>
      <c r="E1864" s="6">
        <f>IFERROR(__xludf.DUMMYFUNCTION("""COMPUTED_VALUE"""),40148.60277777778)</f>
        <v>40148.60278</v>
      </c>
      <c r="F1864" s="2">
        <f>IFERROR(__xludf.DUMMYFUNCTION("""COMPUTED_VALUE"""),4.3)</f>
        <v>4.3</v>
      </c>
      <c r="G1864" s="2"/>
      <c r="H1864" s="2" t="str">
        <f>IFERROR(__xludf.DUMMYFUNCTION("""COMPUTED_VALUE"""),"United Kingdom")</f>
        <v>United Kingdom</v>
      </c>
      <c r="I1864" s="7">
        <f>IFERROR(__xludf.DUMMYFUNCTION("""COMPUTED_VALUE"""),40148.0)</f>
        <v>40148</v>
      </c>
      <c r="J1864" s="8">
        <f>IFERROR(__xludf.DUMMYFUNCTION("""COMPUTED_VALUE"""),0.6027777777781012)</f>
        <v>0.6027777778</v>
      </c>
      <c r="K1864" s="2">
        <f>IFERROR(__xludf.DUMMYFUNCTION("""COMPUTED_VALUE"""),14.0)</f>
        <v>14</v>
      </c>
      <c r="L1864" s="2">
        <f>IFERROR(__xludf.DUMMYFUNCTION("""COMPUTED_VALUE"""),4.3)</f>
        <v>4.3</v>
      </c>
    </row>
    <row r="1865">
      <c r="A1865" s="2">
        <f>IFERROR(__xludf.DUMMYFUNCTION("""COMPUTED_VALUE"""),489597.0)</f>
        <v>489597</v>
      </c>
      <c r="B1865" s="2" t="str">
        <f>IFERROR(__xludf.DUMMYFUNCTION("""COMPUTED_VALUE"""),"20754")</f>
        <v>20754</v>
      </c>
      <c r="C1865" s="2" t="str">
        <f>IFERROR(__xludf.DUMMYFUNCTION("""COMPUTED_VALUE"""),"RETRO RED SPOTTY WASHING UP GLOVES")</f>
        <v>RETRO RED SPOTTY WASHING UP GLOVES</v>
      </c>
      <c r="D1865" s="2">
        <f>IFERROR(__xludf.DUMMYFUNCTION("""COMPUTED_VALUE"""),2.0)</f>
        <v>2</v>
      </c>
      <c r="E1865" s="6">
        <f>IFERROR(__xludf.DUMMYFUNCTION("""COMPUTED_VALUE"""),40148.60277777778)</f>
        <v>40148.60278</v>
      </c>
      <c r="F1865" s="2">
        <f>IFERROR(__xludf.DUMMYFUNCTION("""COMPUTED_VALUE"""),4.3)</f>
        <v>4.3</v>
      </c>
      <c r="G1865" s="2"/>
      <c r="H1865" s="2" t="str">
        <f>IFERROR(__xludf.DUMMYFUNCTION("""COMPUTED_VALUE"""),"United Kingdom")</f>
        <v>United Kingdom</v>
      </c>
      <c r="I1865" s="7">
        <f>IFERROR(__xludf.DUMMYFUNCTION("""COMPUTED_VALUE"""),40148.0)</f>
        <v>40148</v>
      </c>
      <c r="J1865" s="8">
        <f>IFERROR(__xludf.DUMMYFUNCTION("""COMPUTED_VALUE"""),0.6027777777781012)</f>
        <v>0.6027777778</v>
      </c>
      <c r="K1865" s="2">
        <f>IFERROR(__xludf.DUMMYFUNCTION("""COMPUTED_VALUE"""),14.0)</f>
        <v>14</v>
      </c>
      <c r="L1865" s="2">
        <f>IFERROR(__xludf.DUMMYFUNCTION("""COMPUTED_VALUE"""),8.6)</f>
        <v>8.6</v>
      </c>
    </row>
    <row r="1866">
      <c r="A1866" s="2">
        <f>IFERROR(__xludf.DUMMYFUNCTION("""COMPUTED_VALUE"""),489597.0)</f>
        <v>489597</v>
      </c>
      <c r="B1866" s="2" t="str">
        <f>IFERROR(__xludf.DUMMYFUNCTION("""COMPUTED_VALUE"""),"20761")</f>
        <v>20761</v>
      </c>
      <c r="C1866" s="2" t="str">
        <f>IFERROR(__xludf.DUMMYFUNCTION("""COMPUTED_VALUE"""),"BLUE PAISLEY SKETCHBOOK")</f>
        <v>BLUE PAISLEY SKETCHBOOK</v>
      </c>
      <c r="D1866" s="2">
        <f>IFERROR(__xludf.DUMMYFUNCTION("""COMPUTED_VALUE"""),1.0)</f>
        <v>1</v>
      </c>
      <c r="E1866" s="6">
        <f>IFERROR(__xludf.DUMMYFUNCTION("""COMPUTED_VALUE"""),40148.60277777778)</f>
        <v>40148.60278</v>
      </c>
      <c r="F1866" s="2">
        <f>IFERROR(__xludf.DUMMYFUNCTION("""COMPUTED_VALUE"""),7.78)</f>
        <v>7.78</v>
      </c>
      <c r="G1866" s="2"/>
      <c r="H1866" s="2" t="str">
        <f>IFERROR(__xludf.DUMMYFUNCTION("""COMPUTED_VALUE"""),"United Kingdom")</f>
        <v>United Kingdom</v>
      </c>
      <c r="I1866" s="7">
        <f>IFERROR(__xludf.DUMMYFUNCTION("""COMPUTED_VALUE"""),40148.0)</f>
        <v>40148</v>
      </c>
      <c r="J1866" s="8">
        <f>IFERROR(__xludf.DUMMYFUNCTION("""COMPUTED_VALUE"""),0.6027777777781012)</f>
        <v>0.6027777778</v>
      </c>
      <c r="K1866" s="2">
        <f>IFERROR(__xludf.DUMMYFUNCTION("""COMPUTED_VALUE"""),14.0)</f>
        <v>14</v>
      </c>
      <c r="L1866" s="2">
        <f>IFERROR(__xludf.DUMMYFUNCTION("""COMPUTED_VALUE"""),7.78)</f>
        <v>7.78</v>
      </c>
    </row>
    <row r="1867">
      <c r="A1867" s="2">
        <f>IFERROR(__xludf.DUMMYFUNCTION("""COMPUTED_VALUE"""),489597.0)</f>
        <v>489597</v>
      </c>
      <c r="B1867" s="2" t="str">
        <f>IFERROR(__xludf.DUMMYFUNCTION("""COMPUTED_VALUE"""),"20780")</f>
        <v>20780</v>
      </c>
      <c r="C1867" s="2" t="str">
        <f>IFERROR(__xludf.DUMMYFUNCTION("""COMPUTED_VALUE"""),"BLACK EAR MUFF HEADPHONES")</f>
        <v>BLACK EAR MUFF HEADPHONES</v>
      </c>
      <c r="D1867" s="2">
        <f>IFERROR(__xludf.DUMMYFUNCTION("""COMPUTED_VALUE"""),1.0)</f>
        <v>1</v>
      </c>
      <c r="E1867" s="6">
        <f>IFERROR(__xludf.DUMMYFUNCTION("""COMPUTED_VALUE"""),40148.60277777778)</f>
        <v>40148.60278</v>
      </c>
      <c r="F1867" s="2">
        <f>IFERROR(__xludf.DUMMYFUNCTION("""COMPUTED_VALUE"""),11.26)</f>
        <v>11.26</v>
      </c>
      <c r="G1867" s="2"/>
      <c r="H1867" s="2" t="str">
        <f>IFERROR(__xludf.DUMMYFUNCTION("""COMPUTED_VALUE"""),"United Kingdom")</f>
        <v>United Kingdom</v>
      </c>
      <c r="I1867" s="7">
        <f>IFERROR(__xludf.DUMMYFUNCTION("""COMPUTED_VALUE"""),40148.0)</f>
        <v>40148</v>
      </c>
      <c r="J1867" s="8">
        <f>IFERROR(__xludf.DUMMYFUNCTION("""COMPUTED_VALUE"""),0.6027777777781012)</f>
        <v>0.6027777778</v>
      </c>
      <c r="K1867" s="2">
        <f>IFERROR(__xludf.DUMMYFUNCTION("""COMPUTED_VALUE"""),14.0)</f>
        <v>14</v>
      </c>
      <c r="L1867" s="2">
        <f>IFERROR(__xludf.DUMMYFUNCTION("""COMPUTED_VALUE"""),11.26)</f>
        <v>11.26</v>
      </c>
    </row>
    <row r="1868">
      <c r="A1868" s="2">
        <f>IFERROR(__xludf.DUMMYFUNCTION("""COMPUTED_VALUE"""),489597.0)</f>
        <v>489597</v>
      </c>
      <c r="B1868" s="2" t="str">
        <f>IFERROR(__xludf.DUMMYFUNCTION("""COMPUTED_VALUE"""),"20782")</f>
        <v>20782</v>
      </c>
      <c r="C1868" s="2" t="str">
        <f>IFERROR(__xludf.DUMMYFUNCTION("""COMPUTED_VALUE"""),"CAMOUFLAGE EAR MUFF HEADPHONES")</f>
        <v>CAMOUFLAGE EAR MUFF HEADPHONES</v>
      </c>
      <c r="D1868" s="2">
        <f>IFERROR(__xludf.DUMMYFUNCTION("""COMPUTED_VALUE"""),2.0)</f>
        <v>2</v>
      </c>
      <c r="E1868" s="6">
        <f>IFERROR(__xludf.DUMMYFUNCTION("""COMPUTED_VALUE"""),40148.60277777778)</f>
        <v>40148.60278</v>
      </c>
      <c r="F1868" s="2">
        <f>IFERROR(__xludf.DUMMYFUNCTION("""COMPUTED_VALUE"""),11.26)</f>
        <v>11.26</v>
      </c>
      <c r="G1868" s="2"/>
      <c r="H1868" s="2" t="str">
        <f>IFERROR(__xludf.DUMMYFUNCTION("""COMPUTED_VALUE"""),"United Kingdom")</f>
        <v>United Kingdom</v>
      </c>
      <c r="I1868" s="7">
        <f>IFERROR(__xludf.DUMMYFUNCTION("""COMPUTED_VALUE"""),40148.0)</f>
        <v>40148</v>
      </c>
      <c r="J1868" s="8">
        <f>IFERROR(__xludf.DUMMYFUNCTION("""COMPUTED_VALUE"""),0.6027777777781012)</f>
        <v>0.6027777778</v>
      </c>
      <c r="K1868" s="2">
        <f>IFERROR(__xludf.DUMMYFUNCTION("""COMPUTED_VALUE"""),14.0)</f>
        <v>14</v>
      </c>
      <c r="L1868" s="2">
        <f>IFERROR(__xludf.DUMMYFUNCTION("""COMPUTED_VALUE"""),22.52)</f>
        <v>22.52</v>
      </c>
    </row>
    <row r="1869">
      <c r="A1869" s="2">
        <f>IFERROR(__xludf.DUMMYFUNCTION("""COMPUTED_VALUE"""),489597.0)</f>
        <v>489597</v>
      </c>
      <c r="B1869" s="2" t="str">
        <f>IFERROR(__xludf.DUMMYFUNCTION("""COMPUTED_VALUE"""),"20783")</f>
        <v>20783</v>
      </c>
      <c r="C1869" s="2" t="str">
        <f>IFERROR(__xludf.DUMMYFUNCTION("""COMPUTED_VALUE"""),"HEART EAR MUFF HEADPHONES")</f>
        <v>HEART EAR MUFF HEADPHONES</v>
      </c>
      <c r="D1869" s="2">
        <f>IFERROR(__xludf.DUMMYFUNCTION("""COMPUTED_VALUE"""),1.0)</f>
        <v>1</v>
      </c>
      <c r="E1869" s="6">
        <f>IFERROR(__xludf.DUMMYFUNCTION("""COMPUTED_VALUE"""),40148.60277777778)</f>
        <v>40148.60278</v>
      </c>
      <c r="F1869" s="2">
        <f>IFERROR(__xludf.DUMMYFUNCTION("""COMPUTED_VALUE"""),11.26)</f>
        <v>11.26</v>
      </c>
      <c r="G1869" s="2"/>
      <c r="H1869" s="2" t="str">
        <f>IFERROR(__xludf.DUMMYFUNCTION("""COMPUTED_VALUE"""),"United Kingdom")</f>
        <v>United Kingdom</v>
      </c>
      <c r="I1869" s="7">
        <f>IFERROR(__xludf.DUMMYFUNCTION("""COMPUTED_VALUE"""),40148.0)</f>
        <v>40148</v>
      </c>
      <c r="J1869" s="8">
        <f>IFERROR(__xludf.DUMMYFUNCTION("""COMPUTED_VALUE"""),0.6027777777781012)</f>
        <v>0.6027777778</v>
      </c>
      <c r="K1869" s="2">
        <f>IFERROR(__xludf.DUMMYFUNCTION("""COMPUTED_VALUE"""),14.0)</f>
        <v>14</v>
      </c>
      <c r="L1869" s="2">
        <f>IFERROR(__xludf.DUMMYFUNCTION("""COMPUTED_VALUE"""),11.26)</f>
        <v>11.26</v>
      </c>
    </row>
    <row r="1870">
      <c r="A1870" s="2">
        <f>IFERROR(__xludf.DUMMYFUNCTION("""COMPUTED_VALUE"""),489597.0)</f>
        <v>489597</v>
      </c>
      <c r="B1870" s="2" t="str">
        <f>IFERROR(__xludf.DUMMYFUNCTION("""COMPUTED_VALUE"""),"20798")</f>
        <v>20798</v>
      </c>
      <c r="C1870" s="2" t="str">
        <f>IFERROR(__xludf.DUMMYFUNCTION("""COMPUTED_VALUE"""),"CLEAR MILKSHAKE GLASS")</f>
        <v>CLEAR MILKSHAKE GLASS</v>
      </c>
      <c r="D1870" s="2">
        <f>IFERROR(__xludf.DUMMYFUNCTION("""COMPUTED_VALUE"""),3.0)</f>
        <v>3</v>
      </c>
      <c r="E1870" s="6">
        <f>IFERROR(__xludf.DUMMYFUNCTION("""COMPUTED_VALUE"""),40148.60277777778)</f>
        <v>40148.60278</v>
      </c>
      <c r="F1870" s="2">
        <f>IFERROR(__xludf.DUMMYFUNCTION("""COMPUTED_VALUE"""),4.3)</f>
        <v>4.3</v>
      </c>
      <c r="G1870" s="2"/>
      <c r="H1870" s="2" t="str">
        <f>IFERROR(__xludf.DUMMYFUNCTION("""COMPUTED_VALUE"""),"United Kingdom")</f>
        <v>United Kingdom</v>
      </c>
      <c r="I1870" s="7">
        <f>IFERROR(__xludf.DUMMYFUNCTION("""COMPUTED_VALUE"""),40148.0)</f>
        <v>40148</v>
      </c>
      <c r="J1870" s="8">
        <f>IFERROR(__xludf.DUMMYFUNCTION("""COMPUTED_VALUE"""),0.6027777777781012)</f>
        <v>0.6027777778</v>
      </c>
      <c r="K1870" s="2">
        <f>IFERROR(__xludf.DUMMYFUNCTION("""COMPUTED_VALUE"""),14.0)</f>
        <v>14</v>
      </c>
      <c r="L1870" s="2">
        <f>IFERROR(__xludf.DUMMYFUNCTION("""COMPUTED_VALUE"""),12.8999999999999)</f>
        <v>12.9</v>
      </c>
    </row>
    <row r="1871">
      <c r="A1871" s="2">
        <f>IFERROR(__xludf.DUMMYFUNCTION("""COMPUTED_VALUE"""),489597.0)</f>
        <v>489597</v>
      </c>
      <c r="B1871" s="2" t="str">
        <f>IFERROR(__xludf.DUMMYFUNCTION("""COMPUTED_VALUE"""),"20799")</f>
        <v>20799</v>
      </c>
      <c r="C1871" s="2" t="str">
        <f>IFERROR(__xludf.DUMMYFUNCTION("""COMPUTED_VALUE"""),"PINK MILKSHAKE GLASS")</f>
        <v>PINK MILKSHAKE GLASS</v>
      </c>
      <c r="D1871" s="2">
        <f>IFERROR(__xludf.DUMMYFUNCTION("""COMPUTED_VALUE"""),3.0)</f>
        <v>3</v>
      </c>
      <c r="E1871" s="6">
        <f>IFERROR(__xludf.DUMMYFUNCTION("""COMPUTED_VALUE"""),40148.60277777778)</f>
        <v>40148.60278</v>
      </c>
      <c r="F1871" s="2">
        <f>IFERROR(__xludf.DUMMYFUNCTION("""COMPUTED_VALUE"""),4.3)</f>
        <v>4.3</v>
      </c>
      <c r="G1871" s="2"/>
      <c r="H1871" s="2" t="str">
        <f>IFERROR(__xludf.DUMMYFUNCTION("""COMPUTED_VALUE"""),"United Kingdom")</f>
        <v>United Kingdom</v>
      </c>
      <c r="I1871" s="7">
        <f>IFERROR(__xludf.DUMMYFUNCTION("""COMPUTED_VALUE"""),40148.0)</f>
        <v>40148</v>
      </c>
      <c r="J1871" s="8">
        <f>IFERROR(__xludf.DUMMYFUNCTION("""COMPUTED_VALUE"""),0.6027777777781012)</f>
        <v>0.6027777778</v>
      </c>
      <c r="K1871" s="2">
        <f>IFERROR(__xludf.DUMMYFUNCTION("""COMPUTED_VALUE"""),14.0)</f>
        <v>14</v>
      </c>
      <c r="L1871" s="2">
        <f>IFERROR(__xludf.DUMMYFUNCTION("""COMPUTED_VALUE"""),12.8999999999999)</f>
        <v>12.9</v>
      </c>
    </row>
    <row r="1872">
      <c r="A1872" s="2">
        <f>IFERROR(__xludf.DUMMYFUNCTION("""COMPUTED_VALUE"""),489597.0)</f>
        <v>489597</v>
      </c>
      <c r="B1872" s="2" t="str">
        <f>IFERROR(__xludf.DUMMYFUNCTION("""COMPUTED_VALUE"""),"20825")</f>
        <v>20825</v>
      </c>
      <c r="C1872" s="2" t="str">
        <f>IFERROR(__xludf.DUMMYFUNCTION("""COMPUTED_VALUE"""),"GOLD WINE GLASS")</f>
        <v>GOLD WINE GLASS</v>
      </c>
      <c r="D1872" s="2">
        <f>IFERROR(__xludf.DUMMYFUNCTION("""COMPUTED_VALUE"""),1.0)</f>
        <v>1</v>
      </c>
      <c r="E1872" s="6">
        <f>IFERROR(__xludf.DUMMYFUNCTION("""COMPUTED_VALUE"""),40148.60277777778)</f>
        <v>40148.60278</v>
      </c>
      <c r="F1872" s="2">
        <f>IFERROR(__xludf.DUMMYFUNCTION("""COMPUTED_VALUE"""),26.04)</f>
        <v>26.04</v>
      </c>
      <c r="G1872" s="2"/>
      <c r="H1872" s="2" t="str">
        <f>IFERROR(__xludf.DUMMYFUNCTION("""COMPUTED_VALUE"""),"United Kingdom")</f>
        <v>United Kingdom</v>
      </c>
      <c r="I1872" s="7">
        <f>IFERROR(__xludf.DUMMYFUNCTION("""COMPUTED_VALUE"""),40148.0)</f>
        <v>40148</v>
      </c>
      <c r="J1872" s="8">
        <f>IFERROR(__xludf.DUMMYFUNCTION("""COMPUTED_VALUE"""),0.6027777777781012)</f>
        <v>0.6027777778</v>
      </c>
      <c r="K1872" s="2">
        <f>IFERROR(__xludf.DUMMYFUNCTION("""COMPUTED_VALUE"""),14.0)</f>
        <v>14</v>
      </c>
      <c r="L1872" s="2">
        <f>IFERROR(__xludf.DUMMYFUNCTION("""COMPUTED_VALUE"""),26.04)</f>
        <v>26.04</v>
      </c>
    </row>
    <row r="1873">
      <c r="A1873" s="2">
        <f>IFERROR(__xludf.DUMMYFUNCTION("""COMPUTED_VALUE"""),489597.0)</f>
        <v>489597</v>
      </c>
      <c r="B1873" s="2" t="str">
        <f>IFERROR(__xludf.DUMMYFUNCTION("""COMPUTED_VALUE"""),"20828")</f>
        <v>20828</v>
      </c>
      <c r="C1873" s="2" t="str">
        <f>IFERROR(__xludf.DUMMYFUNCTION("""COMPUTED_VALUE"""),"GLITTER BUTTERFLY CLIPS")</f>
        <v>GLITTER BUTTERFLY CLIPS</v>
      </c>
      <c r="D1873" s="2">
        <f>IFERROR(__xludf.DUMMYFUNCTION("""COMPUTED_VALUE"""),1.0)</f>
        <v>1</v>
      </c>
      <c r="E1873" s="6">
        <f>IFERROR(__xludf.DUMMYFUNCTION("""COMPUTED_VALUE"""),40148.60277777778)</f>
        <v>40148.60278</v>
      </c>
      <c r="F1873" s="2">
        <f>IFERROR(__xludf.DUMMYFUNCTION("""COMPUTED_VALUE"""),5.17)</f>
        <v>5.17</v>
      </c>
      <c r="G1873" s="2"/>
      <c r="H1873" s="2" t="str">
        <f>IFERROR(__xludf.DUMMYFUNCTION("""COMPUTED_VALUE"""),"United Kingdom")</f>
        <v>United Kingdom</v>
      </c>
      <c r="I1873" s="7">
        <f>IFERROR(__xludf.DUMMYFUNCTION("""COMPUTED_VALUE"""),40148.0)</f>
        <v>40148</v>
      </c>
      <c r="J1873" s="8">
        <f>IFERROR(__xludf.DUMMYFUNCTION("""COMPUTED_VALUE"""),0.6027777777781012)</f>
        <v>0.6027777778</v>
      </c>
      <c r="K1873" s="2">
        <f>IFERROR(__xludf.DUMMYFUNCTION("""COMPUTED_VALUE"""),14.0)</f>
        <v>14</v>
      </c>
      <c r="L1873" s="2">
        <f>IFERROR(__xludf.DUMMYFUNCTION("""COMPUTED_VALUE"""),5.17)</f>
        <v>5.17</v>
      </c>
    </row>
    <row r="1874">
      <c r="A1874" s="2">
        <f>IFERROR(__xludf.DUMMYFUNCTION("""COMPUTED_VALUE"""),489597.0)</f>
        <v>489597</v>
      </c>
      <c r="B1874" s="2" t="str">
        <f>IFERROR(__xludf.DUMMYFUNCTION("""COMPUTED_VALUE"""),"20832")</f>
        <v>20832</v>
      </c>
      <c r="C1874" s="2" t="str">
        <f>IFERROR(__xludf.DUMMYFUNCTION("""COMPUTED_VALUE"""),"RED FLOCK LOVE HEART PHOTO FRAME")</f>
        <v>RED FLOCK LOVE HEART PHOTO FRAME</v>
      </c>
      <c r="D1874" s="2">
        <f>IFERROR(__xludf.DUMMYFUNCTION("""COMPUTED_VALUE"""),1.0)</f>
        <v>1</v>
      </c>
      <c r="E1874" s="6">
        <f>IFERROR(__xludf.DUMMYFUNCTION("""COMPUTED_VALUE"""),40148.60277777778)</f>
        <v>40148.60278</v>
      </c>
      <c r="F1874" s="2">
        <f>IFERROR(__xludf.DUMMYFUNCTION("""COMPUTED_VALUE"""),1.7)</f>
        <v>1.7</v>
      </c>
      <c r="G1874" s="2"/>
      <c r="H1874" s="2" t="str">
        <f>IFERROR(__xludf.DUMMYFUNCTION("""COMPUTED_VALUE"""),"United Kingdom")</f>
        <v>United Kingdom</v>
      </c>
      <c r="I1874" s="7">
        <f>IFERROR(__xludf.DUMMYFUNCTION("""COMPUTED_VALUE"""),40148.0)</f>
        <v>40148</v>
      </c>
      <c r="J1874" s="8">
        <f>IFERROR(__xludf.DUMMYFUNCTION("""COMPUTED_VALUE"""),0.6027777777781012)</f>
        <v>0.6027777778</v>
      </c>
      <c r="K1874" s="2">
        <f>IFERROR(__xludf.DUMMYFUNCTION("""COMPUTED_VALUE"""),14.0)</f>
        <v>14</v>
      </c>
      <c r="L1874" s="2">
        <f>IFERROR(__xludf.DUMMYFUNCTION("""COMPUTED_VALUE"""),1.7)</f>
        <v>1.7</v>
      </c>
    </row>
    <row r="1875">
      <c r="A1875" s="2">
        <f>IFERROR(__xludf.DUMMYFUNCTION("""COMPUTED_VALUE"""),489597.0)</f>
        <v>489597</v>
      </c>
      <c r="B1875" s="2" t="str">
        <f>IFERROR(__xludf.DUMMYFUNCTION("""COMPUTED_VALUE"""),"20863")</f>
        <v>20863</v>
      </c>
      <c r="C1875" s="2" t="str">
        <f>IFERROR(__xludf.DUMMYFUNCTION("""COMPUTED_VALUE"""),"BLUE PATCH PENCIL CASE PINK HEART")</f>
        <v>BLUE PATCH PENCIL CASE PINK HEART</v>
      </c>
      <c r="D1875" s="2">
        <f>IFERROR(__xludf.DUMMYFUNCTION("""COMPUTED_VALUE"""),1.0)</f>
        <v>1</v>
      </c>
      <c r="E1875" s="6">
        <f>IFERROR(__xludf.DUMMYFUNCTION("""COMPUTED_VALUE"""),40148.60277777778)</f>
        <v>40148.60278</v>
      </c>
      <c r="F1875" s="2">
        <f>IFERROR(__xludf.DUMMYFUNCTION("""COMPUTED_VALUE"""),4.3)</f>
        <v>4.3</v>
      </c>
      <c r="G1875" s="2"/>
      <c r="H1875" s="2" t="str">
        <f>IFERROR(__xludf.DUMMYFUNCTION("""COMPUTED_VALUE"""),"United Kingdom")</f>
        <v>United Kingdom</v>
      </c>
      <c r="I1875" s="7">
        <f>IFERROR(__xludf.DUMMYFUNCTION("""COMPUTED_VALUE"""),40148.0)</f>
        <v>40148</v>
      </c>
      <c r="J1875" s="8">
        <f>IFERROR(__xludf.DUMMYFUNCTION("""COMPUTED_VALUE"""),0.6027777777781012)</f>
        <v>0.6027777778</v>
      </c>
      <c r="K1875" s="2">
        <f>IFERROR(__xludf.DUMMYFUNCTION("""COMPUTED_VALUE"""),14.0)</f>
        <v>14</v>
      </c>
      <c r="L1875" s="2">
        <f>IFERROR(__xludf.DUMMYFUNCTION("""COMPUTED_VALUE"""),4.3)</f>
        <v>4.3</v>
      </c>
    </row>
    <row r="1876">
      <c r="A1876" s="2">
        <f>IFERROR(__xludf.DUMMYFUNCTION("""COMPUTED_VALUE"""),489597.0)</f>
        <v>489597</v>
      </c>
      <c r="B1876" s="2" t="str">
        <f>IFERROR(__xludf.DUMMYFUNCTION("""COMPUTED_VALUE"""),"20865")</f>
        <v>20865</v>
      </c>
      <c r="C1876" s="2" t="str">
        <f>IFERROR(__xludf.DUMMYFUNCTION("""COMPUTED_VALUE"""),"PATCHWORK PENCIL CASE BUTTERFLY")</f>
        <v>PATCHWORK PENCIL CASE BUTTERFLY</v>
      </c>
      <c r="D1876" s="2">
        <f>IFERROR(__xludf.DUMMYFUNCTION("""COMPUTED_VALUE"""),2.0)</f>
        <v>2</v>
      </c>
      <c r="E1876" s="6">
        <f>IFERROR(__xludf.DUMMYFUNCTION("""COMPUTED_VALUE"""),40148.60277777778)</f>
        <v>40148.60278</v>
      </c>
      <c r="F1876" s="2">
        <f>IFERROR(__xludf.DUMMYFUNCTION("""COMPUTED_VALUE"""),4.3)</f>
        <v>4.3</v>
      </c>
      <c r="G1876" s="2"/>
      <c r="H1876" s="2" t="str">
        <f>IFERROR(__xludf.DUMMYFUNCTION("""COMPUTED_VALUE"""),"United Kingdom")</f>
        <v>United Kingdom</v>
      </c>
      <c r="I1876" s="7">
        <f>IFERROR(__xludf.DUMMYFUNCTION("""COMPUTED_VALUE"""),40148.0)</f>
        <v>40148</v>
      </c>
      <c r="J1876" s="8">
        <f>IFERROR(__xludf.DUMMYFUNCTION("""COMPUTED_VALUE"""),0.6027777777781012)</f>
        <v>0.6027777778</v>
      </c>
      <c r="K1876" s="2">
        <f>IFERROR(__xludf.DUMMYFUNCTION("""COMPUTED_VALUE"""),14.0)</f>
        <v>14</v>
      </c>
      <c r="L1876" s="2">
        <f>IFERROR(__xludf.DUMMYFUNCTION("""COMPUTED_VALUE"""),8.6)</f>
        <v>8.6</v>
      </c>
    </row>
    <row r="1877">
      <c r="A1877" s="2">
        <f>IFERROR(__xludf.DUMMYFUNCTION("""COMPUTED_VALUE"""),489597.0)</f>
        <v>489597</v>
      </c>
      <c r="B1877" s="2" t="str">
        <f>IFERROR(__xludf.DUMMYFUNCTION("""COMPUTED_VALUE"""),"20866")</f>
        <v>20866</v>
      </c>
      <c r="C1877" s="2" t="str">
        <f>IFERROR(__xludf.DUMMYFUNCTION("""COMPUTED_VALUE"""),"BLUE ROSE FABRIC MIRROR")</f>
        <v>BLUE ROSE FABRIC MIRROR</v>
      </c>
      <c r="D1877" s="2">
        <f>IFERROR(__xludf.DUMMYFUNCTION("""COMPUTED_VALUE"""),2.0)</f>
        <v>2</v>
      </c>
      <c r="E1877" s="6">
        <f>IFERROR(__xludf.DUMMYFUNCTION("""COMPUTED_VALUE"""),40148.60277777778)</f>
        <v>40148.60278</v>
      </c>
      <c r="F1877" s="2">
        <f>IFERROR(__xludf.DUMMYFUNCTION("""COMPUTED_VALUE"""),2.57)</f>
        <v>2.57</v>
      </c>
      <c r="G1877" s="2"/>
      <c r="H1877" s="2" t="str">
        <f>IFERROR(__xludf.DUMMYFUNCTION("""COMPUTED_VALUE"""),"United Kingdom")</f>
        <v>United Kingdom</v>
      </c>
      <c r="I1877" s="7">
        <f>IFERROR(__xludf.DUMMYFUNCTION("""COMPUTED_VALUE"""),40148.0)</f>
        <v>40148</v>
      </c>
      <c r="J1877" s="8">
        <f>IFERROR(__xludf.DUMMYFUNCTION("""COMPUTED_VALUE"""),0.6027777777781012)</f>
        <v>0.6027777778</v>
      </c>
      <c r="K1877" s="2">
        <f>IFERROR(__xludf.DUMMYFUNCTION("""COMPUTED_VALUE"""),14.0)</f>
        <v>14</v>
      </c>
      <c r="L1877" s="2">
        <f>IFERROR(__xludf.DUMMYFUNCTION("""COMPUTED_VALUE"""),5.14)</f>
        <v>5.14</v>
      </c>
    </row>
    <row r="1878">
      <c r="A1878" s="2">
        <f>IFERROR(__xludf.DUMMYFUNCTION("""COMPUTED_VALUE"""),489597.0)</f>
        <v>489597</v>
      </c>
      <c r="B1878" s="2" t="str">
        <f>IFERROR(__xludf.DUMMYFUNCTION("""COMPUTED_VALUE"""),"20886")</f>
        <v>20886</v>
      </c>
      <c r="C1878" s="2" t="str">
        <f>IFERROR(__xludf.DUMMYFUNCTION("""COMPUTED_VALUE"""),"BOX OF 9 PEBBLE CANDLES")</f>
        <v>BOX OF 9 PEBBLE CANDLES</v>
      </c>
      <c r="D1878" s="2">
        <f>IFERROR(__xludf.DUMMYFUNCTION("""COMPUTED_VALUE"""),1.0)</f>
        <v>1</v>
      </c>
      <c r="E1878" s="6">
        <f>IFERROR(__xludf.DUMMYFUNCTION("""COMPUTED_VALUE"""),40148.60277777778)</f>
        <v>40148.60278</v>
      </c>
      <c r="F1878" s="2">
        <f>IFERROR(__xludf.DUMMYFUNCTION("""COMPUTED_VALUE"""),4.3)</f>
        <v>4.3</v>
      </c>
      <c r="G1878" s="2"/>
      <c r="H1878" s="2" t="str">
        <f>IFERROR(__xludf.DUMMYFUNCTION("""COMPUTED_VALUE"""),"United Kingdom")</f>
        <v>United Kingdom</v>
      </c>
      <c r="I1878" s="7">
        <f>IFERROR(__xludf.DUMMYFUNCTION("""COMPUTED_VALUE"""),40148.0)</f>
        <v>40148</v>
      </c>
      <c r="J1878" s="8">
        <f>IFERROR(__xludf.DUMMYFUNCTION("""COMPUTED_VALUE"""),0.6027777777781012)</f>
        <v>0.6027777778</v>
      </c>
      <c r="K1878" s="2">
        <f>IFERROR(__xludf.DUMMYFUNCTION("""COMPUTED_VALUE"""),14.0)</f>
        <v>14</v>
      </c>
      <c r="L1878" s="2">
        <f>IFERROR(__xludf.DUMMYFUNCTION("""COMPUTED_VALUE"""),4.3)</f>
        <v>4.3</v>
      </c>
    </row>
    <row r="1879">
      <c r="A1879" s="2">
        <f>IFERROR(__xludf.DUMMYFUNCTION("""COMPUTED_VALUE"""),489597.0)</f>
        <v>489597</v>
      </c>
      <c r="B1879" s="2" t="str">
        <f>IFERROR(__xludf.DUMMYFUNCTION("""COMPUTED_VALUE"""),"20888")</f>
        <v>20888</v>
      </c>
      <c r="C1879" s="2" t="str">
        <f>IFERROR(__xludf.DUMMYFUNCTION("""COMPUTED_VALUE"""),"SET 3 JARDIN DE FEMME SCENT CANDLES")</f>
        <v>SET 3 JARDIN DE FEMME SCENT CANDLES</v>
      </c>
      <c r="D1879" s="2">
        <f>IFERROR(__xludf.DUMMYFUNCTION("""COMPUTED_VALUE"""),1.0)</f>
        <v>1</v>
      </c>
      <c r="E1879" s="6">
        <f>IFERROR(__xludf.DUMMYFUNCTION("""COMPUTED_VALUE"""),40148.60277777778)</f>
        <v>40148.60278</v>
      </c>
      <c r="F1879" s="2">
        <f>IFERROR(__xludf.DUMMYFUNCTION("""COMPUTED_VALUE"""),6.04)</f>
        <v>6.04</v>
      </c>
      <c r="G1879" s="2"/>
      <c r="H1879" s="2" t="str">
        <f>IFERROR(__xludf.DUMMYFUNCTION("""COMPUTED_VALUE"""),"United Kingdom")</f>
        <v>United Kingdom</v>
      </c>
      <c r="I1879" s="7">
        <f>IFERROR(__xludf.DUMMYFUNCTION("""COMPUTED_VALUE"""),40148.0)</f>
        <v>40148</v>
      </c>
      <c r="J1879" s="8">
        <f>IFERROR(__xludf.DUMMYFUNCTION("""COMPUTED_VALUE"""),0.6027777777781012)</f>
        <v>0.6027777778</v>
      </c>
      <c r="K1879" s="2">
        <f>IFERROR(__xludf.DUMMYFUNCTION("""COMPUTED_VALUE"""),14.0)</f>
        <v>14</v>
      </c>
      <c r="L1879" s="2">
        <f>IFERROR(__xludf.DUMMYFUNCTION("""COMPUTED_VALUE"""),6.04)</f>
        <v>6.04</v>
      </c>
    </row>
    <row r="1880">
      <c r="A1880" s="2">
        <f>IFERROR(__xludf.DUMMYFUNCTION("""COMPUTED_VALUE"""),489597.0)</f>
        <v>489597</v>
      </c>
      <c r="B1880" s="2" t="str">
        <f>IFERROR(__xludf.DUMMYFUNCTION("""COMPUTED_VALUE"""),"20897")</f>
        <v>20897</v>
      </c>
      <c r="C1880" s="2" t="str">
        <f>IFERROR(__xludf.DUMMYFUNCTION("""COMPUTED_VALUE"""),"VINTAGE NOTEBOOK PARIS DAYS")</f>
        <v>VINTAGE NOTEBOOK PARIS DAYS</v>
      </c>
      <c r="D1880" s="2">
        <f>IFERROR(__xludf.DUMMYFUNCTION("""COMPUTED_VALUE"""),1.0)</f>
        <v>1</v>
      </c>
      <c r="E1880" s="6">
        <f>IFERROR(__xludf.DUMMYFUNCTION("""COMPUTED_VALUE"""),40148.60277777778)</f>
        <v>40148.60278</v>
      </c>
      <c r="F1880" s="2">
        <f>IFERROR(__xludf.DUMMYFUNCTION("""COMPUTED_VALUE"""),6.04)</f>
        <v>6.04</v>
      </c>
      <c r="G1880" s="2"/>
      <c r="H1880" s="2" t="str">
        <f>IFERROR(__xludf.DUMMYFUNCTION("""COMPUTED_VALUE"""),"United Kingdom")</f>
        <v>United Kingdom</v>
      </c>
      <c r="I1880" s="7">
        <f>IFERROR(__xludf.DUMMYFUNCTION("""COMPUTED_VALUE"""),40148.0)</f>
        <v>40148</v>
      </c>
      <c r="J1880" s="8">
        <f>IFERROR(__xludf.DUMMYFUNCTION("""COMPUTED_VALUE"""),0.6027777777781012)</f>
        <v>0.6027777778</v>
      </c>
      <c r="K1880" s="2">
        <f>IFERROR(__xludf.DUMMYFUNCTION("""COMPUTED_VALUE"""),14.0)</f>
        <v>14</v>
      </c>
      <c r="L1880" s="2">
        <f>IFERROR(__xludf.DUMMYFUNCTION("""COMPUTED_VALUE"""),6.04)</f>
        <v>6.04</v>
      </c>
    </row>
    <row r="1881">
      <c r="A1881" s="2">
        <f>IFERROR(__xludf.DUMMYFUNCTION("""COMPUTED_VALUE"""),489597.0)</f>
        <v>489597</v>
      </c>
      <c r="B1881" s="2" t="str">
        <f>IFERROR(__xludf.DUMMYFUNCTION("""COMPUTED_VALUE"""),"20903")</f>
        <v>20903</v>
      </c>
      <c r="C1881" s="2" t="str">
        <f>IFERROR(__xludf.DUMMYFUNCTION("""COMPUTED_VALUE"""),"VINTAGE KEEPSAKE BOX TRAVELOGUE")</f>
        <v>VINTAGE KEEPSAKE BOX TRAVELOGUE</v>
      </c>
      <c r="D1881" s="2">
        <f>IFERROR(__xludf.DUMMYFUNCTION("""COMPUTED_VALUE"""),1.0)</f>
        <v>1</v>
      </c>
      <c r="E1881" s="6">
        <f>IFERROR(__xludf.DUMMYFUNCTION("""COMPUTED_VALUE"""),40148.60277777778)</f>
        <v>40148.60278</v>
      </c>
      <c r="F1881" s="2">
        <f>IFERROR(__xludf.DUMMYFUNCTION("""COMPUTED_VALUE"""),13.0)</f>
        <v>13</v>
      </c>
      <c r="G1881" s="2"/>
      <c r="H1881" s="2" t="str">
        <f>IFERROR(__xludf.DUMMYFUNCTION("""COMPUTED_VALUE"""),"United Kingdom")</f>
        <v>United Kingdom</v>
      </c>
      <c r="I1881" s="7">
        <f>IFERROR(__xludf.DUMMYFUNCTION("""COMPUTED_VALUE"""),40148.0)</f>
        <v>40148</v>
      </c>
      <c r="J1881" s="8">
        <f>IFERROR(__xludf.DUMMYFUNCTION("""COMPUTED_VALUE"""),0.6027777777781012)</f>
        <v>0.6027777778</v>
      </c>
      <c r="K1881" s="2">
        <f>IFERROR(__xludf.DUMMYFUNCTION("""COMPUTED_VALUE"""),14.0)</f>
        <v>14</v>
      </c>
      <c r="L1881" s="2">
        <f>IFERROR(__xludf.DUMMYFUNCTION("""COMPUTED_VALUE"""),13.0)</f>
        <v>13</v>
      </c>
    </row>
    <row r="1882">
      <c r="A1882" s="2">
        <f>IFERROR(__xludf.DUMMYFUNCTION("""COMPUTED_VALUE"""),489597.0)</f>
        <v>489597</v>
      </c>
      <c r="B1882" s="2" t="str">
        <f>IFERROR(__xludf.DUMMYFUNCTION("""COMPUTED_VALUE"""),"20914")</f>
        <v>20914</v>
      </c>
      <c r="C1882" s="2" t="str">
        <f>IFERROR(__xludf.DUMMYFUNCTION("""COMPUTED_VALUE"""),"SET/5 RED SPOTTY LID GLASS BOWLS")</f>
        <v>SET/5 RED SPOTTY LID GLASS BOWLS</v>
      </c>
      <c r="D1882" s="2">
        <f>IFERROR(__xludf.DUMMYFUNCTION("""COMPUTED_VALUE"""),1.0)</f>
        <v>1</v>
      </c>
      <c r="E1882" s="6">
        <f>IFERROR(__xludf.DUMMYFUNCTION("""COMPUTED_VALUE"""),40148.60277777778)</f>
        <v>40148.60278</v>
      </c>
      <c r="F1882" s="2">
        <f>IFERROR(__xludf.DUMMYFUNCTION("""COMPUTED_VALUE"""),6.04)</f>
        <v>6.04</v>
      </c>
      <c r="G1882" s="2"/>
      <c r="H1882" s="2" t="str">
        <f>IFERROR(__xludf.DUMMYFUNCTION("""COMPUTED_VALUE"""),"United Kingdom")</f>
        <v>United Kingdom</v>
      </c>
      <c r="I1882" s="7">
        <f>IFERROR(__xludf.DUMMYFUNCTION("""COMPUTED_VALUE"""),40148.0)</f>
        <v>40148</v>
      </c>
      <c r="J1882" s="8">
        <f>IFERROR(__xludf.DUMMYFUNCTION("""COMPUTED_VALUE"""),0.6027777777781012)</f>
        <v>0.6027777778</v>
      </c>
      <c r="K1882" s="2">
        <f>IFERROR(__xludf.DUMMYFUNCTION("""COMPUTED_VALUE"""),14.0)</f>
        <v>14</v>
      </c>
      <c r="L1882" s="2">
        <f>IFERROR(__xludf.DUMMYFUNCTION("""COMPUTED_VALUE"""),6.04)</f>
        <v>6.04</v>
      </c>
    </row>
    <row r="1883">
      <c r="A1883" s="2">
        <f>IFERROR(__xludf.DUMMYFUNCTION("""COMPUTED_VALUE"""),489597.0)</f>
        <v>489597</v>
      </c>
      <c r="B1883" s="2" t="str">
        <f>IFERROR(__xludf.DUMMYFUNCTION("""COMPUTED_VALUE"""),"20940")</f>
        <v>20940</v>
      </c>
      <c r="C1883" s="2" t="str">
        <f>IFERROR(__xludf.DUMMYFUNCTION("""COMPUTED_VALUE"""),"SET/6 GARDEN GNOME T-LIGHT CANDLES")</f>
        <v>SET/6 GARDEN GNOME T-LIGHT CANDLES</v>
      </c>
      <c r="D1883" s="2">
        <f>IFERROR(__xludf.DUMMYFUNCTION("""COMPUTED_VALUE"""),1.0)</f>
        <v>1</v>
      </c>
      <c r="E1883" s="6">
        <f>IFERROR(__xludf.DUMMYFUNCTION("""COMPUTED_VALUE"""),40148.60277777778)</f>
        <v>40148.60278</v>
      </c>
      <c r="F1883" s="2">
        <f>IFERROR(__xludf.DUMMYFUNCTION("""COMPUTED_VALUE"""),6.04)</f>
        <v>6.04</v>
      </c>
      <c r="G1883" s="2"/>
      <c r="H1883" s="2" t="str">
        <f>IFERROR(__xludf.DUMMYFUNCTION("""COMPUTED_VALUE"""),"United Kingdom")</f>
        <v>United Kingdom</v>
      </c>
      <c r="I1883" s="7">
        <f>IFERROR(__xludf.DUMMYFUNCTION("""COMPUTED_VALUE"""),40148.0)</f>
        <v>40148</v>
      </c>
      <c r="J1883" s="8">
        <f>IFERROR(__xludf.DUMMYFUNCTION("""COMPUTED_VALUE"""),0.6027777777781012)</f>
        <v>0.6027777778</v>
      </c>
      <c r="K1883" s="2">
        <f>IFERROR(__xludf.DUMMYFUNCTION("""COMPUTED_VALUE"""),14.0)</f>
        <v>14</v>
      </c>
      <c r="L1883" s="2">
        <f>IFERROR(__xludf.DUMMYFUNCTION("""COMPUTED_VALUE"""),6.04)</f>
        <v>6.04</v>
      </c>
    </row>
    <row r="1884">
      <c r="A1884" s="2">
        <f>IFERROR(__xludf.DUMMYFUNCTION("""COMPUTED_VALUE"""),489597.0)</f>
        <v>489597</v>
      </c>
      <c r="B1884" s="2" t="str">
        <f>IFERROR(__xludf.DUMMYFUNCTION("""COMPUTED_VALUE"""),"20961")</f>
        <v>20961</v>
      </c>
      <c r="C1884" s="2" t="str">
        <f>IFERROR(__xludf.DUMMYFUNCTION("""COMPUTED_VALUE"""),"STRAWBERRY BATH SPONGE")</f>
        <v>STRAWBERRY BATH SPONGE</v>
      </c>
      <c r="D1884" s="2">
        <f>IFERROR(__xludf.DUMMYFUNCTION("""COMPUTED_VALUE"""),2.0)</f>
        <v>2</v>
      </c>
      <c r="E1884" s="6">
        <f>IFERROR(__xludf.DUMMYFUNCTION("""COMPUTED_VALUE"""),40148.60277777778)</f>
        <v>40148.60278</v>
      </c>
      <c r="F1884" s="2">
        <f>IFERROR(__xludf.DUMMYFUNCTION("""COMPUTED_VALUE"""),2.57)</f>
        <v>2.57</v>
      </c>
      <c r="G1884" s="2"/>
      <c r="H1884" s="2" t="str">
        <f>IFERROR(__xludf.DUMMYFUNCTION("""COMPUTED_VALUE"""),"United Kingdom")</f>
        <v>United Kingdom</v>
      </c>
      <c r="I1884" s="7">
        <f>IFERROR(__xludf.DUMMYFUNCTION("""COMPUTED_VALUE"""),40148.0)</f>
        <v>40148</v>
      </c>
      <c r="J1884" s="8">
        <f>IFERROR(__xludf.DUMMYFUNCTION("""COMPUTED_VALUE"""),0.6027777777781012)</f>
        <v>0.6027777778</v>
      </c>
      <c r="K1884" s="2">
        <f>IFERROR(__xludf.DUMMYFUNCTION("""COMPUTED_VALUE"""),14.0)</f>
        <v>14</v>
      </c>
      <c r="L1884" s="2">
        <f>IFERROR(__xludf.DUMMYFUNCTION("""COMPUTED_VALUE"""),5.14)</f>
        <v>5.14</v>
      </c>
    </row>
    <row r="1885">
      <c r="A1885" s="2">
        <f>IFERROR(__xludf.DUMMYFUNCTION("""COMPUTED_VALUE"""),489597.0)</f>
        <v>489597</v>
      </c>
      <c r="B1885" s="2" t="str">
        <f>IFERROR(__xludf.DUMMYFUNCTION("""COMPUTED_VALUE"""),"20966")</f>
        <v>20966</v>
      </c>
      <c r="C1885" s="2" t="str">
        <f>IFERROR(__xludf.DUMMYFUNCTION("""COMPUTED_VALUE"""),"SANDWICH BATH SPONGE")</f>
        <v>SANDWICH BATH SPONGE</v>
      </c>
      <c r="D1885" s="2">
        <f>IFERROR(__xludf.DUMMYFUNCTION("""COMPUTED_VALUE"""),3.0)</f>
        <v>3</v>
      </c>
      <c r="E1885" s="6">
        <f>IFERROR(__xludf.DUMMYFUNCTION("""COMPUTED_VALUE"""),40148.60277777778)</f>
        <v>40148.60278</v>
      </c>
      <c r="F1885" s="2">
        <f>IFERROR(__xludf.DUMMYFUNCTION("""COMPUTED_VALUE"""),2.57)</f>
        <v>2.57</v>
      </c>
      <c r="G1885" s="2"/>
      <c r="H1885" s="2" t="str">
        <f>IFERROR(__xludf.DUMMYFUNCTION("""COMPUTED_VALUE"""),"United Kingdom")</f>
        <v>United Kingdom</v>
      </c>
      <c r="I1885" s="7">
        <f>IFERROR(__xludf.DUMMYFUNCTION("""COMPUTED_VALUE"""),40148.0)</f>
        <v>40148</v>
      </c>
      <c r="J1885" s="8">
        <f>IFERROR(__xludf.DUMMYFUNCTION("""COMPUTED_VALUE"""),0.6027777777781012)</f>
        <v>0.6027777778</v>
      </c>
      <c r="K1885" s="2">
        <f>IFERROR(__xludf.DUMMYFUNCTION("""COMPUTED_VALUE"""),14.0)</f>
        <v>14</v>
      </c>
      <c r="L1885" s="2">
        <f>IFERROR(__xludf.DUMMYFUNCTION("""COMPUTED_VALUE"""),7.70999999999999)</f>
        <v>7.71</v>
      </c>
    </row>
    <row r="1886">
      <c r="A1886" s="2">
        <f>IFERROR(__xludf.DUMMYFUNCTION("""COMPUTED_VALUE"""),489597.0)</f>
        <v>489597</v>
      </c>
      <c r="B1886" s="2" t="str">
        <f>IFERROR(__xludf.DUMMYFUNCTION("""COMPUTED_VALUE"""),"20970")</f>
        <v>20970</v>
      </c>
      <c r="C1886" s="2" t="str">
        <f>IFERROR(__xludf.DUMMYFUNCTION("""COMPUTED_VALUE"""),"PINK FLORAL FELTCRAFT SHOULDER BAG")</f>
        <v>PINK FLORAL FELTCRAFT SHOULDER BAG</v>
      </c>
      <c r="D1886" s="2">
        <f>IFERROR(__xludf.DUMMYFUNCTION("""COMPUTED_VALUE"""),1.0)</f>
        <v>1</v>
      </c>
      <c r="E1886" s="6">
        <f>IFERROR(__xludf.DUMMYFUNCTION("""COMPUTED_VALUE"""),40148.60277777778)</f>
        <v>40148.60278</v>
      </c>
      <c r="F1886" s="2">
        <f>IFERROR(__xludf.DUMMYFUNCTION("""COMPUTED_VALUE"""),7.78)</f>
        <v>7.78</v>
      </c>
      <c r="G1886" s="2"/>
      <c r="H1886" s="2" t="str">
        <f>IFERROR(__xludf.DUMMYFUNCTION("""COMPUTED_VALUE"""),"United Kingdom")</f>
        <v>United Kingdom</v>
      </c>
      <c r="I1886" s="7">
        <f>IFERROR(__xludf.DUMMYFUNCTION("""COMPUTED_VALUE"""),40148.0)</f>
        <v>40148</v>
      </c>
      <c r="J1886" s="8">
        <f>IFERROR(__xludf.DUMMYFUNCTION("""COMPUTED_VALUE"""),0.6027777777781012)</f>
        <v>0.6027777778</v>
      </c>
      <c r="K1886" s="2">
        <f>IFERROR(__xludf.DUMMYFUNCTION("""COMPUTED_VALUE"""),14.0)</f>
        <v>14</v>
      </c>
      <c r="L1886" s="2">
        <f>IFERROR(__xludf.DUMMYFUNCTION("""COMPUTED_VALUE"""),7.78)</f>
        <v>7.78</v>
      </c>
    </row>
    <row r="1887">
      <c r="A1887" s="2">
        <f>IFERROR(__xludf.DUMMYFUNCTION("""COMPUTED_VALUE"""),489597.0)</f>
        <v>489597</v>
      </c>
      <c r="B1887" s="2" t="str">
        <f>IFERROR(__xludf.DUMMYFUNCTION("""COMPUTED_VALUE"""),"20972")</f>
        <v>20972</v>
      </c>
      <c r="C1887" s="2" t="str">
        <f>IFERROR(__xludf.DUMMYFUNCTION("""COMPUTED_VALUE"""),"PINK CREAM FELT CRAFT TRINKET BOX")</f>
        <v>PINK CREAM FELT CRAFT TRINKET BOX</v>
      </c>
      <c r="D1887" s="2">
        <f>IFERROR(__xludf.DUMMYFUNCTION("""COMPUTED_VALUE"""),1.0)</f>
        <v>1</v>
      </c>
      <c r="E1887" s="6">
        <f>IFERROR(__xludf.DUMMYFUNCTION("""COMPUTED_VALUE"""),40148.60277777778)</f>
        <v>40148.60278</v>
      </c>
      <c r="F1887" s="2">
        <f>IFERROR(__xludf.DUMMYFUNCTION("""COMPUTED_VALUE"""),2.57)</f>
        <v>2.57</v>
      </c>
      <c r="G1887" s="2"/>
      <c r="H1887" s="2" t="str">
        <f>IFERROR(__xludf.DUMMYFUNCTION("""COMPUTED_VALUE"""),"United Kingdom")</f>
        <v>United Kingdom</v>
      </c>
      <c r="I1887" s="7">
        <f>IFERROR(__xludf.DUMMYFUNCTION("""COMPUTED_VALUE"""),40148.0)</f>
        <v>40148</v>
      </c>
      <c r="J1887" s="8">
        <f>IFERROR(__xludf.DUMMYFUNCTION("""COMPUTED_VALUE"""),0.6027777777781012)</f>
        <v>0.6027777778</v>
      </c>
      <c r="K1887" s="2">
        <f>IFERROR(__xludf.DUMMYFUNCTION("""COMPUTED_VALUE"""),14.0)</f>
        <v>14</v>
      </c>
      <c r="L1887" s="2">
        <f>IFERROR(__xludf.DUMMYFUNCTION("""COMPUTED_VALUE"""),2.57)</f>
        <v>2.57</v>
      </c>
    </row>
    <row r="1888">
      <c r="A1888" s="2">
        <f>IFERROR(__xludf.DUMMYFUNCTION("""COMPUTED_VALUE"""),489597.0)</f>
        <v>489597</v>
      </c>
      <c r="B1888" s="2" t="str">
        <f>IFERROR(__xludf.DUMMYFUNCTION("""COMPUTED_VALUE"""),"20974")</f>
        <v>20974</v>
      </c>
      <c r="C1888" s="2" t="str">
        <f>IFERROR(__xludf.DUMMYFUNCTION("""COMPUTED_VALUE"""),"12 PENCILS SMALL TUBE SKULL")</f>
        <v>12 PENCILS SMALL TUBE SKULL</v>
      </c>
      <c r="D1888" s="2">
        <f>IFERROR(__xludf.DUMMYFUNCTION("""COMPUTED_VALUE"""),1.0)</f>
        <v>1</v>
      </c>
      <c r="E1888" s="6">
        <f>IFERROR(__xludf.DUMMYFUNCTION("""COMPUTED_VALUE"""),40148.60277777778)</f>
        <v>40148.60278</v>
      </c>
      <c r="F1888" s="2">
        <f>IFERROR(__xludf.DUMMYFUNCTION("""COMPUTED_VALUE"""),1.3)</f>
        <v>1.3</v>
      </c>
      <c r="G1888" s="2"/>
      <c r="H1888" s="2" t="str">
        <f>IFERROR(__xludf.DUMMYFUNCTION("""COMPUTED_VALUE"""),"United Kingdom")</f>
        <v>United Kingdom</v>
      </c>
      <c r="I1888" s="7">
        <f>IFERROR(__xludf.DUMMYFUNCTION("""COMPUTED_VALUE"""),40148.0)</f>
        <v>40148</v>
      </c>
      <c r="J1888" s="8">
        <f>IFERROR(__xludf.DUMMYFUNCTION("""COMPUTED_VALUE"""),0.6027777777781012)</f>
        <v>0.6027777778</v>
      </c>
      <c r="K1888" s="2">
        <f>IFERROR(__xludf.DUMMYFUNCTION("""COMPUTED_VALUE"""),14.0)</f>
        <v>14</v>
      </c>
      <c r="L1888" s="2">
        <f>IFERROR(__xludf.DUMMYFUNCTION("""COMPUTED_VALUE"""),1.3)</f>
        <v>1.3</v>
      </c>
    </row>
    <row r="1889">
      <c r="A1889" s="2">
        <f>IFERROR(__xludf.DUMMYFUNCTION("""COMPUTED_VALUE"""),489597.0)</f>
        <v>489597</v>
      </c>
      <c r="B1889" s="2" t="str">
        <f>IFERROR(__xludf.DUMMYFUNCTION("""COMPUTED_VALUE"""),"20975")</f>
        <v>20975</v>
      </c>
      <c r="C1889" s="2" t="str">
        <f>IFERROR(__xludf.DUMMYFUNCTION("""COMPUTED_VALUE"""),"12 PENCILS SMALL TUBE RED SPOTTY")</f>
        <v>12 PENCILS SMALL TUBE RED SPOTTY</v>
      </c>
      <c r="D1889" s="2">
        <f>IFERROR(__xludf.DUMMYFUNCTION("""COMPUTED_VALUE"""),1.0)</f>
        <v>1</v>
      </c>
      <c r="E1889" s="6">
        <f>IFERROR(__xludf.DUMMYFUNCTION("""COMPUTED_VALUE"""),40148.60277777778)</f>
        <v>40148.60278</v>
      </c>
      <c r="F1889" s="2">
        <f>IFERROR(__xludf.DUMMYFUNCTION("""COMPUTED_VALUE"""),1.3)</f>
        <v>1.3</v>
      </c>
      <c r="G1889" s="2"/>
      <c r="H1889" s="2" t="str">
        <f>IFERROR(__xludf.DUMMYFUNCTION("""COMPUTED_VALUE"""),"United Kingdom")</f>
        <v>United Kingdom</v>
      </c>
      <c r="I1889" s="7">
        <f>IFERROR(__xludf.DUMMYFUNCTION("""COMPUTED_VALUE"""),40148.0)</f>
        <v>40148</v>
      </c>
      <c r="J1889" s="8">
        <f>IFERROR(__xludf.DUMMYFUNCTION("""COMPUTED_VALUE"""),0.6027777777781012)</f>
        <v>0.6027777778</v>
      </c>
      <c r="K1889" s="2">
        <f>IFERROR(__xludf.DUMMYFUNCTION("""COMPUTED_VALUE"""),14.0)</f>
        <v>14</v>
      </c>
      <c r="L1889" s="2">
        <f>IFERROR(__xludf.DUMMYFUNCTION("""COMPUTED_VALUE"""),1.3)</f>
        <v>1.3</v>
      </c>
    </row>
    <row r="1890">
      <c r="A1890" s="2">
        <f>IFERROR(__xludf.DUMMYFUNCTION("""COMPUTED_VALUE"""),489597.0)</f>
        <v>489597</v>
      </c>
      <c r="B1890" s="2" t="str">
        <f>IFERROR(__xludf.DUMMYFUNCTION("""COMPUTED_VALUE"""),"20977")</f>
        <v>20977</v>
      </c>
      <c r="C1890" s="2" t="str">
        <f>IFERROR(__xludf.DUMMYFUNCTION("""COMPUTED_VALUE"""),"36 PENCILS TUBE WOODLAND")</f>
        <v>36 PENCILS TUBE WOODLAND</v>
      </c>
      <c r="D1890" s="2">
        <f>IFERROR(__xludf.DUMMYFUNCTION("""COMPUTED_VALUE"""),5.0)</f>
        <v>5</v>
      </c>
      <c r="E1890" s="6">
        <f>IFERROR(__xludf.DUMMYFUNCTION("""COMPUTED_VALUE"""),40148.60277777778)</f>
        <v>40148.60278</v>
      </c>
      <c r="F1890" s="2">
        <f>IFERROR(__xludf.DUMMYFUNCTION("""COMPUTED_VALUE"""),2.57)</f>
        <v>2.57</v>
      </c>
      <c r="G1890" s="2"/>
      <c r="H1890" s="2" t="str">
        <f>IFERROR(__xludf.DUMMYFUNCTION("""COMPUTED_VALUE"""),"United Kingdom")</f>
        <v>United Kingdom</v>
      </c>
      <c r="I1890" s="7">
        <f>IFERROR(__xludf.DUMMYFUNCTION("""COMPUTED_VALUE"""),40148.0)</f>
        <v>40148</v>
      </c>
      <c r="J1890" s="8">
        <f>IFERROR(__xludf.DUMMYFUNCTION("""COMPUTED_VALUE"""),0.6027777777781012)</f>
        <v>0.6027777778</v>
      </c>
      <c r="K1890" s="2">
        <f>IFERROR(__xludf.DUMMYFUNCTION("""COMPUTED_VALUE"""),14.0)</f>
        <v>14</v>
      </c>
      <c r="L1890" s="2">
        <f>IFERROR(__xludf.DUMMYFUNCTION("""COMPUTED_VALUE"""),12.85)</f>
        <v>12.85</v>
      </c>
    </row>
    <row r="1891">
      <c r="A1891" s="2">
        <f>IFERROR(__xludf.DUMMYFUNCTION("""COMPUTED_VALUE"""),489597.0)</f>
        <v>489597</v>
      </c>
      <c r="B1891" s="2" t="str">
        <f>IFERROR(__xludf.DUMMYFUNCTION("""COMPUTED_VALUE"""),"20978")</f>
        <v>20978</v>
      </c>
      <c r="C1891" s="2" t="str">
        <f>IFERROR(__xludf.DUMMYFUNCTION("""COMPUTED_VALUE"""),"36 PENCILS TUBE SKULLS")</f>
        <v>36 PENCILS TUBE SKULLS</v>
      </c>
      <c r="D1891" s="2">
        <f>IFERROR(__xludf.DUMMYFUNCTION("""COMPUTED_VALUE"""),1.0)</f>
        <v>1</v>
      </c>
      <c r="E1891" s="6">
        <f>IFERROR(__xludf.DUMMYFUNCTION("""COMPUTED_VALUE"""),40148.60277777778)</f>
        <v>40148.60278</v>
      </c>
      <c r="F1891" s="2">
        <f>IFERROR(__xludf.DUMMYFUNCTION("""COMPUTED_VALUE"""),2.57)</f>
        <v>2.57</v>
      </c>
      <c r="G1891" s="2"/>
      <c r="H1891" s="2" t="str">
        <f>IFERROR(__xludf.DUMMYFUNCTION("""COMPUTED_VALUE"""),"United Kingdom")</f>
        <v>United Kingdom</v>
      </c>
      <c r="I1891" s="7">
        <f>IFERROR(__xludf.DUMMYFUNCTION("""COMPUTED_VALUE"""),40148.0)</f>
        <v>40148</v>
      </c>
      <c r="J1891" s="8">
        <f>IFERROR(__xludf.DUMMYFUNCTION("""COMPUTED_VALUE"""),0.6027777777781012)</f>
        <v>0.6027777778</v>
      </c>
      <c r="K1891" s="2">
        <f>IFERROR(__xludf.DUMMYFUNCTION("""COMPUTED_VALUE"""),14.0)</f>
        <v>14</v>
      </c>
      <c r="L1891" s="2">
        <f>IFERROR(__xludf.DUMMYFUNCTION("""COMPUTED_VALUE"""),2.57)</f>
        <v>2.57</v>
      </c>
    </row>
    <row r="1892">
      <c r="A1892" s="2">
        <f>IFERROR(__xludf.DUMMYFUNCTION("""COMPUTED_VALUE"""),489597.0)</f>
        <v>489597</v>
      </c>
      <c r="B1892" s="2" t="str">
        <f>IFERROR(__xludf.DUMMYFUNCTION("""COMPUTED_VALUE"""),"20979")</f>
        <v>20979</v>
      </c>
      <c r="C1892" s="2" t="str">
        <f>IFERROR(__xludf.DUMMYFUNCTION("""COMPUTED_VALUE"""),"36 PENCILS TUBE RED SPOTTY")</f>
        <v>36 PENCILS TUBE RED SPOTTY</v>
      </c>
      <c r="D1892" s="2">
        <f>IFERROR(__xludf.DUMMYFUNCTION("""COMPUTED_VALUE"""),3.0)</f>
        <v>3</v>
      </c>
      <c r="E1892" s="6">
        <f>IFERROR(__xludf.DUMMYFUNCTION("""COMPUTED_VALUE"""),40148.60277777778)</f>
        <v>40148.60278</v>
      </c>
      <c r="F1892" s="2">
        <f>IFERROR(__xludf.DUMMYFUNCTION("""COMPUTED_VALUE"""),2.57)</f>
        <v>2.57</v>
      </c>
      <c r="G1892" s="2"/>
      <c r="H1892" s="2" t="str">
        <f>IFERROR(__xludf.DUMMYFUNCTION("""COMPUTED_VALUE"""),"United Kingdom")</f>
        <v>United Kingdom</v>
      </c>
      <c r="I1892" s="7">
        <f>IFERROR(__xludf.DUMMYFUNCTION("""COMPUTED_VALUE"""),40148.0)</f>
        <v>40148</v>
      </c>
      <c r="J1892" s="8">
        <f>IFERROR(__xludf.DUMMYFUNCTION("""COMPUTED_VALUE"""),0.6027777777781012)</f>
        <v>0.6027777778</v>
      </c>
      <c r="K1892" s="2">
        <f>IFERROR(__xludf.DUMMYFUNCTION("""COMPUTED_VALUE"""),14.0)</f>
        <v>14</v>
      </c>
      <c r="L1892" s="2">
        <f>IFERROR(__xludf.DUMMYFUNCTION("""COMPUTED_VALUE"""),7.70999999999999)</f>
        <v>7.71</v>
      </c>
    </row>
    <row r="1893">
      <c r="A1893" s="2">
        <f>IFERROR(__xludf.DUMMYFUNCTION("""COMPUTED_VALUE"""),489597.0)</f>
        <v>489597</v>
      </c>
      <c r="B1893" s="2" t="str">
        <f>IFERROR(__xludf.DUMMYFUNCTION("""COMPUTED_VALUE"""),"20980")</f>
        <v>20980</v>
      </c>
      <c r="C1893" s="2" t="str">
        <f>IFERROR(__xludf.DUMMYFUNCTION("""COMPUTED_VALUE"""),"36 PENCILS TUBE POSY")</f>
        <v>36 PENCILS TUBE POSY</v>
      </c>
      <c r="D1893" s="2">
        <f>IFERROR(__xludf.DUMMYFUNCTION("""COMPUTED_VALUE"""),1.0)</f>
        <v>1</v>
      </c>
      <c r="E1893" s="6">
        <f>IFERROR(__xludf.DUMMYFUNCTION("""COMPUTED_VALUE"""),40148.60277777778)</f>
        <v>40148.60278</v>
      </c>
      <c r="F1893" s="2">
        <f>IFERROR(__xludf.DUMMYFUNCTION("""COMPUTED_VALUE"""),2.57)</f>
        <v>2.57</v>
      </c>
      <c r="G1893" s="2"/>
      <c r="H1893" s="2" t="str">
        <f>IFERROR(__xludf.DUMMYFUNCTION("""COMPUTED_VALUE"""),"United Kingdom")</f>
        <v>United Kingdom</v>
      </c>
      <c r="I1893" s="7">
        <f>IFERROR(__xludf.DUMMYFUNCTION("""COMPUTED_VALUE"""),40148.0)</f>
        <v>40148</v>
      </c>
      <c r="J1893" s="8">
        <f>IFERROR(__xludf.DUMMYFUNCTION("""COMPUTED_VALUE"""),0.6027777777781012)</f>
        <v>0.6027777778</v>
      </c>
      <c r="K1893" s="2">
        <f>IFERROR(__xludf.DUMMYFUNCTION("""COMPUTED_VALUE"""),14.0)</f>
        <v>14</v>
      </c>
      <c r="L1893" s="2">
        <f>IFERROR(__xludf.DUMMYFUNCTION("""COMPUTED_VALUE"""),2.57)</f>
        <v>2.57</v>
      </c>
    </row>
    <row r="1894">
      <c r="A1894" s="2">
        <f>IFERROR(__xludf.DUMMYFUNCTION("""COMPUTED_VALUE"""),489597.0)</f>
        <v>489597</v>
      </c>
      <c r="B1894" s="2" t="str">
        <f>IFERROR(__xludf.DUMMYFUNCTION("""COMPUTED_VALUE"""),"20981")</f>
        <v>20981</v>
      </c>
      <c r="C1894" s="2" t="str">
        <f>IFERROR(__xludf.DUMMYFUNCTION("""COMPUTED_VALUE"""),"12 PENCILS TALL TUBE WOODLAND")</f>
        <v>12 PENCILS TALL TUBE WOODLAND</v>
      </c>
      <c r="D1894" s="2">
        <f>IFERROR(__xludf.DUMMYFUNCTION("""COMPUTED_VALUE"""),3.0)</f>
        <v>3</v>
      </c>
      <c r="E1894" s="6">
        <f>IFERROR(__xludf.DUMMYFUNCTION("""COMPUTED_VALUE"""),40148.60277777778)</f>
        <v>40148.60278</v>
      </c>
      <c r="F1894" s="2">
        <f>IFERROR(__xludf.DUMMYFUNCTION("""COMPUTED_VALUE"""),1.7)</f>
        <v>1.7</v>
      </c>
      <c r="G1894" s="2"/>
      <c r="H1894" s="2" t="str">
        <f>IFERROR(__xludf.DUMMYFUNCTION("""COMPUTED_VALUE"""),"United Kingdom")</f>
        <v>United Kingdom</v>
      </c>
      <c r="I1894" s="7">
        <f>IFERROR(__xludf.DUMMYFUNCTION("""COMPUTED_VALUE"""),40148.0)</f>
        <v>40148</v>
      </c>
      <c r="J1894" s="8">
        <f>IFERROR(__xludf.DUMMYFUNCTION("""COMPUTED_VALUE"""),0.6027777777781012)</f>
        <v>0.6027777778</v>
      </c>
      <c r="K1894" s="2">
        <f>IFERROR(__xludf.DUMMYFUNCTION("""COMPUTED_VALUE"""),14.0)</f>
        <v>14</v>
      </c>
      <c r="L1894" s="2">
        <f>IFERROR(__xludf.DUMMYFUNCTION("""COMPUTED_VALUE"""),5.1)</f>
        <v>5.1</v>
      </c>
    </row>
    <row r="1895">
      <c r="A1895" s="2">
        <f>IFERROR(__xludf.DUMMYFUNCTION("""COMPUTED_VALUE"""),489597.0)</f>
        <v>489597</v>
      </c>
      <c r="B1895" s="2" t="str">
        <f>IFERROR(__xludf.DUMMYFUNCTION("""COMPUTED_VALUE"""),"20982")</f>
        <v>20982</v>
      </c>
      <c r="C1895" s="2" t="str">
        <f>IFERROR(__xludf.DUMMYFUNCTION("""COMPUTED_VALUE"""),"12 PENCILS TALL TUBE SKULLS")</f>
        <v>12 PENCILS TALL TUBE SKULLS</v>
      </c>
      <c r="D1895" s="2">
        <f>IFERROR(__xludf.DUMMYFUNCTION("""COMPUTED_VALUE"""),2.0)</f>
        <v>2</v>
      </c>
      <c r="E1895" s="6">
        <f>IFERROR(__xludf.DUMMYFUNCTION("""COMPUTED_VALUE"""),40148.60277777778)</f>
        <v>40148.60278</v>
      </c>
      <c r="F1895" s="2">
        <f>IFERROR(__xludf.DUMMYFUNCTION("""COMPUTED_VALUE"""),1.7)</f>
        <v>1.7</v>
      </c>
      <c r="G1895" s="2"/>
      <c r="H1895" s="2" t="str">
        <f>IFERROR(__xludf.DUMMYFUNCTION("""COMPUTED_VALUE"""),"United Kingdom")</f>
        <v>United Kingdom</v>
      </c>
      <c r="I1895" s="7">
        <f>IFERROR(__xludf.DUMMYFUNCTION("""COMPUTED_VALUE"""),40148.0)</f>
        <v>40148</v>
      </c>
      <c r="J1895" s="8">
        <f>IFERROR(__xludf.DUMMYFUNCTION("""COMPUTED_VALUE"""),0.6027777777781012)</f>
        <v>0.6027777778</v>
      </c>
      <c r="K1895" s="2">
        <f>IFERROR(__xludf.DUMMYFUNCTION("""COMPUTED_VALUE"""),14.0)</f>
        <v>14</v>
      </c>
      <c r="L1895" s="2">
        <f>IFERROR(__xludf.DUMMYFUNCTION("""COMPUTED_VALUE"""),3.4)</f>
        <v>3.4</v>
      </c>
    </row>
    <row r="1896">
      <c r="A1896" s="2">
        <f>IFERROR(__xludf.DUMMYFUNCTION("""COMPUTED_VALUE"""),489597.0)</f>
        <v>489597</v>
      </c>
      <c r="B1896" s="2" t="str">
        <f>IFERROR(__xludf.DUMMYFUNCTION("""COMPUTED_VALUE"""),"20983")</f>
        <v>20983</v>
      </c>
      <c r="C1896" s="2" t="str">
        <f>IFERROR(__xludf.DUMMYFUNCTION("""COMPUTED_VALUE"""),"12 PENCILS TALL TUBE RED SPOTTY")</f>
        <v>12 PENCILS TALL TUBE RED SPOTTY</v>
      </c>
      <c r="D1896" s="2">
        <f>IFERROR(__xludf.DUMMYFUNCTION("""COMPUTED_VALUE"""),1.0)</f>
        <v>1</v>
      </c>
      <c r="E1896" s="6">
        <f>IFERROR(__xludf.DUMMYFUNCTION("""COMPUTED_VALUE"""),40148.60277777778)</f>
        <v>40148.60278</v>
      </c>
      <c r="F1896" s="2">
        <f>IFERROR(__xludf.DUMMYFUNCTION("""COMPUTED_VALUE"""),1.7)</f>
        <v>1.7</v>
      </c>
      <c r="G1896" s="2"/>
      <c r="H1896" s="2" t="str">
        <f>IFERROR(__xludf.DUMMYFUNCTION("""COMPUTED_VALUE"""),"United Kingdom")</f>
        <v>United Kingdom</v>
      </c>
      <c r="I1896" s="7">
        <f>IFERROR(__xludf.DUMMYFUNCTION("""COMPUTED_VALUE"""),40148.0)</f>
        <v>40148</v>
      </c>
      <c r="J1896" s="8">
        <f>IFERROR(__xludf.DUMMYFUNCTION("""COMPUTED_VALUE"""),0.6027777777781012)</f>
        <v>0.6027777778</v>
      </c>
      <c r="K1896" s="2">
        <f>IFERROR(__xludf.DUMMYFUNCTION("""COMPUTED_VALUE"""),14.0)</f>
        <v>14</v>
      </c>
      <c r="L1896" s="2">
        <f>IFERROR(__xludf.DUMMYFUNCTION("""COMPUTED_VALUE"""),1.7)</f>
        <v>1.7</v>
      </c>
    </row>
    <row r="1897">
      <c r="A1897" s="2">
        <f>IFERROR(__xludf.DUMMYFUNCTION("""COMPUTED_VALUE"""),489597.0)</f>
        <v>489597</v>
      </c>
      <c r="B1897" s="2" t="str">
        <f>IFERROR(__xludf.DUMMYFUNCTION("""COMPUTED_VALUE"""),"20984")</f>
        <v>20984</v>
      </c>
      <c r="C1897" s="2" t="str">
        <f>IFERROR(__xludf.DUMMYFUNCTION("""COMPUTED_VALUE"""),"12 PENCILS TALL TUBE POSY")</f>
        <v>12 PENCILS TALL TUBE POSY</v>
      </c>
      <c r="D1897" s="2">
        <f>IFERROR(__xludf.DUMMYFUNCTION("""COMPUTED_VALUE"""),1.0)</f>
        <v>1</v>
      </c>
      <c r="E1897" s="6">
        <f>IFERROR(__xludf.DUMMYFUNCTION("""COMPUTED_VALUE"""),40148.60277777778)</f>
        <v>40148.60278</v>
      </c>
      <c r="F1897" s="2">
        <f>IFERROR(__xludf.DUMMYFUNCTION("""COMPUTED_VALUE"""),1.7)</f>
        <v>1.7</v>
      </c>
      <c r="G1897" s="2"/>
      <c r="H1897" s="2" t="str">
        <f>IFERROR(__xludf.DUMMYFUNCTION("""COMPUTED_VALUE"""),"United Kingdom")</f>
        <v>United Kingdom</v>
      </c>
      <c r="I1897" s="7">
        <f>IFERROR(__xludf.DUMMYFUNCTION("""COMPUTED_VALUE"""),40148.0)</f>
        <v>40148</v>
      </c>
      <c r="J1897" s="8">
        <f>IFERROR(__xludf.DUMMYFUNCTION("""COMPUTED_VALUE"""),0.6027777777781012)</f>
        <v>0.6027777778</v>
      </c>
      <c r="K1897" s="2">
        <f>IFERROR(__xludf.DUMMYFUNCTION("""COMPUTED_VALUE"""),14.0)</f>
        <v>14</v>
      </c>
      <c r="L1897" s="2">
        <f>IFERROR(__xludf.DUMMYFUNCTION("""COMPUTED_VALUE"""),1.7)</f>
        <v>1.7</v>
      </c>
    </row>
    <row r="1898">
      <c r="A1898" s="2">
        <f>IFERROR(__xludf.DUMMYFUNCTION("""COMPUTED_VALUE"""),489597.0)</f>
        <v>489597</v>
      </c>
      <c r="B1898" s="2" t="str">
        <f>IFERROR(__xludf.DUMMYFUNCTION("""COMPUTED_VALUE"""),"20987")</f>
        <v>20987</v>
      </c>
      <c r="C1898" s="2" t="str">
        <f>IFERROR(__xludf.DUMMYFUNCTION("""COMPUTED_VALUE"""),"GEISHA GIRL CHOPSTICKS SET/5")</f>
        <v>GEISHA GIRL CHOPSTICKS SET/5</v>
      </c>
      <c r="D1898" s="2">
        <f>IFERROR(__xludf.DUMMYFUNCTION("""COMPUTED_VALUE"""),1.0)</f>
        <v>1</v>
      </c>
      <c r="E1898" s="6">
        <f>IFERROR(__xludf.DUMMYFUNCTION("""COMPUTED_VALUE"""),40148.60277777778)</f>
        <v>40148.60278</v>
      </c>
      <c r="F1898" s="2">
        <f>IFERROR(__xludf.DUMMYFUNCTION("""COMPUTED_VALUE"""),4.3)</f>
        <v>4.3</v>
      </c>
      <c r="G1898" s="2"/>
      <c r="H1898" s="2" t="str">
        <f>IFERROR(__xludf.DUMMYFUNCTION("""COMPUTED_VALUE"""),"United Kingdom")</f>
        <v>United Kingdom</v>
      </c>
      <c r="I1898" s="7">
        <f>IFERROR(__xludf.DUMMYFUNCTION("""COMPUTED_VALUE"""),40148.0)</f>
        <v>40148</v>
      </c>
      <c r="J1898" s="8">
        <f>IFERROR(__xludf.DUMMYFUNCTION("""COMPUTED_VALUE"""),0.6027777777781012)</f>
        <v>0.6027777778</v>
      </c>
      <c r="K1898" s="2">
        <f>IFERROR(__xludf.DUMMYFUNCTION("""COMPUTED_VALUE"""),14.0)</f>
        <v>14</v>
      </c>
      <c r="L1898" s="2">
        <f>IFERROR(__xludf.DUMMYFUNCTION("""COMPUTED_VALUE"""),4.3)</f>
        <v>4.3</v>
      </c>
    </row>
    <row r="1899">
      <c r="A1899" s="2">
        <f>IFERROR(__xludf.DUMMYFUNCTION("""COMPUTED_VALUE"""),489597.0)</f>
        <v>489597</v>
      </c>
      <c r="B1899" s="2" t="str">
        <f>IFERROR(__xludf.DUMMYFUNCTION("""COMPUTED_VALUE"""),"20991")</f>
        <v>20991</v>
      </c>
      <c r="C1899" s="2" t="str">
        <f>IFERROR(__xludf.DUMMYFUNCTION("""COMPUTED_VALUE"""),"JAZZ HEARTS MAGNETIC MEMO PAD")</f>
        <v>JAZZ HEARTS MAGNETIC MEMO PAD</v>
      </c>
      <c r="D1899" s="2">
        <f>IFERROR(__xludf.DUMMYFUNCTION("""COMPUTED_VALUE"""),1.0)</f>
        <v>1</v>
      </c>
      <c r="E1899" s="6">
        <f>IFERROR(__xludf.DUMMYFUNCTION("""COMPUTED_VALUE"""),40148.60277777778)</f>
        <v>40148.60278</v>
      </c>
      <c r="F1899" s="2">
        <f>IFERROR(__xludf.DUMMYFUNCTION("""COMPUTED_VALUE"""),1.3)</f>
        <v>1.3</v>
      </c>
      <c r="G1899" s="2"/>
      <c r="H1899" s="2" t="str">
        <f>IFERROR(__xludf.DUMMYFUNCTION("""COMPUTED_VALUE"""),"United Kingdom")</f>
        <v>United Kingdom</v>
      </c>
      <c r="I1899" s="7">
        <f>IFERROR(__xludf.DUMMYFUNCTION("""COMPUTED_VALUE"""),40148.0)</f>
        <v>40148</v>
      </c>
      <c r="J1899" s="8">
        <f>IFERROR(__xludf.DUMMYFUNCTION("""COMPUTED_VALUE"""),0.6027777777781012)</f>
        <v>0.6027777778</v>
      </c>
      <c r="K1899" s="2">
        <f>IFERROR(__xludf.DUMMYFUNCTION("""COMPUTED_VALUE"""),14.0)</f>
        <v>14</v>
      </c>
      <c r="L1899" s="2">
        <f>IFERROR(__xludf.DUMMYFUNCTION("""COMPUTED_VALUE"""),1.3)</f>
        <v>1.3</v>
      </c>
    </row>
    <row r="1900">
      <c r="A1900" s="2">
        <f>IFERROR(__xludf.DUMMYFUNCTION("""COMPUTED_VALUE"""),489597.0)</f>
        <v>489597</v>
      </c>
      <c r="B1900" s="2" t="str">
        <f>IFERROR(__xludf.DUMMYFUNCTION("""COMPUTED_VALUE"""),"21012")</f>
        <v>21012</v>
      </c>
      <c r="C1900" s="2" t="str">
        <f>IFERROR(__xludf.DUMMYFUNCTION("""COMPUTED_VALUE"""),"ANTIQUE ALL GLASS CANDLESTICK")</f>
        <v>ANTIQUE ALL GLASS CANDLESTICK</v>
      </c>
      <c r="D1900" s="2">
        <f>IFERROR(__xludf.DUMMYFUNCTION("""COMPUTED_VALUE"""),1.0)</f>
        <v>1</v>
      </c>
      <c r="E1900" s="6">
        <f>IFERROR(__xludf.DUMMYFUNCTION("""COMPUTED_VALUE"""),40148.60277777778)</f>
        <v>40148.60278</v>
      </c>
      <c r="F1900" s="2">
        <f>IFERROR(__xludf.DUMMYFUNCTION("""COMPUTED_VALUE"""),4.3)</f>
        <v>4.3</v>
      </c>
      <c r="G1900" s="2"/>
      <c r="H1900" s="2" t="str">
        <f>IFERROR(__xludf.DUMMYFUNCTION("""COMPUTED_VALUE"""),"United Kingdom")</f>
        <v>United Kingdom</v>
      </c>
      <c r="I1900" s="7">
        <f>IFERROR(__xludf.DUMMYFUNCTION("""COMPUTED_VALUE"""),40148.0)</f>
        <v>40148</v>
      </c>
      <c r="J1900" s="8">
        <f>IFERROR(__xludf.DUMMYFUNCTION("""COMPUTED_VALUE"""),0.6027777777781012)</f>
        <v>0.6027777778</v>
      </c>
      <c r="K1900" s="2">
        <f>IFERROR(__xludf.DUMMYFUNCTION("""COMPUTED_VALUE"""),14.0)</f>
        <v>14</v>
      </c>
      <c r="L1900" s="2">
        <f>IFERROR(__xludf.DUMMYFUNCTION("""COMPUTED_VALUE"""),4.3)</f>
        <v>4.3</v>
      </c>
    </row>
    <row r="1901">
      <c r="A1901" s="2">
        <f>IFERROR(__xludf.DUMMYFUNCTION("""COMPUTED_VALUE"""),489597.0)</f>
        <v>489597</v>
      </c>
      <c r="B1901" s="2" t="str">
        <f>IFERROR(__xludf.DUMMYFUNCTION("""COMPUTED_VALUE"""),"21025")</f>
        <v>21025</v>
      </c>
      <c r="C1901" s="2" t="str">
        <f>IFERROR(__xludf.DUMMYFUNCTION("""COMPUTED_VALUE"""),"SPACE FROG")</f>
        <v>SPACE FROG</v>
      </c>
      <c r="D1901" s="2">
        <f>IFERROR(__xludf.DUMMYFUNCTION("""COMPUTED_VALUE"""),1.0)</f>
        <v>1</v>
      </c>
      <c r="E1901" s="6">
        <f>IFERROR(__xludf.DUMMYFUNCTION("""COMPUTED_VALUE"""),40148.60277777778)</f>
        <v>40148.60278</v>
      </c>
      <c r="F1901" s="2">
        <f>IFERROR(__xludf.DUMMYFUNCTION("""COMPUTED_VALUE"""),2.57)</f>
        <v>2.57</v>
      </c>
      <c r="G1901" s="2"/>
      <c r="H1901" s="2" t="str">
        <f>IFERROR(__xludf.DUMMYFUNCTION("""COMPUTED_VALUE"""),"United Kingdom")</f>
        <v>United Kingdom</v>
      </c>
      <c r="I1901" s="7">
        <f>IFERROR(__xludf.DUMMYFUNCTION("""COMPUTED_VALUE"""),40148.0)</f>
        <v>40148</v>
      </c>
      <c r="J1901" s="8">
        <f>IFERROR(__xludf.DUMMYFUNCTION("""COMPUTED_VALUE"""),0.6027777777781012)</f>
        <v>0.6027777778</v>
      </c>
      <c r="K1901" s="2">
        <f>IFERROR(__xludf.DUMMYFUNCTION("""COMPUTED_VALUE"""),14.0)</f>
        <v>14</v>
      </c>
      <c r="L1901" s="2">
        <f>IFERROR(__xludf.DUMMYFUNCTION("""COMPUTED_VALUE"""),2.57)</f>
        <v>2.57</v>
      </c>
    </row>
    <row r="1902">
      <c r="A1902" s="2">
        <f>IFERROR(__xludf.DUMMYFUNCTION("""COMPUTED_VALUE"""),489597.0)</f>
        <v>489597</v>
      </c>
      <c r="B1902" s="2" t="str">
        <f>IFERROR(__xludf.DUMMYFUNCTION("""COMPUTED_VALUE"""),"21035")</f>
        <v>21035</v>
      </c>
      <c r="C1902" s="2" t="str">
        <f>IFERROR(__xludf.DUMMYFUNCTION("""COMPUTED_VALUE"""),"SET/2 RED SPOTTY TEA TOWELS")</f>
        <v>SET/2 RED SPOTTY TEA TOWELS</v>
      </c>
      <c r="D1902" s="2">
        <f>IFERROR(__xludf.DUMMYFUNCTION("""COMPUTED_VALUE"""),1.0)</f>
        <v>1</v>
      </c>
      <c r="E1902" s="6">
        <f>IFERROR(__xludf.DUMMYFUNCTION("""COMPUTED_VALUE"""),40148.60277777778)</f>
        <v>40148.60278</v>
      </c>
      <c r="F1902" s="2">
        <f>IFERROR(__xludf.DUMMYFUNCTION("""COMPUTED_VALUE"""),6.04)</f>
        <v>6.04</v>
      </c>
      <c r="G1902" s="2"/>
      <c r="H1902" s="2" t="str">
        <f>IFERROR(__xludf.DUMMYFUNCTION("""COMPUTED_VALUE"""),"United Kingdom")</f>
        <v>United Kingdom</v>
      </c>
      <c r="I1902" s="7">
        <f>IFERROR(__xludf.DUMMYFUNCTION("""COMPUTED_VALUE"""),40148.0)</f>
        <v>40148</v>
      </c>
      <c r="J1902" s="8">
        <f>IFERROR(__xludf.DUMMYFUNCTION("""COMPUTED_VALUE"""),0.6027777777781012)</f>
        <v>0.6027777778</v>
      </c>
      <c r="K1902" s="2">
        <f>IFERROR(__xludf.DUMMYFUNCTION("""COMPUTED_VALUE"""),14.0)</f>
        <v>14</v>
      </c>
      <c r="L1902" s="2">
        <f>IFERROR(__xludf.DUMMYFUNCTION("""COMPUTED_VALUE"""),6.04)</f>
        <v>6.04</v>
      </c>
    </row>
    <row r="1903">
      <c r="A1903" s="2">
        <f>IFERROR(__xludf.DUMMYFUNCTION("""COMPUTED_VALUE"""),489597.0)</f>
        <v>489597</v>
      </c>
      <c r="B1903" s="2" t="str">
        <f>IFERROR(__xludf.DUMMYFUNCTION("""COMPUTED_VALUE"""),"21055")</f>
        <v>21055</v>
      </c>
      <c r="C1903" s="2" t="str">
        <f>IFERROR(__xludf.DUMMYFUNCTION("""COMPUTED_VALUE"""),"TOOL BOX SOFT TOY")</f>
        <v>TOOL BOX SOFT TOY</v>
      </c>
      <c r="D1903" s="2">
        <f>IFERROR(__xludf.DUMMYFUNCTION("""COMPUTED_VALUE"""),1.0)</f>
        <v>1</v>
      </c>
      <c r="E1903" s="6">
        <f>IFERROR(__xludf.DUMMYFUNCTION("""COMPUTED_VALUE"""),40148.60277777778)</f>
        <v>40148.60278</v>
      </c>
      <c r="F1903" s="2">
        <f>IFERROR(__xludf.DUMMYFUNCTION("""COMPUTED_VALUE"""),17.35)</f>
        <v>17.35</v>
      </c>
      <c r="G1903" s="2"/>
      <c r="H1903" s="2" t="str">
        <f>IFERROR(__xludf.DUMMYFUNCTION("""COMPUTED_VALUE"""),"United Kingdom")</f>
        <v>United Kingdom</v>
      </c>
      <c r="I1903" s="7">
        <f>IFERROR(__xludf.DUMMYFUNCTION("""COMPUTED_VALUE"""),40148.0)</f>
        <v>40148</v>
      </c>
      <c r="J1903" s="8">
        <f>IFERROR(__xludf.DUMMYFUNCTION("""COMPUTED_VALUE"""),0.6027777777781012)</f>
        <v>0.6027777778</v>
      </c>
      <c r="K1903" s="2">
        <f>IFERROR(__xludf.DUMMYFUNCTION("""COMPUTED_VALUE"""),14.0)</f>
        <v>14</v>
      </c>
      <c r="L1903" s="2">
        <f>IFERROR(__xludf.DUMMYFUNCTION("""COMPUTED_VALUE"""),17.35)</f>
        <v>17.35</v>
      </c>
    </row>
    <row r="1904">
      <c r="A1904" s="2">
        <f>IFERROR(__xludf.DUMMYFUNCTION("""COMPUTED_VALUE"""),489597.0)</f>
        <v>489597</v>
      </c>
      <c r="B1904" s="2" t="str">
        <f>IFERROR(__xludf.DUMMYFUNCTION("""COMPUTED_VALUE"""),"21058")</f>
        <v>21058</v>
      </c>
      <c r="C1904" s="2" t="str">
        <f>IFERROR(__xludf.DUMMYFUNCTION("""COMPUTED_VALUE"""),"PARTY INVITES WOODLAND")</f>
        <v>PARTY INVITES WOODLAND</v>
      </c>
      <c r="D1904" s="2">
        <f>IFERROR(__xludf.DUMMYFUNCTION("""COMPUTED_VALUE"""),3.0)</f>
        <v>3</v>
      </c>
      <c r="E1904" s="6">
        <f>IFERROR(__xludf.DUMMYFUNCTION("""COMPUTED_VALUE"""),40148.60277777778)</f>
        <v>40148.60278</v>
      </c>
      <c r="F1904" s="2">
        <f>IFERROR(__xludf.DUMMYFUNCTION("""COMPUTED_VALUE"""),1.7)</f>
        <v>1.7</v>
      </c>
      <c r="G1904" s="2"/>
      <c r="H1904" s="2" t="str">
        <f>IFERROR(__xludf.DUMMYFUNCTION("""COMPUTED_VALUE"""),"United Kingdom")</f>
        <v>United Kingdom</v>
      </c>
      <c r="I1904" s="7">
        <f>IFERROR(__xludf.DUMMYFUNCTION("""COMPUTED_VALUE"""),40148.0)</f>
        <v>40148</v>
      </c>
      <c r="J1904" s="8">
        <f>IFERROR(__xludf.DUMMYFUNCTION("""COMPUTED_VALUE"""),0.6027777777781012)</f>
        <v>0.6027777778</v>
      </c>
      <c r="K1904" s="2">
        <f>IFERROR(__xludf.DUMMYFUNCTION("""COMPUTED_VALUE"""),14.0)</f>
        <v>14</v>
      </c>
      <c r="L1904" s="2">
        <f>IFERROR(__xludf.DUMMYFUNCTION("""COMPUTED_VALUE"""),5.1)</f>
        <v>5.1</v>
      </c>
    </row>
    <row r="1905">
      <c r="A1905" s="2">
        <f>IFERROR(__xludf.DUMMYFUNCTION("""COMPUTED_VALUE"""),489597.0)</f>
        <v>489597</v>
      </c>
      <c r="B1905" s="2" t="str">
        <f>IFERROR(__xludf.DUMMYFUNCTION("""COMPUTED_VALUE"""),"21064")</f>
        <v>21064</v>
      </c>
      <c r="C1905" s="2" t="str">
        <f>IFERROR(__xludf.DUMMYFUNCTION("""COMPUTED_VALUE"""),"BOOM BOX SPEAKER BOYS")</f>
        <v>BOOM BOX SPEAKER BOYS</v>
      </c>
      <c r="D1905" s="2">
        <f>IFERROR(__xludf.DUMMYFUNCTION("""COMPUTED_VALUE"""),1.0)</f>
        <v>1</v>
      </c>
      <c r="E1905" s="6">
        <f>IFERROR(__xludf.DUMMYFUNCTION("""COMPUTED_VALUE"""),40148.60277777778)</f>
        <v>40148.60278</v>
      </c>
      <c r="F1905" s="2">
        <f>IFERROR(__xludf.DUMMYFUNCTION("""COMPUTED_VALUE"""),12.13)</f>
        <v>12.13</v>
      </c>
      <c r="G1905" s="2"/>
      <c r="H1905" s="2" t="str">
        <f>IFERROR(__xludf.DUMMYFUNCTION("""COMPUTED_VALUE"""),"United Kingdom")</f>
        <v>United Kingdom</v>
      </c>
      <c r="I1905" s="7">
        <f>IFERROR(__xludf.DUMMYFUNCTION("""COMPUTED_VALUE"""),40148.0)</f>
        <v>40148</v>
      </c>
      <c r="J1905" s="8">
        <f>IFERROR(__xludf.DUMMYFUNCTION("""COMPUTED_VALUE"""),0.6027777777781012)</f>
        <v>0.6027777778</v>
      </c>
      <c r="K1905" s="2">
        <f>IFERROR(__xludf.DUMMYFUNCTION("""COMPUTED_VALUE"""),14.0)</f>
        <v>14</v>
      </c>
      <c r="L1905" s="2">
        <f>IFERROR(__xludf.DUMMYFUNCTION("""COMPUTED_VALUE"""),12.13)</f>
        <v>12.13</v>
      </c>
    </row>
    <row r="1906">
      <c r="A1906" s="2">
        <f>IFERROR(__xludf.DUMMYFUNCTION("""COMPUTED_VALUE"""),489597.0)</f>
        <v>489597</v>
      </c>
      <c r="B1906" s="2" t="str">
        <f>IFERROR(__xludf.DUMMYFUNCTION("""COMPUTED_VALUE"""),"21069")</f>
        <v>21069</v>
      </c>
      <c r="C1906" s="2" t="str">
        <f>IFERROR(__xludf.DUMMYFUNCTION("""COMPUTED_VALUE"""),"VINTAGE BILLBOARD TEA MUG")</f>
        <v>VINTAGE BILLBOARD TEA MUG</v>
      </c>
      <c r="D1906" s="2">
        <f>IFERROR(__xludf.DUMMYFUNCTION("""COMPUTED_VALUE"""),1.0)</f>
        <v>1</v>
      </c>
      <c r="E1906" s="6">
        <f>IFERROR(__xludf.DUMMYFUNCTION("""COMPUTED_VALUE"""),40148.60277777778)</f>
        <v>40148.60278</v>
      </c>
      <c r="F1906" s="2">
        <f>IFERROR(__xludf.DUMMYFUNCTION("""COMPUTED_VALUE"""),2.57)</f>
        <v>2.57</v>
      </c>
      <c r="G1906" s="2"/>
      <c r="H1906" s="2" t="str">
        <f>IFERROR(__xludf.DUMMYFUNCTION("""COMPUTED_VALUE"""),"United Kingdom")</f>
        <v>United Kingdom</v>
      </c>
      <c r="I1906" s="7">
        <f>IFERROR(__xludf.DUMMYFUNCTION("""COMPUTED_VALUE"""),40148.0)</f>
        <v>40148</v>
      </c>
      <c r="J1906" s="8">
        <f>IFERROR(__xludf.DUMMYFUNCTION("""COMPUTED_VALUE"""),0.6027777777781012)</f>
        <v>0.6027777778</v>
      </c>
      <c r="K1906" s="2">
        <f>IFERROR(__xludf.DUMMYFUNCTION("""COMPUTED_VALUE"""),14.0)</f>
        <v>14</v>
      </c>
      <c r="L1906" s="2">
        <f>IFERROR(__xludf.DUMMYFUNCTION("""COMPUTED_VALUE"""),2.57)</f>
        <v>2.57</v>
      </c>
    </row>
    <row r="1907">
      <c r="A1907" s="2">
        <f>IFERROR(__xludf.DUMMYFUNCTION("""COMPUTED_VALUE"""),489597.0)</f>
        <v>489597</v>
      </c>
      <c r="B1907" s="2" t="str">
        <f>IFERROR(__xludf.DUMMYFUNCTION("""COMPUTED_VALUE"""),"21071")</f>
        <v>21071</v>
      </c>
      <c r="C1907" s="2" t="str">
        <f>IFERROR(__xludf.DUMMYFUNCTION("""COMPUTED_VALUE"""),"VINTAGE BILLBOARD DRINK ME MUG")</f>
        <v>VINTAGE BILLBOARD DRINK ME MUG</v>
      </c>
      <c r="D1907" s="2">
        <f>IFERROR(__xludf.DUMMYFUNCTION("""COMPUTED_VALUE"""),4.0)</f>
        <v>4</v>
      </c>
      <c r="E1907" s="6">
        <f>IFERROR(__xludf.DUMMYFUNCTION("""COMPUTED_VALUE"""),40148.60277777778)</f>
        <v>40148.60278</v>
      </c>
      <c r="F1907" s="2">
        <f>IFERROR(__xludf.DUMMYFUNCTION("""COMPUTED_VALUE"""),2.57)</f>
        <v>2.57</v>
      </c>
      <c r="G1907" s="2"/>
      <c r="H1907" s="2" t="str">
        <f>IFERROR(__xludf.DUMMYFUNCTION("""COMPUTED_VALUE"""),"United Kingdom")</f>
        <v>United Kingdom</v>
      </c>
      <c r="I1907" s="7">
        <f>IFERROR(__xludf.DUMMYFUNCTION("""COMPUTED_VALUE"""),40148.0)</f>
        <v>40148</v>
      </c>
      <c r="J1907" s="8">
        <f>IFERROR(__xludf.DUMMYFUNCTION("""COMPUTED_VALUE"""),0.6027777777781012)</f>
        <v>0.6027777778</v>
      </c>
      <c r="K1907" s="2">
        <f>IFERROR(__xludf.DUMMYFUNCTION("""COMPUTED_VALUE"""),14.0)</f>
        <v>14</v>
      </c>
      <c r="L1907" s="2">
        <f>IFERROR(__xludf.DUMMYFUNCTION("""COMPUTED_VALUE"""),10.28)</f>
        <v>10.28</v>
      </c>
    </row>
    <row r="1908">
      <c r="A1908" s="2">
        <f>IFERROR(__xludf.DUMMYFUNCTION("""COMPUTED_VALUE"""),489597.0)</f>
        <v>489597</v>
      </c>
      <c r="B1908" s="2" t="str">
        <f>IFERROR(__xludf.DUMMYFUNCTION("""COMPUTED_VALUE"""),"21080")</f>
        <v>21080</v>
      </c>
      <c r="C1908" s="2" t="str">
        <f>IFERROR(__xludf.DUMMYFUNCTION("""COMPUTED_VALUE"""),"SET/20 RED SPOTTY PAPER NAPKINS")</f>
        <v>SET/20 RED SPOTTY PAPER NAPKINS</v>
      </c>
      <c r="D1908" s="2">
        <f>IFERROR(__xludf.DUMMYFUNCTION("""COMPUTED_VALUE"""),2.0)</f>
        <v>2</v>
      </c>
      <c r="E1908" s="6">
        <f>IFERROR(__xludf.DUMMYFUNCTION("""COMPUTED_VALUE"""),40148.60277777778)</f>
        <v>40148.60278</v>
      </c>
      <c r="F1908" s="2">
        <f>IFERROR(__xludf.DUMMYFUNCTION("""COMPUTED_VALUE"""),1.7)</f>
        <v>1.7</v>
      </c>
      <c r="G1908" s="2"/>
      <c r="H1908" s="2" t="str">
        <f>IFERROR(__xludf.DUMMYFUNCTION("""COMPUTED_VALUE"""),"United Kingdom")</f>
        <v>United Kingdom</v>
      </c>
      <c r="I1908" s="7">
        <f>IFERROR(__xludf.DUMMYFUNCTION("""COMPUTED_VALUE"""),40148.0)</f>
        <v>40148</v>
      </c>
      <c r="J1908" s="8">
        <f>IFERROR(__xludf.DUMMYFUNCTION("""COMPUTED_VALUE"""),0.6027777777781012)</f>
        <v>0.6027777778</v>
      </c>
      <c r="K1908" s="2">
        <f>IFERROR(__xludf.DUMMYFUNCTION("""COMPUTED_VALUE"""),14.0)</f>
        <v>14</v>
      </c>
      <c r="L1908" s="2">
        <f>IFERROR(__xludf.DUMMYFUNCTION("""COMPUTED_VALUE"""),3.4)</f>
        <v>3.4</v>
      </c>
    </row>
    <row r="1909">
      <c r="A1909" s="2">
        <f>IFERROR(__xludf.DUMMYFUNCTION("""COMPUTED_VALUE"""),489597.0)</f>
        <v>489597</v>
      </c>
      <c r="B1909" s="2" t="str">
        <f>IFERROR(__xludf.DUMMYFUNCTION("""COMPUTED_VALUE"""),"21098")</f>
        <v>21098</v>
      </c>
      <c r="C1909" s="2" t="str">
        <f>IFERROR(__xludf.DUMMYFUNCTION("""COMPUTED_VALUE"""),"CHRISTMAS TOILET ROLL")</f>
        <v>CHRISTMAS TOILET ROLL</v>
      </c>
      <c r="D1909" s="2">
        <f>IFERROR(__xludf.DUMMYFUNCTION("""COMPUTED_VALUE"""),14.0)</f>
        <v>14</v>
      </c>
      <c r="E1909" s="6">
        <f>IFERROR(__xludf.DUMMYFUNCTION("""COMPUTED_VALUE"""),40148.60277777778)</f>
        <v>40148.60278</v>
      </c>
      <c r="F1909" s="2">
        <f>IFERROR(__xludf.DUMMYFUNCTION("""COMPUTED_VALUE"""),2.57)</f>
        <v>2.57</v>
      </c>
      <c r="G1909" s="2"/>
      <c r="H1909" s="2" t="str">
        <f>IFERROR(__xludf.DUMMYFUNCTION("""COMPUTED_VALUE"""),"United Kingdom")</f>
        <v>United Kingdom</v>
      </c>
      <c r="I1909" s="7">
        <f>IFERROR(__xludf.DUMMYFUNCTION("""COMPUTED_VALUE"""),40148.0)</f>
        <v>40148</v>
      </c>
      <c r="J1909" s="8">
        <f>IFERROR(__xludf.DUMMYFUNCTION("""COMPUTED_VALUE"""),0.6027777777781012)</f>
        <v>0.6027777778</v>
      </c>
      <c r="K1909" s="2">
        <f>IFERROR(__xludf.DUMMYFUNCTION("""COMPUTED_VALUE"""),14.0)</f>
        <v>14</v>
      </c>
      <c r="L1909" s="2">
        <f>IFERROR(__xludf.DUMMYFUNCTION("""COMPUTED_VALUE"""),35.98)</f>
        <v>35.98</v>
      </c>
    </row>
    <row r="1910">
      <c r="A1910" s="2">
        <f>IFERROR(__xludf.DUMMYFUNCTION("""COMPUTED_VALUE"""),489597.0)</f>
        <v>489597</v>
      </c>
      <c r="B1910" s="2" t="str">
        <f>IFERROR(__xludf.DUMMYFUNCTION("""COMPUTED_VALUE"""),"21108")</f>
        <v>21108</v>
      </c>
      <c r="C1910" s="2" t="str">
        <f>IFERROR(__xludf.DUMMYFUNCTION("""COMPUTED_VALUE"""),"FAIRY CAKE FLANNEL ASSORTED COLOUR")</f>
        <v>FAIRY CAKE FLANNEL ASSORTED COLOUR</v>
      </c>
      <c r="D1910" s="2">
        <f>IFERROR(__xludf.DUMMYFUNCTION("""COMPUTED_VALUE"""),5.0)</f>
        <v>5</v>
      </c>
      <c r="E1910" s="6">
        <f>IFERROR(__xludf.DUMMYFUNCTION("""COMPUTED_VALUE"""),40148.60277777778)</f>
        <v>40148.60278</v>
      </c>
      <c r="F1910" s="2">
        <f>IFERROR(__xludf.DUMMYFUNCTION("""COMPUTED_VALUE"""),5.17)</f>
        <v>5.17</v>
      </c>
      <c r="G1910" s="2"/>
      <c r="H1910" s="2" t="str">
        <f>IFERROR(__xludf.DUMMYFUNCTION("""COMPUTED_VALUE"""),"United Kingdom")</f>
        <v>United Kingdom</v>
      </c>
      <c r="I1910" s="7">
        <f>IFERROR(__xludf.DUMMYFUNCTION("""COMPUTED_VALUE"""),40148.0)</f>
        <v>40148</v>
      </c>
      <c r="J1910" s="8">
        <f>IFERROR(__xludf.DUMMYFUNCTION("""COMPUTED_VALUE"""),0.6027777777781012)</f>
        <v>0.6027777778</v>
      </c>
      <c r="K1910" s="2">
        <f>IFERROR(__xludf.DUMMYFUNCTION("""COMPUTED_VALUE"""),14.0)</f>
        <v>14</v>
      </c>
      <c r="L1910" s="2">
        <f>IFERROR(__xludf.DUMMYFUNCTION("""COMPUTED_VALUE"""),25.85)</f>
        <v>25.85</v>
      </c>
    </row>
    <row r="1911">
      <c r="A1911" s="2">
        <f>IFERROR(__xludf.DUMMYFUNCTION("""COMPUTED_VALUE"""),489597.0)</f>
        <v>489597</v>
      </c>
      <c r="B1911" s="2" t="str">
        <f>IFERROR(__xludf.DUMMYFUNCTION("""COMPUTED_VALUE"""),"21110")</f>
        <v>21110</v>
      </c>
      <c r="C1911" s="2" t="str">
        <f>IFERROR(__xludf.DUMMYFUNCTION("""COMPUTED_VALUE"""),"LARGE CAKE TOWEL PINK SPOTS")</f>
        <v>LARGE CAKE TOWEL PINK SPOTS</v>
      </c>
      <c r="D1911" s="2">
        <f>IFERROR(__xludf.DUMMYFUNCTION("""COMPUTED_VALUE"""),1.0)</f>
        <v>1</v>
      </c>
      <c r="E1911" s="6">
        <f>IFERROR(__xludf.DUMMYFUNCTION("""COMPUTED_VALUE"""),40148.60277777778)</f>
        <v>40148.60278</v>
      </c>
      <c r="F1911" s="2">
        <f>IFERROR(__xludf.DUMMYFUNCTION("""COMPUTED_VALUE"""),13.87)</f>
        <v>13.87</v>
      </c>
      <c r="G1911" s="2"/>
      <c r="H1911" s="2" t="str">
        <f>IFERROR(__xludf.DUMMYFUNCTION("""COMPUTED_VALUE"""),"United Kingdom")</f>
        <v>United Kingdom</v>
      </c>
      <c r="I1911" s="7">
        <f>IFERROR(__xludf.DUMMYFUNCTION("""COMPUTED_VALUE"""),40148.0)</f>
        <v>40148</v>
      </c>
      <c r="J1911" s="8">
        <f>IFERROR(__xludf.DUMMYFUNCTION("""COMPUTED_VALUE"""),0.6027777777781012)</f>
        <v>0.6027777778</v>
      </c>
      <c r="K1911" s="2">
        <f>IFERROR(__xludf.DUMMYFUNCTION("""COMPUTED_VALUE"""),14.0)</f>
        <v>14</v>
      </c>
      <c r="L1911" s="2">
        <f>IFERROR(__xludf.DUMMYFUNCTION("""COMPUTED_VALUE"""),13.87)</f>
        <v>13.87</v>
      </c>
    </row>
    <row r="1912">
      <c r="A1912" s="2">
        <f>IFERROR(__xludf.DUMMYFUNCTION("""COMPUTED_VALUE"""),489597.0)</f>
        <v>489597</v>
      </c>
      <c r="B1912" s="2" t="str">
        <f>IFERROR(__xludf.DUMMYFUNCTION("""COMPUTED_VALUE"""),"21115")</f>
        <v>21115</v>
      </c>
      <c r="C1912" s="2" t="str">
        <f>IFERROR(__xludf.DUMMYFUNCTION("""COMPUTED_VALUE"""),"ROSE CARAVAN DOORSTOP")</f>
        <v>ROSE CARAVAN DOORSTOP</v>
      </c>
      <c r="D1912" s="2">
        <f>IFERROR(__xludf.DUMMYFUNCTION("""COMPUTED_VALUE"""),1.0)</f>
        <v>1</v>
      </c>
      <c r="E1912" s="6">
        <f>IFERROR(__xludf.DUMMYFUNCTION("""COMPUTED_VALUE"""),40148.60277777778)</f>
        <v>40148.60278</v>
      </c>
      <c r="F1912" s="2">
        <f>IFERROR(__xludf.DUMMYFUNCTION("""COMPUTED_VALUE"""),14.74)</f>
        <v>14.74</v>
      </c>
      <c r="G1912" s="2"/>
      <c r="H1912" s="2" t="str">
        <f>IFERROR(__xludf.DUMMYFUNCTION("""COMPUTED_VALUE"""),"United Kingdom")</f>
        <v>United Kingdom</v>
      </c>
      <c r="I1912" s="7">
        <f>IFERROR(__xludf.DUMMYFUNCTION("""COMPUTED_VALUE"""),40148.0)</f>
        <v>40148</v>
      </c>
      <c r="J1912" s="8">
        <f>IFERROR(__xludf.DUMMYFUNCTION("""COMPUTED_VALUE"""),0.6027777777781012)</f>
        <v>0.6027777778</v>
      </c>
      <c r="K1912" s="2">
        <f>IFERROR(__xludf.DUMMYFUNCTION("""COMPUTED_VALUE"""),14.0)</f>
        <v>14</v>
      </c>
      <c r="L1912" s="2">
        <f>IFERROR(__xludf.DUMMYFUNCTION("""COMPUTED_VALUE"""),14.74)</f>
        <v>14.74</v>
      </c>
    </row>
    <row r="1913">
      <c r="A1913" s="2">
        <f>IFERROR(__xludf.DUMMYFUNCTION("""COMPUTED_VALUE"""),489597.0)</f>
        <v>489597</v>
      </c>
      <c r="B1913" s="2" t="str">
        <f>IFERROR(__xludf.DUMMYFUNCTION("""COMPUTED_VALUE"""),"21116")</f>
        <v>21116</v>
      </c>
      <c r="C1913" s="2" t="str">
        <f>IFERROR(__xludf.DUMMYFUNCTION("""COMPUTED_VALUE"""),"OWL DOORSTOP")</f>
        <v>OWL DOORSTOP</v>
      </c>
      <c r="D1913" s="2">
        <f>IFERROR(__xludf.DUMMYFUNCTION("""COMPUTED_VALUE"""),3.0)</f>
        <v>3</v>
      </c>
      <c r="E1913" s="6">
        <f>IFERROR(__xludf.DUMMYFUNCTION("""COMPUTED_VALUE"""),40148.60277777778)</f>
        <v>40148.60278</v>
      </c>
      <c r="F1913" s="2">
        <f>IFERROR(__xludf.DUMMYFUNCTION("""COMPUTED_VALUE"""),8.65)</f>
        <v>8.65</v>
      </c>
      <c r="G1913" s="2"/>
      <c r="H1913" s="2" t="str">
        <f>IFERROR(__xludf.DUMMYFUNCTION("""COMPUTED_VALUE"""),"United Kingdom")</f>
        <v>United Kingdom</v>
      </c>
      <c r="I1913" s="7">
        <f>IFERROR(__xludf.DUMMYFUNCTION("""COMPUTED_VALUE"""),40148.0)</f>
        <v>40148</v>
      </c>
      <c r="J1913" s="8">
        <f>IFERROR(__xludf.DUMMYFUNCTION("""COMPUTED_VALUE"""),0.6027777777781012)</f>
        <v>0.6027777778</v>
      </c>
      <c r="K1913" s="2">
        <f>IFERROR(__xludf.DUMMYFUNCTION("""COMPUTED_VALUE"""),14.0)</f>
        <v>14</v>
      </c>
      <c r="L1913" s="2">
        <f>IFERROR(__xludf.DUMMYFUNCTION("""COMPUTED_VALUE"""),25.95)</f>
        <v>25.95</v>
      </c>
    </row>
    <row r="1914">
      <c r="A1914" s="2">
        <f>IFERROR(__xludf.DUMMYFUNCTION("""COMPUTED_VALUE"""),489597.0)</f>
        <v>489597</v>
      </c>
      <c r="B1914" s="2" t="str">
        <f>IFERROR(__xludf.DUMMYFUNCTION("""COMPUTED_VALUE"""),"21122")</f>
        <v>21122</v>
      </c>
      <c r="C1914" s="2" t="str">
        <f>IFERROR(__xludf.DUMMYFUNCTION("""COMPUTED_VALUE"""),"SET/10 PINK SPOTTY PARTY CANDLES")</f>
        <v>SET/10 PINK SPOTTY PARTY CANDLES</v>
      </c>
      <c r="D1914" s="2">
        <f>IFERROR(__xludf.DUMMYFUNCTION("""COMPUTED_VALUE"""),1.0)</f>
        <v>1</v>
      </c>
      <c r="E1914" s="6">
        <f>IFERROR(__xludf.DUMMYFUNCTION("""COMPUTED_VALUE"""),40148.60277777778)</f>
        <v>40148.60278</v>
      </c>
      <c r="F1914" s="2">
        <f>IFERROR(__xludf.DUMMYFUNCTION("""COMPUTED_VALUE"""),2.57)</f>
        <v>2.57</v>
      </c>
      <c r="G1914" s="2"/>
      <c r="H1914" s="2" t="str">
        <f>IFERROR(__xludf.DUMMYFUNCTION("""COMPUTED_VALUE"""),"United Kingdom")</f>
        <v>United Kingdom</v>
      </c>
      <c r="I1914" s="7">
        <f>IFERROR(__xludf.DUMMYFUNCTION("""COMPUTED_VALUE"""),40148.0)</f>
        <v>40148</v>
      </c>
      <c r="J1914" s="8">
        <f>IFERROR(__xludf.DUMMYFUNCTION("""COMPUTED_VALUE"""),0.6027777777781012)</f>
        <v>0.6027777778</v>
      </c>
      <c r="K1914" s="2">
        <f>IFERROR(__xludf.DUMMYFUNCTION("""COMPUTED_VALUE"""),14.0)</f>
        <v>14</v>
      </c>
      <c r="L1914" s="2">
        <f>IFERROR(__xludf.DUMMYFUNCTION("""COMPUTED_VALUE"""),2.57)</f>
        <v>2.57</v>
      </c>
    </row>
    <row r="1915">
      <c r="A1915" s="2">
        <f>IFERROR(__xludf.DUMMYFUNCTION("""COMPUTED_VALUE"""),489597.0)</f>
        <v>489597</v>
      </c>
      <c r="B1915" s="2" t="str">
        <f>IFERROR(__xludf.DUMMYFUNCTION("""COMPUTED_VALUE"""),"21124")</f>
        <v>21124</v>
      </c>
      <c r="C1915" s="2" t="str">
        <f>IFERROR(__xludf.DUMMYFUNCTION("""COMPUTED_VALUE"""),"SET/10 BLUE SPOTTY PARTY CANDLES")</f>
        <v>SET/10 BLUE SPOTTY PARTY CANDLES</v>
      </c>
      <c r="D1915" s="2">
        <f>IFERROR(__xludf.DUMMYFUNCTION("""COMPUTED_VALUE"""),1.0)</f>
        <v>1</v>
      </c>
      <c r="E1915" s="6">
        <f>IFERROR(__xludf.DUMMYFUNCTION("""COMPUTED_VALUE"""),40148.60277777778)</f>
        <v>40148.60278</v>
      </c>
      <c r="F1915" s="2">
        <f>IFERROR(__xludf.DUMMYFUNCTION("""COMPUTED_VALUE"""),2.57)</f>
        <v>2.57</v>
      </c>
      <c r="G1915" s="2"/>
      <c r="H1915" s="2" t="str">
        <f>IFERROR(__xludf.DUMMYFUNCTION("""COMPUTED_VALUE"""),"United Kingdom")</f>
        <v>United Kingdom</v>
      </c>
      <c r="I1915" s="7">
        <f>IFERROR(__xludf.DUMMYFUNCTION("""COMPUTED_VALUE"""),40148.0)</f>
        <v>40148</v>
      </c>
      <c r="J1915" s="8">
        <f>IFERROR(__xludf.DUMMYFUNCTION("""COMPUTED_VALUE"""),0.6027777777781012)</f>
        <v>0.6027777778</v>
      </c>
      <c r="K1915" s="2">
        <f>IFERROR(__xludf.DUMMYFUNCTION("""COMPUTED_VALUE"""),14.0)</f>
        <v>14</v>
      </c>
      <c r="L1915" s="2">
        <f>IFERROR(__xludf.DUMMYFUNCTION("""COMPUTED_VALUE"""),2.57)</f>
        <v>2.57</v>
      </c>
    </row>
    <row r="1916">
      <c r="A1916" s="2">
        <f>IFERROR(__xludf.DUMMYFUNCTION("""COMPUTED_VALUE"""),489597.0)</f>
        <v>489597</v>
      </c>
      <c r="B1916" s="2" t="str">
        <f>IFERROR(__xludf.DUMMYFUNCTION("""COMPUTED_VALUE"""),"21134")</f>
        <v>21134</v>
      </c>
      <c r="C1916" s="2" t="str">
        <f>IFERROR(__xludf.DUMMYFUNCTION("""COMPUTED_VALUE"""),"VICTORIAN METAL POSTCARD CHRISTMAS")</f>
        <v>VICTORIAN METAL POSTCARD CHRISTMAS</v>
      </c>
      <c r="D1916" s="2">
        <f>IFERROR(__xludf.DUMMYFUNCTION("""COMPUTED_VALUE"""),1.0)</f>
        <v>1</v>
      </c>
      <c r="E1916" s="6">
        <f>IFERROR(__xludf.DUMMYFUNCTION("""COMPUTED_VALUE"""),40148.60277777778)</f>
        <v>40148.60278</v>
      </c>
      <c r="F1916" s="2">
        <f>IFERROR(__xludf.DUMMYFUNCTION("""COMPUTED_VALUE"""),26.04)</f>
        <v>26.04</v>
      </c>
      <c r="G1916" s="2"/>
      <c r="H1916" s="2" t="str">
        <f>IFERROR(__xludf.DUMMYFUNCTION("""COMPUTED_VALUE"""),"United Kingdom")</f>
        <v>United Kingdom</v>
      </c>
      <c r="I1916" s="7">
        <f>IFERROR(__xludf.DUMMYFUNCTION("""COMPUTED_VALUE"""),40148.0)</f>
        <v>40148</v>
      </c>
      <c r="J1916" s="8">
        <f>IFERROR(__xludf.DUMMYFUNCTION("""COMPUTED_VALUE"""),0.6027777777781012)</f>
        <v>0.6027777778</v>
      </c>
      <c r="K1916" s="2">
        <f>IFERROR(__xludf.DUMMYFUNCTION("""COMPUTED_VALUE"""),14.0)</f>
        <v>14</v>
      </c>
      <c r="L1916" s="2">
        <f>IFERROR(__xludf.DUMMYFUNCTION("""COMPUTED_VALUE"""),26.04)</f>
        <v>26.04</v>
      </c>
    </row>
    <row r="1917">
      <c r="A1917" s="2">
        <f>IFERROR(__xludf.DUMMYFUNCTION("""COMPUTED_VALUE"""),489597.0)</f>
        <v>489597</v>
      </c>
      <c r="B1917" s="2" t="str">
        <f>IFERROR(__xludf.DUMMYFUNCTION("""COMPUTED_VALUE"""),"21143")</f>
        <v>21143</v>
      </c>
      <c r="C1917" s="2" t="str">
        <f>IFERROR(__xludf.DUMMYFUNCTION("""COMPUTED_VALUE"""),"ANTIQUE GLASS HEART DECORATION")</f>
        <v>ANTIQUE GLASS HEART DECORATION</v>
      </c>
      <c r="D1917" s="2">
        <f>IFERROR(__xludf.DUMMYFUNCTION("""COMPUTED_VALUE"""),1.0)</f>
        <v>1</v>
      </c>
      <c r="E1917" s="6">
        <f>IFERROR(__xludf.DUMMYFUNCTION("""COMPUTED_VALUE"""),40148.60277777778)</f>
        <v>40148.60278</v>
      </c>
      <c r="F1917" s="2">
        <f>IFERROR(__xludf.DUMMYFUNCTION("""COMPUTED_VALUE"""),4.3)</f>
        <v>4.3</v>
      </c>
      <c r="G1917" s="2"/>
      <c r="H1917" s="2" t="str">
        <f>IFERROR(__xludf.DUMMYFUNCTION("""COMPUTED_VALUE"""),"United Kingdom")</f>
        <v>United Kingdom</v>
      </c>
      <c r="I1917" s="7">
        <f>IFERROR(__xludf.DUMMYFUNCTION("""COMPUTED_VALUE"""),40148.0)</f>
        <v>40148</v>
      </c>
      <c r="J1917" s="8">
        <f>IFERROR(__xludf.DUMMYFUNCTION("""COMPUTED_VALUE"""),0.6027777777781012)</f>
        <v>0.6027777778</v>
      </c>
      <c r="K1917" s="2">
        <f>IFERROR(__xludf.DUMMYFUNCTION("""COMPUTED_VALUE"""),14.0)</f>
        <v>14</v>
      </c>
      <c r="L1917" s="2">
        <f>IFERROR(__xludf.DUMMYFUNCTION("""COMPUTED_VALUE"""),4.3)</f>
        <v>4.3</v>
      </c>
    </row>
    <row r="1918">
      <c r="A1918" s="2">
        <f>IFERROR(__xludf.DUMMYFUNCTION("""COMPUTED_VALUE"""),489597.0)</f>
        <v>489597</v>
      </c>
      <c r="B1918" s="2" t="str">
        <f>IFERROR(__xludf.DUMMYFUNCTION("""COMPUTED_VALUE"""),"21145")</f>
        <v>21145</v>
      </c>
      <c r="C1918" s="2" t="str">
        <f>IFERROR(__xludf.DUMMYFUNCTION("""COMPUTED_VALUE"""),"ANTIQUE GLASS PLACE SETTING")</f>
        <v>ANTIQUE GLASS PLACE SETTING</v>
      </c>
      <c r="D1918" s="2">
        <f>IFERROR(__xludf.DUMMYFUNCTION("""COMPUTED_VALUE"""),1.0)</f>
        <v>1</v>
      </c>
      <c r="E1918" s="6">
        <f>IFERROR(__xludf.DUMMYFUNCTION("""COMPUTED_VALUE"""),40148.60277777778)</f>
        <v>40148.60278</v>
      </c>
      <c r="F1918" s="2">
        <f>IFERROR(__xludf.DUMMYFUNCTION("""COMPUTED_VALUE"""),14.74)</f>
        <v>14.74</v>
      </c>
      <c r="G1918" s="2"/>
      <c r="H1918" s="2" t="str">
        <f>IFERROR(__xludf.DUMMYFUNCTION("""COMPUTED_VALUE"""),"United Kingdom")</f>
        <v>United Kingdom</v>
      </c>
      <c r="I1918" s="7">
        <f>IFERROR(__xludf.DUMMYFUNCTION("""COMPUTED_VALUE"""),40148.0)</f>
        <v>40148</v>
      </c>
      <c r="J1918" s="8">
        <f>IFERROR(__xludf.DUMMYFUNCTION("""COMPUTED_VALUE"""),0.6027777777781012)</f>
        <v>0.6027777778</v>
      </c>
      <c r="K1918" s="2">
        <f>IFERROR(__xludf.DUMMYFUNCTION("""COMPUTED_VALUE"""),14.0)</f>
        <v>14</v>
      </c>
      <c r="L1918" s="2">
        <f>IFERROR(__xludf.DUMMYFUNCTION("""COMPUTED_VALUE"""),14.74)</f>
        <v>14.74</v>
      </c>
    </row>
    <row r="1919">
      <c r="A1919" s="2">
        <f>IFERROR(__xludf.DUMMYFUNCTION("""COMPUTED_VALUE"""),489597.0)</f>
        <v>489597</v>
      </c>
      <c r="B1919" s="2" t="str">
        <f>IFERROR(__xludf.DUMMYFUNCTION("""COMPUTED_VALUE"""),"21154")</f>
        <v>21154</v>
      </c>
      <c r="C1919" s="2" t="str">
        <f>IFERROR(__xludf.DUMMYFUNCTION("""COMPUTED_VALUE"""),"RED SPOTTY OVEN GLOVE")</f>
        <v>RED SPOTTY OVEN GLOVE</v>
      </c>
      <c r="D1919" s="2">
        <f>IFERROR(__xludf.DUMMYFUNCTION("""COMPUTED_VALUE"""),2.0)</f>
        <v>2</v>
      </c>
      <c r="E1919" s="6">
        <f>IFERROR(__xludf.DUMMYFUNCTION("""COMPUTED_VALUE"""),40148.60277777778)</f>
        <v>40148.60278</v>
      </c>
      <c r="F1919" s="2">
        <f>IFERROR(__xludf.DUMMYFUNCTION("""COMPUTED_VALUE"""),2.57)</f>
        <v>2.57</v>
      </c>
      <c r="G1919" s="2"/>
      <c r="H1919" s="2" t="str">
        <f>IFERROR(__xludf.DUMMYFUNCTION("""COMPUTED_VALUE"""),"United Kingdom")</f>
        <v>United Kingdom</v>
      </c>
      <c r="I1919" s="7">
        <f>IFERROR(__xludf.DUMMYFUNCTION("""COMPUTED_VALUE"""),40148.0)</f>
        <v>40148</v>
      </c>
      <c r="J1919" s="8">
        <f>IFERROR(__xludf.DUMMYFUNCTION("""COMPUTED_VALUE"""),0.6027777777781012)</f>
        <v>0.6027777778</v>
      </c>
      <c r="K1919" s="2">
        <f>IFERROR(__xludf.DUMMYFUNCTION("""COMPUTED_VALUE"""),14.0)</f>
        <v>14</v>
      </c>
      <c r="L1919" s="2">
        <f>IFERROR(__xludf.DUMMYFUNCTION("""COMPUTED_VALUE"""),5.14)</f>
        <v>5.14</v>
      </c>
    </row>
    <row r="1920">
      <c r="A1920" s="2">
        <f>IFERROR(__xludf.DUMMYFUNCTION("""COMPUTED_VALUE"""),489597.0)</f>
        <v>489597</v>
      </c>
      <c r="B1920" s="2" t="str">
        <f>IFERROR(__xludf.DUMMYFUNCTION("""COMPUTED_VALUE"""),"21160")</f>
        <v>21160</v>
      </c>
      <c r="C1920" s="2" t="str">
        <f>IFERROR(__xludf.DUMMYFUNCTION("""COMPUTED_VALUE"""),"KEEP OUT GIRLS DOOR HANGER")</f>
        <v>KEEP OUT GIRLS DOOR HANGER</v>
      </c>
      <c r="D1920" s="2">
        <f>IFERROR(__xludf.DUMMYFUNCTION("""COMPUTED_VALUE"""),1.0)</f>
        <v>1</v>
      </c>
      <c r="E1920" s="6">
        <f>IFERROR(__xludf.DUMMYFUNCTION("""COMPUTED_VALUE"""),40148.60277777778)</f>
        <v>40148.60278</v>
      </c>
      <c r="F1920" s="2">
        <f>IFERROR(__xludf.DUMMYFUNCTION("""COMPUTED_VALUE"""),3.43)</f>
        <v>3.43</v>
      </c>
      <c r="G1920" s="2"/>
      <c r="H1920" s="2" t="str">
        <f>IFERROR(__xludf.DUMMYFUNCTION("""COMPUTED_VALUE"""),"United Kingdom")</f>
        <v>United Kingdom</v>
      </c>
      <c r="I1920" s="7">
        <f>IFERROR(__xludf.DUMMYFUNCTION("""COMPUTED_VALUE"""),40148.0)</f>
        <v>40148</v>
      </c>
      <c r="J1920" s="8">
        <f>IFERROR(__xludf.DUMMYFUNCTION("""COMPUTED_VALUE"""),0.6027777777781012)</f>
        <v>0.6027777778</v>
      </c>
      <c r="K1920" s="2">
        <f>IFERROR(__xludf.DUMMYFUNCTION("""COMPUTED_VALUE"""),14.0)</f>
        <v>14</v>
      </c>
      <c r="L1920" s="2">
        <f>IFERROR(__xludf.DUMMYFUNCTION("""COMPUTED_VALUE"""),3.43)</f>
        <v>3.43</v>
      </c>
    </row>
    <row r="1921">
      <c r="A1921" s="2">
        <f>IFERROR(__xludf.DUMMYFUNCTION("""COMPUTED_VALUE"""),489597.0)</f>
        <v>489597</v>
      </c>
      <c r="B1921" s="2" t="str">
        <f>IFERROR(__xludf.DUMMYFUNCTION("""COMPUTED_VALUE"""),"21164")</f>
        <v>21164</v>
      </c>
      <c r="C1921" s="2" t="str">
        <f>IFERROR(__xludf.DUMMYFUNCTION("""COMPUTED_VALUE"""),"HOME SWEET HOME METAL SIGN")</f>
        <v>HOME SWEET HOME METAL SIGN</v>
      </c>
      <c r="D1921" s="2">
        <f>IFERROR(__xludf.DUMMYFUNCTION("""COMPUTED_VALUE"""),1.0)</f>
        <v>1</v>
      </c>
      <c r="E1921" s="6">
        <f>IFERROR(__xludf.DUMMYFUNCTION("""COMPUTED_VALUE"""),40148.60277777778)</f>
        <v>40148.60278</v>
      </c>
      <c r="F1921" s="2">
        <f>IFERROR(__xludf.DUMMYFUNCTION("""COMPUTED_VALUE"""),6.04)</f>
        <v>6.04</v>
      </c>
      <c r="G1921" s="2"/>
      <c r="H1921" s="2" t="str">
        <f>IFERROR(__xludf.DUMMYFUNCTION("""COMPUTED_VALUE"""),"United Kingdom")</f>
        <v>United Kingdom</v>
      </c>
      <c r="I1921" s="7">
        <f>IFERROR(__xludf.DUMMYFUNCTION("""COMPUTED_VALUE"""),40148.0)</f>
        <v>40148</v>
      </c>
      <c r="J1921" s="8">
        <f>IFERROR(__xludf.DUMMYFUNCTION("""COMPUTED_VALUE"""),0.6027777777781012)</f>
        <v>0.6027777778</v>
      </c>
      <c r="K1921" s="2">
        <f>IFERROR(__xludf.DUMMYFUNCTION("""COMPUTED_VALUE"""),14.0)</f>
        <v>14</v>
      </c>
      <c r="L1921" s="2">
        <f>IFERROR(__xludf.DUMMYFUNCTION("""COMPUTED_VALUE"""),6.04)</f>
        <v>6.04</v>
      </c>
    </row>
    <row r="1922">
      <c r="A1922" s="2">
        <f>IFERROR(__xludf.DUMMYFUNCTION("""COMPUTED_VALUE"""),489597.0)</f>
        <v>489597</v>
      </c>
      <c r="B1922" s="2" t="str">
        <f>IFERROR(__xludf.DUMMYFUNCTION("""COMPUTED_VALUE"""),"21165")</f>
        <v>21165</v>
      </c>
      <c r="C1922" s="2" t="str">
        <f>IFERROR(__xludf.DUMMYFUNCTION("""COMPUTED_VALUE"""),"BEWARE OF THE CAT METAL SIGN")</f>
        <v>BEWARE OF THE CAT METAL SIGN</v>
      </c>
      <c r="D1922" s="2">
        <f>IFERROR(__xludf.DUMMYFUNCTION("""COMPUTED_VALUE"""),2.0)</f>
        <v>2</v>
      </c>
      <c r="E1922" s="6">
        <f>IFERROR(__xludf.DUMMYFUNCTION("""COMPUTED_VALUE"""),40148.60277777778)</f>
        <v>40148.60278</v>
      </c>
      <c r="F1922" s="2">
        <f>IFERROR(__xludf.DUMMYFUNCTION("""COMPUTED_VALUE"""),4.3)</f>
        <v>4.3</v>
      </c>
      <c r="G1922" s="2"/>
      <c r="H1922" s="2" t="str">
        <f>IFERROR(__xludf.DUMMYFUNCTION("""COMPUTED_VALUE"""),"United Kingdom")</f>
        <v>United Kingdom</v>
      </c>
      <c r="I1922" s="7">
        <f>IFERROR(__xludf.DUMMYFUNCTION("""COMPUTED_VALUE"""),40148.0)</f>
        <v>40148</v>
      </c>
      <c r="J1922" s="8">
        <f>IFERROR(__xludf.DUMMYFUNCTION("""COMPUTED_VALUE"""),0.6027777777781012)</f>
        <v>0.6027777778</v>
      </c>
      <c r="K1922" s="2">
        <f>IFERROR(__xludf.DUMMYFUNCTION("""COMPUTED_VALUE"""),14.0)</f>
        <v>14</v>
      </c>
      <c r="L1922" s="2">
        <f>IFERROR(__xludf.DUMMYFUNCTION("""COMPUTED_VALUE"""),8.6)</f>
        <v>8.6</v>
      </c>
    </row>
    <row r="1923">
      <c r="A1923" s="2">
        <f>IFERROR(__xludf.DUMMYFUNCTION("""COMPUTED_VALUE"""),489597.0)</f>
        <v>489597</v>
      </c>
      <c r="B1923" s="2" t="str">
        <f>IFERROR(__xludf.DUMMYFUNCTION("""COMPUTED_VALUE"""),"21173")</f>
        <v>21173</v>
      </c>
      <c r="C1923" s="2" t="str">
        <f>IFERROR(__xludf.DUMMYFUNCTION("""COMPUTED_VALUE"""),"LOO ROLL METAL SIGN")</f>
        <v>LOO ROLL METAL SIGN</v>
      </c>
      <c r="D1923" s="2">
        <f>IFERROR(__xludf.DUMMYFUNCTION("""COMPUTED_VALUE"""),1.0)</f>
        <v>1</v>
      </c>
      <c r="E1923" s="6">
        <f>IFERROR(__xludf.DUMMYFUNCTION("""COMPUTED_VALUE"""),40148.60277777778)</f>
        <v>40148.60278</v>
      </c>
      <c r="F1923" s="2">
        <f>IFERROR(__xludf.DUMMYFUNCTION("""COMPUTED_VALUE"""),4.3)</f>
        <v>4.3</v>
      </c>
      <c r="G1923" s="2"/>
      <c r="H1923" s="2" t="str">
        <f>IFERROR(__xludf.DUMMYFUNCTION("""COMPUTED_VALUE"""),"United Kingdom")</f>
        <v>United Kingdom</v>
      </c>
      <c r="I1923" s="7">
        <f>IFERROR(__xludf.DUMMYFUNCTION("""COMPUTED_VALUE"""),40148.0)</f>
        <v>40148</v>
      </c>
      <c r="J1923" s="8">
        <f>IFERROR(__xludf.DUMMYFUNCTION("""COMPUTED_VALUE"""),0.6027777777781012)</f>
        <v>0.6027777778</v>
      </c>
      <c r="K1923" s="2">
        <f>IFERROR(__xludf.DUMMYFUNCTION("""COMPUTED_VALUE"""),14.0)</f>
        <v>14</v>
      </c>
      <c r="L1923" s="2">
        <f>IFERROR(__xludf.DUMMYFUNCTION("""COMPUTED_VALUE"""),4.3)</f>
        <v>4.3</v>
      </c>
    </row>
    <row r="1924">
      <c r="A1924" s="2">
        <f>IFERROR(__xludf.DUMMYFUNCTION("""COMPUTED_VALUE"""),489597.0)</f>
        <v>489597</v>
      </c>
      <c r="B1924" s="2" t="str">
        <f>IFERROR(__xludf.DUMMYFUNCTION("""COMPUTED_VALUE"""),"21174")</f>
        <v>21174</v>
      </c>
      <c r="C1924" s="2" t="str">
        <f>IFERROR(__xludf.DUMMYFUNCTION("""COMPUTED_VALUE"""),"POTTERING IN THE SHED METAL SIGN")</f>
        <v>POTTERING IN THE SHED METAL SIGN</v>
      </c>
      <c r="D1924" s="2">
        <f>IFERROR(__xludf.DUMMYFUNCTION("""COMPUTED_VALUE"""),3.0)</f>
        <v>3</v>
      </c>
      <c r="E1924" s="6">
        <f>IFERROR(__xludf.DUMMYFUNCTION("""COMPUTED_VALUE"""),40148.60277777778)</f>
        <v>40148.60278</v>
      </c>
      <c r="F1924" s="2">
        <f>IFERROR(__xludf.DUMMYFUNCTION("""COMPUTED_VALUE"""),4.3)</f>
        <v>4.3</v>
      </c>
      <c r="G1924" s="2"/>
      <c r="H1924" s="2" t="str">
        <f>IFERROR(__xludf.DUMMYFUNCTION("""COMPUTED_VALUE"""),"United Kingdom")</f>
        <v>United Kingdom</v>
      </c>
      <c r="I1924" s="7">
        <f>IFERROR(__xludf.DUMMYFUNCTION("""COMPUTED_VALUE"""),40148.0)</f>
        <v>40148</v>
      </c>
      <c r="J1924" s="8">
        <f>IFERROR(__xludf.DUMMYFUNCTION("""COMPUTED_VALUE"""),0.6027777777781012)</f>
        <v>0.6027777778</v>
      </c>
      <c r="K1924" s="2">
        <f>IFERROR(__xludf.DUMMYFUNCTION("""COMPUTED_VALUE"""),14.0)</f>
        <v>14</v>
      </c>
      <c r="L1924" s="2">
        <f>IFERROR(__xludf.DUMMYFUNCTION("""COMPUTED_VALUE"""),12.8999999999999)</f>
        <v>12.9</v>
      </c>
    </row>
    <row r="1925">
      <c r="A1925" s="2">
        <f>IFERROR(__xludf.DUMMYFUNCTION("""COMPUTED_VALUE"""),489597.0)</f>
        <v>489597</v>
      </c>
      <c r="B1925" s="2" t="str">
        <f>IFERROR(__xludf.DUMMYFUNCTION("""COMPUTED_VALUE"""),"21175")</f>
        <v>21175</v>
      </c>
      <c r="C1925" s="2" t="str">
        <f>IFERROR(__xludf.DUMMYFUNCTION("""COMPUTED_VALUE"""),"GIN + TONIC DIET METAL SIGN")</f>
        <v>GIN + TONIC DIET METAL SIGN</v>
      </c>
      <c r="D1925" s="2">
        <f>IFERROR(__xludf.DUMMYFUNCTION("""COMPUTED_VALUE"""),2.0)</f>
        <v>2</v>
      </c>
      <c r="E1925" s="6">
        <f>IFERROR(__xludf.DUMMYFUNCTION("""COMPUTED_VALUE"""),40148.60277777778)</f>
        <v>40148.60278</v>
      </c>
      <c r="F1925" s="2">
        <f>IFERROR(__xludf.DUMMYFUNCTION("""COMPUTED_VALUE"""),4.3)</f>
        <v>4.3</v>
      </c>
      <c r="G1925" s="2"/>
      <c r="H1925" s="2" t="str">
        <f>IFERROR(__xludf.DUMMYFUNCTION("""COMPUTED_VALUE"""),"United Kingdom")</f>
        <v>United Kingdom</v>
      </c>
      <c r="I1925" s="7">
        <f>IFERROR(__xludf.DUMMYFUNCTION("""COMPUTED_VALUE"""),40148.0)</f>
        <v>40148</v>
      </c>
      <c r="J1925" s="8">
        <f>IFERROR(__xludf.DUMMYFUNCTION("""COMPUTED_VALUE"""),0.6027777777781012)</f>
        <v>0.6027777778</v>
      </c>
      <c r="K1925" s="2">
        <f>IFERROR(__xludf.DUMMYFUNCTION("""COMPUTED_VALUE"""),14.0)</f>
        <v>14</v>
      </c>
      <c r="L1925" s="2">
        <f>IFERROR(__xludf.DUMMYFUNCTION("""COMPUTED_VALUE"""),8.6)</f>
        <v>8.6</v>
      </c>
    </row>
    <row r="1926">
      <c r="A1926" s="2">
        <f>IFERROR(__xludf.DUMMYFUNCTION("""COMPUTED_VALUE"""),489597.0)</f>
        <v>489597</v>
      </c>
      <c r="B1926" s="2" t="str">
        <f>IFERROR(__xludf.DUMMYFUNCTION("""COMPUTED_VALUE"""),"21181")</f>
        <v>21181</v>
      </c>
      <c r="C1926" s="2" t="str">
        <f>IFERROR(__xludf.DUMMYFUNCTION("""COMPUTED_VALUE"""),"PLEASE ONE PERSON METAL SIGN")</f>
        <v>PLEASE ONE PERSON METAL SIGN</v>
      </c>
      <c r="D1926" s="2">
        <f>IFERROR(__xludf.DUMMYFUNCTION("""COMPUTED_VALUE"""),1.0)</f>
        <v>1</v>
      </c>
      <c r="E1926" s="6">
        <f>IFERROR(__xludf.DUMMYFUNCTION("""COMPUTED_VALUE"""),40148.60277777778)</f>
        <v>40148.60278</v>
      </c>
      <c r="F1926" s="2">
        <f>IFERROR(__xludf.DUMMYFUNCTION("""COMPUTED_VALUE"""),4.3)</f>
        <v>4.3</v>
      </c>
      <c r="G1926" s="2"/>
      <c r="H1926" s="2" t="str">
        <f>IFERROR(__xludf.DUMMYFUNCTION("""COMPUTED_VALUE"""),"United Kingdom")</f>
        <v>United Kingdom</v>
      </c>
      <c r="I1926" s="7">
        <f>IFERROR(__xludf.DUMMYFUNCTION("""COMPUTED_VALUE"""),40148.0)</f>
        <v>40148</v>
      </c>
      <c r="J1926" s="8">
        <f>IFERROR(__xludf.DUMMYFUNCTION("""COMPUTED_VALUE"""),0.6027777777781012)</f>
        <v>0.6027777778</v>
      </c>
      <c r="K1926" s="2">
        <f>IFERROR(__xludf.DUMMYFUNCTION("""COMPUTED_VALUE"""),14.0)</f>
        <v>14</v>
      </c>
      <c r="L1926" s="2">
        <f>IFERROR(__xludf.DUMMYFUNCTION("""COMPUTED_VALUE"""),4.3)</f>
        <v>4.3</v>
      </c>
    </row>
    <row r="1927">
      <c r="A1927" s="2">
        <f>IFERROR(__xludf.DUMMYFUNCTION("""COMPUTED_VALUE"""),489597.0)</f>
        <v>489597</v>
      </c>
      <c r="B1927" s="2" t="str">
        <f>IFERROR(__xludf.DUMMYFUNCTION("""COMPUTED_VALUE"""),"21185")</f>
        <v>21185</v>
      </c>
      <c r="C1927" s="2" t="str">
        <f>IFERROR(__xludf.DUMMYFUNCTION("""COMPUTED_VALUE"""),"HOME SWEET HOME BLACKBOARD")</f>
        <v>HOME SWEET HOME BLACKBOARD</v>
      </c>
      <c r="D1927" s="2">
        <f>IFERROR(__xludf.DUMMYFUNCTION("""COMPUTED_VALUE"""),2.0)</f>
        <v>2</v>
      </c>
      <c r="E1927" s="6">
        <f>IFERROR(__xludf.DUMMYFUNCTION("""COMPUTED_VALUE"""),40148.60277777778)</f>
        <v>40148.60278</v>
      </c>
      <c r="F1927" s="2">
        <f>IFERROR(__xludf.DUMMYFUNCTION("""COMPUTED_VALUE"""),13.0)</f>
        <v>13</v>
      </c>
      <c r="G1927" s="2"/>
      <c r="H1927" s="2" t="str">
        <f>IFERROR(__xludf.DUMMYFUNCTION("""COMPUTED_VALUE"""),"United Kingdom")</f>
        <v>United Kingdom</v>
      </c>
      <c r="I1927" s="7">
        <f>IFERROR(__xludf.DUMMYFUNCTION("""COMPUTED_VALUE"""),40148.0)</f>
        <v>40148</v>
      </c>
      <c r="J1927" s="8">
        <f>IFERROR(__xludf.DUMMYFUNCTION("""COMPUTED_VALUE"""),0.6027777777781012)</f>
        <v>0.6027777778</v>
      </c>
      <c r="K1927" s="2">
        <f>IFERROR(__xludf.DUMMYFUNCTION("""COMPUTED_VALUE"""),14.0)</f>
        <v>14</v>
      </c>
      <c r="L1927" s="2">
        <f>IFERROR(__xludf.DUMMYFUNCTION("""COMPUTED_VALUE"""),26.0)</f>
        <v>26</v>
      </c>
    </row>
    <row r="1928">
      <c r="A1928" s="2">
        <f>IFERROR(__xludf.DUMMYFUNCTION("""COMPUTED_VALUE"""),489597.0)</f>
        <v>489597</v>
      </c>
      <c r="B1928" s="2" t="str">
        <f>IFERROR(__xludf.DUMMYFUNCTION("""COMPUTED_VALUE"""),"21191")</f>
        <v>21191</v>
      </c>
      <c r="C1928" s="2" t="str">
        <f>IFERROR(__xludf.DUMMYFUNCTION("""COMPUTED_VALUE"""),"LARGE WHITE HONEYCOMB PAPER BELL")</f>
        <v>LARGE WHITE HONEYCOMB PAPER BELL</v>
      </c>
      <c r="D1928" s="2">
        <f>IFERROR(__xludf.DUMMYFUNCTION("""COMPUTED_VALUE"""),3.0)</f>
        <v>3</v>
      </c>
      <c r="E1928" s="6">
        <f>IFERROR(__xludf.DUMMYFUNCTION("""COMPUTED_VALUE"""),40148.60277777778)</f>
        <v>40148.60278</v>
      </c>
      <c r="F1928" s="2">
        <f>IFERROR(__xludf.DUMMYFUNCTION("""COMPUTED_VALUE"""),4.3)</f>
        <v>4.3</v>
      </c>
      <c r="G1928" s="2"/>
      <c r="H1928" s="2" t="str">
        <f>IFERROR(__xludf.DUMMYFUNCTION("""COMPUTED_VALUE"""),"United Kingdom")</f>
        <v>United Kingdom</v>
      </c>
      <c r="I1928" s="7">
        <f>IFERROR(__xludf.DUMMYFUNCTION("""COMPUTED_VALUE"""),40148.0)</f>
        <v>40148</v>
      </c>
      <c r="J1928" s="8">
        <f>IFERROR(__xludf.DUMMYFUNCTION("""COMPUTED_VALUE"""),0.6027777777781012)</f>
        <v>0.6027777778</v>
      </c>
      <c r="K1928" s="2">
        <f>IFERROR(__xludf.DUMMYFUNCTION("""COMPUTED_VALUE"""),14.0)</f>
        <v>14</v>
      </c>
      <c r="L1928" s="2">
        <f>IFERROR(__xludf.DUMMYFUNCTION("""COMPUTED_VALUE"""),12.8999999999999)</f>
        <v>12.9</v>
      </c>
    </row>
    <row r="1929">
      <c r="A1929" s="2">
        <f>IFERROR(__xludf.DUMMYFUNCTION("""COMPUTED_VALUE"""),489597.0)</f>
        <v>489597</v>
      </c>
      <c r="B1929" s="2" t="str">
        <f>IFERROR(__xludf.DUMMYFUNCTION("""COMPUTED_VALUE"""),"21198")</f>
        <v>21198</v>
      </c>
      <c r="C1929" s="2" t="str">
        <f>IFERROR(__xludf.DUMMYFUNCTION("""COMPUTED_VALUE"""),"WHITE HEART CONFETTI IN TUBE")</f>
        <v>WHITE HEART CONFETTI IN TUBE</v>
      </c>
      <c r="D1929" s="2">
        <f>IFERROR(__xludf.DUMMYFUNCTION("""COMPUTED_VALUE"""),1.0)</f>
        <v>1</v>
      </c>
      <c r="E1929" s="6">
        <f>IFERROR(__xludf.DUMMYFUNCTION("""COMPUTED_VALUE"""),40148.60277777778)</f>
        <v>40148.60278</v>
      </c>
      <c r="F1929" s="2">
        <f>IFERROR(__xludf.DUMMYFUNCTION("""COMPUTED_VALUE"""),3.43)</f>
        <v>3.43</v>
      </c>
      <c r="G1929" s="2"/>
      <c r="H1929" s="2" t="str">
        <f>IFERROR(__xludf.DUMMYFUNCTION("""COMPUTED_VALUE"""),"United Kingdom")</f>
        <v>United Kingdom</v>
      </c>
      <c r="I1929" s="7">
        <f>IFERROR(__xludf.DUMMYFUNCTION("""COMPUTED_VALUE"""),40148.0)</f>
        <v>40148</v>
      </c>
      <c r="J1929" s="8">
        <f>IFERROR(__xludf.DUMMYFUNCTION("""COMPUTED_VALUE"""),0.6027777777781012)</f>
        <v>0.6027777778</v>
      </c>
      <c r="K1929" s="2">
        <f>IFERROR(__xludf.DUMMYFUNCTION("""COMPUTED_VALUE"""),14.0)</f>
        <v>14</v>
      </c>
      <c r="L1929" s="2">
        <f>IFERROR(__xludf.DUMMYFUNCTION("""COMPUTED_VALUE"""),3.43)</f>
        <v>3.43</v>
      </c>
    </row>
    <row r="1930">
      <c r="A1930" s="2">
        <f>IFERROR(__xludf.DUMMYFUNCTION("""COMPUTED_VALUE"""),489597.0)</f>
        <v>489597</v>
      </c>
      <c r="B1930" s="2" t="str">
        <f>IFERROR(__xludf.DUMMYFUNCTION("""COMPUTED_VALUE"""),"21210")</f>
        <v>21210</v>
      </c>
      <c r="C1930" s="2" t="str">
        <f>IFERROR(__xludf.DUMMYFUNCTION("""COMPUTED_VALUE"""),"SET OF 72 RETRO SPOT PAPER DOILIES")</f>
        <v>SET OF 72 RETRO SPOT PAPER DOILIES</v>
      </c>
      <c r="D1930" s="2">
        <f>IFERROR(__xludf.DUMMYFUNCTION("""COMPUTED_VALUE"""),3.0)</f>
        <v>3</v>
      </c>
      <c r="E1930" s="6">
        <f>IFERROR(__xludf.DUMMYFUNCTION("""COMPUTED_VALUE"""),40148.60277777778)</f>
        <v>40148.60278</v>
      </c>
      <c r="F1930" s="2">
        <f>IFERROR(__xludf.DUMMYFUNCTION("""COMPUTED_VALUE"""),3.04)</f>
        <v>3.04</v>
      </c>
      <c r="G1930" s="2"/>
      <c r="H1930" s="2" t="str">
        <f>IFERROR(__xludf.DUMMYFUNCTION("""COMPUTED_VALUE"""),"United Kingdom")</f>
        <v>United Kingdom</v>
      </c>
      <c r="I1930" s="7">
        <f>IFERROR(__xludf.DUMMYFUNCTION("""COMPUTED_VALUE"""),40148.0)</f>
        <v>40148</v>
      </c>
      <c r="J1930" s="8">
        <f>IFERROR(__xludf.DUMMYFUNCTION("""COMPUTED_VALUE"""),0.6027777777781012)</f>
        <v>0.6027777778</v>
      </c>
      <c r="K1930" s="2">
        <f>IFERROR(__xludf.DUMMYFUNCTION("""COMPUTED_VALUE"""),14.0)</f>
        <v>14</v>
      </c>
      <c r="L1930" s="2">
        <f>IFERROR(__xludf.DUMMYFUNCTION("""COMPUTED_VALUE"""),9.12)</f>
        <v>9.12</v>
      </c>
    </row>
    <row r="1931">
      <c r="A1931" s="2">
        <f>IFERROR(__xludf.DUMMYFUNCTION("""COMPUTED_VALUE"""),489597.0)</f>
        <v>489597</v>
      </c>
      <c r="B1931" s="2" t="str">
        <f>IFERROR(__xludf.DUMMYFUNCTION("""COMPUTED_VALUE"""),"21212")</f>
        <v>21212</v>
      </c>
      <c r="C1931" s="2" t="str">
        <f>IFERROR(__xludf.DUMMYFUNCTION("""COMPUTED_VALUE"""),"PACK OF 72 RETRO SPOT CAKE CASES")</f>
        <v>PACK OF 72 RETRO SPOT CAKE CASES</v>
      </c>
      <c r="D1931" s="2">
        <f>IFERROR(__xludf.DUMMYFUNCTION("""COMPUTED_VALUE"""),18.0)</f>
        <v>18</v>
      </c>
      <c r="E1931" s="6">
        <f>IFERROR(__xludf.DUMMYFUNCTION("""COMPUTED_VALUE"""),40148.60277777778)</f>
        <v>40148.60278</v>
      </c>
      <c r="F1931" s="2">
        <f>IFERROR(__xludf.DUMMYFUNCTION("""COMPUTED_VALUE"""),1.3)</f>
        <v>1.3</v>
      </c>
      <c r="G1931" s="2"/>
      <c r="H1931" s="2" t="str">
        <f>IFERROR(__xludf.DUMMYFUNCTION("""COMPUTED_VALUE"""),"United Kingdom")</f>
        <v>United Kingdom</v>
      </c>
      <c r="I1931" s="7">
        <f>IFERROR(__xludf.DUMMYFUNCTION("""COMPUTED_VALUE"""),40148.0)</f>
        <v>40148</v>
      </c>
      <c r="J1931" s="8">
        <f>IFERROR(__xludf.DUMMYFUNCTION("""COMPUTED_VALUE"""),0.6027777777781012)</f>
        <v>0.6027777778</v>
      </c>
      <c r="K1931" s="2">
        <f>IFERROR(__xludf.DUMMYFUNCTION("""COMPUTED_VALUE"""),14.0)</f>
        <v>14</v>
      </c>
      <c r="L1931" s="2">
        <f>IFERROR(__xludf.DUMMYFUNCTION("""COMPUTED_VALUE"""),23.4)</f>
        <v>23.4</v>
      </c>
    </row>
    <row r="1932">
      <c r="A1932" s="2">
        <f>IFERROR(__xludf.DUMMYFUNCTION("""COMPUTED_VALUE"""),489597.0)</f>
        <v>489597</v>
      </c>
      <c r="B1932" s="2" t="str">
        <f>IFERROR(__xludf.DUMMYFUNCTION("""COMPUTED_VALUE"""),"21213")</f>
        <v>21213</v>
      </c>
      <c r="C1932" s="2" t="str">
        <f>IFERROR(__xludf.DUMMYFUNCTION("""COMPUTED_VALUE"""),"PACK OF 72 SKULL CAKE CASES")</f>
        <v>PACK OF 72 SKULL CAKE CASES</v>
      </c>
      <c r="D1932" s="2">
        <f>IFERROR(__xludf.DUMMYFUNCTION("""COMPUTED_VALUE"""),1.0)</f>
        <v>1</v>
      </c>
      <c r="E1932" s="6">
        <f>IFERROR(__xludf.DUMMYFUNCTION("""COMPUTED_VALUE"""),40148.60277777778)</f>
        <v>40148.60278</v>
      </c>
      <c r="F1932" s="2">
        <f>IFERROR(__xludf.DUMMYFUNCTION("""COMPUTED_VALUE"""),1.3)</f>
        <v>1.3</v>
      </c>
      <c r="G1932" s="2"/>
      <c r="H1932" s="2" t="str">
        <f>IFERROR(__xludf.DUMMYFUNCTION("""COMPUTED_VALUE"""),"United Kingdom")</f>
        <v>United Kingdom</v>
      </c>
      <c r="I1932" s="7">
        <f>IFERROR(__xludf.DUMMYFUNCTION("""COMPUTED_VALUE"""),40148.0)</f>
        <v>40148</v>
      </c>
      <c r="J1932" s="8">
        <f>IFERROR(__xludf.DUMMYFUNCTION("""COMPUTED_VALUE"""),0.6027777777781012)</f>
        <v>0.6027777778</v>
      </c>
      <c r="K1932" s="2">
        <f>IFERROR(__xludf.DUMMYFUNCTION("""COMPUTED_VALUE"""),14.0)</f>
        <v>14</v>
      </c>
      <c r="L1932" s="2">
        <f>IFERROR(__xludf.DUMMYFUNCTION("""COMPUTED_VALUE"""),1.3)</f>
        <v>1.3</v>
      </c>
    </row>
    <row r="1933">
      <c r="A1933" s="2">
        <f>IFERROR(__xludf.DUMMYFUNCTION("""COMPUTED_VALUE"""),489597.0)</f>
        <v>489597</v>
      </c>
      <c r="B1933" s="2" t="str">
        <f>IFERROR(__xludf.DUMMYFUNCTION("""COMPUTED_VALUE"""),"21218")</f>
        <v>21218</v>
      </c>
      <c r="C1933" s="2" t="str">
        <f>IFERROR(__xludf.DUMMYFUNCTION("""COMPUTED_VALUE"""),"RED SPOTTY BISCUIT TIN")</f>
        <v>RED SPOTTY BISCUIT TIN</v>
      </c>
      <c r="D1933" s="2">
        <f>IFERROR(__xludf.DUMMYFUNCTION("""COMPUTED_VALUE"""),1.0)</f>
        <v>1</v>
      </c>
      <c r="E1933" s="6">
        <f>IFERROR(__xludf.DUMMYFUNCTION("""COMPUTED_VALUE"""),40148.60277777778)</f>
        <v>40148.60278</v>
      </c>
      <c r="F1933" s="2">
        <f>IFERROR(__xludf.DUMMYFUNCTION("""COMPUTED_VALUE"""),8.65)</f>
        <v>8.65</v>
      </c>
      <c r="G1933" s="2"/>
      <c r="H1933" s="2" t="str">
        <f>IFERROR(__xludf.DUMMYFUNCTION("""COMPUTED_VALUE"""),"United Kingdom")</f>
        <v>United Kingdom</v>
      </c>
      <c r="I1933" s="7">
        <f>IFERROR(__xludf.DUMMYFUNCTION("""COMPUTED_VALUE"""),40148.0)</f>
        <v>40148</v>
      </c>
      <c r="J1933" s="8">
        <f>IFERROR(__xludf.DUMMYFUNCTION("""COMPUTED_VALUE"""),0.6027777777781012)</f>
        <v>0.6027777778</v>
      </c>
      <c r="K1933" s="2">
        <f>IFERROR(__xludf.DUMMYFUNCTION("""COMPUTED_VALUE"""),14.0)</f>
        <v>14</v>
      </c>
      <c r="L1933" s="2">
        <f>IFERROR(__xludf.DUMMYFUNCTION("""COMPUTED_VALUE"""),8.65)</f>
        <v>8.65</v>
      </c>
    </row>
    <row r="1934">
      <c r="A1934" s="2">
        <f>IFERROR(__xludf.DUMMYFUNCTION("""COMPUTED_VALUE"""),489597.0)</f>
        <v>489597</v>
      </c>
      <c r="B1934" s="2" t="str">
        <f>IFERROR(__xludf.DUMMYFUNCTION("""COMPUTED_VALUE"""),"21231")</f>
        <v>21231</v>
      </c>
      <c r="C1934" s="2" t="str">
        <f>IFERROR(__xludf.DUMMYFUNCTION("""COMPUTED_VALUE"""),"SWEETHEART CERAMIC TRINKET BOX")</f>
        <v>SWEETHEART CERAMIC TRINKET BOX</v>
      </c>
      <c r="D1934" s="2">
        <f>IFERROR(__xludf.DUMMYFUNCTION("""COMPUTED_VALUE"""),13.0)</f>
        <v>13</v>
      </c>
      <c r="E1934" s="6">
        <f>IFERROR(__xludf.DUMMYFUNCTION("""COMPUTED_VALUE"""),40148.60277777778)</f>
        <v>40148.60278</v>
      </c>
      <c r="F1934" s="2">
        <f>IFERROR(__xludf.DUMMYFUNCTION("""COMPUTED_VALUE"""),2.57)</f>
        <v>2.57</v>
      </c>
      <c r="G1934" s="2"/>
      <c r="H1934" s="2" t="str">
        <f>IFERROR(__xludf.DUMMYFUNCTION("""COMPUTED_VALUE"""),"United Kingdom")</f>
        <v>United Kingdom</v>
      </c>
      <c r="I1934" s="7">
        <f>IFERROR(__xludf.DUMMYFUNCTION("""COMPUTED_VALUE"""),40148.0)</f>
        <v>40148</v>
      </c>
      <c r="J1934" s="8">
        <f>IFERROR(__xludf.DUMMYFUNCTION("""COMPUTED_VALUE"""),0.6027777777781012)</f>
        <v>0.6027777778</v>
      </c>
      <c r="K1934" s="2">
        <f>IFERROR(__xludf.DUMMYFUNCTION("""COMPUTED_VALUE"""),14.0)</f>
        <v>14</v>
      </c>
      <c r="L1934" s="2">
        <f>IFERROR(__xludf.DUMMYFUNCTION("""COMPUTED_VALUE"""),33.41)</f>
        <v>33.41</v>
      </c>
    </row>
    <row r="1935">
      <c r="A1935" s="2">
        <f>IFERROR(__xludf.DUMMYFUNCTION("""COMPUTED_VALUE"""),489597.0)</f>
        <v>489597</v>
      </c>
      <c r="B1935" s="2" t="str">
        <f>IFERROR(__xludf.DUMMYFUNCTION("""COMPUTED_VALUE"""),"21232")</f>
        <v>21232</v>
      </c>
      <c r="C1935" s="2" t="str">
        <f>IFERROR(__xludf.DUMMYFUNCTION("""COMPUTED_VALUE"""),"STRAWBERRY CERAMIC TRINKET BOX")</f>
        <v>STRAWBERRY CERAMIC TRINKET BOX</v>
      </c>
      <c r="D1935" s="2">
        <f>IFERROR(__xludf.DUMMYFUNCTION("""COMPUTED_VALUE"""),12.0)</f>
        <v>12</v>
      </c>
      <c r="E1935" s="6">
        <f>IFERROR(__xludf.DUMMYFUNCTION("""COMPUTED_VALUE"""),40148.60277777778)</f>
        <v>40148.60278</v>
      </c>
      <c r="F1935" s="2">
        <f>IFERROR(__xludf.DUMMYFUNCTION("""COMPUTED_VALUE"""),2.57)</f>
        <v>2.57</v>
      </c>
      <c r="G1935" s="2"/>
      <c r="H1935" s="2" t="str">
        <f>IFERROR(__xludf.DUMMYFUNCTION("""COMPUTED_VALUE"""),"United Kingdom")</f>
        <v>United Kingdom</v>
      </c>
      <c r="I1935" s="7">
        <f>IFERROR(__xludf.DUMMYFUNCTION("""COMPUTED_VALUE"""),40148.0)</f>
        <v>40148</v>
      </c>
      <c r="J1935" s="8">
        <f>IFERROR(__xludf.DUMMYFUNCTION("""COMPUTED_VALUE"""),0.6027777777781012)</f>
        <v>0.6027777778</v>
      </c>
      <c r="K1935" s="2">
        <f>IFERROR(__xludf.DUMMYFUNCTION("""COMPUTED_VALUE"""),14.0)</f>
        <v>14</v>
      </c>
      <c r="L1935" s="2">
        <f>IFERROR(__xludf.DUMMYFUNCTION("""COMPUTED_VALUE"""),30.8399999999999)</f>
        <v>30.84</v>
      </c>
    </row>
    <row r="1936">
      <c r="A1936" s="2">
        <f>IFERROR(__xludf.DUMMYFUNCTION("""COMPUTED_VALUE"""),489597.0)</f>
        <v>489597</v>
      </c>
      <c r="B1936" s="2" t="str">
        <f>IFERROR(__xludf.DUMMYFUNCTION("""COMPUTED_VALUE"""),"21242")</f>
        <v>21242</v>
      </c>
      <c r="C1936" s="2" t="str">
        <f>IFERROR(__xludf.DUMMYFUNCTION("""COMPUTED_VALUE"""),"RED SPOTTY PLATE")</f>
        <v>RED SPOTTY PLATE</v>
      </c>
      <c r="D1936" s="2">
        <f>IFERROR(__xludf.DUMMYFUNCTION("""COMPUTED_VALUE"""),6.0)</f>
        <v>6</v>
      </c>
      <c r="E1936" s="6">
        <f>IFERROR(__xludf.DUMMYFUNCTION("""COMPUTED_VALUE"""),40148.60277777778)</f>
        <v>40148.60278</v>
      </c>
      <c r="F1936" s="2">
        <f>IFERROR(__xludf.DUMMYFUNCTION("""COMPUTED_VALUE"""),3.43)</f>
        <v>3.43</v>
      </c>
      <c r="G1936" s="2"/>
      <c r="H1936" s="2" t="str">
        <f>IFERROR(__xludf.DUMMYFUNCTION("""COMPUTED_VALUE"""),"United Kingdom")</f>
        <v>United Kingdom</v>
      </c>
      <c r="I1936" s="7">
        <f>IFERROR(__xludf.DUMMYFUNCTION("""COMPUTED_VALUE"""),40148.0)</f>
        <v>40148</v>
      </c>
      <c r="J1936" s="8">
        <f>IFERROR(__xludf.DUMMYFUNCTION("""COMPUTED_VALUE"""),0.6027777777781012)</f>
        <v>0.6027777778</v>
      </c>
      <c r="K1936" s="2">
        <f>IFERROR(__xludf.DUMMYFUNCTION("""COMPUTED_VALUE"""),14.0)</f>
        <v>14</v>
      </c>
      <c r="L1936" s="2">
        <f>IFERROR(__xludf.DUMMYFUNCTION("""COMPUTED_VALUE"""),20.58)</f>
        <v>20.58</v>
      </c>
    </row>
    <row r="1937">
      <c r="A1937" s="2">
        <f>IFERROR(__xludf.DUMMYFUNCTION("""COMPUTED_VALUE"""),489597.0)</f>
        <v>489597</v>
      </c>
      <c r="B1937" s="2" t="str">
        <f>IFERROR(__xludf.DUMMYFUNCTION("""COMPUTED_VALUE"""),"21249")</f>
        <v>21249</v>
      </c>
      <c r="C1937" s="2" t="str">
        <f>IFERROR(__xludf.DUMMYFUNCTION("""COMPUTED_VALUE"""),"WOODLAND HEIGHT CHART STICKERS")</f>
        <v>WOODLAND HEIGHT CHART STICKERS</v>
      </c>
      <c r="D1937" s="2">
        <f>IFERROR(__xludf.DUMMYFUNCTION("""COMPUTED_VALUE"""),2.0)</f>
        <v>2</v>
      </c>
      <c r="E1937" s="6">
        <f>IFERROR(__xludf.DUMMYFUNCTION("""COMPUTED_VALUE"""),40148.60277777778)</f>
        <v>40148.60278</v>
      </c>
      <c r="F1937" s="2">
        <f>IFERROR(__xludf.DUMMYFUNCTION("""COMPUTED_VALUE"""),6.04)</f>
        <v>6.04</v>
      </c>
      <c r="G1937" s="2"/>
      <c r="H1937" s="2" t="str">
        <f>IFERROR(__xludf.DUMMYFUNCTION("""COMPUTED_VALUE"""),"United Kingdom")</f>
        <v>United Kingdom</v>
      </c>
      <c r="I1937" s="7">
        <f>IFERROR(__xludf.DUMMYFUNCTION("""COMPUTED_VALUE"""),40148.0)</f>
        <v>40148</v>
      </c>
      <c r="J1937" s="8">
        <f>IFERROR(__xludf.DUMMYFUNCTION("""COMPUTED_VALUE"""),0.6027777777781012)</f>
        <v>0.6027777778</v>
      </c>
      <c r="K1937" s="2">
        <f>IFERROR(__xludf.DUMMYFUNCTION("""COMPUTED_VALUE"""),14.0)</f>
        <v>14</v>
      </c>
      <c r="L1937" s="2">
        <f>IFERROR(__xludf.DUMMYFUNCTION("""COMPUTED_VALUE"""),12.08)</f>
        <v>12.08</v>
      </c>
    </row>
    <row r="1938">
      <c r="A1938" s="2">
        <f>IFERROR(__xludf.DUMMYFUNCTION("""COMPUTED_VALUE"""),489597.0)</f>
        <v>489597</v>
      </c>
      <c r="B1938" s="2" t="str">
        <f>IFERROR(__xludf.DUMMYFUNCTION("""COMPUTED_VALUE"""),"21251")</f>
        <v>21251</v>
      </c>
      <c r="C1938" s="2" t="str">
        <f>IFERROR(__xludf.DUMMYFUNCTION("""COMPUTED_VALUE"""),"DINOSAUR HEIGHT CHART STICKER SET")</f>
        <v>DINOSAUR HEIGHT CHART STICKER SET</v>
      </c>
      <c r="D1938" s="2">
        <f>IFERROR(__xludf.DUMMYFUNCTION("""COMPUTED_VALUE"""),2.0)</f>
        <v>2</v>
      </c>
      <c r="E1938" s="6">
        <f>IFERROR(__xludf.DUMMYFUNCTION("""COMPUTED_VALUE"""),40148.60277777778)</f>
        <v>40148.60278</v>
      </c>
      <c r="F1938" s="2">
        <f>IFERROR(__xludf.DUMMYFUNCTION("""COMPUTED_VALUE"""),6.04)</f>
        <v>6.04</v>
      </c>
      <c r="G1938" s="2"/>
      <c r="H1938" s="2" t="str">
        <f>IFERROR(__xludf.DUMMYFUNCTION("""COMPUTED_VALUE"""),"United Kingdom")</f>
        <v>United Kingdom</v>
      </c>
      <c r="I1938" s="7">
        <f>IFERROR(__xludf.DUMMYFUNCTION("""COMPUTED_VALUE"""),40148.0)</f>
        <v>40148</v>
      </c>
      <c r="J1938" s="8">
        <f>IFERROR(__xludf.DUMMYFUNCTION("""COMPUTED_VALUE"""),0.6027777777781012)</f>
        <v>0.6027777778</v>
      </c>
      <c r="K1938" s="2">
        <f>IFERROR(__xludf.DUMMYFUNCTION("""COMPUTED_VALUE"""),14.0)</f>
        <v>14</v>
      </c>
      <c r="L1938" s="2">
        <f>IFERROR(__xludf.DUMMYFUNCTION("""COMPUTED_VALUE"""),12.08)</f>
        <v>12.08</v>
      </c>
    </row>
    <row r="1939">
      <c r="A1939" s="2">
        <f>IFERROR(__xludf.DUMMYFUNCTION("""COMPUTED_VALUE"""),489597.0)</f>
        <v>489597</v>
      </c>
      <c r="B1939" s="2" t="str">
        <f>IFERROR(__xludf.DUMMYFUNCTION("""COMPUTED_VALUE"""),"21255")</f>
        <v>21255</v>
      </c>
      <c r="C1939" s="2" t="str">
        <f>IFERROR(__xludf.DUMMYFUNCTION("""COMPUTED_VALUE"""),"FRENCH BOTTLE , LAVENDER")</f>
        <v>FRENCH BOTTLE , LAVENDER</v>
      </c>
      <c r="D1939" s="2">
        <f>IFERROR(__xludf.DUMMYFUNCTION("""COMPUTED_VALUE"""),1.0)</f>
        <v>1</v>
      </c>
      <c r="E1939" s="6">
        <f>IFERROR(__xludf.DUMMYFUNCTION("""COMPUTED_VALUE"""),40148.60277777778)</f>
        <v>40148.60278</v>
      </c>
      <c r="F1939" s="2">
        <f>IFERROR(__xludf.DUMMYFUNCTION("""COMPUTED_VALUE"""),3.43)</f>
        <v>3.43</v>
      </c>
      <c r="G1939" s="2"/>
      <c r="H1939" s="2" t="str">
        <f>IFERROR(__xludf.DUMMYFUNCTION("""COMPUTED_VALUE"""),"United Kingdom")</f>
        <v>United Kingdom</v>
      </c>
      <c r="I1939" s="7">
        <f>IFERROR(__xludf.DUMMYFUNCTION("""COMPUTED_VALUE"""),40148.0)</f>
        <v>40148</v>
      </c>
      <c r="J1939" s="8">
        <f>IFERROR(__xludf.DUMMYFUNCTION("""COMPUTED_VALUE"""),0.6027777777781012)</f>
        <v>0.6027777778</v>
      </c>
      <c r="K1939" s="2">
        <f>IFERROR(__xludf.DUMMYFUNCTION("""COMPUTED_VALUE"""),14.0)</f>
        <v>14</v>
      </c>
      <c r="L1939" s="2">
        <f>IFERROR(__xludf.DUMMYFUNCTION("""COMPUTED_VALUE"""),3.43)</f>
        <v>3.43</v>
      </c>
    </row>
    <row r="1940">
      <c r="A1940" s="2">
        <f>IFERROR(__xludf.DUMMYFUNCTION("""COMPUTED_VALUE"""),489597.0)</f>
        <v>489597</v>
      </c>
      <c r="B1940" s="2" t="str">
        <f>IFERROR(__xludf.DUMMYFUNCTION("""COMPUTED_VALUE"""),"21256")</f>
        <v>21256</v>
      </c>
      <c r="C1940" s="2" t="str">
        <f>IFERROR(__xludf.DUMMYFUNCTION("""COMPUTED_VALUE"""),"FRENCH BOTTLE, BRASSERIE DES ARTIST")</f>
        <v>FRENCH BOTTLE, BRASSERIE DES ARTIST</v>
      </c>
      <c r="D1940" s="2">
        <f>IFERROR(__xludf.DUMMYFUNCTION("""COMPUTED_VALUE"""),2.0)</f>
        <v>2</v>
      </c>
      <c r="E1940" s="6">
        <f>IFERROR(__xludf.DUMMYFUNCTION("""COMPUTED_VALUE"""),40148.60277777778)</f>
        <v>40148.60278</v>
      </c>
      <c r="F1940" s="2">
        <f>IFERROR(__xludf.DUMMYFUNCTION("""COMPUTED_VALUE"""),3.43)</f>
        <v>3.43</v>
      </c>
      <c r="G1940" s="2"/>
      <c r="H1940" s="2" t="str">
        <f>IFERROR(__xludf.DUMMYFUNCTION("""COMPUTED_VALUE"""),"United Kingdom")</f>
        <v>United Kingdom</v>
      </c>
      <c r="I1940" s="7">
        <f>IFERROR(__xludf.DUMMYFUNCTION("""COMPUTED_VALUE"""),40148.0)</f>
        <v>40148</v>
      </c>
      <c r="J1940" s="8">
        <f>IFERROR(__xludf.DUMMYFUNCTION("""COMPUTED_VALUE"""),0.6027777777781012)</f>
        <v>0.6027777778</v>
      </c>
      <c r="K1940" s="2">
        <f>IFERROR(__xludf.DUMMYFUNCTION("""COMPUTED_VALUE"""),14.0)</f>
        <v>14</v>
      </c>
      <c r="L1940" s="2">
        <f>IFERROR(__xludf.DUMMYFUNCTION("""COMPUTED_VALUE"""),6.86)</f>
        <v>6.86</v>
      </c>
    </row>
    <row r="1941">
      <c r="A1941" s="2">
        <f>IFERROR(__xludf.DUMMYFUNCTION("""COMPUTED_VALUE"""),489597.0)</f>
        <v>489597</v>
      </c>
      <c r="B1941" s="2" t="str">
        <f>IFERROR(__xludf.DUMMYFUNCTION("""COMPUTED_VALUE"""),"21259")</f>
        <v>21259</v>
      </c>
      <c r="C1941" s="2" t="str">
        <f>IFERROR(__xludf.DUMMYFUNCTION("""COMPUTED_VALUE"""),"VICTORIAN SEWING BOX SMALL")</f>
        <v>VICTORIAN SEWING BOX SMALL</v>
      </c>
      <c r="D1941" s="2">
        <f>IFERROR(__xludf.DUMMYFUNCTION("""COMPUTED_VALUE"""),1.0)</f>
        <v>1</v>
      </c>
      <c r="E1941" s="6">
        <f>IFERROR(__xludf.DUMMYFUNCTION("""COMPUTED_VALUE"""),40148.60277777778)</f>
        <v>40148.60278</v>
      </c>
      <c r="F1941" s="2">
        <f>IFERROR(__xludf.DUMMYFUNCTION("""COMPUTED_VALUE"""),13.0)</f>
        <v>13</v>
      </c>
      <c r="G1941" s="2"/>
      <c r="H1941" s="2" t="str">
        <f>IFERROR(__xludf.DUMMYFUNCTION("""COMPUTED_VALUE"""),"United Kingdom")</f>
        <v>United Kingdom</v>
      </c>
      <c r="I1941" s="7">
        <f>IFERROR(__xludf.DUMMYFUNCTION("""COMPUTED_VALUE"""),40148.0)</f>
        <v>40148</v>
      </c>
      <c r="J1941" s="8">
        <f>IFERROR(__xludf.DUMMYFUNCTION("""COMPUTED_VALUE"""),0.6027777777781012)</f>
        <v>0.6027777778</v>
      </c>
      <c r="K1941" s="2">
        <f>IFERROR(__xludf.DUMMYFUNCTION("""COMPUTED_VALUE"""),14.0)</f>
        <v>14</v>
      </c>
      <c r="L1941" s="2">
        <f>IFERROR(__xludf.DUMMYFUNCTION("""COMPUTED_VALUE"""),13.0)</f>
        <v>13</v>
      </c>
    </row>
    <row r="1942">
      <c r="A1942" s="2">
        <f>IFERROR(__xludf.DUMMYFUNCTION("""COMPUTED_VALUE"""),489597.0)</f>
        <v>489597</v>
      </c>
      <c r="B1942" s="2" t="str">
        <f>IFERROR(__xludf.DUMMYFUNCTION("""COMPUTED_VALUE"""),"21266")</f>
        <v>21266</v>
      </c>
      <c r="C1942" s="2" t="str">
        <f>IFERROR(__xludf.DUMMYFUNCTION("""COMPUTED_VALUE"""),"VINTAGE SILVER TINSEL REEL")</f>
        <v>VINTAGE SILVER TINSEL REEL</v>
      </c>
      <c r="D1942" s="2">
        <f>IFERROR(__xludf.DUMMYFUNCTION("""COMPUTED_VALUE"""),1.0)</f>
        <v>1</v>
      </c>
      <c r="E1942" s="6">
        <f>IFERROR(__xludf.DUMMYFUNCTION("""COMPUTED_VALUE"""),40148.60277777778)</f>
        <v>40148.60278</v>
      </c>
      <c r="F1942" s="2">
        <f>IFERROR(__xludf.DUMMYFUNCTION("""COMPUTED_VALUE"""),4.3)</f>
        <v>4.3</v>
      </c>
      <c r="G1942" s="2"/>
      <c r="H1942" s="2" t="str">
        <f>IFERROR(__xludf.DUMMYFUNCTION("""COMPUTED_VALUE"""),"United Kingdom")</f>
        <v>United Kingdom</v>
      </c>
      <c r="I1942" s="7">
        <f>IFERROR(__xludf.DUMMYFUNCTION("""COMPUTED_VALUE"""),40148.0)</f>
        <v>40148</v>
      </c>
      <c r="J1942" s="8">
        <f>IFERROR(__xludf.DUMMYFUNCTION("""COMPUTED_VALUE"""),0.6027777777781012)</f>
        <v>0.6027777778</v>
      </c>
      <c r="K1942" s="2">
        <f>IFERROR(__xludf.DUMMYFUNCTION("""COMPUTED_VALUE"""),14.0)</f>
        <v>14</v>
      </c>
      <c r="L1942" s="2">
        <f>IFERROR(__xludf.DUMMYFUNCTION("""COMPUTED_VALUE"""),4.3)</f>
        <v>4.3</v>
      </c>
    </row>
    <row r="1943">
      <c r="A1943" s="2">
        <f>IFERROR(__xludf.DUMMYFUNCTION("""COMPUTED_VALUE"""),489597.0)</f>
        <v>489597</v>
      </c>
      <c r="B1943" s="2" t="str">
        <f>IFERROR(__xludf.DUMMYFUNCTION("""COMPUTED_VALUE"""),"21283")</f>
        <v>21283</v>
      </c>
      <c r="C1943" s="2" t="str">
        <f>IFERROR(__xludf.DUMMYFUNCTION("""COMPUTED_VALUE"""),"NATURAL BARK CANDLE SMALL")</f>
        <v>NATURAL BARK CANDLE SMALL</v>
      </c>
      <c r="D1943" s="2">
        <f>IFERROR(__xludf.DUMMYFUNCTION("""COMPUTED_VALUE"""),1.0)</f>
        <v>1</v>
      </c>
      <c r="E1943" s="6">
        <f>IFERROR(__xludf.DUMMYFUNCTION("""COMPUTED_VALUE"""),40148.60277777778)</f>
        <v>40148.60278</v>
      </c>
      <c r="F1943" s="2">
        <f>IFERROR(__xludf.DUMMYFUNCTION("""COMPUTED_VALUE"""),6.91)</f>
        <v>6.91</v>
      </c>
      <c r="G1943" s="2"/>
      <c r="H1943" s="2" t="str">
        <f>IFERROR(__xludf.DUMMYFUNCTION("""COMPUTED_VALUE"""),"United Kingdom")</f>
        <v>United Kingdom</v>
      </c>
      <c r="I1943" s="7">
        <f>IFERROR(__xludf.DUMMYFUNCTION("""COMPUTED_VALUE"""),40148.0)</f>
        <v>40148</v>
      </c>
      <c r="J1943" s="8">
        <f>IFERROR(__xludf.DUMMYFUNCTION("""COMPUTED_VALUE"""),0.6027777777781012)</f>
        <v>0.6027777778</v>
      </c>
      <c r="K1943" s="2">
        <f>IFERROR(__xludf.DUMMYFUNCTION("""COMPUTED_VALUE"""),14.0)</f>
        <v>14</v>
      </c>
      <c r="L1943" s="2">
        <f>IFERROR(__xludf.DUMMYFUNCTION("""COMPUTED_VALUE"""),6.91)</f>
        <v>6.91</v>
      </c>
    </row>
    <row r="1944">
      <c r="A1944" s="2">
        <f>IFERROR(__xludf.DUMMYFUNCTION("""COMPUTED_VALUE"""),489597.0)</f>
        <v>489597</v>
      </c>
      <c r="B1944" s="2" t="str">
        <f>IFERROR(__xludf.DUMMYFUNCTION("""COMPUTED_VALUE"""),"21284")</f>
        <v>21284</v>
      </c>
      <c r="C1944" s="2" t="str">
        <f>IFERROR(__xludf.DUMMYFUNCTION("""COMPUTED_VALUE"""),"RETRO SPOT CANDLE SMALL")</f>
        <v>RETRO SPOT CANDLE SMALL</v>
      </c>
      <c r="D1944" s="2">
        <f>IFERROR(__xludf.DUMMYFUNCTION("""COMPUTED_VALUE"""),1.0)</f>
        <v>1</v>
      </c>
      <c r="E1944" s="6">
        <f>IFERROR(__xludf.DUMMYFUNCTION("""COMPUTED_VALUE"""),40148.60277777778)</f>
        <v>40148.60278</v>
      </c>
      <c r="F1944" s="2">
        <f>IFERROR(__xludf.DUMMYFUNCTION("""COMPUTED_VALUE"""),3.43)</f>
        <v>3.43</v>
      </c>
      <c r="G1944" s="2"/>
      <c r="H1944" s="2" t="str">
        <f>IFERROR(__xludf.DUMMYFUNCTION("""COMPUTED_VALUE"""),"United Kingdom")</f>
        <v>United Kingdom</v>
      </c>
      <c r="I1944" s="7">
        <f>IFERROR(__xludf.DUMMYFUNCTION("""COMPUTED_VALUE"""),40148.0)</f>
        <v>40148</v>
      </c>
      <c r="J1944" s="8">
        <f>IFERROR(__xludf.DUMMYFUNCTION("""COMPUTED_VALUE"""),0.6027777777781012)</f>
        <v>0.6027777778</v>
      </c>
      <c r="K1944" s="2">
        <f>IFERROR(__xludf.DUMMYFUNCTION("""COMPUTED_VALUE"""),14.0)</f>
        <v>14</v>
      </c>
      <c r="L1944" s="2">
        <f>IFERROR(__xludf.DUMMYFUNCTION("""COMPUTED_VALUE"""),3.43)</f>
        <v>3.43</v>
      </c>
    </row>
    <row r="1945">
      <c r="A1945" s="2">
        <f>IFERROR(__xludf.DUMMYFUNCTION("""COMPUTED_VALUE"""),489597.0)</f>
        <v>489597</v>
      </c>
      <c r="B1945" s="2" t="str">
        <f>IFERROR(__xludf.DUMMYFUNCTION("""COMPUTED_VALUE"""),"21291")</f>
        <v>21291</v>
      </c>
      <c r="C1945" s="2" t="str">
        <f>IFERROR(__xludf.DUMMYFUNCTION("""COMPUTED_VALUE"""),"SMALL SPOTTY CHOCOLATE GIFT BAG")</f>
        <v>SMALL SPOTTY CHOCOLATE GIFT BAG</v>
      </c>
      <c r="D1945" s="2">
        <f>IFERROR(__xludf.DUMMYFUNCTION("""COMPUTED_VALUE"""),3.0)</f>
        <v>3</v>
      </c>
      <c r="E1945" s="6">
        <f>IFERROR(__xludf.DUMMYFUNCTION("""COMPUTED_VALUE"""),40148.60277777778)</f>
        <v>40148.60278</v>
      </c>
      <c r="F1945" s="2">
        <f>IFERROR(__xludf.DUMMYFUNCTION("""COMPUTED_VALUE"""),1.7)</f>
        <v>1.7</v>
      </c>
      <c r="G1945" s="2"/>
      <c r="H1945" s="2" t="str">
        <f>IFERROR(__xludf.DUMMYFUNCTION("""COMPUTED_VALUE"""),"United Kingdom")</f>
        <v>United Kingdom</v>
      </c>
      <c r="I1945" s="7">
        <f>IFERROR(__xludf.DUMMYFUNCTION("""COMPUTED_VALUE"""),40148.0)</f>
        <v>40148</v>
      </c>
      <c r="J1945" s="8">
        <f>IFERROR(__xludf.DUMMYFUNCTION("""COMPUTED_VALUE"""),0.6027777777781012)</f>
        <v>0.6027777778</v>
      </c>
      <c r="K1945" s="2">
        <f>IFERROR(__xludf.DUMMYFUNCTION("""COMPUTED_VALUE"""),14.0)</f>
        <v>14</v>
      </c>
      <c r="L1945" s="2">
        <f>IFERROR(__xludf.DUMMYFUNCTION("""COMPUTED_VALUE"""),5.1)</f>
        <v>5.1</v>
      </c>
    </row>
    <row r="1946">
      <c r="A1946" s="2">
        <f>IFERROR(__xludf.DUMMYFUNCTION("""COMPUTED_VALUE"""),489597.0)</f>
        <v>489597</v>
      </c>
      <c r="B1946" s="2" t="str">
        <f>IFERROR(__xludf.DUMMYFUNCTION("""COMPUTED_VALUE"""),"21314")</f>
        <v>21314</v>
      </c>
      <c r="C1946" s="2" t="str">
        <f>IFERROR(__xludf.DUMMYFUNCTION("""COMPUTED_VALUE"""),"SMALL GLASS HEART TRINKET POT")</f>
        <v>SMALL GLASS HEART TRINKET POT</v>
      </c>
      <c r="D1946" s="2">
        <f>IFERROR(__xludf.DUMMYFUNCTION("""COMPUTED_VALUE"""),4.0)</f>
        <v>4</v>
      </c>
      <c r="E1946" s="6">
        <f>IFERROR(__xludf.DUMMYFUNCTION("""COMPUTED_VALUE"""),40148.60277777778)</f>
        <v>40148.60278</v>
      </c>
      <c r="F1946" s="2">
        <f>IFERROR(__xludf.DUMMYFUNCTION("""COMPUTED_VALUE"""),4.3)</f>
        <v>4.3</v>
      </c>
      <c r="G1946" s="2"/>
      <c r="H1946" s="2" t="str">
        <f>IFERROR(__xludf.DUMMYFUNCTION("""COMPUTED_VALUE"""),"United Kingdom")</f>
        <v>United Kingdom</v>
      </c>
      <c r="I1946" s="7">
        <f>IFERROR(__xludf.DUMMYFUNCTION("""COMPUTED_VALUE"""),40148.0)</f>
        <v>40148</v>
      </c>
      <c r="J1946" s="8">
        <f>IFERROR(__xludf.DUMMYFUNCTION("""COMPUTED_VALUE"""),0.6027777777781012)</f>
        <v>0.6027777778</v>
      </c>
      <c r="K1946" s="2">
        <f>IFERROR(__xludf.DUMMYFUNCTION("""COMPUTED_VALUE"""),14.0)</f>
        <v>14</v>
      </c>
      <c r="L1946" s="2">
        <f>IFERROR(__xludf.DUMMYFUNCTION("""COMPUTED_VALUE"""),17.2)</f>
        <v>17.2</v>
      </c>
    </row>
    <row r="1947">
      <c r="A1947" s="2">
        <f>IFERROR(__xludf.DUMMYFUNCTION("""COMPUTED_VALUE"""),489597.0)</f>
        <v>489597</v>
      </c>
      <c r="B1947" s="2" t="str">
        <f>IFERROR(__xludf.DUMMYFUNCTION("""COMPUTED_VALUE"""),"21328")</f>
        <v>21328</v>
      </c>
      <c r="C1947" s="2" t="str">
        <f>IFERROR(__xludf.DUMMYFUNCTION("""COMPUTED_VALUE"""),"BALLOONS WRITING SET")</f>
        <v>BALLOONS WRITING SET</v>
      </c>
      <c r="D1947" s="2">
        <f>IFERROR(__xludf.DUMMYFUNCTION("""COMPUTED_VALUE"""),1.0)</f>
        <v>1</v>
      </c>
      <c r="E1947" s="6">
        <f>IFERROR(__xludf.DUMMYFUNCTION("""COMPUTED_VALUE"""),40148.60277777778)</f>
        <v>40148.60278</v>
      </c>
      <c r="F1947" s="2">
        <f>IFERROR(__xludf.DUMMYFUNCTION("""COMPUTED_VALUE"""),3.43)</f>
        <v>3.43</v>
      </c>
      <c r="G1947" s="2"/>
      <c r="H1947" s="2" t="str">
        <f>IFERROR(__xludf.DUMMYFUNCTION("""COMPUTED_VALUE"""),"United Kingdom")</f>
        <v>United Kingdom</v>
      </c>
      <c r="I1947" s="7">
        <f>IFERROR(__xludf.DUMMYFUNCTION("""COMPUTED_VALUE"""),40148.0)</f>
        <v>40148</v>
      </c>
      <c r="J1947" s="8">
        <f>IFERROR(__xludf.DUMMYFUNCTION("""COMPUTED_VALUE"""),0.6027777777781012)</f>
        <v>0.6027777778</v>
      </c>
      <c r="K1947" s="2">
        <f>IFERROR(__xludf.DUMMYFUNCTION("""COMPUTED_VALUE"""),14.0)</f>
        <v>14</v>
      </c>
      <c r="L1947" s="2">
        <f>IFERROR(__xludf.DUMMYFUNCTION("""COMPUTED_VALUE"""),3.43)</f>
        <v>3.43</v>
      </c>
    </row>
    <row r="1948">
      <c r="A1948" s="2">
        <f>IFERROR(__xludf.DUMMYFUNCTION("""COMPUTED_VALUE"""),489597.0)</f>
        <v>489597</v>
      </c>
      <c r="B1948" s="2" t="str">
        <f>IFERROR(__xludf.DUMMYFUNCTION("""COMPUTED_VALUE"""),"21329")</f>
        <v>21329</v>
      </c>
      <c r="C1948" s="2" t="str">
        <f>IFERROR(__xludf.DUMMYFUNCTION("""COMPUTED_VALUE"""),"DINOSAURS WRITING SET")</f>
        <v>DINOSAURS WRITING SET</v>
      </c>
      <c r="D1948" s="2">
        <f>IFERROR(__xludf.DUMMYFUNCTION("""COMPUTED_VALUE"""),6.0)</f>
        <v>6</v>
      </c>
      <c r="E1948" s="6">
        <f>IFERROR(__xludf.DUMMYFUNCTION("""COMPUTED_VALUE"""),40148.60277777778)</f>
        <v>40148.60278</v>
      </c>
      <c r="F1948" s="2">
        <f>IFERROR(__xludf.DUMMYFUNCTION("""COMPUTED_VALUE"""),3.43)</f>
        <v>3.43</v>
      </c>
      <c r="G1948" s="2"/>
      <c r="H1948" s="2" t="str">
        <f>IFERROR(__xludf.DUMMYFUNCTION("""COMPUTED_VALUE"""),"United Kingdom")</f>
        <v>United Kingdom</v>
      </c>
      <c r="I1948" s="7">
        <f>IFERROR(__xludf.DUMMYFUNCTION("""COMPUTED_VALUE"""),40148.0)</f>
        <v>40148</v>
      </c>
      <c r="J1948" s="8">
        <f>IFERROR(__xludf.DUMMYFUNCTION("""COMPUTED_VALUE"""),0.6027777777781012)</f>
        <v>0.6027777778</v>
      </c>
      <c r="K1948" s="2">
        <f>IFERROR(__xludf.DUMMYFUNCTION("""COMPUTED_VALUE"""),14.0)</f>
        <v>14</v>
      </c>
      <c r="L1948" s="2">
        <f>IFERROR(__xludf.DUMMYFUNCTION("""COMPUTED_VALUE"""),20.58)</f>
        <v>20.58</v>
      </c>
    </row>
    <row r="1949">
      <c r="A1949" s="2">
        <f>IFERROR(__xludf.DUMMYFUNCTION("""COMPUTED_VALUE"""),489597.0)</f>
        <v>489597</v>
      </c>
      <c r="B1949" s="2" t="str">
        <f>IFERROR(__xludf.DUMMYFUNCTION("""COMPUTED_VALUE"""),"21330")</f>
        <v>21330</v>
      </c>
      <c r="C1949" s="2" t="str">
        <f>IFERROR(__xludf.DUMMYFUNCTION("""COMPUTED_VALUE"""),"WOODLAND ANIMAL WRITING SET")</f>
        <v>WOODLAND ANIMAL WRITING SET</v>
      </c>
      <c r="D1949" s="2">
        <f>IFERROR(__xludf.DUMMYFUNCTION("""COMPUTED_VALUE"""),2.0)</f>
        <v>2</v>
      </c>
      <c r="E1949" s="6">
        <f>IFERROR(__xludf.DUMMYFUNCTION("""COMPUTED_VALUE"""),40148.60277777778)</f>
        <v>40148.60278</v>
      </c>
      <c r="F1949" s="2">
        <f>IFERROR(__xludf.DUMMYFUNCTION("""COMPUTED_VALUE"""),3.43)</f>
        <v>3.43</v>
      </c>
      <c r="G1949" s="2"/>
      <c r="H1949" s="2" t="str">
        <f>IFERROR(__xludf.DUMMYFUNCTION("""COMPUTED_VALUE"""),"United Kingdom")</f>
        <v>United Kingdom</v>
      </c>
      <c r="I1949" s="7">
        <f>IFERROR(__xludf.DUMMYFUNCTION("""COMPUTED_VALUE"""),40148.0)</f>
        <v>40148</v>
      </c>
      <c r="J1949" s="8">
        <f>IFERROR(__xludf.DUMMYFUNCTION("""COMPUTED_VALUE"""),0.6027777777781012)</f>
        <v>0.6027777778</v>
      </c>
      <c r="K1949" s="2">
        <f>IFERROR(__xludf.DUMMYFUNCTION("""COMPUTED_VALUE"""),14.0)</f>
        <v>14</v>
      </c>
      <c r="L1949" s="2">
        <f>IFERROR(__xludf.DUMMYFUNCTION("""COMPUTED_VALUE"""),6.86)</f>
        <v>6.86</v>
      </c>
    </row>
    <row r="1950">
      <c r="A1950" s="2">
        <f>IFERROR(__xludf.DUMMYFUNCTION("""COMPUTED_VALUE"""),489597.0)</f>
        <v>489597</v>
      </c>
      <c r="B1950" s="2" t="str">
        <f>IFERROR(__xludf.DUMMYFUNCTION("""COMPUTED_VALUE"""),"21348")</f>
        <v>21348</v>
      </c>
      <c r="C1950" s="2" t="str">
        <f>IFERROR(__xludf.DUMMYFUNCTION("""COMPUTED_VALUE"""),"PINK SPOTS CHOCOLATE NESTING BOXES")</f>
        <v>PINK SPOTS CHOCOLATE NESTING BOXES</v>
      </c>
      <c r="D1950" s="2">
        <f>IFERROR(__xludf.DUMMYFUNCTION("""COMPUTED_VALUE"""),1.0)</f>
        <v>1</v>
      </c>
      <c r="E1950" s="6">
        <f>IFERROR(__xludf.DUMMYFUNCTION("""COMPUTED_VALUE"""),40148.60277777778)</f>
        <v>40148.60278</v>
      </c>
      <c r="F1950" s="2">
        <f>IFERROR(__xludf.DUMMYFUNCTION("""COMPUTED_VALUE"""),6.04)</f>
        <v>6.04</v>
      </c>
      <c r="G1950" s="2"/>
      <c r="H1950" s="2" t="str">
        <f>IFERROR(__xludf.DUMMYFUNCTION("""COMPUTED_VALUE"""),"United Kingdom")</f>
        <v>United Kingdom</v>
      </c>
      <c r="I1950" s="7">
        <f>IFERROR(__xludf.DUMMYFUNCTION("""COMPUTED_VALUE"""),40148.0)</f>
        <v>40148</v>
      </c>
      <c r="J1950" s="8">
        <f>IFERROR(__xludf.DUMMYFUNCTION("""COMPUTED_VALUE"""),0.6027777777781012)</f>
        <v>0.6027777778</v>
      </c>
      <c r="K1950" s="2">
        <f>IFERROR(__xludf.DUMMYFUNCTION("""COMPUTED_VALUE"""),14.0)</f>
        <v>14</v>
      </c>
      <c r="L1950" s="2">
        <f>IFERROR(__xludf.DUMMYFUNCTION("""COMPUTED_VALUE"""),6.04)</f>
        <v>6.04</v>
      </c>
    </row>
    <row r="1951">
      <c r="A1951" s="2">
        <f>IFERROR(__xludf.DUMMYFUNCTION("""COMPUTED_VALUE"""),489597.0)</f>
        <v>489597</v>
      </c>
      <c r="B1951" s="2" t="str">
        <f>IFERROR(__xludf.DUMMYFUNCTION("""COMPUTED_VALUE"""),"21356")</f>
        <v>21356</v>
      </c>
      <c r="C1951" s="2" t="str">
        <f>IFERROR(__xludf.DUMMYFUNCTION("""COMPUTED_VALUE"""),"TOAST ITS - FAIRY FLOWER")</f>
        <v>TOAST ITS - FAIRY FLOWER</v>
      </c>
      <c r="D1951" s="2">
        <f>IFERROR(__xludf.DUMMYFUNCTION("""COMPUTED_VALUE"""),2.0)</f>
        <v>2</v>
      </c>
      <c r="E1951" s="6">
        <f>IFERROR(__xludf.DUMMYFUNCTION("""COMPUTED_VALUE"""),40148.60277777778)</f>
        <v>40148.60278</v>
      </c>
      <c r="F1951" s="2">
        <f>IFERROR(__xludf.DUMMYFUNCTION("""COMPUTED_VALUE"""),2.57)</f>
        <v>2.57</v>
      </c>
      <c r="G1951" s="2"/>
      <c r="H1951" s="2" t="str">
        <f>IFERROR(__xludf.DUMMYFUNCTION("""COMPUTED_VALUE"""),"United Kingdom")</f>
        <v>United Kingdom</v>
      </c>
      <c r="I1951" s="7">
        <f>IFERROR(__xludf.DUMMYFUNCTION("""COMPUTED_VALUE"""),40148.0)</f>
        <v>40148</v>
      </c>
      <c r="J1951" s="8">
        <f>IFERROR(__xludf.DUMMYFUNCTION("""COMPUTED_VALUE"""),0.6027777777781012)</f>
        <v>0.6027777778</v>
      </c>
      <c r="K1951" s="2">
        <f>IFERROR(__xludf.DUMMYFUNCTION("""COMPUTED_VALUE"""),14.0)</f>
        <v>14</v>
      </c>
      <c r="L1951" s="2">
        <f>IFERROR(__xludf.DUMMYFUNCTION("""COMPUTED_VALUE"""),5.14)</f>
        <v>5.14</v>
      </c>
    </row>
    <row r="1952">
      <c r="A1952" s="2">
        <f>IFERROR(__xludf.DUMMYFUNCTION("""COMPUTED_VALUE"""),489597.0)</f>
        <v>489597</v>
      </c>
      <c r="B1952" s="2" t="str">
        <f>IFERROR(__xludf.DUMMYFUNCTION("""COMPUTED_VALUE"""),"21357")</f>
        <v>21357</v>
      </c>
      <c r="C1952" s="2" t="str">
        <f>IFERROR(__xludf.DUMMYFUNCTION("""COMPUTED_VALUE"""),"TOAST ITS - DINOSAUR")</f>
        <v>TOAST ITS - DINOSAUR</v>
      </c>
      <c r="D1952" s="2">
        <f>IFERROR(__xludf.DUMMYFUNCTION("""COMPUTED_VALUE"""),4.0)</f>
        <v>4</v>
      </c>
      <c r="E1952" s="6">
        <f>IFERROR(__xludf.DUMMYFUNCTION("""COMPUTED_VALUE"""),40148.60277777778)</f>
        <v>40148.60278</v>
      </c>
      <c r="F1952" s="2">
        <f>IFERROR(__xludf.DUMMYFUNCTION("""COMPUTED_VALUE"""),2.57)</f>
        <v>2.57</v>
      </c>
      <c r="G1952" s="2"/>
      <c r="H1952" s="2" t="str">
        <f>IFERROR(__xludf.DUMMYFUNCTION("""COMPUTED_VALUE"""),"United Kingdom")</f>
        <v>United Kingdom</v>
      </c>
      <c r="I1952" s="7">
        <f>IFERROR(__xludf.DUMMYFUNCTION("""COMPUTED_VALUE"""),40148.0)</f>
        <v>40148</v>
      </c>
      <c r="J1952" s="8">
        <f>IFERROR(__xludf.DUMMYFUNCTION("""COMPUTED_VALUE"""),0.6027777777781012)</f>
        <v>0.6027777778</v>
      </c>
      <c r="K1952" s="2">
        <f>IFERROR(__xludf.DUMMYFUNCTION("""COMPUTED_VALUE"""),14.0)</f>
        <v>14</v>
      </c>
      <c r="L1952" s="2">
        <f>IFERROR(__xludf.DUMMYFUNCTION("""COMPUTED_VALUE"""),10.28)</f>
        <v>10.28</v>
      </c>
    </row>
    <row r="1953">
      <c r="A1953" s="2">
        <f>IFERROR(__xludf.DUMMYFUNCTION("""COMPUTED_VALUE"""),489597.0)</f>
        <v>489597</v>
      </c>
      <c r="B1953" s="2" t="str">
        <f>IFERROR(__xludf.DUMMYFUNCTION("""COMPUTED_VALUE"""),"21379")</f>
        <v>21379</v>
      </c>
      <c r="C1953" s="2" t="str">
        <f>IFERROR(__xludf.DUMMYFUNCTION("""COMPUTED_VALUE"""),"CAMPHOR WOOD PORTOBELLO MUSHROOM")</f>
        <v>CAMPHOR WOOD PORTOBELLO MUSHROOM</v>
      </c>
      <c r="D1953" s="2">
        <f>IFERROR(__xludf.DUMMYFUNCTION("""COMPUTED_VALUE"""),1.0)</f>
        <v>1</v>
      </c>
      <c r="E1953" s="6">
        <f>IFERROR(__xludf.DUMMYFUNCTION("""COMPUTED_VALUE"""),40148.60277777778)</f>
        <v>40148.60278</v>
      </c>
      <c r="F1953" s="2">
        <f>IFERROR(__xludf.DUMMYFUNCTION("""COMPUTED_VALUE"""),2.57)</f>
        <v>2.57</v>
      </c>
      <c r="G1953" s="2"/>
      <c r="H1953" s="2" t="str">
        <f>IFERROR(__xludf.DUMMYFUNCTION("""COMPUTED_VALUE"""),"United Kingdom")</f>
        <v>United Kingdom</v>
      </c>
      <c r="I1953" s="7">
        <f>IFERROR(__xludf.DUMMYFUNCTION("""COMPUTED_VALUE"""),40148.0)</f>
        <v>40148</v>
      </c>
      <c r="J1953" s="8">
        <f>IFERROR(__xludf.DUMMYFUNCTION("""COMPUTED_VALUE"""),0.6027777777781012)</f>
        <v>0.6027777778</v>
      </c>
      <c r="K1953" s="2">
        <f>IFERROR(__xludf.DUMMYFUNCTION("""COMPUTED_VALUE"""),14.0)</f>
        <v>14</v>
      </c>
      <c r="L1953" s="2">
        <f>IFERROR(__xludf.DUMMYFUNCTION("""COMPUTED_VALUE"""),2.57)</f>
        <v>2.57</v>
      </c>
    </row>
    <row r="1954">
      <c r="A1954" s="2">
        <f>IFERROR(__xludf.DUMMYFUNCTION("""COMPUTED_VALUE"""),489597.0)</f>
        <v>489597</v>
      </c>
      <c r="B1954" s="2" t="str">
        <f>IFERROR(__xludf.DUMMYFUNCTION("""COMPUTED_VALUE"""),"21396")</f>
        <v>21396</v>
      </c>
      <c r="C1954" s="2" t="str">
        <f>IFERROR(__xludf.DUMMYFUNCTION("""COMPUTED_VALUE"""),"RED SPOTTY EGG CUP")</f>
        <v>RED SPOTTY EGG CUP</v>
      </c>
      <c r="D1954" s="2">
        <f>IFERROR(__xludf.DUMMYFUNCTION("""COMPUTED_VALUE"""),7.0)</f>
        <v>7</v>
      </c>
      <c r="E1954" s="6">
        <f>IFERROR(__xludf.DUMMYFUNCTION("""COMPUTED_VALUE"""),40148.60277777778)</f>
        <v>40148.60278</v>
      </c>
      <c r="F1954" s="2">
        <f>IFERROR(__xludf.DUMMYFUNCTION("""COMPUTED_VALUE"""),3.43)</f>
        <v>3.43</v>
      </c>
      <c r="G1954" s="2"/>
      <c r="H1954" s="2" t="str">
        <f>IFERROR(__xludf.DUMMYFUNCTION("""COMPUTED_VALUE"""),"United Kingdom")</f>
        <v>United Kingdom</v>
      </c>
      <c r="I1954" s="7">
        <f>IFERROR(__xludf.DUMMYFUNCTION("""COMPUTED_VALUE"""),40148.0)</f>
        <v>40148</v>
      </c>
      <c r="J1954" s="8">
        <f>IFERROR(__xludf.DUMMYFUNCTION("""COMPUTED_VALUE"""),0.6027777777781012)</f>
        <v>0.6027777778</v>
      </c>
      <c r="K1954" s="2">
        <f>IFERROR(__xludf.DUMMYFUNCTION("""COMPUTED_VALUE"""),14.0)</f>
        <v>14</v>
      </c>
      <c r="L1954" s="2">
        <f>IFERROR(__xludf.DUMMYFUNCTION("""COMPUTED_VALUE"""),24.01)</f>
        <v>24.01</v>
      </c>
    </row>
    <row r="1955">
      <c r="A1955" s="2">
        <f>IFERROR(__xludf.DUMMYFUNCTION("""COMPUTED_VALUE"""),489597.0)</f>
        <v>489597</v>
      </c>
      <c r="B1955" s="2" t="str">
        <f>IFERROR(__xludf.DUMMYFUNCTION("""COMPUTED_VALUE"""),"21412")</f>
        <v>21412</v>
      </c>
      <c r="C1955" s="2" t="str">
        <f>IFERROR(__xludf.DUMMYFUNCTION("""COMPUTED_VALUE"""),"VINTAGE GOLD TINSEL REEL")</f>
        <v>VINTAGE GOLD TINSEL REEL</v>
      </c>
      <c r="D1955" s="2">
        <f>IFERROR(__xludf.DUMMYFUNCTION("""COMPUTED_VALUE"""),1.0)</f>
        <v>1</v>
      </c>
      <c r="E1955" s="6">
        <f>IFERROR(__xludf.DUMMYFUNCTION("""COMPUTED_VALUE"""),40148.60277777778)</f>
        <v>40148.60278</v>
      </c>
      <c r="F1955" s="2">
        <f>IFERROR(__xludf.DUMMYFUNCTION("""COMPUTED_VALUE"""),4.3)</f>
        <v>4.3</v>
      </c>
      <c r="G1955" s="2"/>
      <c r="H1955" s="2" t="str">
        <f>IFERROR(__xludf.DUMMYFUNCTION("""COMPUTED_VALUE"""),"United Kingdom")</f>
        <v>United Kingdom</v>
      </c>
      <c r="I1955" s="7">
        <f>IFERROR(__xludf.DUMMYFUNCTION("""COMPUTED_VALUE"""),40148.0)</f>
        <v>40148</v>
      </c>
      <c r="J1955" s="8">
        <f>IFERROR(__xludf.DUMMYFUNCTION("""COMPUTED_VALUE"""),0.6027777777781012)</f>
        <v>0.6027777778</v>
      </c>
      <c r="K1955" s="2">
        <f>IFERROR(__xludf.DUMMYFUNCTION("""COMPUTED_VALUE"""),14.0)</f>
        <v>14</v>
      </c>
      <c r="L1955" s="2">
        <f>IFERROR(__xludf.DUMMYFUNCTION("""COMPUTED_VALUE"""),4.3)</f>
        <v>4.3</v>
      </c>
    </row>
    <row r="1956">
      <c r="A1956" s="2">
        <f>IFERROR(__xludf.DUMMYFUNCTION("""COMPUTED_VALUE"""),489597.0)</f>
        <v>489597</v>
      </c>
      <c r="B1956" s="2" t="str">
        <f>IFERROR(__xludf.DUMMYFUNCTION("""COMPUTED_VALUE"""),"21429")</f>
        <v>21429</v>
      </c>
      <c r="C1956" s="2" t="str">
        <f>IFERROR(__xludf.DUMMYFUNCTION("""COMPUTED_VALUE"""),"RED GINGHAM ROSE JEWELLERY BOX")</f>
        <v>RED GINGHAM ROSE JEWELLERY BOX</v>
      </c>
      <c r="D1956" s="2">
        <f>IFERROR(__xludf.DUMMYFUNCTION("""COMPUTED_VALUE"""),1.0)</f>
        <v>1</v>
      </c>
      <c r="E1956" s="6">
        <f>IFERROR(__xludf.DUMMYFUNCTION("""COMPUTED_VALUE"""),40148.60277777778)</f>
        <v>40148.60278</v>
      </c>
      <c r="F1956" s="2">
        <f>IFERROR(__xludf.DUMMYFUNCTION("""COMPUTED_VALUE"""),3.43)</f>
        <v>3.43</v>
      </c>
      <c r="G1956" s="2"/>
      <c r="H1956" s="2" t="str">
        <f>IFERROR(__xludf.DUMMYFUNCTION("""COMPUTED_VALUE"""),"United Kingdom")</f>
        <v>United Kingdom</v>
      </c>
      <c r="I1956" s="7">
        <f>IFERROR(__xludf.DUMMYFUNCTION("""COMPUTED_VALUE"""),40148.0)</f>
        <v>40148</v>
      </c>
      <c r="J1956" s="8">
        <f>IFERROR(__xludf.DUMMYFUNCTION("""COMPUTED_VALUE"""),0.6027777777781012)</f>
        <v>0.6027777778</v>
      </c>
      <c r="K1956" s="2">
        <f>IFERROR(__xludf.DUMMYFUNCTION("""COMPUTED_VALUE"""),14.0)</f>
        <v>14</v>
      </c>
      <c r="L1956" s="2">
        <f>IFERROR(__xludf.DUMMYFUNCTION("""COMPUTED_VALUE"""),3.43)</f>
        <v>3.43</v>
      </c>
    </row>
    <row r="1957">
      <c r="A1957" s="2">
        <f>IFERROR(__xludf.DUMMYFUNCTION("""COMPUTED_VALUE"""),489597.0)</f>
        <v>489597</v>
      </c>
      <c r="B1957" s="2" t="str">
        <f>IFERROR(__xludf.DUMMYFUNCTION("""COMPUTED_VALUE"""),"21431")</f>
        <v>21431</v>
      </c>
      <c r="C1957" s="2" t="str">
        <f>IFERROR(__xludf.DUMMYFUNCTION("""COMPUTED_VALUE"""),"GREEN GINGHAM FLOWER JEWELLERY BOX")</f>
        <v>GREEN GINGHAM FLOWER JEWELLERY BOX</v>
      </c>
      <c r="D1957" s="2">
        <f>IFERROR(__xludf.DUMMYFUNCTION("""COMPUTED_VALUE"""),1.0)</f>
        <v>1</v>
      </c>
      <c r="E1957" s="6">
        <f>IFERROR(__xludf.DUMMYFUNCTION("""COMPUTED_VALUE"""),40148.60277777778)</f>
        <v>40148.60278</v>
      </c>
      <c r="F1957" s="2">
        <f>IFERROR(__xludf.DUMMYFUNCTION("""COMPUTED_VALUE"""),3.43)</f>
        <v>3.43</v>
      </c>
      <c r="G1957" s="2"/>
      <c r="H1957" s="2" t="str">
        <f>IFERROR(__xludf.DUMMYFUNCTION("""COMPUTED_VALUE"""),"United Kingdom")</f>
        <v>United Kingdom</v>
      </c>
      <c r="I1957" s="7">
        <f>IFERROR(__xludf.DUMMYFUNCTION("""COMPUTED_VALUE"""),40148.0)</f>
        <v>40148</v>
      </c>
      <c r="J1957" s="8">
        <f>IFERROR(__xludf.DUMMYFUNCTION("""COMPUTED_VALUE"""),0.6027777777781012)</f>
        <v>0.6027777778</v>
      </c>
      <c r="K1957" s="2">
        <f>IFERROR(__xludf.DUMMYFUNCTION("""COMPUTED_VALUE"""),14.0)</f>
        <v>14</v>
      </c>
      <c r="L1957" s="2">
        <f>IFERROR(__xludf.DUMMYFUNCTION("""COMPUTED_VALUE"""),3.43)</f>
        <v>3.43</v>
      </c>
    </row>
    <row r="1958">
      <c r="A1958" s="2">
        <f>IFERROR(__xludf.DUMMYFUNCTION("""COMPUTED_VALUE"""),489597.0)</f>
        <v>489597</v>
      </c>
      <c r="B1958" s="2" t="str">
        <f>IFERROR(__xludf.DUMMYFUNCTION("""COMPUTED_VALUE"""),"21444")</f>
        <v>21444</v>
      </c>
      <c r="C1958" s="2" t="str">
        <f>IFERROR(__xludf.DUMMYFUNCTION("""COMPUTED_VALUE"""),"BLUE CHALET BIRDFEEDER")</f>
        <v>BLUE CHALET BIRDFEEDER</v>
      </c>
      <c r="D1958" s="2">
        <f>IFERROR(__xludf.DUMMYFUNCTION("""COMPUTED_VALUE"""),1.0)</f>
        <v>1</v>
      </c>
      <c r="E1958" s="6">
        <f>IFERROR(__xludf.DUMMYFUNCTION("""COMPUTED_VALUE"""),40148.60277777778)</f>
        <v>40148.60278</v>
      </c>
      <c r="F1958" s="2">
        <f>IFERROR(__xludf.DUMMYFUNCTION("""COMPUTED_VALUE"""),7.78)</f>
        <v>7.78</v>
      </c>
      <c r="G1958" s="2"/>
      <c r="H1958" s="2" t="str">
        <f>IFERROR(__xludf.DUMMYFUNCTION("""COMPUTED_VALUE"""),"United Kingdom")</f>
        <v>United Kingdom</v>
      </c>
      <c r="I1958" s="7">
        <f>IFERROR(__xludf.DUMMYFUNCTION("""COMPUTED_VALUE"""),40148.0)</f>
        <v>40148</v>
      </c>
      <c r="J1958" s="8">
        <f>IFERROR(__xludf.DUMMYFUNCTION("""COMPUTED_VALUE"""),0.6027777777781012)</f>
        <v>0.6027777778</v>
      </c>
      <c r="K1958" s="2">
        <f>IFERROR(__xludf.DUMMYFUNCTION("""COMPUTED_VALUE"""),14.0)</f>
        <v>14</v>
      </c>
      <c r="L1958" s="2">
        <f>IFERROR(__xludf.DUMMYFUNCTION("""COMPUTED_VALUE"""),7.78)</f>
        <v>7.78</v>
      </c>
    </row>
    <row r="1959">
      <c r="A1959" s="2">
        <f>IFERROR(__xludf.DUMMYFUNCTION("""COMPUTED_VALUE"""),489597.0)</f>
        <v>489597</v>
      </c>
      <c r="B1959" s="2" t="str">
        <f>IFERROR(__xludf.DUMMYFUNCTION("""COMPUTED_VALUE"""),"21445")</f>
        <v>21445</v>
      </c>
      <c r="C1959" s="2" t="str">
        <f>IFERROR(__xludf.DUMMYFUNCTION("""COMPUTED_VALUE"""),"12 PINK ROSE PEG PLACE SETTINGS")</f>
        <v>12 PINK ROSE PEG PLACE SETTINGS</v>
      </c>
      <c r="D1959" s="2">
        <f>IFERROR(__xludf.DUMMYFUNCTION("""COMPUTED_VALUE"""),1.0)</f>
        <v>1</v>
      </c>
      <c r="E1959" s="6">
        <f>IFERROR(__xludf.DUMMYFUNCTION("""COMPUTED_VALUE"""),40148.60277777778)</f>
        <v>40148.60278</v>
      </c>
      <c r="F1959" s="2">
        <f>IFERROR(__xludf.DUMMYFUNCTION("""COMPUTED_VALUE"""),2.57)</f>
        <v>2.57</v>
      </c>
      <c r="G1959" s="2"/>
      <c r="H1959" s="2" t="str">
        <f>IFERROR(__xludf.DUMMYFUNCTION("""COMPUTED_VALUE"""),"United Kingdom")</f>
        <v>United Kingdom</v>
      </c>
      <c r="I1959" s="7">
        <f>IFERROR(__xludf.DUMMYFUNCTION("""COMPUTED_VALUE"""),40148.0)</f>
        <v>40148</v>
      </c>
      <c r="J1959" s="8">
        <f>IFERROR(__xludf.DUMMYFUNCTION("""COMPUTED_VALUE"""),0.6027777777781012)</f>
        <v>0.6027777778</v>
      </c>
      <c r="K1959" s="2">
        <f>IFERROR(__xludf.DUMMYFUNCTION("""COMPUTED_VALUE"""),14.0)</f>
        <v>14</v>
      </c>
      <c r="L1959" s="2">
        <f>IFERROR(__xludf.DUMMYFUNCTION("""COMPUTED_VALUE"""),2.57)</f>
        <v>2.57</v>
      </c>
    </row>
    <row r="1960">
      <c r="A1960" s="2">
        <f>IFERROR(__xludf.DUMMYFUNCTION("""COMPUTED_VALUE"""),489597.0)</f>
        <v>489597</v>
      </c>
      <c r="B1960" s="2" t="str">
        <f>IFERROR(__xludf.DUMMYFUNCTION("""COMPUTED_VALUE"""),"21479")</f>
        <v>21479</v>
      </c>
      <c r="C1960" s="2" t="str">
        <f>IFERROR(__xludf.DUMMYFUNCTION("""COMPUTED_VALUE"""),"WHITE SKULL HOT WATER BOTTLE")</f>
        <v>WHITE SKULL HOT WATER BOTTLE</v>
      </c>
      <c r="D1960" s="2">
        <f>IFERROR(__xludf.DUMMYFUNCTION("""COMPUTED_VALUE"""),1.0)</f>
        <v>1</v>
      </c>
      <c r="E1960" s="6">
        <f>IFERROR(__xludf.DUMMYFUNCTION("""COMPUTED_VALUE"""),40148.60277777778)</f>
        <v>40148.60278</v>
      </c>
      <c r="F1960" s="2">
        <f>IFERROR(__xludf.DUMMYFUNCTION("""COMPUTED_VALUE"""),7.78)</f>
        <v>7.78</v>
      </c>
      <c r="G1960" s="2"/>
      <c r="H1960" s="2" t="str">
        <f>IFERROR(__xludf.DUMMYFUNCTION("""COMPUTED_VALUE"""),"United Kingdom")</f>
        <v>United Kingdom</v>
      </c>
      <c r="I1960" s="7">
        <f>IFERROR(__xludf.DUMMYFUNCTION("""COMPUTED_VALUE"""),40148.0)</f>
        <v>40148</v>
      </c>
      <c r="J1960" s="8">
        <f>IFERROR(__xludf.DUMMYFUNCTION("""COMPUTED_VALUE"""),0.6027777777781012)</f>
        <v>0.6027777778</v>
      </c>
      <c r="K1960" s="2">
        <f>IFERROR(__xludf.DUMMYFUNCTION("""COMPUTED_VALUE"""),14.0)</f>
        <v>14</v>
      </c>
      <c r="L1960" s="2">
        <f>IFERROR(__xludf.DUMMYFUNCTION("""COMPUTED_VALUE"""),7.78)</f>
        <v>7.78</v>
      </c>
    </row>
    <row r="1961">
      <c r="A1961" s="2">
        <f>IFERROR(__xludf.DUMMYFUNCTION("""COMPUTED_VALUE"""),489597.0)</f>
        <v>489597</v>
      </c>
      <c r="B1961" s="2" t="str">
        <f>IFERROR(__xludf.DUMMYFUNCTION("""COMPUTED_VALUE"""),"21480")</f>
        <v>21480</v>
      </c>
      <c r="C1961" s="2" t="str">
        <f>IFERROR(__xludf.DUMMYFUNCTION("""COMPUTED_VALUE"""),"PINK STRIPE HOT WATER BOTTLE")</f>
        <v>PINK STRIPE HOT WATER BOTTLE</v>
      </c>
      <c r="D1961" s="2">
        <f>IFERROR(__xludf.DUMMYFUNCTION("""COMPUTED_VALUE"""),1.0)</f>
        <v>1</v>
      </c>
      <c r="E1961" s="6">
        <f>IFERROR(__xludf.DUMMYFUNCTION("""COMPUTED_VALUE"""),40148.60277777778)</f>
        <v>40148.60278</v>
      </c>
      <c r="F1961" s="2">
        <f>IFERROR(__xludf.DUMMYFUNCTION("""COMPUTED_VALUE"""),6.04)</f>
        <v>6.04</v>
      </c>
      <c r="G1961" s="2"/>
      <c r="H1961" s="2" t="str">
        <f>IFERROR(__xludf.DUMMYFUNCTION("""COMPUTED_VALUE"""),"United Kingdom")</f>
        <v>United Kingdom</v>
      </c>
      <c r="I1961" s="7">
        <f>IFERROR(__xludf.DUMMYFUNCTION("""COMPUTED_VALUE"""),40148.0)</f>
        <v>40148</v>
      </c>
      <c r="J1961" s="8">
        <f>IFERROR(__xludf.DUMMYFUNCTION("""COMPUTED_VALUE"""),0.6027777777781012)</f>
        <v>0.6027777778</v>
      </c>
      <c r="K1961" s="2">
        <f>IFERROR(__xludf.DUMMYFUNCTION("""COMPUTED_VALUE"""),14.0)</f>
        <v>14</v>
      </c>
      <c r="L1961" s="2">
        <f>IFERROR(__xludf.DUMMYFUNCTION("""COMPUTED_VALUE"""),6.04)</f>
        <v>6.04</v>
      </c>
    </row>
    <row r="1962">
      <c r="A1962" s="2">
        <f>IFERROR(__xludf.DUMMYFUNCTION("""COMPUTED_VALUE"""),489597.0)</f>
        <v>489597</v>
      </c>
      <c r="B1962" s="2" t="str">
        <f>IFERROR(__xludf.DUMMYFUNCTION("""COMPUTED_VALUE"""),"21481")</f>
        <v>21481</v>
      </c>
      <c r="C1962" s="2" t="str">
        <f>IFERROR(__xludf.DUMMYFUNCTION("""COMPUTED_VALUE"""),"FAWN BLUE HOT WATER BOTTLE")</f>
        <v>FAWN BLUE HOT WATER BOTTLE</v>
      </c>
      <c r="D1962" s="2">
        <f>IFERROR(__xludf.DUMMYFUNCTION("""COMPUTED_VALUE"""),2.0)</f>
        <v>2</v>
      </c>
      <c r="E1962" s="6">
        <f>IFERROR(__xludf.DUMMYFUNCTION("""COMPUTED_VALUE"""),40148.60277777778)</f>
        <v>40148.60278</v>
      </c>
      <c r="F1962" s="2">
        <f>IFERROR(__xludf.DUMMYFUNCTION("""COMPUTED_VALUE"""),6.04)</f>
        <v>6.04</v>
      </c>
      <c r="G1962" s="2"/>
      <c r="H1962" s="2" t="str">
        <f>IFERROR(__xludf.DUMMYFUNCTION("""COMPUTED_VALUE"""),"United Kingdom")</f>
        <v>United Kingdom</v>
      </c>
      <c r="I1962" s="7">
        <f>IFERROR(__xludf.DUMMYFUNCTION("""COMPUTED_VALUE"""),40148.0)</f>
        <v>40148</v>
      </c>
      <c r="J1962" s="8">
        <f>IFERROR(__xludf.DUMMYFUNCTION("""COMPUTED_VALUE"""),0.6027777777781012)</f>
        <v>0.6027777778</v>
      </c>
      <c r="K1962" s="2">
        <f>IFERROR(__xludf.DUMMYFUNCTION("""COMPUTED_VALUE"""),14.0)</f>
        <v>14</v>
      </c>
      <c r="L1962" s="2">
        <f>IFERROR(__xludf.DUMMYFUNCTION("""COMPUTED_VALUE"""),12.08)</f>
        <v>12.08</v>
      </c>
    </row>
    <row r="1963">
      <c r="A1963" s="2"/>
      <c r="B1963" s="2"/>
      <c r="C1963" s="2"/>
      <c r="D1963" s="2"/>
      <c r="E1963" s="6"/>
      <c r="F1963" s="2"/>
      <c r="G1963" s="2"/>
      <c r="H1963" s="2"/>
      <c r="I1963" s="7"/>
      <c r="J1963" s="8"/>
      <c r="K1963" s="2"/>
      <c r="L1963" s="2"/>
    </row>
    <row r="1964">
      <c r="A1964" s="2"/>
      <c r="B1964" s="2"/>
      <c r="C1964" s="2"/>
      <c r="D1964" s="2"/>
      <c r="E1964" s="6"/>
      <c r="F1964" s="2"/>
      <c r="G1964" s="2"/>
      <c r="H1964" s="2"/>
      <c r="I1964" s="7"/>
      <c r="J1964" s="8"/>
      <c r="K1964" s="2"/>
      <c r="L1964" s="2"/>
    </row>
    <row r="1965">
      <c r="A1965" s="2"/>
      <c r="B1965" s="2"/>
      <c r="C1965" s="2"/>
      <c r="D1965" s="2"/>
      <c r="E1965" s="6"/>
      <c r="F1965" s="2"/>
      <c r="G1965" s="2"/>
      <c r="H1965" s="2"/>
      <c r="I1965" s="7"/>
      <c r="J1965" s="8"/>
      <c r="K1965" s="2"/>
      <c r="L1965" s="2"/>
    </row>
    <row r="1966">
      <c r="A1966" s="2"/>
      <c r="B1966" s="2"/>
      <c r="C1966" s="2"/>
      <c r="D1966" s="2"/>
      <c r="E1966" s="6"/>
      <c r="F1966" s="2"/>
      <c r="G1966" s="2"/>
      <c r="H1966" s="2"/>
      <c r="I1966" s="7"/>
      <c r="J1966" s="8"/>
      <c r="K1966" s="2"/>
      <c r="L1966" s="2"/>
    </row>
    <row r="1967">
      <c r="A1967" s="2"/>
      <c r="B1967" s="2"/>
      <c r="C1967" s="2"/>
      <c r="D1967" s="2"/>
      <c r="E1967" s="6"/>
      <c r="F1967" s="2"/>
      <c r="G1967" s="2"/>
      <c r="H1967" s="2"/>
      <c r="I1967" s="7"/>
      <c r="J1967" s="8"/>
      <c r="K1967" s="2"/>
      <c r="L1967" s="2"/>
    </row>
    <row r="1968">
      <c r="A1968" s="2"/>
      <c r="B1968" s="2"/>
      <c r="C1968" s="2"/>
      <c r="D1968" s="2"/>
      <c r="E1968" s="6"/>
      <c r="F1968" s="2"/>
      <c r="G1968" s="2"/>
      <c r="H1968" s="2"/>
      <c r="I1968" s="7"/>
      <c r="J1968" s="8"/>
      <c r="K1968" s="2"/>
      <c r="L1968" s="2"/>
    </row>
    <row r="1969">
      <c r="A1969" s="2"/>
      <c r="B1969" s="2"/>
      <c r="C1969" s="2"/>
      <c r="D1969" s="2"/>
      <c r="E1969" s="6"/>
      <c r="F1969" s="2"/>
      <c r="G1969" s="2"/>
      <c r="H1969" s="2"/>
      <c r="I1969" s="7"/>
      <c r="J1969" s="8"/>
      <c r="K1969" s="2"/>
      <c r="L1969" s="2"/>
    </row>
    <row r="1970">
      <c r="A1970" s="2"/>
      <c r="B1970" s="2"/>
      <c r="C1970" s="2"/>
      <c r="D1970" s="2"/>
      <c r="E1970" s="6"/>
      <c r="F1970" s="2"/>
      <c r="G1970" s="2"/>
      <c r="H1970" s="2"/>
      <c r="I1970" s="7"/>
      <c r="J1970" s="8"/>
      <c r="K1970" s="2"/>
      <c r="L1970" s="2"/>
    </row>
    <row r="1971">
      <c r="A1971" s="2"/>
      <c r="B1971" s="2"/>
      <c r="C1971" s="2"/>
      <c r="D1971" s="2"/>
      <c r="E1971" s="6"/>
      <c r="F1971" s="2"/>
      <c r="G1971" s="2"/>
      <c r="H1971" s="2"/>
      <c r="I1971" s="7"/>
      <c r="J1971" s="8"/>
      <c r="K1971" s="2"/>
      <c r="L1971" s="2"/>
    </row>
    <row r="1972">
      <c r="A1972" s="2"/>
      <c r="B1972" s="2"/>
      <c r="C1972" s="2"/>
      <c r="D1972" s="2"/>
      <c r="E1972" s="6"/>
      <c r="F1972" s="2"/>
      <c r="G1972" s="2"/>
      <c r="H1972" s="2"/>
      <c r="I1972" s="7"/>
      <c r="J1972" s="8"/>
      <c r="K1972" s="2"/>
      <c r="L1972" s="2"/>
    </row>
    <row r="1973">
      <c r="A1973" s="2"/>
      <c r="B1973" s="2"/>
      <c r="C1973" s="2"/>
      <c r="D1973" s="2"/>
      <c r="E1973" s="6"/>
      <c r="F1973" s="2"/>
      <c r="G1973" s="2"/>
      <c r="H1973" s="2"/>
      <c r="I1973" s="7"/>
      <c r="J1973" s="8"/>
      <c r="K1973" s="2"/>
      <c r="L1973" s="2"/>
    </row>
    <row r="1974">
      <c r="A1974" s="2"/>
      <c r="B1974" s="2"/>
      <c r="C1974" s="2"/>
      <c r="D1974" s="2"/>
      <c r="E1974" s="6"/>
      <c r="F1974" s="2"/>
      <c r="G1974" s="2"/>
      <c r="H1974" s="2"/>
      <c r="I1974" s="7"/>
      <c r="J1974" s="8"/>
      <c r="K1974" s="2"/>
      <c r="L1974" s="2"/>
    </row>
    <row r="1975">
      <c r="A1975" s="2"/>
      <c r="B1975" s="2"/>
      <c r="C1975" s="2"/>
      <c r="D1975" s="2"/>
      <c r="E1975" s="6"/>
      <c r="F1975" s="2"/>
      <c r="G1975" s="2"/>
      <c r="H1975" s="2"/>
      <c r="I1975" s="7"/>
      <c r="J1975" s="8"/>
      <c r="K1975" s="2"/>
      <c r="L1975" s="2"/>
    </row>
    <row r="1976">
      <c r="A1976" s="2"/>
      <c r="B1976" s="2"/>
      <c r="C1976" s="2"/>
      <c r="D1976" s="2"/>
      <c r="E1976" s="6"/>
      <c r="F1976" s="2"/>
      <c r="G1976" s="2"/>
      <c r="H1976" s="2"/>
      <c r="I1976" s="7"/>
      <c r="J1976" s="8"/>
      <c r="K1976" s="2"/>
      <c r="L1976" s="2"/>
    </row>
    <row r="1977">
      <c r="A1977" s="2"/>
      <c r="B1977" s="2"/>
      <c r="C1977" s="2"/>
      <c r="D1977" s="2"/>
      <c r="E1977" s="6"/>
      <c r="F1977" s="2"/>
      <c r="G1977" s="2"/>
      <c r="H1977" s="2"/>
      <c r="I1977" s="7"/>
      <c r="J1977" s="8"/>
      <c r="K1977" s="2"/>
      <c r="L1977" s="2"/>
    </row>
    <row r="1978">
      <c r="A1978" s="2"/>
      <c r="B1978" s="2"/>
      <c r="C1978" s="2"/>
      <c r="D1978" s="2"/>
      <c r="E1978" s="6"/>
      <c r="F1978" s="2"/>
      <c r="G1978" s="2"/>
      <c r="H1978" s="2"/>
      <c r="I1978" s="7"/>
      <c r="J1978" s="8"/>
      <c r="K1978" s="2"/>
      <c r="L1978" s="2"/>
    </row>
    <row r="1979">
      <c r="A1979" s="2"/>
      <c r="B1979" s="2"/>
      <c r="C1979" s="2"/>
      <c r="D1979" s="2"/>
      <c r="E1979" s="6"/>
      <c r="F1979" s="2"/>
      <c r="G1979" s="2"/>
      <c r="H1979" s="2"/>
      <c r="I1979" s="7"/>
      <c r="J1979" s="8"/>
      <c r="K1979" s="2"/>
      <c r="L1979" s="2"/>
    </row>
    <row r="1980">
      <c r="A1980" s="2"/>
      <c r="B1980" s="2"/>
      <c r="C1980" s="2"/>
      <c r="D1980" s="2"/>
      <c r="E1980" s="6"/>
      <c r="F1980" s="2"/>
      <c r="G1980" s="2"/>
      <c r="H1980" s="2"/>
      <c r="I1980" s="7"/>
      <c r="J1980" s="8"/>
      <c r="K1980" s="2"/>
      <c r="L1980" s="2"/>
    </row>
    <row r="1981">
      <c r="A1981" s="2"/>
      <c r="B1981" s="2"/>
      <c r="C1981" s="2"/>
      <c r="D1981" s="2"/>
      <c r="E1981" s="6"/>
      <c r="F1981" s="2"/>
      <c r="G1981" s="2"/>
      <c r="H1981" s="2"/>
      <c r="I1981" s="7"/>
      <c r="J1981" s="8"/>
      <c r="K1981" s="2"/>
      <c r="L1981" s="2"/>
    </row>
    <row r="1982">
      <c r="A1982" s="2"/>
      <c r="B1982" s="2"/>
      <c r="C1982" s="2"/>
      <c r="D1982" s="2"/>
      <c r="E1982" s="6"/>
      <c r="F1982" s="2"/>
      <c r="G1982" s="2"/>
      <c r="H1982" s="2"/>
      <c r="I1982" s="7"/>
      <c r="J1982" s="8"/>
      <c r="K1982" s="2"/>
      <c r="L1982" s="2"/>
    </row>
    <row r="1983">
      <c r="A1983" s="2"/>
      <c r="B1983" s="2"/>
      <c r="C1983" s="2"/>
      <c r="D1983" s="2"/>
      <c r="E1983" s="6"/>
      <c r="F1983" s="2"/>
      <c r="G1983" s="2"/>
      <c r="H1983" s="2"/>
      <c r="I1983" s="7"/>
      <c r="J1983" s="8"/>
      <c r="K1983" s="2"/>
      <c r="L1983" s="2"/>
    </row>
    <row r="1984">
      <c r="A1984" s="2"/>
      <c r="B1984" s="2"/>
      <c r="C1984" s="2"/>
      <c r="D1984" s="2"/>
      <c r="E1984" s="6"/>
      <c r="F1984" s="2"/>
      <c r="G1984" s="2"/>
      <c r="H1984" s="2"/>
      <c r="I1984" s="7"/>
      <c r="J1984" s="8"/>
      <c r="K1984" s="2"/>
      <c r="L1984" s="2"/>
    </row>
    <row r="1985">
      <c r="A1985" s="2"/>
      <c r="B1985" s="2"/>
      <c r="C1985" s="2"/>
      <c r="D1985" s="2"/>
      <c r="E1985" s="6"/>
      <c r="F1985" s="2"/>
      <c r="G1985" s="2"/>
      <c r="H1985" s="2"/>
      <c r="I1985" s="7"/>
      <c r="J1985" s="8"/>
      <c r="K1985" s="2"/>
      <c r="L1985" s="2"/>
    </row>
    <row r="1986">
      <c r="A1986" s="2"/>
      <c r="B1986" s="2"/>
      <c r="C1986" s="2"/>
      <c r="D1986" s="2"/>
      <c r="E1986" s="6"/>
      <c r="F1986" s="2"/>
      <c r="G1986" s="2"/>
      <c r="H1986" s="2"/>
      <c r="I1986" s="7"/>
      <c r="J1986" s="8"/>
      <c r="K1986" s="2"/>
      <c r="L1986" s="2"/>
    </row>
    <row r="1987">
      <c r="A1987" s="2"/>
      <c r="B1987" s="2"/>
      <c r="C1987" s="2"/>
      <c r="D1987" s="2"/>
      <c r="E1987" s="6"/>
      <c r="F1987" s="2"/>
      <c r="G1987" s="2"/>
      <c r="H1987" s="2"/>
      <c r="I1987" s="7"/>
      <c r="J1987" s="8"/>
      <c r="K1987" s="2"/>
      <c r="L1987" s="2"/>
    </row>
    <row r="1988">
      <c r="A1988" s="2"/>
      <c r="B1988" s="2"/>
      <c r="C1988" s="2"/>
      <c r="D1988" s="2"/>
      <c r="E1988" s="6"/>
      <c r="F1988" s="2"/>
      <c r="G1988" s="2"/>
      <c r="H1988" s="2"/>
      <c r="I1988" s="7"/>
      <c r="J1988" s="8"/>
      <c r="K1988" s="2"/>
      <c r="L1988" s="2"/>
    </row>
    <row r="1989">
      <c r="A1989" s="2"/>
      <c r="B1989" s="2"/>
      <c r="C1989" s="2"/>
      <c r="D1989" s="2"/>
      <c r="E1989" s="6"/>
      <c r="F1989" s="2"/>
      <c r="G1989" s="2"/>
      <c r="H1989" s="2"/>
      <c r="I1989" s="7"/>
      <c r="J1989" s="8"/>
      <c r="K1989" s="2"/>
      <c r="L1989" s="2"/>
    </row>
    <row r="1990">
      <c r="A1990" s="2"/>
      <c r="B1990" s="2"/>
      <c r="C1990" s="2"/>
      <c r="D1990" s="2"/>
      <c r="E1990" s="6"/>
      <c r="F1990" s="2"/>
      <c r="G1990" s="2"/>
      <c r="H1990" s="2"/>
      <c r="I1990" s="7"/>
      <c r="J1990" s="8"/>
      <c r="K1990" s="2"/>
      <c r="L1990" s="2"/>
    </row>
    <row r="1991">
      <c r="A1991" s="2"/>
      <c r="B1991" s="2"/>
      <c r="C1991" s="2"/>
      <c r="D1991" s="2"/>
      <c r="E1991" s="6"/>
      <c r="F1991" s="2"/>
      <c r="G1991" s="2"/>
      <c r="H1991" s="2"/>
      <c r="I1991" s="7"/>
      <c r="J1991" s="8"/>
      <c r="K1991" s="2"/>
      <c r="L1991" s="2"/>
    </row>
    <row r="1992">
      <c r="A1992" s="2"/>
      <c r="B1992" s="2"/>
      <c r="C1992" s="2"/>
      <c r="D1992" s="2"/>
      <c r="E1992" s="6"/>
      <c r="F1992" s="2"/>
      <c r="G1992" s="2"/>
      <c r="H1992" s="2"/>
      <c r="I1992" s="7"/>
      <c r="J1992" s="8"/>
      <c r="K1992" s="2"/>
      <c r="L1992" s="2"/>
    </row>
    <row r="1993">
      <c r="A1993" s="2"/>
      <c r="B1993" s="2"/>
      <c r="C1993" s="2"/>
      <c r="D1993" s="2"/>
      <c r="E1993" s="6"/>
      <c r="F1993" s="2"/>
      <c r="G1993" s="2"/>
      <c r="H1993" s="2"/>
      <c r="I1993" s="7"/>
      <c r="J1993" s="8"/>
      <c r="K1993" s="2"/>
      <c r="L1993" s="2"/>
    </row>
    <row r="1994">
      <c r="A1994" s="2"/>
      <c r="B1994" s="2"/>
      <c r="C1994" s="2"/>
      <c r="D1994" s="2"/>
      <c r="E1994" s="6"/>
      <c r="F1994" s="2"/>
      <c r="G1994" s="2"/>
      <c r="H1994" s="2"/>
      <c r="I1994" s="7"/>
      <c r="J1994" s="8"/>
      <c r="K1994" s="2"/>
      <c r="L1994" s="2"/>
    </row>
    <row r="1995">
      <c r="A1995" s="2"/>
      <c r="B1995" s="2"/>
      <c r="C1995" s="2"/>
      <c r="D1995" s="2"/>
      <c r="E1995" s="6"/>
      <c r="F1995" s="2"/>
      <c r="G1995" s="2"/>
      <c r="H1995" s="2"/>
      <c r="I1995" s="7"/>
      <c r="J1995" s="8"/>
      <c r="K1995" s="2"/>
      <c r="L1995" s="2"/>
    </row>
    <row r="1996">
      <c r="A1996" s="2"/>
      <c r="B1996" s="2"/>
      <c r="C1996" s="2"/>
      <c r="D1996" s="2"/>
      <c r="E1996" s="6"/>
      <c r="F1996" s="2"/>
      <c r="G1996" s="2"/>
      <c r="H1996" s="2"/>
      <c r="I1996" s="7"/>
      <c r="J1996" s="8"/>
      <c r="K1996" s="2"/>
      <c r="L1996" s="2"/>
    </row>
    <row r="1997">
      <c r="A1997" s="2"/>
      <c r="B1997" s="2"/>
      <c r="C1997" s="2"/>
      <c r="D1997" s="2"/>
      <c r="E1997" s="6"/>
      <c r="F1997" s="2"/>
      <c r="G1997" s="2"/>
      <c r="H1997" s="2"/>
      <c r="I1997" s="7"/>
      <c r="J1997" s="8"/>
      <c r="K1997" s="2"/>
      <c r="L1997" s="2"/>
    </row>
    <row r="1998">
      <c r="A1998" s="2"/>
      <c r="B1998" s="2"/>
      <c r="C1998" s="2"/>
      <c r="D1998" s="2"/>
      <c r="E1998" s="6"/>
      <c r="F1998" s="2"/>
      <c r="G1998" s="2"/>
      <c r="H1998" s="2"/>
      <c r="I1998" s="7"/>
      <c r="J1998" s="8"/>
      <c r="K1998" s="2"/>
      <c r="L1998" s="2"/>
    </row>
    <row r="1999">
      <c r="A1999" s="2"/>
      <c r="B1999" s="2"/>
      <c r="C1999" s="2"/>
      <c r="D1999" s="2"/>
      <c r="E1999" s="6"/>
      <c r="F1999" s="2"/>
      <c r="G1999" s="2"/>
      <c r="H1999" s="2"/>
      <c r="I1999" s="7"/>
      <c r="J1999" s="8"/>
      <c r="K1999" s="2"/>
      <c r="L1999" s="2"/>
    </row>
    <row r="2000">
      <c r="A2000" s="2"/>
      <c r="B2000" s="2"/>
      <c r="C2000" s="2"/>
      <c r="D2000" s="2"/>
      <c r="E2000" s="6"/>
      <c r="F2000" s="2"/>
      <c r="G2000" s="2"/>
      <c r="H2000" s="2"/>
      <c r="I2000" s="7"/>
      <c r="J2000" s="8"/>
      <c r="K2000" s="2"/>
      <c r="L2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2" t="str">
        <f>IFERROR(__xludf.DUMMYFUNCTION("QUERY(sales_data_cleaned.csv!A:L, ""SELECT C, D WHERE F &gt;= 1 AND F &lt;= 5"", 1)"),"Description")</f>
        <v>Description</v>
      </c>
      <c r="B1" s="2" t="str">
        <f>IFERROR(__xludf.DUMMYFUNCTION("""COMPUTED_VALUE"""),"Quantity")</f>
        <v>Quantity</v>
      </c>
      <c r="D1" s="2" t="str">
        <f>IFERROR(__xludf.DUMMYFUNCTION("QUERY(sales_data_cleaned.csv!A:L, ""SELECT B, C, F ORDER BY F DESC LIMIT 10"", 1)"),"StockCode")</f>
        <v>StockCode</v>
      </c>
      <c r="E1" s="2" t="str">
        <f>IFERROR(__xludf.DUMMYFUNCTION("""COMPUTED_VALUE"""),"Description")</f>
        <v>Description</v>
      </c>
      <c r="F1" s="2" t="str">
        <f>IFERROR(__xludf.DUMMYFUNCTION("""COMPUTED_VALUE"""),"Price")</f>
        <v>Price</v>
      </c>
    </row>
    <row r="2">
      <c r="A2" s="2" t="str">
        <f>IFERROR(__xludf.DUMMYFUNCTION("""COMPUTED_VALUE"""),"RECORD FRAME 7"" SINGLE SIZE")</f>
        <v>RECORD FRAME 7" SINGLE SIZE</v>
      </c>
      <c r="B2" s="2">
        <f>IFERROR(__xludf.DUMMYFUNCTION("""COMPUTED_VALUE"""),48.0)</f>
        <v>48</v>
      </c>
      <c r="D2" s="2" t="str">
        <f>IFERROR(__xludf.DUMMYFUNCTION("""COMPUTED_VALUE"""),"POST")</f>
        <v>POST</v>
      </c>
      <c r="E2" s="2" t="str">
        <f>IFERROR(__xludf.DUMMYFUNCTION("""COMPUTED_VALUE"""),"POSTAGE")</f>
        <v>POSTAGE</v>
      </c>
      <c r="F2" s="2">
        <f>IFERROR(__xludf.DUMMYFUNCTION("""COMPUTED_VALUE"""),141.0)</f>
        <v>141</v>
      </c>
    </row>
    <row r="3">
      <c r="A3" s="2" t="str">
        <f>IFERROR(__xludf.DUMMYFUNCTION("""COMPUTED_VALUE"""),"STRAWBERRY CERAMIC TRINKET BOX")</f>
        <v>STRAWBERRY CERAMIC TRINKET BOX</v>
      </c>
      <c r="B3" s="2">
        <f>IFERROR(__xludf.DUMMYFUNCTION("""COMPUTED_VALUE"""),24.0)</f>
        <v>24</v>
      </c>
      <c r="D3" s="2" t="str">
        <f>IFERROR(__xludf.DUMMYFUNCTION("""COMPUTED_VALUE"""),"POST")</f>
        <v>POST</v>
      </c>
      <c r="E3" s="2" t="str">
        <f>IFERROR(__xludf.DUMMYFUNCTION("""COMPUTED_VALUE"""),"POSTAGE")</f>
        <v>POSTAGE</v>
      </c>
      <c r="F3" s="2">
        <f>IFERROR(__xludf.DUMMYFUNCTION("""COMPUTED_VALUE"""),130.0)</f>
        <v>130</v>
      </c>
    </row>
    <row r="4">
      <c r="A4" s="2" t="str">
        <f>IFERROR(__xludf.DUMMYFUNCTION("""COMPUTED_VALUE"""),"PINK DOUGHNUT TRINKET POT")</f>
        <v>PINK DOUGHNUT TRINKET POT</v>
      </c>
      <c r="B4" s="2">
        <f>IFERROR(__xludf.DUMMYFUNCTION("""COMPUTED_VALUE"""),24.0)</f>
        <v>24</v>
      </c>
      <c r="D4" s="2" t="str">
        <f>IFERROR(__xludf.DUMMYFUNCTION("""COMPUTED_VALUE"""),"84472")</f>
        <v>84472</v>
      </c>
      <c r="E4" s="2" t="str">
        <f>IFERROR(__xludf.DUMMYFUNCTION("""COMPUTED_VALUE"""),"PINK AND LILAC QUILTED THROW")</f>
        <v>PINK AND LILAC QUILTED THROW</v>
      </c>
      <c r="F4" s="2">
        <f>IFERROR(__xludf.DUMMYFUNCTION("""COMPUTED_VALUE"""),45.95)</f>
        <v>45.95</v>
      </c>
    </row>
    <row r="5">
      <c r="A5" s="2" t="str">
        <f>IFERROR(__xludf.DUMMYFUNCTION("""COMPUTED_VALUE"""),"SAVE THE PLANET MUG")</f>
        <v>SAVE THE PLANET MUG</v>
      </c>
      <c r="B5" s="2">
        <f>IFERROR(__xludf.DUMMYFUNCTION("""COMPUTED_VALUE"""),24.0)</f>
        <v>24</v>
      </c>
      <c r="D5" s="2" t="str">
        <f>IFERROR(__xludf.DUMMYFUNCTION("""COMPUTED_VALUE"""),"21761")</f>
        <v>21761</v>
      </c>
      <c r="E5" s="2" t="str">
        <f>IFERROR(__xludf.DUMMYFUNCTION("""COMPUTED_VALUE"""),"WOOD AND GLASS MEDICINE CABINET")</f>
        <v>WOOD AND GLASS MEDICINE CABINET</v>
      </c>
      <c r="F5" s="2">
        <f>IFERROR(__xludf.DUMMYFUNCTION("""COMPUTED_VALUE"""),29.95)</f>
        <v>29.95</v>
      </c>
    </row>
    <row r="6">
      <c r="A6" s="2" t="str">
        <f>IFERROR(__xludf.DUMMYFUNCTION("""COMPUTED_VALUE"""),"CAT BOWL")</f>
        <v>CAT BOWL</v>
      </c>
      <c r="B6" s="2">
        <f>IFERROR(__xludf.DUMMYFUNCTION("""COMPUTED_VALUE"""),12.0)</f>
        <v>12</v>
      </c>
      <c r="D6" s="2" t="str">
        <f>IFERROR(__xludf.DUMMYFUNCTION("""COMPUTED_VALUE"""),"21761")</f>
        <v>21761</v>
      </c>
      <c r="E6" s="2" t="str">
        <f>IFERROR(__xludf.DUMMYFUNCTION("""COMPUTED_VALUE"""),"WOOD AND GLASS MEDICINE CABINET")</f>
        <v>WOOD AND GLASS MEDICINE CABINET</v>
      </c>
      <c r="F6" s="2">
        <f>IFERROR(__xludf.DUMMYFUNCTION("""COMPUTED_VALUE"""),29.95)</f>
        <v>29.95</v>
      </c>
    </row>
    <row r="7">
      <c r="A7" s="2" t="str">
        <f>IFERROR(__xludf.DUMMYFUNCTION("""COMPUTED_VALUE"""),"DOG BOWL , CHASING BALL DESIGN")</f>
        <v>DOG BOWL , CHASING BALL DESIGN</v>
      </c>
      <c r="B7" s="2">
        <f>IFERROR(__xludf.DUMMYFUNCTION("""COMPUTED_VALUE"""),12.0)</f>
        <v>12</v>
      </c>
      <c r="D7" s="2" t="str">
        <f>IFERROR(__xludf.DUMMYFUNCTION("""COMPUTED_VALUE"""),"21767")</f>
        <v>21767</v>
      </c>
      <c r="E7" s="2" t="str">
        <f>IFERROR(__xludf.DUMMYFUNCTION("""COMPUTED_VALUE"""),"FRENCH STYLE WIRE DOOR CABINET")</f>
        <v>FRENCH STYLE WIRE DOOR CABINET</v>
      </c>
      <c r="F7" s="2">
        <f>IFERROR(__xludf.DUMMYFUNCTION("""COMPUTED_VALUE"""),29.95)</f>
        <v>29.95</v>
      </c>
    </row>
    <row r="8">
      <c r="A8" s="2" t="str">
        <f>IFERROR(__xludf.DUMMYFUNCTION("""COMPUTED_VALUE"""),"HEART MEASURING SPOONS LARGE")</f>
        <v>HEART MEASURING SPOONS LARGE</v>
      </c>
      <c r="B8" s="2">
        <f>IFERROR(__xludf.DUMMYFUNCTION("""COMPUTED_VALUE"""),24.0)</f>
        <v>24</v>
      </c>
      <c r="D8" s="2" t="str">
        <f>IFERROR(__xludf.DUMMYFUNCTION("""COMPUTED_VALUE"""),"20825")</f>
        <v>20825</v>
      </c>
      <c r="E8" s="2" t="str">
        <f>IFERROR(__xludf.DUMMYFUNCTION("""COMPUTED_VALUE"""),"GOLD WINE GLASS")</f>
        <v>GOLD WINE GLASS</v>
      </c>
      <c r="F8" s="2">
        <f>IFERROR(__xludf.DUMMYFUNCTION("""COMPUTED_VALUE"""),26.04)</f>
        <v>26.04</v>
      </c>
    </row>
    <row r="9">
      <c r="A9" s="2" t="str">
        <f>IFERROR(__xludf.DUMMYFUNCTION("""COMPUTED_VALUE"""),"LUNCHBOX WITH CUTLERY FAIRY CAKES")</f>
        <v>LUNCHBOX WITH CUTLERY FAIRY CAKES</v>
      </c>
      <c r="B9" s="2">
        <f>IFERROR(__xludf.DUMMYFUNCTION("""COMPUTED_VALUE"""),12.0)</f>
        <v>12</v>
      </c>
      <c r="D9" s="2" t="str">
        <f>IFERROR(__xludf.DUMMYFUNCTION("""COMPUTED_VALUE"""),"21134")</f>
        <v>21134</v>
      </c>
      <c r="E9" s="2" t="str">
        <f>IFERROR(__xludf.DUMMYFUNCTION("""COMPUTED_VALUE"""),"VICTORIAN METAL POSTCARD CHRISTMAS")</f>
        <v>VICTORIAN METAL POSTCARD CHRISTMAS</v>
      </c>
      <c r="F9" s="2">
        <f>IFERROR(__xludf.DUMMYFUNCTION("""COMPUTED_VALUE"""),26.04)</f>
        <v>26.04</v>
      </c>
    </row>
    <row r="10">
      <c r="A10" s="2" t="str">
        <f>IFERROR(__xludf.DUMMYFUNCTION("""COMPUTED_VALUE"""),"ASSORTED COLOUR BIRD ORNAMENT")</f>
        <v>ASSORTED COLOUR BIRD ORNAMENT</v>
      </c>
      <c r="B10" s="2">
        <f>IFERROR(__xludf.DUMMYFUNCTION("""COMPUTED_VALUE"""),16.0)</f>
        <v>16</v>
      </c>
      <c r="D10" s="2" t="str">
        <f>IFERROR(__xludf.DUMMYFUNCTION("""COMPUTED_VALUE"""),"21335")</f>
        <v>21335</v>
      </c>
      <c r="E10" s="2" t="str">
        <f>IFERROR(__xludf.DUMMYFUNCTION("""COMPUTED_VALUE"""),"LIBRARY LAMP")</f>
        <v>LIBRARY LAMP</v>
      </c>
      <c r="F10" s="2">
        <f>IFERROR(__xludf.DUMMYFUNCTION("""COMPUTED_VALUE"""),21.95)</f>
        <v>21.95</v>
      </c>
    </row>
    <row r="11">
      <c r="A11" s="2" t="str">
        <f>IFERROR(__xludf.DUMMYFUNCTION("""COMPUTED_VALUE"""),"CHRISTMAS CRAFT WHITE FAIRY")</f>
        <v>CHRISTMAS CRAFT WHITE FAIRY</v>
      </c>
      <c r="B11" s="2">
        <f>IFERROR(__xludf.DUMMYFUNCTION("""COMPUTED_VALUE"""),12.0)</f>
        <v>12</v>
      </c>
      <c r="D11" s="2" t="str">
        <f>IFERROR(__xludf.DUMMYFUNCTION("""COMPUTED_VALUE"""),"21737")</f>
        <v>21737</v>
      </c>
      <c r="E11" s="2" t="str">
        <f>IFERROR(__xludf.DUMMYFUNCTION("""COMPUTED_VALUE"""),"SET 3 WICKER LOG BASKETS")</f>
        <v>SET 3 WICKER LOG BASKETS</v>
      </c>
      <c r="F11" s="2">
        <f>IFERROR(__xludf.DUMMYFUNCTION("""COMPUTED_VALUE"""),19.95)</f>
        <v>19.95</v>
      </c>
    </row>
    <row r="12">
      <c r="A12" s="2" t="str">
        <f>IFERROR(__xludf.DUMMYFUNCTION("""COMPUTED_VALUE"""),"HEART IVORY TRELLIS LARGE")</f>
        <v>HEART IVORY TRELLIS LARGE</v>
      </c>
      <c r="B12" s="2">
        <f>IFERROR(__xludf.DUMMYFUNCTION("""COMPUTED_VALUE"""),12.0)</f>
        <v>12</v>
      </c>
    </row>
    <row r="13">
      <c r="A13" s="2" t="str">
        <f>IFERROR(__xludf.DUMMYFUNCTION("""COMPUTED_VALUE"""),"HEART FILIGREE DOVE LARGE")</f>
        <v>HEART FILIGREE DOVE LARGE</v>
      </c>
      <c r="B13" s="2">
        <f>IFERROR(__xludf.DUMMYFUNCTION("""COMPUTED_VALUE"""),12.0)</f>
        <v>12</v>
      </c>
    </row>
    <row r="14">
      <c r="A14" s="2" t="str">
        <f>IFERROR(__xludf.DUMMYFUNCTION("""COMPUTED_VALUE"""),"FULL ENGLISH BREAKFAST PLATE")</f>
        <v>FULL ENGLISH BREAKFAST PLATE</v>
      </c>
      <c r="B14" s="2">
        <f>IFERROR(__xludf.DUMMYFUNCTION("""COMPUTED_VALUE"""),16.0)</f>
        <v>16</v>
      </c>
    </row>
    <row r="15">
      <c r="A15" s="2" t="str">
        <f>IFERROR(__xludf.DUMMYFUNCTION("""COMPUTED_VALUE"""),"PIZZA PLATE IN BOX")</f>
        <v>PIZZA PLATE IN BOX</v>
      </c>
      <c r="B15" s="2">
        <f>IFERROR(__xludf.DUMMYFUNCTION("""COMPUTED_VALUE"""),4.0)</f>
        <v>4</v>
      </c>
    </row>
    <row r="16">
      <c r="A16" s="2" t="str">
        <f>IFERROR(__xludf.DUMMYFUNCTION("""COMPUTED_VALUE"""),"SET OF 3 BLACK FLYING DUCKS")</f>
        <v>SET OF 3 BLACK FLYING DUCKS</v>
      </c>
      <c r="B16" s="2">
        <f>IFERROR(__xludf.DUMMYFUNCTION("""COMPUTED_VALUE"""),12.0)</f>
        <v>12</v>
      </c>
    </row>
    <row r="17">
      <c r="A17" s="2" t="str">
        <f>IFERROR(__xludf.DUMMYFUNCTION("""COMPUTED_VALUE"""),"AREA PATROLLED METAL SIGN")</f>
        <v>AREA PATROLLED METAL SIGN</v>
      </c>
      <c r="B17" s="2">
        <f>IFERROR(__xludf.DUMMYFUNCTION("""COMPUTED_VALUE"""),12.0)</f>
        <v>12</v>
      </c>
    </row>
    <row r="18">
      <c r="A18" s="2" t="str">
        <f>IFERROR(__xludf.DUMMYFUNCTION("""COMPUTED_VALUE"""),"PLEASE ONE PERSON METAL SIGN")</f>
        <v>PLEASE ONE PERSON METAL SIGN</v>
      </c>
      <c r="B18" s="2">
        <f>IFERROR(__xludf.DUMMYFUNCTION("""COMPUTED_VALUE"""),12.0)</f>
        <v>12</v>
      </c>
      <c r="D18" s="2" t="str">
        <f>IFERROR(__xludf.DUMMYFUNCTION("QUERY(sales_data_cleaned.csv!A:L, ""SELECT AVG(D), MAX(F)"", 1)"),"avg Quantity")</f>
        <v>avg Quantity</v>
      </c>
      <c r="E18" s="2" t="str">
        <f>IFERROR(__xludf.DUMMYFUNCTION("""COMPUTED_VALUE"""),"max Price")</f>
        <v>max Price</v>
      </c>
    </row>
    <row r="19">
      <c r="A19" s="2" t="str">
        <f>IFERROR(__xludf.DUMMYFUNCTION("""COMPUTED_VALUE"""),"CLASSIC WHITE FRAME")</f>
        <v>CLASSIC WHITE FRAME</v>
      </c>
      <c r="B19" s="2">
        <f>IFERROR(__xludf.DUMMYFUNCTION("""COMPUTED_VALUE"""),6.0)</f>
        <v>6</v>
      </c>
      <c r="D19" s="2">
        <f>IFERROR(__xludf.DUMMYFUNCTION("""COMPUTED_VALUE"""),9.298827129015809)</f>
        <v>9.298827129</v>
      </c>
      <c r="E19" s="2">
        <f>IFERROR(__xludf.DUMMYFUNCTION("""COMPUTED_VALUE"""),141.0)</f>
        <v>141</v>
      </c>
    </row>
    <row r="20">
      <c r="A20" s="2" t="str">
        <f>IFERROR(__xludf.DUMMYFUNCTION("""COMPUTED_VALUE"""),"SMALL MARSHMALLOWS PINK BOWL")</f>
        <v>SMALL MARSHMALLOWS PINK BOWL</v>
      </c>
      <c r="B20" s="2">
        <f>IFERROR(__xludf.DUMMYFUNCTION("""COMPUTED_VALUE"""),8.0)</f>
        <v>8</v>
      </c>
    </row>
    <row r="21">
      <c r="A21" s="2" t="str">
        <f>IFERROR(__xludf.DUMMYFUNCTION("""COMPUTED_VALUE"""),"BISCUITS SMALL BOWL LIGHT BLUE")</f>
        <v>BISCUITS SMALL BOWL LIGHT BLUE</v>
      </c>
      <c r="B21" s="2">
        <f>IFERROR(__xludf.DUMMYFUNCTION("""COMPUTED_VALUE"""),8.0)</f>
        <v>8</v>
      </c>
    </row>
    <row r="22">
      <c r="A22" s="2" t="str">
        <f>IFERROR(__xludf.DUMMYFUNCTION("""COMPUTED_VALUE"""),"SCOTTIE DOG HOT WATER BOTTLE")</f>
        <v>SCOTTIE DOG HOT WATER BOTTLE</v>
      </c>
      <c r="B22" s="2">
        <f>IFERROR(__xludf.DUMMYFUNCTION("""COMPUTED_VALUE"""),24.0)</f>
        <v>24</v>
      </c>
    </row>
    <row r="23">
      <c r="A23" s="2" t="str">
        <f>IFERROR(__xludf.DUMMYFUNCTION("""COMPUTED_VALUE"""),"CHRISTMAS CRAFT HEART DECORATIONS")</f>
        <v>CHRISTMAS CRAFT HEART DECORATIONS</v>
      </c>
      <c r="B23" s="2">
        <f>IFERROR(__xludf.DUMMYFUNCTION("""COMPUTED_VALUE"""),6.0)</f>
        <v>6</v>
      </c>
    </row>
    <row r="24">
      <c r="A24" s="2" t="str">
        <f>IFERROR(__xludf.DUMMYFUNCTION("""COMPUTED_VALUE"""),"CHRISTMAS CRAFT HEART STOCKING")</f>
        <v>CHRISTMAS CRAFT HEART STOCKING</v>
      </c>
      <c r="B24" s="2">
        <f>IFERROR(__xludf.DUMMYFUNCTION("""COMPUTED_VALUE"""),6.0)</f>
        <v>6</v>
      </c>
    </row>
    <row r="25">
      <c r="A25" s="2" t="str">
        <f>IFERROR(__xludf.DUMMYFUNCTION("""COMPUTED_VALUE"""),"FLORAL BLUE MONSTER")</f>
        <v>FLORAL BLUE MONSTER</v>
      </c>
      <c r="B25" s="2">
        <f>IFERROR(__xludf.DUMMYFUNCTION("""COMPUTED_VALUE"""),3.0)</f>
        <v>3</v>
      </c>
      <c r="D25" s="2" t="str">
        <f>IFERROR(__xludf.DUMMYFUNCTION("QUERY(sales_data_cleaned.csv!A:L, ""SELECT H, COUNT(A) GROUP BY H"", 1)"),"Country")</f>
        <v>Country</v>
      </c>
      <c r="E25" s="2" t="str">
        <f>IFERROR(__xludf.DUMMYFUNCTION("""COMPUTED_VALUE"""),"count Invoice")</f>
        <v>count Invoice</v>
      </c>
    </row>
    <row r="26">
      <c r="A26" s="2" t="str">
        <f>IFERROR(__xludf.DUMMYFUNCTION("""COMPUTED_VALUE"""),"RETRO COFFEE MUGS ASSORTED")</f>
        <v>RETRO COFFEE MUGS ASSORTED</v>
      </c>
      <c r="B26" s="2">
        <f>IFERROR(__xludf.DUMMYFUNCTION("""COMPUTED_VALUE"""),12.0)</f>
        <v>12</v>
      </c>
      <c r="D26" s="2"/>
      <c r="E26" s="2">
        <f>IFERROR(__xludf.DUMMYFUNCTION("""COMPUTED_VALUE"""),0.0)</f>
        <v>0</v>
      </c>
    </row>
    <row r="27">
      <c r="A27" s="2" t="str">
        <f>IFERROR(__xludf.DUMMYFUNCTION("""COMPUTED_VALUE"""),"STRIPES DESIGN MONKEY DOLL")</f>
        <v>STRIPES DESIGN MONKEY DOLL</v>
      </c>
      <c r="B27" s="2">
        <f>IFERROR(__xludf.DUMMYFUNCTION("""COMPUTED_VALUE"""),6.0)</f>
        <v>6</v>
      </c>
      <c r="D27" s="2" t="str">
        <f>IFERROR(__xludf.DUMMYFUNCTION("""COMPUTED_VALUE"""),"Australia")</f>
        <v>Australia</v>
      </c>
      <c r="E27" s="2">
        <f>IFERROR(__xludf.DUMMYFUNCTION("""COMPUTED_VALUE"""),9.0)</f>
        <v>9</v>
      </c>
    </row>
    <row r="28">
      <c r="A28" s="2" t="str">
        <f>IFERROR(__xludf.DUMMYFUNCTION("""COMPUTED_VALUE"""),"BLUE PADDED SOFT MOBILE")</f>
        <v>BLUE PADDED SOFT MOBILE</v>
      </c>
      <c r="B28" s="2">
        <f>IFERROR(__xludf.DUMMYFUNCTION("""COMPUTED_VALUE"""),3.0)</f>
        <v>3</v>
      </c>
      <c r="D28" s="2" t="str">
        <f>IFERROR(__xludf.DUMMYFUNCTION("""COMPUTED_VALUE"""),"Belgium")</f>
        <v>Belgium</v>
      </c>
      <c r="E28" s="2">
        <f>IFERROR(__xludf.DUMMYFUNCTION("""COMPUTED_VALUE"""),1.0)</f>
        <v>1</v>
      </c>
    </row>
    <row r="29">
      <c r="A29" s="2" t="str">
        <f>IFERROR(__xludf.DUMMYFUNCTION("""COMPUTED_VALUE"""),"PINK BLUE FELT CRAFT TRINKET BOX")</f>
        <v>PINK BLUE FELT CRAFT TRINKET BOX</v>
      </c>
      <c r="B29" s="2">
        <f>IFERROR(__xludf.DUMMYFUNCTION("""COMPUTED_VALUE"""),12.0)</f>
        <v>12</v>
      </c>
      <c r="D29" s="2" t="str">
        <f>IFERROR(__xludf.DUMMYFUNCTION("""COMPUTED_VALUE"""),"EIRE")</f>
        <v>EIRE</v>
      </c>
      <c r="E29" s="2">
        <f>IFERROR(__xludf.DUMMYFUNCTION("""COMPUTED_VALUE"""),86.0)</f>
        <v>86</v>
      </c>
    </row>
    <row r="30">
      <c r="A30" s="2" t="str">
        <f>IFERROR(__xludf.DUMMYFUNCTION("""COMPUTED_VALUE"""),"FELTCRAFT DOLL ROSIE")</f>
        <v>FELTCRAFT DOLL ROSIE</v>
      </c>
      <c r="B30" s="2">
        <f>IFERROR(__xludf.DUMMYFUNCTION("""COMPUTED_VALUE"""),6.0)</f>
        <v>6</v>
      </c>
      <c r="D30" s="2" t="str">
        <f>IFERROR(__xludf.DUMMYFUNCTION("""COMPUTED_VALUE"""),"France")</f>
        <v>France</v>
      </c>
      <c r="E30" s="2">
        <f>IFERROR(__xludf.DUMMYFUNCTION("""COMPUTED_VALUE"""),40.0)</f>
        <v>40</v>
      </c>
    </row>
    <row r="31">
      <c r="A31" s="2" t="str">
        <f>IFERROR(__xludf.DUMMYFUNCTION("""COMPUTED_VALUE"""),"FELTCRAFT DOLL MARIA")</f>
        <v>FELTCRAFT DOLL MARIA</v>
      </c>
      <c r="B31" s="2">
        <f>IFERROR(__xludf.DUMMYFUNCTION("""COMPUTED_VALUE"""),6.0)</f>
        <v>6</v>
      </c>
      <c r="D31" s="2" t="str">
        <f>IFERROR(__xludf.DUMMYFUNCTION("""COMPUTED_VALUE"""),"Germany")</f>
        <v>Germany</v>
      </c>
      <c r="E31" s="2">
        <f>IFERROR(__xludf.DUMMYFUNCTION("""COMPUTED_VALUE"""),44.0)</f>
        <v>44</v>
      </c>
    </row>
    <row r="32">
      <c r="A32" s="2" t="str">
        <f>IFERROR(__xludf.DUMMYFUNCTION("""COMPUTED_VALUE"""),"FELTCRAFT DOLL EMILY")</f>
        <v>FELTCRAFT DOLL EMILY</v>
      </c>
      <c r="B32" s="2">
        <f>IFERROR(__xludf.DUMMYFUNCTION("""COMPUTED_VALUE"""),6.0)</f>
        <v>6</v>
      </c>
      <c r="D32" s="2" t="str">
        <f>IFERROR(__xludf.DUMMYFUNCTION("""COMPUTED_VALUE"""),"USA")</f>
        <v>USA</v>
      </c>
      <c r="E32" s="2">
        <f>IFERROR(__xludf.DUMMYFUNCTION("""COMPUTED_VALUE"""),1.0)</f>
        <v>1</v>
      </c>
    </row>
    <row r="33">
      <c r="A33" s="2" t="str">
        <f>IFERROR(__xludf.DUMMYFUNCTION("""COMPUTED_VALUE"""),"VINTAGE SNAKES &amp; LADDERS")</f>
        <v>VINTAGE SNAKES &amp; LADDERS</v>
      </c>
      <c r="B33" s="2">
        <f>IFERROR(__xludf.DUMMYFUNCTION("""COMPUTED_VALUE"""),4.0)</f>
        <v>4</v>
      </c>
      <c r="D33" s="2" t="str">
        <f>IFERROR(__xludf.DUMMYFUNCTION("""COMPUTED_VALUE"""),"United Kingdom")</f>
        <v>United Kingdom</v>
      </c>
      <c r="E33" s="2">
        <f>IFERROR(__xludf.DUMMYFUNCTION("""COMPUTED_VALUE"""),1696.0)</f>
        <v>1696</v>
      </c>
    </row>
    <row r="34">
      <c r="A34" s="2" t="str">
        <f>IFERROR(__xludf.DUMMYFUNCTION("""COMPUTED_VALUE"""),"SCOTTIE DOG HOT WATER BOTTLE")</f>
        <v>SCOTTIE DOG HOT WATER BOTTLE</v>
      </c>
      <c r="B34" s="2">
        <f>IFERROR(__xludf.DUMMYFUNCTION("""COMPUTED_VALUE"""),3.0)</f>
        <v>3</v>
      </c>
    </row>
    <row r="35">
      <c r="A35" s="2" t="str">
        <f>IFERROR(__xludf.DUMMYFUNCTION("""COMPUTED_VALUE"""),"CHOCOLATE HOT WATER BOTTLE")</f>
        <v>CHOCOLATE HOT WATER BOTTLE</v>
      </c>
      <c r="B35" s="2">
        <f>IFERROR(__xludf.DUMMYFUNCTION("""COMPUTED_VALUE"""),3.0)</f>
        <v>3</v>
      </c>
    </row>
    <row r="36">
      <c r="A36" s="2" t="str">
        <f>IFERROR(__xludf.DUMMYFUNCTION("""COMPUTED_VALUE"""),"SET OF MEADOW FLOWER STICKERS")</f>
        <v>SET OF MEADOW FLOWER STICKERS</v>
      </c>
      <c r="B36" s="2">
        <f>IFERROR(__xludf.DUMMYFUNCTION("""COMPUTED_VALUE"""),30.0)</f>
        <v>30</v>
      </c>
    </row>
    <row r="37">
      <c r="A37" s="2" t="str">
        <f>IFERROR(__xludf.DUMMYFUNCTION("""COMPUTED_VALUE"""),"CHARLIE AND LOLA CHARLOTTE BAG")</f>
        <v>CHARLIE AND LOLA CHARLOTTE BAG</v>
      </c>
      <c r="B37" s="2">
        <f>IFERROR(__xludf.DUMMYFUNCTION("""COMPUTED_VALUE"""),30.0)</f>
        <v>30</v>
      </c>
    </row>
    <row r="38">
      <c r="A38" s="2" t="str">
        <f>IFERROR(__xludf.DUMMYFUNCTION("""COMPUTED_VALUE"""),"JUMBO BAG CHARLIE AND LOLA TOYS")</f>
        <v>JUMBO BAG CHARLIE AND LOLA TOYS</v>
      </c>
      <c r="B38" s="2">
        <f>IFERROR(__xludf.DUMMYFUNCTION("""COMPUTED_VALUE"""),30.0)</f>
        <v>30</v>
      </c>
    </row>
    <row r="39">
      <c r="A39" s="2" t="str">
        <f>IFERROR(__xludf.DUMMYFUNCTION("""COMPUTED_VALUE"""),"JUMBO BAG TOYS")</f>
        <v>JUMBO BAG TOYS</v>
      </c>
      <c r="B39" s="2">
        <f>IFERROR(__xludf.DUMMYFUNCTION("""COMPUTED_VALUE"""),60.0)</f>
        <v>60</v>
      </c>
    </row>
    <row r="40">
      <c r="A40" s="2" t="str">
        <f>IFERROR(__xludf.DUMMYFUNCTION("""COMPUTED_VALUE"""),"COUNTRY COTTAGE DOORSTOP GREEN")</f>
        <v>COUNTRY COTTAGE DOORSTOP GREEN</v>
      </c>
      <c r="B40" s="2">
        <f>IFERROR(__xludf.DUMMYFUNCTION("""COMPUTED_VALUE"""),32.0)</f>
        <v>32</v>
      </c>
    </row>
    <row r="41">
      <c r="A41" s="2" t="str">
        <f>IFERROR(__xludf.DUMMYFUNCTION("""COMPUTED_VALUE"""),"GINGHAM HEART DOORSTOP RED")</f>
        <v>GINGHAM HEART DOORSTOP RED</v>
      </c>
      <c r="B41" s="2">
        <f>IFERROR(__xludf.DUMMYFUNCTION("""COMPUTED_VALUE"""),32.0)</f>
        <v>32</v>
      </c>
    </row>
    <row r="42">
      <c r="A42" s="2" t="str">
        <f>IFERROR(__xludf.DUMMYFUNCTION("""COMPUTED_VALUE"""),"CHARLIE+LOLA RED HOT WATER BOTTLE")</f>
        <v>CHARLIE+LOLA RED HOT WATER BOTTLE</v>
      </c>
      <c r="B42" s="2">
        <f>IFERROR(__xludf.DUMMYFUNCTION("""COMPUTED_VALUE"""),56.0)</f>
        <v>56</v>
      </c>
    </row>
    <row r="43">
      <c r="A43" s="2" t="str">
        <f>IFERROR(__xludf.DUMMYFUNCTION("""COMPUTED_VALUE"""),"CHARLIE LOLA BLUE HOT WATER BOTTLE")</f>
        <v>CHARLIE LOLA BLUE HOT WATER BOTTLE</v>
      </c>
      <c r="B43" s="2">
        <f>IFERROR(__xludf.DUMMYFUNCTION("""COMPUTED_VALUE"""),56.0)</f>
        <v>56</v>
      </c>
    </row>
    <row r="44">
      <c r="A44" s="2" t="str">
        <f>IFERROR(__xludf.DUMMYFUNCTION("""COMPUTED_VALUE"""),"CHARLIE+LOLA PINK HOT WATER BOTTLE")</f>
        <v>CHARLIE+LOLA PINK HOT WATER BOTTLE</v>
      </c>
      <c r="B44" s="2">
        <f>IFERROR(__xludf.DUMMYFUNCTION("""COMPUTED_VALUE"""),60.0)</f>
        <v>60</v>
      </c>
    </row>
    <row r="45">
      <c r="A45" s="2" t="str">
        <f>IFERROR(__xludf.DUMMYFUNCTION("""COMPUTED_VALUE"""),"CHARLIE + LOLA RED HOT WATER BOTTLE")</f>
        <v>CHARLIE + LOLA RED HOT WATER BOTTLE</v>
      </c>
      <c r="B45" s="2">
        <f>IFERROR(__xludf.DUMMYFUNCTION("""COMPUTED_VALUE"""),56.0)</f>
        <v>56</v>
      </c>
    </row>
    <row r="46">
      <c r="A46" s="2" t="str">
        <f>IFERROR(__xludf.DUMMYFUNCTION("""COMPUTED_VALUE"""),"TOMATO CHARLIE+LOLA COASTER SET")</f>
        <v>TOMATO CHARLIE+LOLA COASTER SET</v>
      </c>
      <c r="B46" s="2">
        <f>IFERROR(__xludf.DUMMYFUNCTION("""COMPUTED_VALUE"""),56.0)</f>
        <v>56</v>
      </c>
    </row>
    <row r="47">
      <c r="A47" s="2" t="str">
        <f>IFERROR(__xludf.DUMMYFUNCTION("""COMPUTED_VALUE"""),"CARROT CHARLIE+LOLA COASTER SET")</f>
        <v>CARROT CHARLIE+LOLA COASTER SET</v>
      </c>
      <c r="B47" s="2">
        <f>IFERROR(__xludf.DUMMYFUNCTION("""COMPUTED_VALUE"""),60.0)</f>
        <v>60</v>
      </c>
    </row>
    <row r="48">
      <c r="A48" s="2" t="str">
        <f>IFERROR(__xludf.DUMMYFUNCTION("""COMPUTED_VALUE"""),"CHARLIE &amp; LOLA WASTEPAPER BIN BLUE")</f>
        <v>CHARLIE &amp; LOLA WASTEPAPER BIN BLUE</v>
      </c>
      <c r="B48" s="2">
        <f>IFERROR(__xludf.DUMMYFUNCTION("""COMPUTED_VALUE"""),60.0)</f>
        <v>60</v>
      </c>
    </row>
    <row r="49">
      <c r="A49" s="2" t="str">
        <f>IFERROR(__xludf.DUMMYFUNCTION("""COMPUTED_VALUE"""),"CHARLIE &amp; LOLA WASTEPAPER BIN FLORA")</f>
        <v>CHARLIE &amp; LOLA WASTEPAPER BIN FLORA</v>
      </c>
      <c r="B49" s="2">
        <f>IFERROR(__xludf.DUMMYFUNCTION("""COMPUTED_VALUE"""),60.0)</f>
        <v>60</v>
      </c>
    </row>
    <row r="50">
      <c r="A50" s="2" t="str">
        <f>IFERROR(__xludf.DUMMYFUNCTION("""COMPUTED_VALUE"""),"CHRISTMAS PUDDING TRINKET POT")</f>
        <v>CHRISTMAS PUDDING TRINKET POT</v>
      </c>
      <c r="B50" s="2">
        <f>IFERROR(__xludf.DUMMYFUNCTION("""COMPUTED_VALUE"""),12.0)</f>
        <v>12</v>
      </c>
    </row>
    <row r="51">
      <c r="A51" s="2" t="str">
        <f>IFERROR(__xludf.DUMMYFUNCTION("""COMPUTED_VALUE"""),"BAKING SET 9 PIECE RETROSPOT")</f>
        <v>BAKING SET 9 PIECE RETROSPOT</v>
      </c>
      <c r="B51" s="2">
        <f>IFERROR(__xludf.DUMMYFUNCTION("""COMPUTED_VALUE"""),9.0)</f>
        <v>9</v>
      </c>
    </row>
    <row r="52">
      <c r="A52" s="2" t="str">
        <f>IFERROR(__xludf.DUMMYFUNCTION("""COMPUTED_VALUE"""),"RETRO SPOT TEA SET CERAMIC 11 PC")</f>
        <v>RETRO SPOT TEA SET CERAMIC 11 PC</v>
      </c>
      <c r="B52" s="2">
        <f>IFERROR(__xludf.DUMMYFUNCTION("""COMPUTED_VALUE"""),9.0)</f>
        <v>9</v>
      </c>
    </row>
    <row r="53">
      <c r="A53" s="2" t="str">
        <f>IFERROR(__xludf.DUMMYFUNCTION("""COMPUTED_VALUE"""),"LUNCHBOX WITH CUTLERY RETROSPOT")</f>
        <v>LUNCHBOX WITH CUTLERY RETROSPOT</v>
      </c>
      <c r="B53" s="2">
        <f>IFERROR(__xludf.DUMMYFUNCTION("""COMPUTED_VALUE"""),12.0)</f>
        <v>12</v>
      </c>
    </row>
    <row r="54">
      <c r="A54" s="2" t="str">
        <f>IFERROR(__xludf.DUMMYFUNCTION("""COMPUTED_VALUE"""),"SET OF THREE VINTAGE GIFT WRAPS")</f>
        <v>SET OF THREE VINTAGE GIFT WRAPS</v>
      </c>
      <c r="B54" s="2">
        <f>IFERROR(__xludf.DUMMYFUNCTION("""COMPUTED_VALUE"""),6.0)</f>
        <v>6</v>
      </c>
    </row>
    <row r="55">
      <c r="A55" s="2" t="str">
        <f>IFERROR(__xludf.DUMMYFUNCTION("""COMPUTED_VALUE"""),"RETRO SPORT PARTY BAG + STICKER SET")</f>
        <v>RETRO SPORT PARTY BAG + STICKER SET</v>
      </c>
      <c r="B55" s="2">
        <f>IFERROR(__xludf.DUMMYFUNCTION("""COMPUTED_VALUE"""),8.0)</f>
        <v>8</v>
      </c>
    </row>
    <row r="56">
      <c r="A56" s="2" t="str">
        <f>IFERROR(__xludf.DUMMYFUNCTION("""COMPUTED_VALUE"""),"PINK DOUGHNUT TRINKET POT")</f>
        <v>PINK DOUGHNUT TRINKET POT</v>
      </c>
      <c r="B56" s="2">
        <f>IFERROR(__xludf.DUMMYFUNCTION("""COMPUTED_VALUE"""),12.0)</f>
        <v>12</v>
      </c>
    </row>
    <row r="57">
      <c r="A57" s="2" t="str">
        <f>IFERROR(__xludf.DUMMYFUNCTION("""COMPUTED_VALUE"""),"RED TOADSTOOL LED NIGHT LIGHT")</f>
        <v>RED TOADSTOOL LED NIGHT LIGHT</v>
      </c>
      <c r="B57" s="2">
        <f>IFERROR(__xludf.DUMMYFUNCTION("""COMPUTED_VALUE"""),24.0)</f>
        <v>24</v>
      </c>
    </row>
    <row r="58">
      <c r="A58" s="2" t="str">
        <f>IFERROR(__xludf.DUMMYFUNCTION("""COMPUTED_VALUE"""),"SET/3 RUSSIAN DOLL STACKING TINS")</f>
        <v>SET/3 RUSSIAN DOLL STACKING TINS</v>
      </c>
      <c r="B58" s="2">
        <f>IFERROR(__xludf.DUMMYFUNCTION("""COMPUTED_VALUE"""),6.0)</f>
        <v>6</v>
      </c>
    </row>
    <row r="59">
      <c r="A59" s="2" t="str">
        <f>IFERROR(__xludf.DUMMYFUNCTION("""COMPUTED_VALUE"""),"CAT BOWL")</f>
        <v>CAT BOWL</v>
      </c>
      <c r="B59" s="2">
        <f>IFERROR(__xludf.DUMMYFUNCTION("""COMPUTED_VALUE"""),8.0)</f>
        <v>8</v>
      </c>
    </row>
    <row r="60">
      <c r="A60" s="2" t="str">
        <f>IFERROR(__xludf.DUMMYFUNCTION("""COMPUTED_VALUE"""),"DOG BOWL , CHASING BALL DESIGN")</f>
        <v>DOG BOWL , CHASING BALL DESIGN</v>
      </c>
      <c r="B60" s="2">
        <f>IFERROR(__xludf.DUMMYFUNCTION("""COMPUTED_VALUE"""),8.0)</f>
        <v>8</v>
      </c>
    </row>
    <row r="61">
      <c r="A61" s="2" t="str">
        <f>IFERROR(__xludf.DUMMYFUNCTION("""COMPUTED_VALUE"""),"BAKING SET 9 PIECE RETROSPOT")</f>
        <v>BAKING SET 9 PIECE RETROSPOT</v>
      </c>
      <c r="B61" s="2">
        <f>IFERROR(__xludf.DUMMYFUNCTION("""COMPUTED_VALUE"""),6.0)</f>
        <v>6</v>
      </c>
    </row>
    <row r="62">
      <c r="A62" s="2" t="str">
        <f>IFERROR(__xludf.DUMMYFUNCTION("""COMPUTED_VALUE"""),"RED WOOLLY HOTTIE WHITE HEART.")</f>
        <v>RED WOOLLY HOTTIE WHITE HEART.</v>
      </c>
      <c r="B62" s="2">
        <f>IFERROR(__xludf.DUMMYFUNCTION("""COMPUTED_VALUE"""),36.0)</f>
        <v>36</v>
      </c>
    </row>
    <row r="63">
      <c r="A63" s="2" t="str">
        <f>IFERROR(__xludf.DUMMYFUNCTION("""COMPUTED_VALUE"""),"SCOTTIE DOG HOT WATER BOTTLE")</f>
        <v>SCOTTIE DOG HOT WATER BOTTLE</v>
      </c>
      <c r="B63" s="2">
        <f>IFERROR(__xludf.DUMMYFUNCTION("""COMPUTED_VALUE"""),48.0)</f>
        <v>48</v>
      </c>
    </row>
    <row r="64">
      <c r="A64" s="2" t="str">
        <f>IFERROR(__xludf.DUMMYFUNCTION("""COMPUTED_VALUE"""),"SCOTTIE DOG HOT WATER BOTTLE")</f>
        <v>SCOTTIE DOG HOT WATER BOTTLE</v>
      </c>
      <c r="B64" s="2">
        <f>IFERROR(__xludf.DUMMYFUNCTION("""COMPUTED_VALUE"""),3.0)</f>
        <v>3</v>
      </c>
    </row>
    <row r="65">
      <c r="A65" s="2" t="str">
        <f>IFERROR(__xludf.DUMMYFUNCTION("""COMPUTED_VALUE"""),"HEART IVORY TRELLIS LARGE")</f>
        <v>HEART IVORY TRELLIS LARGE</v>
      </c>
      <c r="B65" s="2">
        <f>IFERROR(__xludf.DUMMYFUNCTION("""COMPUTED_VALUE"""),12.0)</f>
        <v>12</v>
      </c>
    </row>
    <row r="66">
      <c r="A66" s="2" t="str">
        <f>IFERROR(__xludf.DUMMYFUNCTION("""COMPUTED_VALUE"""),"YELLOW + BROWN BEAR FELT PURSE KIT")</f>
        <v>YELLOW + BROWN BEAR FELT PURSE KIT</v>
      </c>
      <c r="B66" s="2">
        <f>IFERROR(__xludf.DUMMYFUNCTION("""COMPUTED_VALUE"""),12.0)</f>
        <v>12</v>
      </c>
    </row>
    <row r="67">
      <c r="A67" s="2" t="str">
        <f>IFERROR(__xludf.DUMMYFUNCTION("""COMPUTED_VALUE"""),"FELTCRAFT DOLL ROSIE")</f>
        <v>FELTCRAFT DOLL ROSIE</v>
      </c>
      <c r="B67" s="2">
        <f>IFERROR(__xludf.DUMMYFUNCTION("""COMPUTED_VALUE"""),6.0)</f>
        <v>6</v>
      </c>
    </row>
    <row r="68">
      <c r="A68" s="2" t="str">
        <f>IFERROR(__xludf.DUMMYFUNCTION("""COMPUTED_VALUE"""),"FELTCRAFT DOLL MARIA")</f>
        <v>FELTCRAFT DOLL MARIA</v>
      </c>
      <c r="B68" s="2">
        <f>IFERROR(__xludf.DUMMYFUNCTION("""COMPUTED_VALUE"""),6.0)</f>
        <v>6</v>
      </c>
    </row>
    <row r="69">
      <c r="A69" s="2" t="str">
        <f>IFERROR(__xludf.DUMMYFUNCTION("""COMPUTED_VALUE"""),"WHITE HANGING HEART T-LIGHT HOLDER")</f>
        <v>WHITE HANGING HEART T-LIGHT HOLDER</v>
      </c>
      <c r="B69" s="2">
        <f>IFERROR(__xludf.DUMMYFUNCTION("""COMPUTED_VALUE"""),6.0)</f>
        <v>6</v>
      </c>
    </row>
    <row r="70">
      <c r="A70" s="2" t="str">
        <f>IFERROR(__xludf.DUMMYFUNCTION("""COMPUTED_VALUE"""),"KINGS CHOICE SMALL TUBE MATCHES")</f>
        <v>KINGS CHOICE SMALL TUBE MATCHES</v>
      </c>
      <c r="B70" s="2">
        <f>IFERROR(__xludf.DUMMYFUNCTION("""COMPUTED_VALUE"""),20.0)</f>
        <v>20</v>
      </c>
    </row>
    <row r="71">
      <c r="A71" s="2" t="str">
        <f>IFERROR(__xludf.DUMMYFUNCTION("""COMPUTED_VALUE"""),"KINGS CHOICE GIANT TUBE MATCHES")</f>
        <v>KINGS CHOICE GIANT TUBE MATCHES</v>
      </c>
      <c r="B71" s="2">
        <f>IFERROR(__xludf.DUMMYFUNCTION("""COMPUTED_VALUE"""),12.0)</f>
        <v>12</v>
      </c>
    </row>
    <row r="72">
      <c r="A72" s="2" t="str">
        <f>IFERROR(__xludf.DUMMYFUNCTION("""COMPUTED_VALUE"""),"KINGS CHOICE CIGAR BOX MATCHES")</f>
        <v>KINGS CHOICE CIGAR BOX MATCHES</v>
      </c>
      <c r="B72" s="2">
        <f>IFERROR(__xludf.DUMMYFUNCTION("""COMPUTED_VALUE"""),48.0)</f>
        <v>48</v>
      </c>
    </row>
    <row r="73">
      <c r="A73" s="2" t="str">
        <f>IFERROR(__xludf.DUMMYFUNCTION("""COMPUTED_VALUE"""),"EMPIRE TISSUE BOX")</f>
        <v>EMPIRE TISSUE BOX</v>
      </c>
      <c r="B73" s="2">
        <f>IFERROR(__xludf.DUMMYFUNCTION("""COMPUTED_VALUE"""),12.0)</f>
        <v>12</v>
      </c>
    </row>
    <row r="74">
      <c r="A74" s="2" t="str">
        <f>IFERROR(__xludf.DUMMYFUNCTION("""COMPUTED_VALUE"""),"SET3 BOOK BOX GREEN GINGHAM FLOWER")</f>
        <v>SET3 BOOK BOX GREEN GINGHAM FLOWER</v>
      </c>
      <c r="B74" s="2">
        <f>IFERROR(__xludf.DUMMYFUNCTION("""COMPUTED_VALUE"""),4.0)</f>
        <v>4</v>
      </c>
    </row>
    <row r="75">
      <c r="A75" s="2" t="str">
        <f>IFERROR(__xludf.DUMMYFUNCTION("""COMPUTED_VALUE"""),"SET/3 RED GINGHAM ROSE STORAGE BOX")</f>
        <v>SET/3 RED GINGHAM ROSE STORAGE BOX</v>
      </c>
      <c r="B75" s="2">
        <f>IFERROR(__xludf.DUMMYFUNCTION("""COMPUTED_VALUE"""),4.0)</f>
        <v>4</v>
      </c>
    </row>
    <row r="76">
      <c r="A76" s="2" t="str">
        <f>IFERROR(__xludf.DUMMYFUNCTION("""COMPUTED_VALUE"""),"BINGO SET")</f>
        <v>BINGO SET</v>
      </c>
      <c r="B76" s="2">
        <f>IFERROR(__xludf.DUMMYFUNCTION("""COMPUTED_VALUE"""),8.0)</f>
        <v>8</v>
      </c>
    </row>
    <row r="77">
      <c r="A77" s="2" t="str">
        <f>IFERROR(__xludf.DUMMYFUNCTION("""COMPUTED_VALUE"""),"VICTORIAN SEWING KIT")</f>
        <v>VICTORIAN SEWING KIT</v>
      </c>
      <c r="B77" s="2">
        <f>IFERROR(__xludf.DUMMYFUNCTION("""COMPUTED_VALUE"""),12.0)</f>
        <v>12</v>
      </c>
    </row>
    <row r="78">
      <c r="A78" s="2" t="str">
        <f>IFERROR(__xludf.DUMMYFUNCTION("""COMPUTED_VALUE"""),"RETRO RED SPOTTY WASHING UP GLOVES")</f>
        <v>RETRO RED SPOTTY WASHING UP GLOVES</v>
      </c>
      <c r="B78" s="2">
        <f>IFERROR(__xludf.DUMMYFUNCTION("""COMPUTED_VALUE"""),6.0)</f>
        <v>6</v>
      </c>
    </row>
    <row r="79">
      <c r="A79" s="2" t="str">
        <f>IFERROR(__xludf.DUMMYFUNCTION("""COMPUTED_VALUE"""),"SET/2 RED SPOTTY TEA TOWELS")</f>
        <v>SET/2 RED SPOTTY TEA TOWELS</v>
      </c>
      <c r="B79" s="2">
        <f>IFERROR(__xludf.DUMMYFUNCTION("""COMPUTED_VALUE"""),12.0)</f>
        <v>12</v>
      </c>
    </row>
    <row r="80">
      <c r="A80" s="2" t="str">
        <f>IFERROR(__xludf.DUMMYFUNCTION("""COMPUTED_VALUE"""),"RECORD FRAME 7"" SINGLE SIZE")</f>
        <v>RECORD FRAME 7" SINGLE SIZE</v>
      </c>
      <c r="B80" s="2">
        <f>IFERROR(__xludf.DUMMYFUNCTION("""COMPUTED_VALUE"""),48.0)</f>
        <v>48</v>
      </c>
    </row>
    <row r="81">
      <c r="A81" s="2" t="str">
        <f>IFERROR(__xludf.DUMMYFUNCTION("""COMPUTED_VALUE"""),"VINYL RECORD FRAME SILVER")</f>
        <v>VINYL RECORD FRAME SILVER</v>
      </c>
      <c r="B81" s="2">
        <f>IFERROR(__xludf.DUMMYFUNCTION("""COMPUTED_VALUE"""),24.0)</f>
        <v>24</v>
      </c>
    </row>
    <row r="82">
      <c r="A82" s="2" t="str">
        <f>IFERROR(__xludf.DUMMYFUNCTION("""COMPUTED_VALUE"""),"LADIES &amp; GENTLEMEN METAL SIGN")</f>
        <v>LADIES &amp; GENTLEMEN METAL SIGN</v>
      </c>
      <c r="B82" s="2">
        <f>IFERROR(__xludf.DUMMYFUNCTION("""COMPUTED_VALUE"""),12.0)</f>
        <v>12</v>
      </c>
    </row>
    <row r="83">
      <c r="A83" s="2" t="str">
        <f>IFERROR(__xludf.DUMMYFUNCTION("""COMPUTED_VALUE"""),"RED SPOTTY OVEN GLOVE DOUBLE")</f>
        <v>RED SPOTTY OVEN GLOVE DOUBLE</v>
      </c>
      <c r="B83" s="2">
        <f>IFERROR(__xludf.DUMMYFUNCTION("""COMPUTED_VALUE"""),6.0)</f>
        <v>6</v>
      </c>
    </row>
    <row r="84">
      <c r="A84" s="2" t="str">
        <f>IFERROR(__xludf.DUMMYFUNCTION("""COMPUTED_VALUE"""),"PARTY CONES CANDY ASSORTED")</f>
        <v>PARTY CONES CANDY ASSORTED</v>
      </c>
      <c r="B84" s="2">
        <f>IFERROR(__xludf.DUMMYFUNCTION("""COMPUTED_VALUE"""),12.0)</f>
        <v>12</v>
      </c>
    </row>
    <row r="85">
      <c r="A85" s="2" t="str">
        <f>IFERROR(__xludf.DUMMYFUNCTION("""COMPUTED_VALUE"""),"HEART STRING MEMO HOLDER HANGING")</f>
        <v>HEART STRING MEMO HOLDER HANGING</v>
      </c>
      <c r="B85" s="2">
        <f>IFERROR(__xludf.DUMMYFUNCTION("""COMPUTED_VALUE"""),6.0)</f>
        <v>6</v>
      </c>
    </row>
    <row r="86">
      <c r="A86" s="2" t="str">
        <f>IFERROR(__xludf.DUMMYFUNCTION("""COMPUTED_VALUE"""),"6 CROCHET STRAWBERRIES")</f>
        <v>6 CROCHET STRAWBERRIES</v>
      </c>
      <c r="B86" s="2">
        <f>IFERROR(__xludf.DUMMYFUNCTION("""COMPUTED_VALUE"""),12.0)</f>
        <v>12</v>
      </c>
    </row>
    <row r="87">
      <c r="A87" s="2" t="str">
        <f>IFERROR(__xludf.DUMMYFUNCTION("""COMPUTED_VALUE"""),"SET OF 72 PINK HEART PAPER DOILIES")</f>
        <v>SET OF 72 PINK HEART PAPER DOILIES</v>
      </c>
      <c r="B87" s="2">
        <f>IFERROR(__xludf.DUMMYFUNCTION("""COMPUTED_VALUE"""),12.0)</f>
        <v>12</v>
      </c>
    </row>
    <row r="88">
      <c r="A88" s="2" t="str">
        <f>IFERROR(__xludf.DUMMYFUNCTION("""COMPUTED_VALUE"""),"WHITE TALL PORCELAIN T-LIGHT HOLDER")</f>
        <v>WHITE TALL PORCELAIN T-LIGHT HOLDER</v>
      </c>
      <c r="B88" s="2">
        <f>IFERROR(__xludf.DUMMYFUNCTION("""COMPUTED_VALUE"""),6.0)</f>
        <v>6</v>
      </c>
    </row>
    <row r="89">
      <c r="A89" s="2" t="str">
        <f>IFERROR(__xludf.DUMMYFUNCTION("""COMPUTED_VALUE"""),"BAKING SET 9 PIECE RETROSPOT")</f>
        <v>BAKING SET 9 PIECE RETROSPOT</v>
      </c>
      <c r="B89" s="2">
        <f>IFERROR(__xludf.DUMMYFUNCTION("""COMPUTED_VALUE"""),3.0)</f>
        <v>3</v>
      </c>
    </row>
    <row r="90">
      <c r="A90" s="2" t="str">
        <f>IFERROR(__xludf.DUMMYFUNCTION("""COMPUTED_VALUE"""),"JUMBO BAG PINK VINTAGE PAISLEY")</f>
        <v>JUMBO BAG PINK VINTAGE PAISLEY</v>
      </c>
      <c r="B90" s="2">
        <f>IFERROR(__xludf.DUMMYFUNCTION("""COMPUTED_VALUE"""),10.0)</f>
        <v>10</v>
      </c>
    </row>
    <row r="91">
      <c r="A91" s="2" t="str">
        <f>IFERROR(__xludf.DUMMYFUNCTION("""COMPUTED_VALUE"""),"GARLAND , WOODEN "" HAPPY EASTER""")</f>
        <v>GARLAND , WOODEN " HAPPY EASTER"</v>
      </c>
      <c r="B91" s="2">
        <f>IFERROR(__xludf.DUMMYFUNCTION("""COMPUTED_VALUE"""),24.0)</f>
        <v>24</v>
      </c>
    </row>
    <row r="92">
      <c r="A92" s="2" t="str">
        <f>IFERROR(__xludf.DUMMYFUNCTION("""COMPUTED_VALUE"""),"RED HANGING HEART T-LIGHT HOLDER")</f>
        <v>RED HANGING HEART T-LIGHT HOLDER</v>
      </c>
      <c r="B92" s="2">
        <f>IFERROR(__xludf.DUMMYFUNCTION("""COMPUTED_VALUE"""),32.0)</f>
        <v>32</v>
      </c>
    </row>
    <row r="93">
      <c r="A93" s="2" t="str">
        <f>IFERROR(__xludf.DUMMYFUNCTION("""COMPUTED_VALUE"""),"WHITE HANGING HEART T-LIGHT HOLDER")</f>
        <v>WHITE HANGING HEART T-LIGHT HOLDER</v>
      </c>
      <c r="B93" s="2">
        <f>IFERROR(__xludf.DUMMYFUNCTION("""COMPUTED_VALUE"""),32.0)</f>
        <v>32</v>
      </c>
    </row>
    <row r="94">
      <c r="A94" s="2" t="str">
        <f>IFERROR(__xludf.DUMMYFUNCTION("""COMPUTED_VALUE"""),"VICTORIAN GLASS HANGING T-LIGHT")</f>
        <v>VICTORIAN GLASS HANGING T-LIGHT</v>
      </c>
      <c r="B94" s="2">
        <f>IFERROR(__xludf.DUMMYFUNCTION("""COMPUTED_VALUE"""),12.0)</f>
        <v>12</v>
      </c>
    </row>
    <row r="95">
      <c r="A95" s="2" t="str">
        <f>IFERROR(__xludf.DUMMYFUNCTION("""COMPUTED_VALUE"""),"RED SPOT CERAMIC DRAWER KNOB")</f>
        <v>RED SPOT CERAMIC DRAWER KNOB</v>
      </c>
      <c r="B95" s="2">
        <f>IFERROR(__xludf.DUMMYFUNCTION("""COMPUTED_VALUE"""),12.0)</f>
        <v>12</v>
      </c>
    </row>
    <row r="96">
      <c r="A96" s="2" t="str">
        <f>IFERROR(__xludf.DUMMYFUNCTION("""COMPUTED_VALUE"""),"PAPER CHAIN KIT 50'S CHRISTMAS")</f>
        <v>PAPER CHAIN KIT 50'S CHRISTMAS</v>
      </c>
      <c r="B96" s="2">
        <f>IFERROR(__xludf.DUMMYFUNCTION("""COMPUTED_VALUE"""),12.0)</f>
        <v>12</v>
      </c>
    </row>
    <row r="97">
      <c r="A97" s="2" t="str">
        <f>IFERROR(__xludf.DUMMYFUNCTION("""COMPUTED_VALUE"""),"SCOTTIE DOG HOT WATER BOTTLE")</f>
        <v>SCOTTIE DOG HOT WATER BOTTLE</v>
      </c>
      <c r="B97" s="2">
        <f>IFERROR(__xludf.DUMMYFUNCTION("""COMPUTED_VALUE"""),6.0)</f>
        <v>6</v>
      </c>
    </row>
    <row r="98">
      <c r="A98" s="2" t="str">
        <f>IFERROR(__xludf.DUMMYFUNCTION("""COMPUTED_VALUE"""),"CHOCOLATE HOT WATER BOTTLE")</f>
        <v>CHOCOLATE HOT WATER BOTTLE</v>
      </c>
      <c r="B98" s="2">
        <f>IFERROR(__xludf.DUMMYFUNCTION("""COMPUTED_VALUE"""),12.0)</f>
        <v>12</v>
      </c>
    </row>
    <row r="99">
      <c r="A99" s="2" t="str">
        <f>IFERROR(__xludf.DUMMYFUNCTION("""COMPUTED_VALUE"""),"HEART FILIGREE DOVE SMALL")</f>
        <v>HEART FILIGREE DOVE SMALL</v>
      </c>
      <c r="B99" s="2">
        <f>IFERROR(__xludf.DUMMYFUNCTION("""COMPUTED_VALUE"""),24.0)</f>
        <v>24</v>
      </c>
    </row>
    <row r="100">
      <c r="A100" s="2" t="str">
        <f>IFERROR(__xludf.DUMMYFUNCTION("""COMPUTED_VALUE"""),"FRYING PAN RED POLKADOT")</f>
        <v>FRYING PAN RED POLKADOT</v>
      </c>
      <c r="B100" s="2">
        <f>IFERROR(__xludf.DUMMYFUNCTION("""COMPUTED_VALUE"""),4.0)</f>
        <v>4</v>
      </c>
    </row>
    <row r="101">
      <c r="A101" s="2" t="str">
        <f>IFERROR(__xludf.DUMMYFUNCTION("""COMPUTED_VALUE"""),"PAPER CHAIN KIT RETRO SPOT")</f>
        <v>PAPER CHAIN KIT RETRO SPOT</v>
      </c>
      <c r="B101" s="2">
        <f>IFERROR(__xludf.DUMMYFUNCTION("""COMPUTED_VALUE"""),24.0)</f>
        <v>24</v>
      </c>
    </row>
    <row r="102">
      <c r="A102" s="2" t="str">
        <f>IFERROR(__xludf.DUMMYFUNCTION("""COMPUTED_VALUE"""),"HOT WATER BOTTLE TEA AND SYMPATHY")</f>
        <v>HOT WATER BOTTLE TEA AND SYMPATHY</v>
      </c>
      <c r="B102" s="2">
        <f>IFERROR(__xludf.DUMMYFUNCTION("""COMPUTED_VALUE"""),12.0)</f>
        <v>12</v>
      </c>
    </row>
    <row r="103">
      <c r="A103" s="2" t="str">
        <f>IFERROR(__xludf.DUMMYFUNCTION("""COMPUTED_VALUE"""),"RED SPOT HEART HOT WATER BOTTLE")</f>
        <v>RED SPOT HEART HOT WATER BOTTLE</v>
      </c>
      <c r="B103" s="2">
        <f>IFERROR(__xludf.DUMMYFUNCTION("""COMPUTED_VALUE"""),12.0)</f>
        <v>12</v>
      </c>
    </row>
    <row r="104">
      <c r="A104" s="2" t="str">
        <f>IFERROR(__xludf.DUMMYFUNCTION("""COMPUTED_VALUE"""),"JUMBO BAG SCANDINAVIAN PAISLEY")</f>
        <v>JUMBO BAG SCANDINAVIAN PAISLEY</v>
      </c>
      <c r="B104" s="2">
        <f>IFERROR(__xludf.DUMMYFUNCTION("""COMPUTED_VALUE"""),10.0)</f>
        <v>10</v>
      </c>
    </row>
    <row r="105">
      <c r="A105" s="2" t="str">
        <f>IFERROR(__xludf.DUMMYFUNCTION("""COMPUTED_VALUE"""),"JUMBO BAG PINK VINTAGE PAISLEY")</f>
        <v>JUMBO BAG PINK VINTAGE PAISLEY</v>
      </c>
      <c r="B105" s="2">
        <f>IFERROR(__xludf.DUMMYFUNCTION("""COMPUTED_VALUE"""),10.0)</f>
        <v>10</v>
      </c>
    </row>
    <row r="106">
      <c r="A106" s="2" t="str">
        <f>IFERROR(__xludf.DUMMYFUNCTION("""COMPUTED_VALUE"""),"JUMBO BAG RED WHITE SPOTTY")</f>
        <v>JUMBO BAG RED WHITE SPOTTY</v>
      </c>
      <c r="B106" s="2">
        <f>IFERROR(__xludf.DUMMYFUNCTION("""COMPUTED_VALUE"""),20.0)</f>
        <v>20</v>
      </c>
    </row>
    <row r="107">
      <c r="A107" s="2" t="str">
        <f>IFERROR(__xludf.DUMMYFUNCTION("""COMPUTED_VALUE"""),"KINGS CHOICE CIGAR BOX MATCHES")</f>
        <v>KINGS CHOICE CIGAR BOX MATCHES</v>
      </c>
      <c r="B107" s="2">
        <f>IFERROR(__xludf.DUMMYFUNCTION("""COMPUTED_VALUE"""),24.0)</f>
        <v>24</v>
      </c>
    </row>
    <row r="108">
      <c r="A108" s="2" t="str">
        <f>IFERROR(__xludf.DUMMYFUNCTION("""COMPUTED_VALUE"""),"RETRO SPOT CIGAR BOX MATCHES")</f>
        <v>RETRO SPOT CIGAR BOX MATCHES</v>
      </c>
      <c r="B108" s="2">
        <f>IFERROR(__xludf.DUMMYFUNCTION("""COMPUTED_VALUE"""),24.0)</f>
        <v>24</v>
      </c>
    </row>
    <row r="109">
      <c r="A109" s="2" t="str">
        <f>IFERROR(__xludf.DUMMYFUNCTION("""COMPUTED_VALUE"""),"LUNCH BAG RED SPOTTY")</f>
        <v>LUNCH BAG RED SPOTTY</v>
      </c>
      <c r="B109" s="2">
        <f>IFERROR(__xludf.DUMMYFUNCTION("""COMPUTED_VALUE"""),10.0)</f>
        <v>10</v>
      </c>
    </row>
    <row r="110">
      <c r="A110" s="2" t="str">
        <f>IFERROR(__xludf.DUMMYFUNCTION("""COMPUTED_VALUE"""),"LUNCH BAG CARS BLUE")</f>
        <v>LUNCH BAG CARS BLUE</v>
      </c>
      <c r="B110" s="2">
        <f>IFERROR(__xludf.DUMMYFUNCTION("""COMPUTED_VALUE"""),10.0)</f>
        <v>10</v>
      </c>
    </row>
    <row r="111">
      <c r="A111" s="2" t="str">
        <f>IFERROR(__xludf.DUMMYFUNCTION("""COMPUTED_VALUE"""),"LUNCH BAG WOODLAND")</f>
        <v>LUNCH BAG WOODLAND</v>
      </c>
      <c r="B111" s="2">
        <f>IFERROR(__xludf.DUMMYFUNCTION("""COMPUTED_VALUE"""),10.0)</f>
        <v>10</v>
      </c>
    </row>
    <row r="112">
      <c r="A112" s="2" t="str">
        <f>IFERROR(__xludf.DUMMYFUNCTION("""COMPUTED_VALUE"""),"RETRO RED SPOTTY WASHING UP GLOVES")</f>
        <v>RETRO RED SPOTTY WASHING UP GLOVES</v>
      </c>
      <c r="B112" s="2">
        <f>IFERROR(__xludf.DUMMYFUNCTION("""COMPUTED_VALUE"""),12.0)</f>
        <v>12</v>
      </c>
    </row>
    <row r="113">
      <c r="A113" s="2" t="str">
        <f>IFERROR(__xludf.DUMMYFUNCTION("""COMPUTED_VALUE"""),"LARGE HEART MEASURING SPOONS")</f>
        <v>LARGE HEART MEASURING SPOONS</v>
      </c>
      <c r="B113" s="2">
        <f>IFERROR(__xludf.DUMMYFUNCTION("""COMPUTED_VALUE"""),12.0)</f>
        <v>12</v>
      </c>
    </row>
    <row r="114">
      <c r="A114" s="2" t="str">
        <f>IFERROR(__xludf.DUMMYFUNCTION("""COMPUTED_VALUE"""),"GOLD APERITIF GLASS")</f>
        <v>GOLD APERITIF GLASS</v>
      </c>
      <c r="B114" s="2">
        <f>IFERROR(__xludf.DUMMYFUNCTION("""COMPUTED_VALUE"""),48.0)</f>
        <v>48</v>
      </c>
    </row>
    <row r="115">
      <c r="A115" s="2" t="str">
        <f>IFERROR(__xludf.DUMMYFUNCTION("""COMPUTED_VALUE"""),"GOLD WINE GLASS")</f>
        <v>GOLD WINE GLASS</v>
      </c>
      <c r="B115" s="2">
        <f>IFERROR(__xludf.DUMMYFUNCTION("""COMPUTED_VALUE"""),48.0)</f>
        <v>48</v>
      </c>
    </row>
    <row r="116">
      <c r="A116" s="2" t="str">
        <f>IFERROR(__xludf.DUMMYFUNCTION("""COMPUTED_VALUE"""),"GOLD WINE GOBLET")</f>
        <v>GOLD WINE GOBLET</v>
      </c>
      <c r="B116" s="2">
        <f>IFERROR(__xludf.DUMMYFUNCTION("""COMPUTED_VALUE"""),48.0)</f>
        <v>48</v>
      </c>
    </row>
    <row r="117">
      <c r="A117" s="2" t="str">
        <f>IFERROR(__xludf.DUMMYFUNCTION("""COMPUTED_VALUE"""),"SILVER APERITIF GLASS")</f>
        <v>SILVER APERITIF GLASS</v>
      </c>
      <c r="B117" s="2">
        <f>IFERROR(__xludf.DUMMYFUNCTION("""COMPUTED_VALUE"""),48.0)</f>
        <v>48</v>
      </c>
    </row>
    <row r="118">
      <c r="A118" s="2" t="str">
        <f>IFERROR(__xludf.DUMMYFUNCTION("""COMPUTED_VALUE"""),"PAPER BUNTING WHITE LACE")</f>
        <v>PAPER BUNTING WHITE LACE</v>
      </c>
      <c r="B118" s="2">
        <f>IFERROR(__xludf.DUMMYFUNCTION("""COMPUTED_VALUE"""),-12.0)</f>
        <v>-12</v>
      </c>
    </row>
    <row r="119">
      <c r="A119" s="2" t="str">
        <f>IFERROR(__xludf.DUMMYFUNCTION("""COMPUTED_VALUE"""),"CREAM FELT EASTER EGG BASKET")</f>
        <v>CREAM FELT EASTER EGG BASKET</v>
      </c>
      <c r="B119" s="2">
        <f>IFERROR(__xludf.DUMMYFUNCTION("""COMPUTED_VALUE"""),-6.0)</f>
        <v>-6</v>
      </c>
    </row>
    <row r="120">
      <c r="A120" s="2" t="str">
        <f>IFERROR(__xludf.DUMMYFUNCTION("""COMPUTED_VALUE"""),"POTTING SHED SOW 'N' GROW SET")</f>
        <v>POTTING SHED SOW 'N' GROW SET</v>
      </c>
      <c r="B120" s="2">
        <f>IFERROR(__xludf.DUMMYFUNCTION("""COMPUTED_VALUE"""),-4.0)</f>
        <v>-4</v>
      </c>
    </row>
    <row r="121">
      <c r="A121" s="2" t="str">
        <f>IFERROR(__xludf.DUMMYFUNCTION("""COMPUTED_VALUE"""),"POTTING SHED TWINE")</f>
        <v>POTTING SHED TWINE</v>
      </c>
      <c r="B121" s="2">
        <f>IFERROR(__xludf.DUMMYFUNCTION("""COMPUTED_VALUE"""),-6.0)</f>
        <v>-6</v>
      </c>
    </row>
    <row r="122">
      <c r="A122" s="2" t="str">
        <f>IFERROR(__xludf.DUMMYFUNCTION("""COMPUTED_VALUE"""),"PAPER CHAIN KIT RETRO SPOT")</f>
        <v>PAPER CHAIN KIT RETRO SPOT</v>
      </c>
      <c r="B122" s="2">
        <f>IFERROR(__xludf.DUMMYFUNCTION("""COMPUTED_VALUE"""),-12.0)</f>
        <v>-12</v>
      </c>
    </row>
    <row r="123">
      <c r="A123" s="2" t="str">
        <f>IFERROR(__xludf.DUMMYFUNCTION("""COMPUTED_VALUE"""),"SAVE THE PLANET MUG")</f>
        <v>SAVE THE PLANET MUG</v>
      </c>
      <c r="B123" s="2">
        <f>IFERROR(__xludf.DUMMYFUNCTION("""COMPUTED_VALUE"""),-12.0)</f>
        <v>-12</v>
      </c>
    </row>
    <row r="124">
      <c r="A124" s="2" t="str">
        <f>IFERROR(__xludf.DUMMYFUNCTION("""COMPUTED_VALUE"""),"ANTIQUE SILVER TEA GLASS ETCHED")</f>
        <v>ANTIQUE SILVER TEA GLASS ETCHED</v>
      </c>
      <c r="B124" s="2">
        <f>IFERROR(__xludf.DUMMYFUNCTION("""COMPUTED_VALUE"""),-12.0)</f>
        <v>-12</v>
      </c>
    </row>
    <row r="125">
      <c r="A125" s="2" t="str">
        <f>IFERROR(__xludf.DUMMYFUNCTION("""COMPUTED_VALUE"""),"PAPER BUNTING RETRO SPOTS")</f>
        <v>PAPER BUNTING RETRO SPOTS</v>
      </c>
      <c r="B125" s="2">
        <f>IFERROR(__xludf.DUMMYFUNCTION("""COMPUTED_VALUE"""),-12.0)</f>
        <v>-12</v>
      </c>
    </row>
    <row r="126">
      <c r="A126" s="2" t="str">
        <f>IFERROR(__xludf.DUMMYFUNCTION("""COMPUTED_VALUE"""),"PAPER BUNTING WHITE LACE")</f>
        <v>PAPER BUNTING WHITE LACE</v>
      </c>
      <c r="B126" s="2">
        <f>IFERROR(__xludf.DUMMYFUNCTION("""COMPUTED_VALUE"""),12.0)</f>
        <v>12</v>
      </c>
    </row>
    <row r="127">
      <c r="A127" s="2" t="str">
        <f>IFERROR(__xludf.DUMMYFUNCTION("""COMPUTED_VALUE"""),"CREAM FELT EASTER EGG BASKET")</f>
        <v>CREAM FELT EASTER EGG BASKET</v>
      </c>
      <c r="B127" s="2">
        <f>IFERROR(__xludf.DUMMYFUNCTION("""COMPUTED_VALUE"""),6.0)</f>
        <v>6</v>
      </c>
    </row>
    <row r="128">
      <c r="A128" s="2" t="str">
        <f>IFERROR(__xludf.DUMMYFUNCTION("""COMPUTED_VALUE"""),"POTTING SHED SOW 'N' GROW SET")</f>
        <v>POTTING SHED SOW 'N' GROW SET</v>
      </c>
      <c r="B128" s="2">
        <f>IFERROR(__xludf.DUMMYFUNCTION("""COMPUTED_VALUE"""),4.0)</f>
        <v>4</v>
      </c>
    </row>
    <row r="129">
      <c r="A129" s="2" t="str">
        <f>IFERROR(__xludf.DUMMYFUNCTION("""COMPUTED_VALUE"""),"POTTING SHED TWINE")</f>
        <v>POTTING SHED TWINE</v>
      </c>
      <c r="B129" s="2">
        <f>IFERROR(__xludf.DUMMYFUNCTION("""COMPUTED_VALUE"""),6.0)</f>
        <v>6</v>
      </c>
    </row>
    <row r="130">
      <c r="A130" s="2" t="str">
        <f>IFERROR(__xludf.DUMMYFUNCTION("""COMPUTED_VALUE"""),"PAPER CHAIN KIT RETRO SPOT")</f>
        <v>PAPER CHAIN KIT RETRO SPOT</v>
      </c>
      <c r="B130" s="2">
        <f>IFERROR(__xludf.DUMMYFUNCTION("""COMPUTED_VALUE"""),12.0)</f>
        <v>12</v>
      </c>
    </row>
    <row r="131">
      <c r="A131" s="2" t="str">
        <f>IFERROR(__xludf.DUMMYFUNCTION("""COMPUTED_VALUE"""),"SAVE THE PLANET MUG")</f>
        <v>SAVE THE PLANET MUG</v>
      </c>
      <c r="B131" s="2">
        <f>IFERROR(__xludf.DUMMYFUNCTION("""COMPUTED_VALUE"""),12.0)</f>
        <v>12</v>
      </c>
    </row>
    <row r="132">
      <c r="A132" s="2" t="str">
        <f>IFERROR(__xludf.DUMMYFUNCTION("""COMPUTED_VALUE"""),"ANTIQUE SILVER TEA GLASS ETCHED")</f>
        <v>ANTIQUE SILVER TEA GLASS ETCHED</v>
      </c>
      <c r="B132" s="2">
        <f>IFERROR(__xludf.DUMMYFUNCTION("""COMPUTED_VALUE"""),12.0)</f>
        <v>12</v>
      </c>
    </row>
    <row r="133">
      <c r="A133" s="2" t="str">
        <f>IFERROR(__xludf.DUMMYFUNCTION("""COMPUTED_VALUE"""),"PAPER BUNTING RETRO SPOTS")</f>
        <v>PAPER BUNTING RETRO SPOTS</v>
      </c>
      <c r="B133" s="2">
        <f>IFERROR(__xludf.DUMMYFUNCTION("""COMPUTED_VALUE"""),12.0)</f>
        <v>12</v>
      </c>
    </row>
    <row r="134">
      <c r="A134" s="2" t="str">
        <f>IFERROR(__xludf.DUMMYFUNCTION("""COMPUTED_VALUE"""),"PURPLE SWEETHEART BRACELET")</f>
        <v>PURPLE SWEETHEART BRACELET</v>
      </c>
      <c r="B134" s="2">
        <f>IFERROR(__xludf.DUMMYFUNCTION("""COMPUTED_VALUE"""),-3.0)</f>
        <v>-3</v>
      </c>
    </row>
    <row r="135">
      <c r="A135" s="2" t="str">
        <f>IFERROR(__xludf.DUMMYFUNCTION("""COMPUTED_VALUE"""),"PINK SWEETHEART BRACELET")</f>
        <v>PINK SWEETHEART BRACELET</v>
      </c>
      <c r="B135" s="2">
        <f>IFERROR(__xludf.DUMMYFUNCTION("""COMPUTED_VALUE"""),-3.0)</f>
        <v>-3</v>
      </c>
    </row>
    <row r="136">
      <c r="A136" s="2" t="str">
        <f>IFERROR(__xludf.DUMMYFUNCTION("""COMPUTED_VALUE"""),"BLACK SWEETHEART BRACELET")</f>
        <v>BLACK SWEETHEART BRACELET</v>
      </c>
      <c r="B136" s="2">
        <f>IFERROR(__xludf.DUMMYFUNCTION("""COMPUTED_VALUE"""),-3.0)</f>
        <v>-3</v>
      </c>
    </row>
    <row r="137">
      <c r="A137" s="2" t="str">
        <f>IFERROR(__xludf.DUMMYFUNCTION("""COMPUTED_VALUE"""),"GREEN SWEETHEART BRACELET")</f>
        <v>GREEN SWEETHEART BRACELET</v>
      </c>
      <c r="B137" s="2">
        <f>IFERROR(__xludf.DUMMYFUNCTION("""COMPUTED_VALUE"""),-3.0)</f>
        <v>-3</v>
      </c>
    </row>
    <row r="138">
      <c r="A138" s="2" t="str">
        <f>IFERROR(__xludf.DUMMYFUNCTION("""COMPUTED_VALUE"""),"BLUE SWEETHEART BRACELET")</f>
        <v>BLUE SWEETHEART BRACELET</v>
      </c>
      <c r="B138" s="2">
        <f>IFERROR(__xludf.DUMMYFUNCTION("""COMPUTED_VALUE"""),-3.0)</f>
        <v>-3</v>
      </c>
    </row>
    <row r="139">
      <c r="A139" s="2" t="str">
        <f>IFERROR(__xludf.DUMMYFUNCTION("""COMPUTED_VALUE"""),"BLACK DIAMANTE EXPANDABLE RING")</f>
        <v>BLACK DIAMANTE EXPANDABLE RING</v>
      </c>
      <c r="B139" s="2">
        <f>IFERROR(__xludf.DUMMYFUNCTION("""COMPUTED_VALUE"""),-3.0)</f>
        <v>-3</v>
      </c>
    </row>
    <row r="140">
      <c r="A140" s="2" t="str">
        <f>IFERROR(__xludf.DUMMYFUNCTION("""COMPUTED_VALUE"""),"AMETHYST DIAMANTE EXPANDABLE RING")</f>
        <v>AMETHYST DIAMANTE EXPANDABLE RING</v>
      </c>
      <c r="B140" s="2">
        <f>IFERROR(__xludf.DUMMYFUNCTION("""COMPUTED_VALUE"""),-3.0)</f>
        <v>-3</v>
      </c>
    </row>
    <row r="141">
      <c r="A141" s="2" t="str">
        <f>IFERROR(__xludf.DUMMYFUNCTION("""COMPUTED_VALUE"""),"MIDNIGHT BLUE PAIR HEART HAIR SLIDE")</f>
        <v>MIDNIGHT BLUE PAIR HEART HAIR SLIDE</v>
      </c>
      <c r="B141" s="2">
        <f>IFERROR(__xludf.DUMMYFUNCTION("""COMPUTED_VALUE"""),-3.0)</f>
        <v>-3</v>
      </c>
    </row>
    <row r="142">
      <c r="A142" s="2" t="str">
        <f>IFERROR(__xludf.DUMMYFUNCTION("""COMPUTED_VALUE"""),"CRYSTAL PAIR HEART HAIR SLIDES")</f>
        <v>CRYSTAL PAIR HEART HAIR SLIDES</v>
      </c>
      <c r="B142" s="2">
        <f>IFERROR(__xludf.DUMMYFUNCTION("""COMPUTED_VALUE"""),-3.0)</f>
        <v>-3</v>
      </c>
    </row>
    <row r="143">
      <c r="A143" s="2" t="str">
        <f>IFERROR(__xludf.DUMMYFUNCTION("""COMPUTED_VALUE"""),"ROSE COLOUR PAIR HEART HAIR SLIDES")</f>
        <v>ROSE COLOUR PAIR HEART HAIR SLIDES</v>
      </c>
      <c r="B143" s="2">
        <f>IFERROR(__xludf.DUMMYFUNCTION("""COMPUTED_VALUE"""),-3.0)</f>
        <v>-3</v>
      </c>
    </row>
    <row r="144">
      <c r="A144" s="2" t="str">
        <f>IFERROR(__xludf.DUMMYFUNCTION("""COMPUTED_VALUE"""),"PINK ENAMEL+GLASS HAIR COMB")</f>
        <v>PINK ENAMEL+GLASS HAIR COMB</v>
      </c>
      <c r="B144" s="2">
        <f>IFERROR(__xludf.DUMMYFUNCTION("""COMPUTED_VALUE"""),-3.0)</f>
        <v>-3</v>
      </c>
    </row>
    <row r="145">
      <c r="A145" s="2" t="str">
        <f>IFERROR(__xludf.DUMMYFUNCTION("""COMPUTED_VALUE"""),"PURPLE ENAMEL+GLASS HAIR COMB")</f>
        <v>PURPLE ENAMEL+GLASS HAIR COMB</v>
      </c>
      <c r="B145" s="2">
        <f>IFERROR(__xludf.DUMMYFUNCTION("""COMPUTED_VALUE"""),-3.0)</f>
        <v>-3</v>
      </c>
    </row>
    <row r="146">
      <c r="A146" s="2" t="str">
        <f>IFERROR(__xludf.DUMMYFUNCTION("""COMPUTED_VALUE"""),"FELTCRAFT DOLL EMILY")</f>
        <v>FELTCRAFT DOLL EMILY</v>
      </c>
      <c r="B146" s="2">
        <f>IFERROR(__xludf.DUMMYFUNCTION("""COMPUTED_VALUE"""),6.0)</f>
        <v>6</v>
      </c>
    </row>
    <row r="147">
      <c r="A147" s="2" t="str">
        <f>IFERROR(__xludf.DUMMYFUNCTION("""COMPUTED_VALUE"""),"FELTCRAFT DOLL MOLLY")</f>
        <v>FELTCRAFT DOLL MOLLY</v>
      </c>
      <c r="B147" s="2">
        <f>IFERROR(__xludf.DUMMYFUNCTION("""COMPUTED_VALUE"""),6.0)</f>
        <v>6</v>
      </c>
    </row>
    <row r="148">
      <c r="A148" s="2" t="str">
        <f>IFERROR(__xludf.DUMMYFUNCTION("""COMPUTED_VALUE"""),"3 PIECE JIGSAW TOADSTOOLS")</f>
        <v>3 PIECE JIGSAW TOADSTOOLS</v>
      </c>
      <c r="B148" s="2">
        <f>IFERROR(__xludf.DUMMYFUNCTION("""COMPUTED_VALUE"""),8.0)</f>
        <v>8</v>
      </c>
    </row>
    <row r="149">
      <c r="A149" s="2" t="str">
        <f>IFERROR(__xludf.DUMMYFUNCTION("""COMPUTED_VALUE"""),"BAKING SET 9 PIECE RETROSPOT")</f>
        <v>BAKING SET 9 PIECE RETROSPOT</v>
      </c>
      <c r="B149" s="2">
        <f>IFERROR(__xludf.DUMMYFUNCTION("""COMPUTED_VALUE"""),3.0)</f>
        <v>3</v>
      </c>
    </row>
    <row r="150">
      <c r="A150" s="2" t="str">
        <f>IFERROR(__xludf.DUMMYFUNCTION("""COMPUTED_VALUE"""),"RETRO SPOT TEA SET CERAMIC 11 PC")</f>
        <v>RETRO SPOT TEA SET CERAMIC 11 PC</v>
      </c>
      <c r="B150" s="2">
        <f>IFERROR(__xludf.DUMMYFUNCTION("""COMPUTED_VALUE"""),3.0)</f>
        <v>3</v>
      </c>
    </row>
    <row r="151">
      <c r="A151" s="2" t="str">
        <f>IFERROR(__xludf.DUMMYFUNCTION("""COMPUTED_VALUE"""),"RED TOADSTOOL LED NIGHT LIGHT")</f>
        <v>RED TOADSTOOL LED NIGHT LIGHT</v>
      </c>
      <c r="B151" s="2">
        <f>IFERROR(__xludf.DUMMYFUNCTION("""COMPUTED_VALUE"""),12.0)</f>
        <v>12</v>
      </c>
    </row>
    <row r="152">
      <c r="A152" s="2" t="str">
        <f>IFERROR(__xludf.DUMMYFUNCTION("""COMPUTED_VALUE"""),"RED STRIPE CERAMIC DRAWER KNOB")</f>
        <v>RED STRIPE CERAMIC DRAWER KNOB</v>
      </c>
      <c r="B152" s="2">
        <f>IFERROR(__xludf.DUMMYFUNCTION("""COMPUTED_VALUE"""),24.0)</f>
        <v>24</v>
      </c>
    </row>
    <row r="153">
      <c r="A153" s="2" t="str">
        <f>IFERROR(__xludf.DUMMYFUNCTION("""COMPUTED_VALUE"""),"BLUE STRIPE CERAMIC DRAWER KNOB")</f>
        <v>BLUE STRIPE CERAMIC DRAWER KNOB</v>
      </c>
      <c r="B153" s="2">
        <f>IFERROR(__xludf.DUMMYFUNCTION("""COMPUTED_VALUE"""),24.0)</f>
        <v>24</v>
      </c>
    </row>
    <row r="154">
      <c r="A154" s="2" t="str">
        <f>IFERROR(__xludf.DUMMYFUNCTION("""COMPUTED_VALUE"""),"BLUE SPOT CERAMIC DRAWER KNOB")</f>
        <v>BLUE SPOT CERAMIC DRAWER KNOB</v>
      </c>
      <c r="B154" s="2">
        <f>IFERROR(__xludf.DUMMYFUNCTION("""COMPUTED_VALUE"""),24.0)</f>
        <v>24</v>
      </c>
    </row>
    <row r="155">
      <c r="A155" s="2" t="str">
        <f>IFERROR(__xludf.DUMMYFUNCTION("""COMPUTED_VALUE"""),"RED SPOT CERAMIC DRAWER KNOB")</f>
        <v>RED SPOT CERAMIC DRAWER KNOB</v>
      </c>
      <c r="B155" s="2">
        <f>IFERROR(__xludf.DUMMYFUNCTION("""COMPUTED_VALUE"""),24.0)</f>
        <v>24</v>
      </c>
    </row>
    <row r="156">
      <c r="A156" s="2" t="str">
        <f>IFERROR(__xludf.DUMMYFUNCTION("""COMPUTED_VALUE"""),"WHITE SPOT RED CERAMIC DRAWER KNOB")</f>
        <v>WHITE SPOT RED CERAMIC DRAWER KNOB</v>
      </c>
      <c r="B156" s="2">
        <f>IFERROR(__xludf.DUMMYFUNCTION("""COMPUTED_VALUE"""),24.0)</f>
        <v>24</v>
      </c>
    </row>
    <row r="157">
      <c r="A157" s="2" t="str">
        <f>IFERROR(__xludf.DUMMYFUNCTION("""COMPUTED_VALUE"""),"WHITE SPOT BLUE CERAMIC DRAWER KNOB")</f>
        <v>WHITE SPOT BLUE CERAMIC DRAWER KNOB</v>
      </c>
      <c r="B157" s="2">
        <f>IFERROR(__xludf.DUMMYFUNCTION("""COMPUTED_VALUE"""),24.0)</f>
        <v>24</v>
      </c>
    </row>
    <row r="158">
      <c r="A158" s="2" t="str">
        <f>IFERROR(__xludf.DUMMYFUNCTION("""COMPUTED_VALUE"""),"STRAWBERRY CERAMIC TRINKET BOX")</f>
        <v>STRAWBERRY CERAMIC TRINKET BOX</v>
      </c>
      <c r="B158" s="2">
        <f>IFERROR(__xludf.DUMMYFUNCTION("""COMPUTED_VALUE"""),48.0)</f>
        <v>48</v>
      </c>
    </row>
    <row r="159">
      <c r="A159" s="2" t="str">
        <f>IFERROR(__xludf.DUMMYFUNCTION("""COMPUTED_VALUE"""),"BLUE CHARLIE+LOLA PERSONAL DOORSIGN")</f>
        <v>BLUE CHARLIE+LOLA PERSONAL DOORSIGN</v>
      </c>
      <c r="B159" s="2">
        <f>IFERROR(__xludf.DUMMYFUNCTION("""COMPUTED_VALUE"""),6.0)</f>
        <v>6</v>
      </c>
    </row>
    <row r="160">
      <c r="A160" s="2" t="str">
        <f>IFERROR(__xludf.DUMMYFUNCTION("""COMPUTED_VALUE"""),"RED CHARLIE+LOLA PERSONAL DOORSIGN")</f>
        <v>RED CHARLIE+LOLA PERSONAL DOORSIGN</v>
      </c>
      <c r="B160" s="2">
        <f>IFERROR(__xludf.DUMMYFUNCTION("""COMPUTED_VALUE"""),6.0)</f>
        <v>6</v>
      </c>
    </row>
    <row r="161">
      <c r="A161" s="2" t="str">
        <f>IFERROR(__xludf.DUMMYFUNCTION("""COMPUTED_VALUE"""),"KEEP OUT BOYS DOOR HANGER")</f>
        <v>KEEP OUT BOYS DOOR HANGER</v>
      </c>
      <c r="B161" s="2">
        <f>IFERROR(__xludf.DUMMYFUNCTION("""COMPUTED_VALUE"""),12.0)</f>
        <v>12</v>
      </c>
    </row>
    <row r="162">
      <c r="A162" s="2" t="str">
        <f>IFERROR(__xludf.DUMMYFUNCTION("""COMPUTED_VALUE"""),"TOXIC AREA DOOR HANGER")</f>
        <v>TOXIC AREA DOOR HANGER</v>
      </c>
      <c r="B162" s="2">
        <f>IFERROR(__xludf.DUMMYFUNCTION("""COMPUTED_VALUE"""),12.0)</f>
        <v>12</v>
      </c>
    </row>
    <row r="163">
      <c r="A163" s="2" t="str">
        <f>IFERROR(__xludf.DUMMYFUNCTION("""COMPUTED_VALUE"""),"DOOR HANGER MUM + DADS ROOM")</f>
        <v>DOOR HANGER MUM + DADS ROOM</v>
      </c>
      <c r="B163" s="2">
        <f>IFERROR(__xludf.DUMMYFUNCTION("""COMPUTED_VALUE"""),12.0)</f>
        <v>12</v>
      </c>
    </row>
    <row r="164">
      <c r="A164" s="2" t="str">
        <f>IFERROR(__xludf.DUMMYFUNCTION("""COMPUTED_VALUE"""),"MOODY BOY DOOR HANGER")</f>
        <v>MOODY BOY DOOR HANGER</v>
      </c>
      <c r="B164" s="2">
        <f>IFERROR(__xludf.DUMMYFUNCTION("""COMPUTED_VALUE"""),12.0)</f>
        <v>12</v>
      </c>
    </row>
    <row r="165">
      <c r="A165" s="2" t="str">
        <f>IFERROR(__xludf.DUMMYFUNCTION("""COMPUTED_VALUE"""),"AREA PATROLLED METAL SIGN")</f>
        <v>AREA PATROLLED METAL SIGN</v>
      </c>
      <c r="B165" s="2">
        <f>IFERROR(__xludf.DUMMYFUNCTION("""COMPUTED_VALUE"""),12.0)</f>
        <v>12</v>
      </c>
    </row>
    <row r="166">
      <c r="A166" s="2" t="str">
        <f>IFERROR(__xludf.DUMMYFUNCTION("""COMPUTED_VALUE"""),"PLEASE ONE PERSON METAL SIGN")</f>
        <v>PLEASE ONE PERSON METAL SIGN</v>
      </c>
      <c r="B166" s="2">
        <f>IFERROR(__xludf.DUMMYFUNCTION("""COMPUTED_VALUE"""),6.0)</f>
        <v>6</v>
      </c>
    </row>
    <row r="167">
      <c r="A167" s="2" t="str">
        <f>IFERROR(__xludf.DUMMYFUNCTION("""COMPUTED_VALUE"""),"LADIES &amp; GENTLEMEN METAL SIGN")</f>
        <v>LADIES &amp; GENTLEMEN METAL SIGN</v>
      </c>
      <c r="B167" s="2">
        <f>IFERROR(__xludf.DUMMYFUNCTION("""COMPUTED_VALUE"""),6.0)</f>
        <v>6</v>
      </c>
    </row>
    <row r="168">
      <c r="A168" s="2" t="str">
        <f>IFERROR(__xludf.DUMMYFUNCTION("""COMPUTED_VALUE"""),"WOODEN FRAME ANTIQUE WHITE")</f>
        <v>WOODEN FRAME ANTIQUE WHITE</v>
      </c>
      <c r="B168" s="2">
        <f>IFERROR(__xludf.DUMMYFUNCTION("""COMPUTED_VALUE"""),6.0)</f>
        <v>6</v>
      </c>
    </row>
    <row r="169">
      <c r="A169" s="2" t="str">
        <f>IFERROR(__xludf.DUMMYFUNCTION("""COMPUTED_VALUE"""),"PINK SWEETHEART BRACELET")</f>
        <v>PINK SWEETHEART BRACELET</v>
      </c>
      <c r="B169" s="2">
        <f>IFERROR(__xludf.DUMMYFUNCTION("""COMPUTED_VALUE"""),3.0)</f>
        <v>3</v>
      </c>
    </row>
    <row r="170">
      <c r="A170" s="2" t="str">
        <f>IFERROR(__xludf.DUMMYFUNCTION("""COMPUTED_VALUE"""),"GREEN SWEETHEART BRACELET")</f>
        <v>GREEN SWEETHEART BRACELET</v>
      </c>
      <c r="B170" s="2">
        <f>IFERROR(__xludf.DUMMYFUNCTION("""COMPUTED_VALUE"""),3.0)</f>
        <v>3</v>
      </c>
    </row>
    <row r="171">
      <c r="A171" s="2" t="str">
        <f>IFERROR(__xludf.DUMMYFUNCTION("""COMPUTED_VALUE"""),"FAIRY CAKE CANDLES")</f>
        <v>FAIRY CAKE CANDLES</v>
      </c>
      <c r="B171" s="2">
        <f>IFERROR(__xludf.DUMMYFUNCTION("""COMPUTED_VALUE"""),27.0)</f>
        <v>27</v>
      </c>
    </row>
    <row r="172">
      <c r="A172" s="2" t="str">
        <f>IFERROR(__xludf.DUMMYFUNCTION("""COMPUTED_VALUE"""),"CERAMIC BOWL WITH STRAWBERRY DESIGN")</f>
        <v>CERAMIC BOWL WITH STRAWBERRY DESIGN</v>
      </c>
      <c r="B172" s="2">
        <f>IFERROR(__xludf.DUMMYFUNCTION("""COMPUTED_VALUE"""),6.0)</f>
        <v>6</v>
      </c>
    </row>
    <row r="173">
      <c r="A173" s="2" t="str">
        <f>IFERROR(__xludf.DUMMYFUNCTION("""COMPUTED_VALUE"""),"CERAMIC CAKE BOWL + HANGING CAKES")</f>
        <v>CERAMIC CAKE BOWL + HANGING CAKES</v>
      </c>
      <c r="B173" s="2">
        <f>IFERROR(__xludf.DUMMYFUNCTION("""COMPUTED_VALUE"""),6.0)</f>
        <v>6</v>
      </c>
    </row>
    <row r="174">
      <c r="A174" s="2" t="str">
        <f>IFERROR(__xludf.DUMMYFUNCTION("""COMPUTED_VALUE"""),"PURPLE SWEETHEART BRACELET")</f>
        <v>PURPLE SWEETHEART BRACELET</v>
      </c>
      <c r="B174" s="2">
        <f>IFERROR(__xludf.DUMMYFUNCTION("""COMPUTED_VALUE"""),3.0)</f>
        <v>3</v>
      </c>
    </row>
    <row r="175">
      <c r="A175" s="2" t="str">
        <f>IFERROR(__xludf.DUMMYFUNCTION("""COMPUTED_VALUE"""),"BLUE SWEETHEART BRACELET")</f>
        <v>BLUE SWEETHEART BRACELET</v>
      </c>
      <c r="B175" s="2">
        <f>IFERROR(__xludf.DUMMYFUNCTION("""COMPUTED_VALUE"""),3.0)</f>
        <v>3</v>
      </c>
    </row>
    <row r="176">
      <c r="A176" s="2" t="str">
        <f>IFERROR(__xludf.DUMMYFUNCTION("""COMPUTED_VALUE"""),"BLACK SWEETHEART BRACELET")</f>
        <v>BLACK SWEETHEART BRACELET</v>
      </c>
      <c r="B176" s="2">
        <f>IFERROR(__xludf.DUMMYFUNCTION("""COMPUTED_VALUE"""),3.0)</f>
        <v>3</v>
      </c>
    </row>
    <row r="177">
      <c r="A177" s="2" t="str">
        <f>IFERROR(__xludf.DUMMYFUNCTION("""COMPUTED_VALUE"""),"BLACK DIAMANTE EXPANDABLE RING")</f>
        <v>BLACK DIAMANTE EXPANDABLE RING</v>
      </c>
      <c r="B177" s="2">
        <f>IFERROR(__xludf.DUMMYFUNCTION("""COMPUTED_VALUE"""),3.0)</f>
        <v>3</v>
      </c>
    </row>
    <row r="178">
      <c r="A178" s="2" t="str">
        <f>IFERROR(__xludf.DUMMYFUNCTION("""COMPUTED_VALUE"""),"AMETHYST DIAMANTE EXPANDABLE RING")</f>
        <v>AMETHYST DIAMANTE EXPANDABLE RING</v>
      </c>
      <c r="B178" s="2">
        <f>IFERROR(__xludf.DUMMYFUNCTION("""COMPUTED_VALUE"""),3.0)</f>
        <v>3</v>
      </c>
    </row>
    <row r="179">
      <c r="A179" s="2" t="str">
        <f>IFERROR(__xludf.DUMMYFUNCTION("""COMPUTED_VALUE"""),"MIDNIGHT BLUE PAIR HEART HAIR SLIDE")</f>
        <v>MIDNIGHT BLUE PAIR HEART HAIR SLIDE</v>
      </c>
      <c r="B179" s="2">
        <f>IFERROR(__xludf.DUMMYFUNCTION("""COMPUTED_VALUE"""),3.0)</f>
        <v>3</v>
      </c>
    </row>
    <row r="180">
      <c r="A180" s="2" t="str">
        <f>IFERROR(__xludf.DUMMYFUNCTION("""COMPUTED_VALUE"""),"CRYSTAL PAIR HEART HAIR SLIDES")</f>
        <v>CRYSTAL PAIR HEART HAIR SLIDES</v>
      </c>
      <c r="B180" s="2">
        <f>IFERROR(__xludf.DUMMYFUNCTION("""COMPUTED_VALUE"""),3.0)</f>
        <v>3</v>
      </c>
    </row>
    <row r="181">
      <c r="A181" s="2" t="str">
        <f>IFERROR(__xludf.DUMMYFUNCTION("""COMPUTED_VALUE"""),"ROSE COLOUR PAIR HEART HAIR SLIDES")</f>
        <v>ROSE COLOUR PAIR HEART HAIR SLIDES</v>
      </c>
      <c r="B181" s="2">
        <f>IFERROR(__xludf.DUMMYFUNCTION("""COMPUTED_VALUE"""),3.0)</f>
        <v>3</v>
      </c>
    </row>
    <row r="182">
      <c r="A182" s="2" t="str">
        <f>IFERROR(__xludf.DUMMYFUNCTION("""COMPUTED_VALUE"""),"PINK ENAMEL+GLASS HAIR COMB")</f>
        <v>PINK ENAMEL+GLASS HAIR COMB</v>
      </c>
      <c r="B182" s="2">
        <f>IFERROR(__xludf.DUMMYFUNCTION("""COMPUTED_VALUE"""),3.0)</f>
        <v>3</v>
      </c>
    </row>
    <row r="183">
      <c r="A183" s="2" t="str">
        <f>IFERROR(__xludf.DUMMYFUNCTION("""COMPUTED_VALUE"""),"PURPLE ENAMEL+GLASS HAIR COMB")</f>
        <v>PURPLE ENAMEL+GLASS HAIR COMB</v>
      </c>
      <c r="B183" s="2">
        <f>IFERROR(__xludf.DUMMYFUNCTION("""COMPUTED_VALUE"""),3.0)</f>
        <v>3</v>
      </c>
    </row>
    <row r="184">
      <c r="A184" s="2" t="str">
        <f>IFERROR(__xludf.DUMMYFUNCTION("""COMPUTED_VALUE"""),"85123a mixed")</f>
        <v>85123a mixed</v>
      </c>
      <c r="B184" s="2">
        <f>IFERROR(__xludf.DUMMYFUNCTION("""COMPUTED_VALUE"""),-96.0)</f>
        <v>-96</v>
      </c>
    </row>
    <row r="185">
      <c r="A185" s="2" t="str">
        <f>IFERROR(__xludf.DUMMYFUNCTION("""COMPUTED_VALUE"""),"FOLDING UMBRELLA , BLACK/BLUE SPOT")</f>
        <v>FOLDING UMBRELLA , BLACK/BLUE SPOT</v>
      </c>
      <c r="B185" s="2">
        <f>IFERROR(__xludf.DUMMYFUNCTION("""COMPUTED_VALUE"""),12.0)</f>
        <v>12</v>
      </c>
    </row>
    <row r="186">
      <c r="A186" s="2" t="str">
        <f>IFERROR(__xludf.DUMMYFUNCTION("""COMPUTED_VALUE"""),"FOLDING UMBRELLA PINK/WHITE SPOT")</f>
        <v>FOLDING UMBRELLA PINK/WHITE SPOT</v>
      </c>
      <c r="B186" s="2">
        <f>IFERROR(__xludf.DUMMYFUNCTION("""COMPUTED_VALUE"""),12.0)</f>
        <v>12</v>
      </c>
    </row>
    <row r="187">
      <c r="A187" s="2" t="str">
        <f>IFERROR(__xludf.DUMMYFUNCTION("""COMPUTED_VALUE"""),"FOLDING UMBRELLA CREAM/MULTI SPOT")</f>
        <v>FOLDING UMBRELLA CREAM/MULTI SPOT</v>
      </c>
      <c r="B187" s="2">
        <f>IFERROR(__xludf.DUMMYFUNCTION("""COMPUTED_VALUE"""),12.0)</f>
        <v>12</v>
      </c>
    </row>
    <row r="188">
      <c r="A188" s="2" t="str">
        <f>IFERROR(__xludf.DUMMYFUNCTION("""COMPUTED_VALUE"""),"FOLDING UMBRELLA , RED/WHITE SPOT")</f>
        <v>FOLDING UMBRELLA , RED/WHITE SPOT</v>
      </c>
      <c r="B188" s="2">
        <f>IFERROR(__xludf.DUMMYFUNCTION("""COMPUTED_VALUE"""),12.0)</f>
        <v>12</v>
      </c>
    </row>
    <row r="189">
      <c r="A189" s="2" t="str">
        <f>IFERROR(__xludf.DUMMYFUNCTION("""COMPUTED_VALUE"""),"FOLDING UMBRELLA WHITE/RED SPOT")</f>
        <v>FOLDING UMBRELLA WHITE/RED SPOT</v>
      </c>
      <c r="B189" s="2">
        <f>IFERROR(__xludf.DUMMYFUNCTION("""COMPUTED_VALUE"""),12.0)</f>
        <v>12</v>
      </c>
    </row>
    <row r="190">
      <c r="A190" s="2" t="str">
        <f>IFERROR(__xludf.DUMMYFUNCTION("""COMPUTED_VALUE"""),"WHITE HANGING HEART T-LIGHT HOLDER")</f>
        <v>WHITE HANGING HEART T-LIGHT HOLDER</v>
      </c>
      <c r="B190" s="2">
        <f>IFERROR(__xludf.DUMMYFUNCTION("""COMPUTED_VALUE"""),64.0)</f>
        <v>64</v>
      </c>
    </row>
    <row r="191">
      <c r="A191" s="2" t="str">
        <f>IFERROR(__xludf.DUMMYFUNCTION("""COMPUTED_VALUE"""),"RED HANGING HEART T-LIGHT HOLDER")</f>
        <v>RED HANGING HEART T-LIGHT HOLDER</v>
      </c>
      <c r="B191" s="2">
        <f>IFERROR(__xludf.DUMMYFUNCTION("""COMPUTED_VALUE"""),20.0)</f>
        <v>20</v>
      </c>
    </row>
    <row r="192">
      <c r="A192" s="2" t="str">
        <f>IFERROR(__xludf.DUMMYFUNCTION("""COMPUTED_VALUE"""),"RETRO BLUE SPOTTY WASHING UP GLOVES")</f>
        <v>RETRO BLUE SPOTTY WASHING UP GLOVES</v>
      </c>
      <c r="B192" s="2">
        <f>IFERROR(__xludf.DUMMYFUNCTION("""COMPUTED_VALUE"""),8.0)</f>
        <v>8</v>
      </c>
    </row>
    <row r="193">
      <c r="A193" s="2" t="str">
        <f>IFERROR(__xludf.DUMMYFUNCTION("""COMPUTED_VALUE"""),"RETRO PINK SPOT WASHING UP GLOVES")</f>
        <v>RETRO PINK SPOT WASHING UP GLOVES</v>
      </c>
      <c r="B193" s="2">
        <f>IFERROR(__xludf.DUMMYFUNCTION("""COMPUTED_VALUE"""),8.0)</f>
        <v>8</v>
      </c>
    </row>
    <row r="194">
      <c r="A194" s="2" t="str">
        <f>IFERROR(__xludf.DUMMYFUNCTION("""COMPUTED_VALUE"""),"RETRO RED SPOTTY WASHING UP GLOVES")</f>
        <v>RETRO RED SPOTTY WASHING UP GLOVES</v>
      </c>
      <c r="B194" s="2">
        <f>IFERROR(__xludf.DUMMYFUNCTION("""COMPUTED_VALUE"""),8.0)</f>
        <v>8</v>
      </c>
    </row>
    <row r="195">
      <c r="A195" s="2" t="str">
        <f>IFERROR(__xludf.DUMMYFUNCTION("""COMPUTED_VALUE"""),"FUNKY WASHING UP GLOVES ASSORTED")</f>
        <v>FUNKY WASHING UP GLOVES ASSORTED</v>
      </c>
      <c r="B195" s="2">
        <f>IFERROR(__xludf.DUMMYFUNCTION("""COMPUTED_VALUE"""),12.0)</f>
        <v>12</v>
      </c>
    </row>
    <row r="196">
      <c r="A196" s="2" t="str">
        <f>IFERROR(__xludf.DUMMYFUNCTION("""COMPUTED_VALUE"""),"HOT WATER BOTTLE TEA AND SYMPATHY")</f>
        <v>HOT WATER BOTTLE TEA AND SYMPATHY</v>
      </c>
      <c r="B196" s="2">
        <f>IFERROR(__xludf.DUMMYFUNCTION("""COMPUTED_VALUE"""),12.0)</f>
        <v>12</v>
      </c>
    </row>
    <row r="197">
      <c r="A197" s="2" t="str">
        <f>IFERROR(__xludf.DUMMYFUNCTION("""COMPUTED_VALUE"""),"FAWN BLUE HOT WATER BOTTLE")</f>
        <v>FAWN BLUE HOT WATER BOTTLE</v>
      </c>
      <c r="B197" s="2">
        <f>IFERROR(__xludf.DUMMYFUNCTION("""COMPUTED_VALUE"""),8.0)</f>
        <v>8</v>
      </c>
    </row>
    <row r="198">
      <c r="A198" s="2" t="str">
        <f>IFERROR(__xludf.DUMMYFUNCTION("""COMPUTED_VALUE"""),"ANTIQUE LILY FAIRY LIGHTS")</f>
        <v>ANTIQUE LILY FAIRY LIGHTS</v>
      </c>
      <c r="B198" s="2">
        <f>IFERROR(__xludf.DUMMYFUNCTION("""COMPUTED_VALUE"""),24.0)</f>
        <v>24</v>
      </c>
    </row>
    <row r="199">
      <c r="A199" s="2" t="str">
        <f>IFERROR(__xludf.DUMMYFUNCTION("""COMPUTED_VALUE"""),"ASSORTED COLOUR BIRD ORNAMENT")</f>
        <v>ASSORTED COLOUR BIRD ORNAMENT</v>
      </c>
      <c r="B199" s="2">
        <f>IFERROR(__xludf.DUMMYFUNCTION("""COMPUTED_VALUE"""),160.0)</f>
        <v>160</v>
      </c>
    </row>
    <row r="200">
      <c r="A200" s="2" t="str">
        <f>IFERROR(__xludf.DUMMYFUNCTION("""COMPUTED_VALUE"""),"21733 mixed")</f>
        <v>21733 mixed</v>
      </c>
      <c r="B200" s="2">
        <f>IFERROR(__xludf.DUMMYFUNCTION("""COMPUTED_VALUE"""),-192.0)</f>
        <v>-192</v>
      </c>
    </row>
    <row r="201">
      <c r="A201" s="2" t="str">
        <f>IFERROR(__xludf.DUMMYFUNCTION("""COMPUTED_VALUE"""),"FELTCRAFT 6 FLOWER FRIENDS")</f>
        <v>FELTCRAFT 6 FLOWER FRIENDS</v>
      </c>
      <c r="B201" s="2">
        <f>IFERROR(__xludf.DUMMYFUNCTION("""COMPUTED_VALUE"""),-6.0)</f>
        <v>-6</v>
      </c>
    </row>
    <row r="202">
      <c r="A202" s="2" t="str">
        <f>IFERROR(__xludf.DUMMYFUNCTION("""COMPUTED_VALUE"""),"CHARLIE LOLA BLUE HOT WATER BOTTLE")</f>
        <v>CHARLIE LOLA BLUE HOT WATER BOTTLE</v>
      </c>
      <c r="B202" s="2">
        <f>IFERROR(__xludf.DUMMYFUNCTION("""COMPUTED_VALUE"""),1.0)</f>
        <v>1</v>
      </c>
    </row>
    <row r="203">
      <c r="A203" s="2" t="str">
        <f>IFERROR(__xludf.DUMMYFUNCTION("""COMPUTED_VALUE"""),"CHARLIE+LOLA PINK HOT WATER BOTTLE")</f>
        <v>CHARLIE+LOLA PINK HOT WATER BOTTLE</v>
      </c>
      <c r="B203" s="2">
        <f>IFERROR(__xludf.DUMMYFUNCTION("""COMPUTED_VALUE"""),1.0)</f>
        <v>1</v>
      </c>
    </row>
    <row r="204">
      <c r="A204" s="2" t="str">
        <f>IFERROR(__xludf.DUMMYFUNCTION("""COMPUTED_VALUE"""),"CHARLIE + LOLA RED HOT WATER BOTTLE")</f>
        <v>CHARLIE + LOLA RED HOT WATER BOTTLE</v>
      </c>
      <c r="B204" s="2">
        <f>IFERROR(__xludf.DUMMYFUNCTION("""COMPUTED_VALUE"""),1.0)</f>
        <v>1</v>
      </c>
    </row>
    <row r="205">
      <c r="A205" s="2" t="str">
        <f>IFERROR(__xludf.DUMMYFUNCTION("""COMPUTED_VALUE"""),"MUSHROOM BLUE HOT WATER BOTTLE")</f>
        <v>MUSHROOM BLUE HOT WATER BOTTLE</v>
      </c>
      <c r="B205" s="2">
        <f>IFERROR(__xludf.DUMMYFUNCTION("""COMPUTED_VALUE"""),2.0)</f>
        <v>2</v>
      </c>
    </row>
    <row r="206">
      <c r="A206" s="2" t="str">
        <f>IFERROR(__xludf.DUMMYFUNCTION("""COMPUTED_VALUE"""),"CHICK GREY HOT WATER BOTTLE")</f>
        <v>CHICK GREY HOT WATER BOTTLE</v>
      </c>
      <c r="B206" s="2">
        <f>IFERROR(__xludf.DUMMYFUNCTION("""COMPUTED_VALUE"""),3.0)</f>
        <v>3</v>
      </c>
    </row>
    <row r="207">
      <c r="A207" s="2" t="str">
        <f>IFERROR(__xludf.DUMMYFUNCTION("""COMPUTED_VALUE"""),"GREY FLORAL FELTCRAFT SHOULDER BAG")</f>
        <v>GREY FLORAL FELTCRAFT SHOULDER BAG</v>
      </c>
      <c r="B207" s="2">
        <f>IFERROR(__xludf.DUMMYFUNCTION("""COMPUTED_VALUE"""),1.0)</f>
        <v>1</v>
      </c>
    </row>
    <row r="208">
      <c r="A208" s="2" t="str">
        <f>IFERROR(__xludf.DUMMYFUNCTION("""COMPUTED_VALUE"""),"PINK FLORAL FELTCRAFT SHOULDER BAG")</f>
        <v>PINK FLORAL FELTCRAFT SHOULDER BAG</v>
      </c>
      <c r="B208" s="2">
        <f>IFERROR(__xludf.DUMMYFUNCTION("""COMPUTED_VALUE"""),2.0)</f>
        <v>2</v>
      </c>
    </row>
    <row r="209">
      <c r="A209" s="2" t="str">
        <f>IFERROR(__xludf.DUMMYFUNCTION("""COMPUTED_VALUE"""),"CHARLIE AND LOLA CHARLOTTE BAG")</f>
        <v>CHARLIE AND LOLA CHARLOTTE BAG</v>
      </c>
      <c r="B209" s="2">
        <f>IFERROR(__xludf.DUMMYFUNCTION("""COMPUTED_VALUE"""),2.0)</f>
        <v>2</v>
      </c>
    </row>
    <row r="210">
      <c r="A210" s="2" t="str">
        <f>IFERROR(__xludf.DUMMYFUNCTION("""COMPUTED_VALUE"""),"PINK CROCHET CAT WITH SCARF")</f>
        <v>PINK CROCHET CAT WITH SCARF</v>
      </c>
      <c r="B210" s="2">
        <f>IFERROR(__xludf.DUMMYFUNCTION("""COMPUTED_VALUE"""),2.0)</f>
        <v>2</v>
      </c>
    </row>
    <row r="211">
      <c r="A211" s="2" t="str">
        <f>IFERROR(__xludf.DUMMYFUNCTION("""COMPUTED_VALUE"""),"PINK CREAM FELT CRAFT TRINKET BOX")</f>
        <v>PINK CREAM FELT CRAFT TRINKET BOX</v>
      </c>
      <c r="B211" s="2">
        <f>IFERROR(__xludf.DUMMYFUNCTION("""COMPUTED_VALUE"""),3.0)</f>
        <v>3</v>
      </c>
    </row>
    <row r="212">
      <c r="A212" s="2" t="str">
        <f>IFERROR(__xludf.DUMMYFUNCTION("""COMPUTED_VALUE"""),"PINK BLUE FELT CRAFT TRINKET BOX")</f>
        <v>PINK BLUE FELT CRAFT TRINKET BOX</v>
      </c>
      <c r="B212" s="2">
        <f>IFERROR(__xludf.DUMMYFUNCTION("""COMPUTED_VALUE"""),1.0)</f>
        <v>1</v>
      </c>
    </row>
    <row r="213">
      <c r="A213" s="2" t="str">
        <f>IFERROR(__xludf.DUMMYFUNCTION("""COMPUTED_VALUE"""),"PINK JUMPER LARRY THE LAMB")</f>
        <v>PINK JUMPER LARRY THE LAMB</v>
      </c>
      <c r="B213" s="2">
        <f>IFERROR(__xludf.DUMMYFUNCTION("""COMPUTED_VALUE"""),2.0)</f>
        <v>2</v>
      </c>
    </row>
    <row r="214">
      <c r="A214" s="2" t="str">
        <f>IFERROR(__xludf.DUMMYFUNCTION("""COMPUTED_VALUE"""),"SET OF THREE 50'S GIFT WRAPS")</f>
        <v>SET OF THREE 50'S GIFT WRAPS</v>
      </c>
      <c r="B214" s="2">
        <f>IFERROR(__xludf.DUMMYFUNCTION("""COMPUTED_VALUE"""),3.0)</f>
        <v>3</v>
      </c>
    </row>
    <row r="215">
      <c r="A215" s="2" t="str">
        <f>IFERROR(__xludf.DUMMYFUNCTION("""COMPUTED_VALUE"""),"PAPER CHAIN KIT 50'S CHRISTMAS")</f>
        <v>PAPER CHAIN KIT 50'S CHRISTMAS</v>
      </c>
      <c r="B215" s="2">
        <f>IFERROR(__xludf.DUMMYFUNCTION("""COMPUTED_VALUE"""),5.0)</f>
        <v>5</v>
      </c>
    </row>
    <row r="216">
      <c r="A216" s="2" t="str">
        <f>IFERROR(__xludf.DUMMYFUNCTION("""COMPUTED_VALUE"""),"PINK 3 PIECE MINI DOTS CUTLERY SET")</f>
        <v>PINK 3 PIECE MINI DOTS CUTLERY SET</v>
      </c>
      <c r="B216" s="2">
        <f>IFERROR(__xludf.DUMMYFUNCTION("""COMPUTED_VALUE"""),4.0)</f>
        <v>4</v>
      </c>
    </row>
    <row r="217">
      <c r="A217" s="2" t="str">
        <f>IFERROR(__xludf.DUMMYFUNCTION("""COMPUTED_VALUE"""),"BLUE 3 PIECE MINI DOTS CUTLERY SET")</f>
        <v>BLUE 3 PIECE MINI DOTS CUTLERY SET</v>
      </c>
      <c r="B217" s="2">
        <f>IFERROR(__xludf.DUMMYFUNCTION("""COMPUTED_VALUE"""),4.0)</f>
        <v>4</v>
      </c>
    </row>
    <row r="218">
      <c r="A218" s="2" t="str">
        <f>IFERROR(__xludf.DUMMYFUNCTION("""COMPUTED_VALUE"""),"COFFEE MUG CAT + BIRD DESIGN")</f>
        <v>COFFEE MUG CAT + BIRD DESIGN</v>
      </c>
      <c r="B218" s="2">
        <f>IFERROR(__xludf.DUMMYFUNCTION("""COMPUTED_VALUE"""),2.0)</f>
        <v>2</v>
      </c>
    </row>
    <row r="219">
      <c r="A219" s="2" t="str">
        <f>IFERROR(__xludf.DUMMYFUNCTION("""COMPUTED_VALUE"""),"COFFEE MUG DOG + BALL DESIGN")</f>
        <v>COFFEE MUG DOG + BALL DESIGN</v>
      </c>
      <c r="B219" s="2">
        <f>IFERROR(__xludf.DUMMYFUNCTION("""COMPUTED_VALUE"""),3.0)</f>
        <v>3</v>
      </c>
    </row>
    <row r="220">
      <c r="A220" s="2" t="str">
        <f>IFERROR(__xludf.DUMMYFUNCTION("""COMPUTED_VALUE"""),"SWEETHEART CERAMIC TRINKET BOX")</f>
        <v>SWEETHEART CERAMIC TRINKET BOX</v>
      </c>
      <c r="B220" s="2">
        <f>IFERROR(__xludf.DUMMYFUNCTION("""COMPUTED_VALUE"""),4.0)</f>
        <v>4</v>
      </c>
    </row>
    <row r="221">
      <c r="A221" s="2" t="str">
        <f>IFERROR(__xludf.DUMMYFUNCTION("""COMPUTED_VALUE"""),"OPULENT VELVET CANDLE IN BOX")</f>
        <v>OPULENT VELVET CANDLE IN BOX</v>
      </c>
      <c r="B221" s="2">
        <f>IFERROR(__xludf.DUMMYFUNCTION("""COMPUTED_VALUE"""),6.0)</f>
        <v>6</v>
      </c>
    </row>
    <row r="222">
      <c r="A222" s="2" t="str">
        <f>IFERROR(__xludf.DUMMYFUNCTION("""COMPUTED_VALUE"""),"VINTAGE ROSE BEAD BRACELET BLUE")</f>
        <v>VINTAGE ROSE BEAD BRACELET BLUE</v>
      </c>
      <c r="B222" s="2">
        <f>IFERROR(__xludf.DUMMYFUNCTION("""COMPUTED_VALUE"""),4.0)</f>
        <v>4</v>
      </c>
    </row>
    <row r="223">
      <c r="A223" s="2" t="str">
        <f>IFERROR(__xludf.DUMMYFUNCTION("""COMPUTED_VALUE"""),"JUMBO STORAGE BAG SKULLS")</f>
        <v>JUMBO STORAGE BAG SKULLS</v>
      </c>
      <c r="B223" s="2">
        <f>IFERROR(__xludf.DUMMYFUNCTION("""COMPUTED_VALUE"""),2.0)</f>
        <v>2</v>
      </c>
    </row>
    <row r="224">
      <c r="A224" s="2" t="str">
        <f>IFERROR(__xludf.DUMMYFUNCTION("""COMPUTED_VALUE"""),"DAIRY MAID CERAMIC BUTTER DISH")</f>
        <v>DAIRY MAID CERAMIC BUTTER DISH</v>
      </c>
      <c r="B224" s="2">
        <f>IFERROR(__xludf.DUMMYFUNCTION("""COMPUTED_VALUE"""),-2.0)</f>
        <v>-2</v>
      </c>
    </row>
    <row r="225">
      <c r="A225" s="2" t="str">
        <f>IFERROR(__xludf.DUMMYFUNCTION("""COMPUTED_VALUE"""),"RETRO SPOT LARGE MILK JUG")</f>
        <v>RETRO SPOT LARGE MILK JUG</v>
      </c>
      <c r="B225" s="2">
        <f>IFERROR(__xludf.DUMMYFUNCTION("""COMPUTED_VALUE"""),-1.0)</f>
        <v>-1</v>
      </c>
    </row>
    <row r="226">
      <c r="A226" s="2" t="str">
        <f>IFERROR(__xludf.DUMMYFUNCTION("""COMPUTED_VALUE"""),"KISS REINDEER SCANDINAVIAN STOCKING")</f>
        <v>KISS REINDEER SCANDINAVIAN STOCKING</v>
      </c>
      <c r="B226" s="2">
        <f>IFERROR(__xludf.DUMMYFUNCTION("""COMPUTED_VALUE"""),-6.0)</f>
        <v>-6</v>
      </c>
    </row>
    <row r="227">
      <c r="A227" s="2" t="str">
        <f>IFERROR(__xludf.DUMMYFUNCTION("""COMPUTED_VALUE"""),"LADYBIRD + BEE RAFFIA FOOD COVER")</f>
        <v>LADYBIRD + BEE RAFFIA FOOD COVER</v>
      </c>
      <c r="B227" s="2">
        <f>IFERROR(__xludf.DUMMYFUNCTION("""COMPUTED_VALUE"""),6.0)</f>
        <v>6</v>
      </c>
    </row>
    <row r="228">
      <c r="A228" s="2" t="str">
        <f>IFERROR(__xludf.DUMMYFUNCTION("""COMPUTED_VALUE"""),"JUMBO BAG RED WHITE SPOTTY")</f>
        <v>JUMBO BAG RED WHITE SPOTTY</v>
      </c>
      <c r="B228" s="2">
        <f>IFERROR(__xludf.DUMMYFUNCTION("""COMPUTED_VALUE"""),10.0)</f>
        <v>10</v>
      </c>
    </row>
    <row r="229">
      <c r="A229" s="2" t="str">
        <f>IFERROR(__xludf.DUMMYFUNCTION("""COMPUTED_VALUE"""),"TEA TIME PARTY BUNTING")</f>
        <v>TEA TIME PARTY BUNTING</v>
      </c>
      <c r="B229" s="2">
        <f>IFERROR(__xludf.DUMMYFUNCTION("""COMPUTED_VALUE"""),5.0)</f>
        <v>5</v>
      </c>
    </row>
    <row r="230">
      <c r="A230" s="2" t="str">
        <f>IFERROR(__xludf.DUMMYFUNCTION("""COMPUTED_VALUE"""),"JUMBO BAG PINK VINTAGE PAISLEY")</f>
        <v>JUMBO BAG PINK VINTAGE PAISLEY</v>
      </c>
      <c r="B230" s="2">
        <f>IFERROR(__xludf.DUMMYFUNCTION("""COMPUTED_VALUE"""),10.0)</f>
        <v>10</v>
      </c>
    </row>
    <row r="231">
      <c r="A231" s="2" t="str">
        <f>IFERROR(__xludf.DUMMYFUNCTION("""COMPUTED_VALUE"""),"RETRO SPOT TEA SET CERAMIC 11 PC")</f>
        <v>RETRO SPOT TEA SET CERAMIC 11 PC</v>
      </c>
      <c r="B231" s="2">
        <f>IFERROR(__xludf.DUMMYFUNCTION("""COMPUTED_VALUE"""),6.0)</f>
        <v>6</v>
      </c>
    </row>
    <row r="232">
      <c r="A232" s="2" t="str">
        <f>IFERROR(__xludf.DUMMYFUNCTION("""COMPUTED_VALUE"""),"PAPER CHAIN KIT 50'S CHRISTMAS")</f>
        <v>PAPER CHAIN KIT 50'S CHRISTMAS</v>
      </c>
      <c r="B232" s="2">
        <f>IFERROR(__xludf.DUMMYFUNCTION("""COMPUTED_VALUE"""),6.0)</f>
        <v>6</v>
      </c>
    </row>
    <row r="233">
      <c r="A233" s="2" t="str">
        <f>IFERROR(__xludf.DUMMYFUNCTION("""COMPUTED_VALUE"""),"BAKING SET 9 PIECE RETROSPOT")</f>
        <v>BAKING SET 9 PIECE RETROSPOT</v>
      </c>
      <c r="B233" s="2">
        <f>IFERROR(__xludf.DUMMYFUNCTION("""COMPUTED_VALUE"""),3.0)</f>
        <v>3</v>
      </c>
    </row>
    <row r="234">
      <c r="A234" s="2" t="str">
        <f>IFERROR(__xludf.DUMMYFUNCTION("""COMPUTED_VALUE"""),"WHITE SKULL HOT WATER BOTTLE")</f>
        <v>WHITE SKULL HOT WATER BOTTLE</v>
      </c>
      <c r="B234" s="2">
        <f>IFERROR(__xludf.DUMMYFUNCTION("""COMPUTED_VALUE"""),4.0)</f>
        <v>4</v>
      </c>
    </row>
    <row r="235">
      <c r="A235" s="2" t="str">
        <f>IFERROR(__xludf.DUMMYFUNCTION("""COMPUTED_VALUE"""),"VINTAGE HEADS AND TAILS CARD GAME")</f>
        <v>VINTAGE HEADS AND TAILS CARD GAME</v>
      </c>
      <c r="B235" s="2">
        <f>IFERROR(__xludf.DUMMYFUNCTION("""COMPUTED_VALUE"""),72.0)</f>
        <v>72</v>
      </c>
    </row>
    <row r="236">
      <c r="A236" s="2" t="str">
        <f>IFERROR(__xludf.DUMMYFUNCTION("""COMPUTED_VALUE"""),"CHARLIE+LOLA PINK HOT WATER BOTTLE")</f>
        <v>CHARLIE+LOLA PINK HOT WATER BOTTLE</v>
      </c>
      <c r="B236" s="2">
        <f>IFERROR(__xludf.DUMMYFUNCTION("""COMPUTED_VALUE"""),36.0)</f>
        <v>36</v>
      </c>
    </row>
    <row r="237">
      <c r="A237" s="2" t="str">
        <f>IFERROR(__xludf.DUMMYFUNCTION("""COMPUTED_VALUE"""),"ANTIQUE LILY FAIRY LIGHTS")</f>
        <v>ANTIQUE LILY FAIRY LIGHTS</v>
      </c>
      <c r="B237" s="2">
        <f>IFERROR(__xludf.DUMMYFUNCTION("""COMPUTED_VALUE"""),24.0)</f>
        <v>24</v>
      </c>
    </row>
    <row r="238">
      <c r="A238" s="2" t="str">
        <f>IFERROR(__xludf.DUMMYFUNCTION("""COMPUTED_VALUE"""),"COLOUR GLASS. STAR T-LIGHT HOLDER")</f>
        <v>COLOUR GLASS. STAR T-LIGHT HOLDER</v>
      </c>
      <c r="B238" s="2">
        <f>IFERROR(__xludf.DUMMYFUNCTION("""COMPUTED_VALUE"""),24.0)</f>
        <v>24</v>
      </c>
    </row>
    <row r="239">
      <c r="A239" s="2" t="str">
        <f>IFERROR(__xludf.DUMMYFUNCTION("""COMPUTED_VALUE"""),"MINI CAKE STAND WITH HANGING CAKES")</f>
        <v>MINI CAKE STAND WITH HANGING CAKES</v>
      </c>
      <c r="B239" s="2">
        <f>IFERROR(__xludf.DUMMYFUNCTION("""COMPUTED_VALUE"""),32.0)</f>
        <v>32</v>
      </c>
    </row>
    <row r="240">
      <c r="A240" s="2" t="str">
        <f>IFERROR(__xludf.DUMMYFUNCTION("""COMPUTED_VALUE"""),"SET/3 TALL GLASS CANDLE HOLDER PINK")</f>
        <v>SET/3 TALL GLASS CANDLE HOLDER PINK</v>
      </c>
      <c r="B240" s="2">
        <f>IFERROR(__xludf.DUMMYFUNCTION("""COMPUTED_VALUE"""),8.0)</f>
        <v>8</v>
      </c>
    </row>
    <row r="241">
      <c r="A241" s="2" t="str">
        <f>IFERROR(__xludf.DUMMYFUNCTION("""COMPUTED_VALUE"""),"PINK FAIRY CAKE CHILD'S APRON")</f>
        <v>PINK FAIRY CAKE CHILD'S APRON</v>
      </c>
      <c r="B241" s="2">
        <f>IFERROR(__xludf.DUMMYFUNCTION("""COMPUTED_VALUE"""),50.0)</f>
        <v>50</v>
      </c>
    </row>
    <row r="242">
      <c r="A242" s="2" t="str">
        <f>IFERROR(__xludf.DUMMYFUNCTION("""COMPUTED_VALUE"""),"PINK UNION JACK LUGGAGE TAG")</f>
        <v>PINK UNION JACK LUGGAGE TAG</v>
      </c>
      <c r="B242" s="2">
        <f>IFERROR(__xludf.DUMMYFUNCTION("""COMPUTED_VALUE"""),1.0)</f>
        <v>1</v>
      </c>
    </row>
    <row r="243">
      <c r="A243" s="2" t="str">
        <f>IFERROR(__xludf.DUMMYFUNCTION("""COMPUTED_VALUE"""),"RED SPOTTY OVEN GLOVE DOUBLE")</f>
        <v>RED SPOTTY OVEN GLOVE DOUBLE</v>
      </c>
      <c r="B243" s="2">
        <f>IFERROR(__xludf.DUMMYFUNCTION("""COMPUTED_VALUE"""),5.0)</f>
        <v>5</v>
      </c>
    </row>
    <row r="244">
      <c r="A244" s="2" t="str">
        <f>IFERROR(__xludf.DUMMYFUNCTION("""COMPUTED_VALUE"""),"LAUNDRY 15C METAL SIGN")</f>
        <v>LAUNDRY 15C METAL SIGN</v>
      </c>
      <c r="B244" s="2">
        <f>IFERROR(__xludf.DUMMYFUNCTION("""COMPUTED_VALUE"""),2.0)</f>
        <v>2</v>
      </c>
    </row>
    <row r="245">
      <c r="A245" s="2" t="str">
        <f>IFERROR(__xludf.DUMMYFUNCTION("""COMPUTED_VALUE"""),"AIRLINE LOUNGE,METAL SIGN")</f>
        <v>AIRLINE LOUNGE,METAL SIGN</v>
      </c>
      <c r="B245" s="2">
        <f>IFERROR(__xludf.DUMMYFUNCTION("""COMPUTED_VALUE"""),1.0)</f>
        <v>1</v>
      </c>
    </row>
    <row r="246">
      <c r="A246" s="2" t="str">
        <f>IFERROR(__xludf.DUMMYFUNCTION("""COMPUTED_VALUE"""),"KEEP OUT BOYS DOOR HANGER")</f>
        <v>KEEP OUT BOYS DOOR HANGER</v>
      </c>
      <c r="B246" s="2">
        <f>IFERROR(__xludf.DUMMYFUNCTION("""COMPUTED_VALUE"""),3.0)</f>
        <v>3</v>
      </c>
    </row>
    <row r="247">
      <c r="A247" s="2" t="str">
        <f>IFERROR(__xludf.DUMMYFUNCTION("""COMPUTED_VALUE"""),"METAL SIGN CUPCAKE SINGLE HOOK")</f>
        <v>METAL SIGN CUPCAKE SINGLE HOOK</v>
      </c>
      <c r="B247" s="2">
        <f>IFERROR(__xludf.DUMMYFUNCTION("""COMPUTED_VALUE"""),2.0)</f>
        <v>2</v>
      </c>
    </row>
    <row r="248">
      <c r="A248" s="2" t="str">
        <f>IFERROR(__xludf.DUMMYFUNCTION("""COMPUTED_VALUE"""),"NO JUNK MAIL METAL SIGN")</f>
        <v>NO JUNK MAIL METAL SIGN</v>
      </c>
      <c r="B248" s="2">
        <f>IFERROR(__xludf.DUMMYFUNCTION("""COMPUTED_VALUE"""),2.0)</f>
        <v>2</v>
      </c>
    </row>
    <row r="249">
      <c r="A249" s="2" t="str">
        <f>IFERROR(__xludf.DUMMYFUNCTION("""COMPUTED_VALUE"""),"PINK UNION JACK PASSPORT COVER")</f>
        <v>PINK UNION JACK PASSPORT COVER</v>
      </c>
      <c r="B249" s="2">
        <f>IFERROR(__xludf.DUMMYFUNCTION("""COMPUTED_VALUE"""),3.0)</f>
        <v>3</v>
      </c>
    </row>
    <row r="250">
      <c r="A250" s="2" t="str">
        <f>IFERROR(__xludf.DUMMYFUNCTION("""COMPUTED_VALUE"""),"BLACK SIL'T SQU CANDLE PLATE")</f>
        <v>BLACK SIL'T SQU CANDLE PLATE</v>
      </c>
      <c r="B250" s="2">
        <f>IFERROR(__xludf.DUMMYFUNCTION("""COMPUTED_VALUE"""),2.0)</f>
        <v>2</v>
      </c>
    </row>
    <row r="251">
      <c r="A251" s="2" t="str">
        <f>IFERROR(__xludf.DUMMYFUNCTION("""COMPUTED_VALUE"""),"POTTING SHED COFFEE MUG")</f>
        <v>POTTING SHED COFFEE MUG</v>
      </c>
      <c r="B251" s="2">
        <f>IFERROR(__xludf.DUMMYFUNCTION("""COMPUTED_VALUE"""),2.0)</f>
        <v>2</v>
      </c>
    </row>
    <row r="252">
      <c r="A252" s="2" t="str">
        <f>IFERROR(__xludf.DUMMYFUNCTION("""COMPUTED_VALUE"""),"POTTERING MUG")</f>
        <v>POTTERING MUG</v>
      </c>
      <c r="B252" s="2">
        <f>IFERROR(__xludf.DUMMYFUNCTION("""COMPUTED_VALUE"""),2.0)</f>
        <v>2</v>
      </c>
    </row>
    <row r="253">
      <c r="A253" s="2" t="str">
        <f>IFERROR(__xludf.DUMMYFUNCTION("""COMPUTED_VALUE"""),"RETRO RED SPOTTY WASHING UP GLOVES")</f>
        <v>RETRO RED SPOTTY WASHING UP GLOVES</v>
      </c>
      <c r="B253" s="2">
        <f>IFERROR(__xludf.DUMMYFUNCTION("""COMPUTED_VALUE"""),3.0)</f>
        <v>3</v>
      </c>
    </row>
    <row r="254">
      <c r="A254" s="2" t="str">
        <f>IFERROR(__xludf.DUMMYFUNCTION("""COMPUTED_VALUE"""),"FAIRY SOAP SOAP HOLDER")</f>
        <v>FAIRY SOAP SOAP HOLDER</v>
      </c>
      <c r="B254" s="2">
        <f>IFERROR(__xludf.DUMMYFUNCTION("""COMPUTED_VALUE"""),2.0)</f>
        <v>2</v>
      </c>
    </row>
    <row r="255">
      <c r="A255" s="2" t="str">
        <f>IFERROR(__xludf.DUMMYFUNCTION("""COMPUTED_VALUE"""),"UNION JACK FLAG PASSPORT COVER")</f>
        <v>UNION JACK FLAG PASSPORT COVER</v>
      </c>
      <c r="B255" s="2">
        <f>IFERROR(__xludf.DUMMYFUNCTION("""COMPUTED_VALUE"""),5.0)</f>
        <v>5</v>
      </c>
    </row>
    <row r="256">
      <c r="A256" s="2" t="str">
        <f>IFERROR(__xludf.DUMMYFUNCTION("""COMPUTED_VALUE"""),"FLOWER VINE RAFFIA FOOD COVER")</f>
        <v>FLOWER VINE RAFFIA FOOD COVER</v>
      </c>
      <c r="B256" s="2">
        <f>IFERROR(__xludf.DUMMYFUNCTION("""COMPUTED_VALUE"""),2.0)</f>
        <v>2</v>
      </c>
    </row>
    <row r="257">
      <c r="A257" s="2" t="str">
        <f>IFERROR(__xludf.DUMMYFUNCTION("""COMPUTED_VALUE"""),"VINTAGE NOTEBOOK PARIS DAYS")</f>
        <v>VINTAGE NOTEBOOK PARIS DAYS</v>
      </c>
      <c r="B257" s="2">
        <f>IFERROR(__xludf.DUMMYFUNCTION("""COMPUTED_VALUE"""),2.0)</f>
        <v>2</v>
      </c>
    </row>
    <row r="258">
      <c r="A258" s="2" t="str">
        <f>IFERROR(__xludf.DUMMYFUNCTION("""COMPUTED_VALUE"""),"ENGLISH ROSE TEA SET IN GIFT BOX")</f>
        <v>ENGLISH ROSE TEA SET IN GIFT BOX</v>
      </c>
      <c r="B258" s="2">
        <f>IFERROR(__xludf.DUMMYFUNCTION("""COMPUTED_VALUE"""),2.0)</f>
        <v>2</v>
      </c>
    </row>
    <row r="259">
      <c r="A259" s="2" t="str">
        <f>IFERROR(__xludf.DUMMYFUNCTION("""COMPUTED_VALUE"""),"GREEN 3 PIECE MINI DOTS CUTLERY SET")</f>
        <v>GREEN 3 PIECE MINI DOTS CUTLERY SET</v>
      </c>
      <c r="B259" s="2">
        <f>IFERROR(__xludf.DUMMYFUNCTION("""COMPUTED_VALUE"""),3.0)</f>
        <v>3</v>
      </c>
    </row>
    <row r="260">
      <c r="A260" s="2" t="str">
        <f>IFERROR(__xludf.DUMMYFUNCTION("""COMPUTED_VALUE"""),"GREEN SPOTTY PLATE")</f>
        <v>GREEN SPOTTY PLATE</v>
      </c>
      <c r="B260" s="2">
        <f>IFERROR(__xludf.DUMMYFUNCTION("""COMPUTED_VALUE"""),3.0)</f>
        <v>3</v>
      </c>
    </row>
    <row r="261">
      <c r="A261" s="2" t="str">
        <f>IFERROR(__xludf.DUMMYFUNCTION("""COMPUTED_VALUE"""),"BAG 500g SWIRLY MARBLES")</f>
        <v>BAG 500g SWIRLY MARBLES</v>
      </c>
      <c r="B261" s="2">
        <f>IFERROR(__xludf.DUMMYFUNCTION("""COMPUTED_VALUE"""),1.0)</f>
        <v>1</v>
      </c>
    </row>
    <row r="262">
      <c r="A262" s="2" t="str">
        <f>IFERROR(__xludf.DUMMYFUNCTION("""COMPUTED_VALUE"""),"VINTAGE SEASIDE JIGSAW PUZZLES")</f>
        <v>VINTAGE SEASIDE JIGSAW PUZZLES</v>
      </c>
      <c r="B262" s="2">
        <f>IFERROR(__xludf.DUMMYFUNCTION("""COMPUTED_VALUE"""),1.0)</f>
        <v>1</v>
      </c>
    </row>
    <row r="263">
      <c r="A263" s="2" t="str">
        <f>IFERROR(__xludf.DUMMYFUNCTION("""COMPUTED_VALUE"""),"VINTAGE SNAKES &amp; LADDERS")</f>
        <v>VINTAGE SNAKES &amp; LADDERS</v>
      </c>
      <c r="B263" s="2">
        <f>IFERROR(__xludf.DUMMYFUNCTION("""COMPUTED_VALUE"""),1.0)</f>
        <v>1</v>
      </c>
    </row>
    <row r="264">
      <c r="A264" s="2" t="str">
        <f>IFERROR(__xludf.DUMMYFUNCTION("""COMPUTED_VALUE"""),"PINK STRAWBERRY HANDBAG")</f>
        <v>PINK STRAWBERRY HANDBAG</v>
      </c>
      <c r="B264" s="2">
        <f>IFERROR(__xludf.DUMMYFUNCTION("""COMPUTED_VALUE"""),2.0)</f>
        <v>2</v>
      </c>
    </row>
    <row r="265">
      <c r="A265" s="2" t="str">
        <f>IFERROR(__xludf.DUMMYFUNCTION("""COMPUTED_VALUE"""),"GLITTER STAR GARLAND WITH BELLS")</f>
        <v>GLITTER STAR GARLAND WITH BELLS</v>
      </c>
      <c r="B265" s="2">
        <f>IFERROR(__xludf.DUMMYFUNCTION("""COMPUTED_VALUE"""),1.0)</f>
        <v>1</v>
      </c>
    </row>
    <row r="266">
      <c r="A266" s="2" t="str">
        <f>IFERROR(__xludf.DUMMYFUNCTION("""COMPUTED_VALUE"""),"WHITE HANGING HEART T-LIGHT HOLDER")</f>
        <v>WHITE HANGING HEART T-LIGHT HOLDER</v>
      </c>
      <c r="B266" s="2">
        <f>IFERROR(__xludf.DUMMYFUNCTION("""COMPUTED_VALUE"""),1.0)</f>
        <v>1</v>
      </c>
    </row>
    <row r="267">
      <c r="A267" s="2" t="str">
        <f>IFERROR(__xludf.DUMMYFUNCTION("""COMPUTED_VALUE"""),"RETRO SPOT SMALL TUBE MATCHES")</f>
        <v>RETRO SPOT SMALL TUBE MATCHES</v>
      </c>
      <c r="B267" s="2">
        <f>IFERROR(__xludf.DUMMYFUNCTION("""COMPUTED_VALUE"""),20.0)</f>
        <v>20</v>
      </c>
    </row>
    <row r="268">
      <c r="A268" s="2" t="str">
        <f>IFERROR(__xludf.DUMMYFUNCTION("""COMPUTED_VALUE"""),"PINK CREAM FELT CRAFT TRINKET BOX")</f>
        <v>PINK CREAM FELT CRAFT TRINKET BOX</v>
      </c>
      <c r="B268" s="2">
        <f>IFERROR(__xludf.DUMMYFUNCTION("""COMPUTED_VALUE"""),1.0)</f>
        <v>1</v>
      </c>
    </row>
    <row r="269">
      <c r="A269" s="2" t="str">
        <f>IFERROR(__xludf.DUMMYFUNCTION("""COMPUTED_VALUE"""),"VINTAGE HEADS AND TAILS CARD GAME")</f>
        <v>VINTAGE HEADS AND TAILS CARD GAME</v>
      </c>
      <c r="B269" s="2">
        <f>IFERROR(__xludf.DUMMYFUNCTION("""COMPUTED_VALUE"""),6.0)</f>
        <v>6</v>
      </c>
    </row>
    <row r="270">
      <c r="A270" s="2" t="str">
        <f>IFERROR(__xludf.DUMMYFUNCTION("""COMPUTED_VALUE"""),"JUMBO STORAGE BAG SUKI")</f>
        <v>JUMBO STORAGE BAG SUKI</v>
      </c>
      <c r="B270" s="2">
        <f>IFERROR(__xludf.DUMMYFUNCTION("""COMPUTED_VALUE"""),1.0)</f>
        <v>1</v>
      </c>
    </row>
    <row r="271">
      <c r="A271" s="2" t="str">
        <f>IFERROR(__xludf.DUMMYFUNCTION("""COMPUTED_VALUE"""),"JUMBO BAG TOYS")</f>
        <v>JUMBO BAG TOYS</v>
      </c>
      <c r="B271" s="2">
        <f>IFERROR(__xludf.DUMMYFUNCTION("""COMPUTED_VALUE"""),1.0)</f>
        <v>1</v>
      </c>
    </row>
    <row r="272">
      <c r="A272" s="2" t="str">
        <f>IFERROR(__xludf.DUMMYFUNCTION("""COMPUTED_VALUE"""),"CAROUSEL DES CHILD'S APRON")</f>
        <v>CAROUSEL DES CHILD'S APRON</v>
      </c>
      <c r="B272" s="2">
        <f>IFERROR(__xludf.DUMMYFUNCTION("""COMPUTED_VALUE"""),1.0)</f>
        <v>1</v>
      </c>
    </row>
    <row r="273">
      <c r="A273" s="2" t="str">
        <f>IFERROR(__xludf.DUMMYFUNCTION("""COMPUTED_VALUE"""),"RED 3 PIECE MINI DOTS CUTLERY SET")</f>
        <v>RED 3 PIECE MINI DOTS CUTLERY SET</v>
      </c>
      <c r="B273" s="2">
        <f>IFERROR(__xludf.DUMMYFUNCTION("""COMPUTED_VALUE"""),12.0)</f>
        <v>12</v>
      </c>
    </row>
    <row r="274">
      <c r="A274" s="2" t="str">
        <f>IFERROR(__xludf.DUMMYFUNCTION("""COMPUTED_VALUE"""),"GREEN 3 PIECE MINI DOTS CUTLERY SET")</f>
        <v>GREEN 3 PIECE MINI DOTS CUTLERY SET</v>
      </c>
      <c r="B274" s="2">
        <f>IFERROR(__xludf.DUMMYFUNCTION("""COMPUTED_VALUE"""),12.0)</f>
        <v>12</v>
      </c>
    </row>
    <row r="275">
      <c r="A275" s="2" t="str">
        <f>IFERROR(__xludf.DUMMYFUNCTION("""COMPUTED_VALUE"""),"SET OF THREE VINTAGE GIFT WRAPS")</f>
        <v>SET OF THREE VINTAGE GIFT WRAPS</v>
      </c>
      <c r="B275" s="2">
        <f>IFERROR(__xludf.DUMMYFUNCTION("""COMPUTED_VALUE"""),1.0)</f>
        <v>1</v>
      </c>
    </row>
    <row r="276">
      <c r="A276" s="2" t="str">
        <f>IFERROR(__xludf.DUMMYFUNCTION("""COMPUTED_VALUE"""),"SET OF 2 FANCY FONT TEA TOWELS")</f>
        <v>SET OF 2 FANCY FONT TEA TOWELS</v>
      </c>
      <c r="B276" s="2">
        <f>IFERROR(__xludf.DUMMYFUNCTION("""COMPUTED_VALUE"""),12.0)</f>
        <v>12</v>
      </c>
    </row>
    <row r="277">
      <c r="A277" s="2" t="str">
        <f>IFERROR(__xludf.DUMMYFUNCTION("""COMPUTED_VALUE"""),"PINK BLUE FELT CRAFT TRINKET BOX")</f>
        <v>PINK BLUE FELT CRAFT TRINKET BOX</v>
      </c>
      <c r="B277" s="2">
        <f>IFERROR(__xludf.DUMMYFUNCTION("""COMPUTED_VALUE"""),1.0)</f>
        <v>1</v>
      </c>
    </row>
    <row r="278">
      <c r="A278" s="2" t="str">
        <f>IFERROR(__xludf.DUMMYFUNCTION("""COMPUTED_VALUE"""),"SET OF MEADOW FLOWER STICKERS")</f>
        <v>SET OF MEADOW FLOWER STICKERS</v>
      </c>
      <c r="B278" s="2">
        <f>IFERROR(__xludf.DUMMYFUNCTION("""COMPUTED_VALUE"""),1.0)</f>
        <v>1</v>
      </c>
    </row>
    <row r="279">
      <c r="A279" s="2" t="str">
        <f>IFERROR(__xludf.DUMMYFUNCTION("""COMPUTED_VALUE"""),"S/4 PISTACHIO LOVEBIRD COASTERS")</f>
        <v>S/4 PISTACHIO LOVEBIRD COASTERS</v>
      </c>
      <c r="B279" s="2">
        <f>IFERROR(__xludf.DUMMYFUNCTION("""COMPUTED_VALUE"""),1.0)</f>
        <v>1</v>
      </c>
    </row>
    <row r="280">
      <c r="A280" s="2" t="str">
        <f>IFERROR(__xludf.DUMMYFUNCTION("""COMPUTED_VALUE"""),"VINTAGE HEADS AND TAILS CARD GAME")</f>
        <v>VINTAGE HEADS AND TAILS CARD GAME</v>
      </c>
      <c r="B280" s="2">
        <f>IFERROR(__xludf.DUMMYFUNCTION("""COMPUTED_VALUE"""),1.0)</f>
        <v>1</v>
      </c>
    </row>
    <row r="281">
      <c r="A281" s="2" t="str">
        <f>IFERROR(__xludf.DUMMYFUNCTION("""COMPUTED_VALUE"""),"WHITE PEARL BEADED HEART, SMALL")</f>
        <v>WHITE PEARL BEADED HEART, SMALL</v>
      </c>
      <c r="B281" s="2">
        <f>IFERROR(__xludf.DUMMYFUNCTION("""COMPUTED_VALUE"""),1.0)</f>
        <v>1</v>
      </c>
    </row>
    <row r="282">
      <c r="A282" s="2" t="str">
        <f>IFERROR(__xludf.DUMMYFUNCTION("""COMPUTED_VALUE"""),"GINGHAM HEART DECORATION")</f>
        <v>GINGHAM HEART DECORATION</v>
      </c>
      <c r="B282" s="2">
        <f>IFERROR(__xludf.DUMMYFUNCTION("""COMPUTED_VALUE"""),1.0)</f>
        <v>1</v>
      </c>
    </row>
    <row r="283">
      <c r="A283" s="2" t="str">
        <f>IFERROR(__xludf.DUMMYFUNCTION("""COMPUTED_VALUE"""),"BLUE SPOTTY PLATE")</f>
        <v>BLUE SPOTTY PLATE</v>
      </c>
      <c r="B283" s="2">
        <f>IFERROR(__xludf.DUMMYFUNCTION("""COMPUTED_VALUE"""),4.0)</f>
        <v>4</v>
      </c>
    </row>
    <row r="284">
      <c r="A284" s="2" t="str">
        <f>IFERROR(__xludf.DUMMYFUNCTION("""COMPUTED_VALUE"""),"BLUE SPOTTY BOWL")</f>
        <v>BLUE SPOTTY BOWL</v>
      </c>
      <c r="B284" s="2">
        <f>IFERROR(__xludf.DUMMYFUNCTION("""COMPUTED_VALUE"""),4.0)</f>
        <v>4</v>
      </c>
    </row>
    <row r="285">
      <c r="A285" s="2" t="str">
        <f>IFERROR(__xludf.DUMMYFUNCTION("""COMPUTED_VALUE"""),"BAKING SET 9 PIECE RETROSPOT")</f>
        <v>BAKING SET 9 PIECE RETROSPOT</v>
      </c>
      <c r="B285" s="2">
        <f>IFERROR(__xludf.DUMMYFUNCTION("""COMPUTED_VALUE"""),-1.0)</f>
        <v>-1</v>
      </c>
    </row>
    <row r="286">
      <c r="A286" s="2" t="str">
        <f>IFERROR(__xludf.DUMMYFUNCTION("""COMPUTED_VALUE"""),"PAPER CHAIN KIT 50'S CHRISTMAS")</f>
        <v>PAPER CHAIN KIT 50'S CHRISTMAS</v>
      </c>
      <c r="B286" s="2">
        <f>IFERROR(__xludf.DUMMYFUNCTION("""COMPUTED_VALUE"""),12.0)</f>
        <v>12</v>
      </c>
    </row>
    <row r="287">
      <c r="A287" s="2" t="str">
        <f>IFERROR(__xludf.DUMMYFUNCTION("""COMPUTED_VALUE"""),"WHITE HANGING HEART T-LIGHT HOLDER")</f>
        <v>WHITE HANGING HEART T-LIGHT HOLDER</v>
      </c>
      <c r="B287" s="2">
        <f>IFERROR(__xludf.DUMMYFUNCTION("""COMPUTED_VALUE"""),32.0)</f>
        <v>32</v>
      </c>
    </row>
    <row r="288">
      <c r="A288" s="2" t="str">
        <f>IFERROR(__xludf.DUMMYFUNCTION("""COMPUTED_VALUE"""),"FRAPPUCINO SCARF KNITTING KIT")</f>
        <v>FRAPPUCINO SCARF KNITTING KIT</v>
      </c>
      <c r="B288" s="2">
        <f>IFERROR(__xludf.DUMMYFUNCTION("""COMPUTED_VALUE"""),6.0)</f>
        <v>6</v>
      </c>
    </row>
    <row r="289">
      <c r="A289" s="2" t="str">
        <f>IFERROR(__xludf.DUMMYFUNCTION("""COMPUTED_VALUE"""),"WASH BAG VINTAGE ROSE PAISLEY")</f>
        <v>WASH BAG VINTAGE ROSE PAISLEY</v>
      </c>
      <c r="B289" s="2">
        <f>IFERROR(__xludf.DUMMYFUNCTION("""COMPUTED_VALUE"""),6.0)</f>
        <v>6</v>
      </c>
    </row>
    <row r="290">
      <c r="A290" s="2" t="str">
        <f>IFERROR(__xludf.DUMMYFUNCTION("""COMPUTED_VALUE"""),"GREEN ROSE WASHBAG")</f>
        <v>GREEN ROSE WASHBAG</v>
      </c>
      <c r="B290" s="2">
        <f>IFERROR(__xludf.DUMMYFUNCTION("""COMPUTED_VALUE"""),4.0)</f>
        <v>4</v>
      </c>
    </row>
    <row r="291">
      <c r="A291" s="2" t="str">
        <f>IFERROR(__xludf.DUMMYFUNCTION("""COMPUTED_VALUE"""),"ANTIQUE SILVER TEA GLASS ETCHED")</f>
        <v>ANTIQUE SILVER TEA GLASS ETCHED</v>
      </c>
      <c r="B291" s="2">
        <f>IFERROR(__xludf.DUMMYFUNCTION("""COMPUTED_VALUE"""),12.0)</f>
        <v>12</v>
      </c>
    </row>
    <row r="292">
      <c r="A292" s="2" t="str">
        <f>IFERROR(__xludf.DUMMYFUNCTION("""COMPUTED_VALUE"""),"SILVER HANGING T-LIGHT HOLDER")</f>
        <v>SILVER HANGING T-LIGHT HOLDER</v>
      </c>
      <c r="B292" s="2">
        <f>IFERROR(__xludf.DUMMYFUNCTION("""COMPUTED_VALUE"""),6.0)</f>
        <v>6</v>
      </c>
    </row>
    <row r="293">
      <c r="A293" s="2" t="str">
        <f>IFERROR(__xludf.DUMMYFUNCTION("""COMPUTED_VALUE"""),"SET OF THREE VINTAGE GIFT WRAPS")</f>
        <v>SET OF THREE VINTAGE GIFT WRAPS</v>
      </c>
      <c r="B293" s="2">
        <f>IFERROR(__xludf.DUMMYFUNCTION("""COMPUTED_VALUE"""),6.0)</f>
        <v>6</v>
      </c>
    </row>
    <row r="294">
      <c r="A294" s="2" t="str">
        <f>IFERROR(__xludf.DUMMYFUNCTION("""COMPUTED_VALUE"""),"CHOCOLATE THIS WAY METAL SIGN")</f>
        <v>CHOCOLATE THIS WAY METAL SIGN</v>
      </c>
      <c r="B294" s="2">
        <f>IFERROR(__xludf.DUMMYFUNCTION("""COMPUTED_VALUE"""),6.0)</f>
        <v>6</v>
      </c>
    </row>
    <row r="295">
      <c r="A295" s="2" t="str">
        <f>IFERROR(__xludf.DUMMYFUNCTION("""COMPUTED_VALUE"""),"PLEASE ONE PERSON METAL SIGN")</f>
        <v>PLEASE ONE PERSON METAL SIGN</v>
      </c>
      <c r="B295" s="2">
        <f>IFERROR(__xludf.DUMMYFUNCTION("""COMPUTED_VALUE"""),6.0)</f>
        <v>6</v>
      </c>
    </row>
    <row r="296">
      <c r="A296" s="2" t="str">
        <f>IFERROR(__xludf.DUMMYFUNCTION("""COMPUTED_VALUE"""),"MIRRORED WALL ART POPPIES")</f>
        <v>MIRRORED WALL ART POPPIES</v>
      </c>
      <c r="B296" s="2">
        <f>IFERROR(__xludf.DUMMYFUNCTION("""COMPUTED_VALUE"""),6.0)</f>
        <v>6</v>
      </c>
    </row>
    <row r="297">
      <c r="A297" s="2" t="str">
        <f>IFERROR(__xludf.DUMMYFUNCTION("""COMPUTED_VALUE"""),"HAND OVER THE CHOCOLATE SIGN")</f>
        <v>HAND OVER THE CHOCOLATE SIGN</v>
      </c>
      <c r="B297" s="2">
        <f>IFERROR(__xludf.DUMMYFUNCTION("""COMPUTED_VALUE"""),6.0)</f>
        <v>6</v>
      </c>
    </row>
    <row r="298">
      <c r="A298" s="2" t="str">
        <f>IFERROR(__xludf.DUMMYFUNCTION("""COMPUTED_VALUE"""),"PAINTED BIRD ASSORTED CHRISTMAS")</f>
        <v>PAINTED BIRD ASSORTED CHRISTMAS</v>
      </c>
      <c r="B298" s="2">
        <f>IFERROR(__xludf.DUMMYFUNCTION("""COMPUTED_VALUE"""),12.0)</f>
        <v>12</v>
      </c>
    </row>
    <row r="299">
      <c r="A299" s="2" t="str">
        <f>IFERROR(__xludf.DUMMYFUNCTION("""COMPUTED_VALUE"""),"LARGE HEART FLOWERS HOOK")</f>
        <v>LARGE HEART FLOWERS HOOK</v>
      </c>
      <c r="B299" s="2">
        <f>IFERROR(__xludf.DUMMYFUNCTION("""COMPUTED_VALUE"""),12.0)</f>
        <v>12</v>
      </c>
    </row>
    <row r="300">
      <c r="A300" s="2" t="str">
        <f>IFERROR(__xludf.DUMMYFUNCTION("""COMPUTED_VALUE"""),"VINTAGE SNAKES &amp; LADDERS")</f>
        <v>VINTAGE SNAKES &amp; LADDERS</v>
      </c>
      <c r="B300" s="2">
        <f>IFERROR(__xludf.DUMMYFUNCTION("""COMPUTED_VALUE"""),8.0)</f>
        <v>8</v>
      </c>
    </row>
    <row r="301">
      <c r="A301" s="2" t="str">
        <f>IFERROR(__xludf.DUMMYFUNCTION("""COMPUTED_VALUE"""),"2 DAISIES HAIR COMB")</f>
        <v>2 DAISIES HAIR COMB</v>
      </c>
      <c r="B301" s="2">
        <f>IFERROR(__xludf.DUMMYFUNCTION("""COMPUTED_VALUE"""),6.0)</f>
        <v>6</v>
      </c>
    </row>
    <row r="302">
      <c r="A302" s="2" t="str">
        <f>IFERROR(__xludf.DUMMYFUNCTION("""COMPUTED_VALUE"""),"ANT WHITE WIRE HEART SPIRAL")</f>
        <v>ANT WHITE WIRE HEART SPIRAL</v>
      </c>
      <c r="B302" s="2">
        <f>IFERROR(__xludf.DUMMYFUNCTION("""COMPUTED_VALUE"""),5.0)</f>
        <v>5</v>
      </c>
    </row>
    <row r="303">
      <c r="A303" s="2" t="str">
        <f>IFERROR(__xludf.DUMMYFUNCTION("""COMPUTED_VALUE"""),"GREEN VINTAGE EARRINGS")</f>
        <v>GREEN VINTAGE EARRINGS</v>
      </c>
      <c r="B303" s="2">
        <f>IFERROR(__xludf.DUMMYFUNCTION("""COMPUTED_VALUE"""),4.0)</f>
        <v>4</v>
      </c>
    </row>
    <row r="304">
      <c r="A304" s="2" t="str">
        <f>IFERROR(__xludf.DUMMYFUNCTION("""COMPUTED_VALUE"""),"FILIGREE DIAMANTE EARRINGS")</f>
        <v>FILIGREE DIAMANTE EARRINGS</v>
      </c>
      <c r="B304" s="2">
        <f>IFERROR(__xludf.DUMMYFUNCTION("""COMPUTED_VALUE"""),2.0)</f>
        <v>2</v>
      </c>
    </row>
    <row r="305">
      <c r="A305" s="2" t="str">
        <f>IFERROR(__xludf.DUMMYFUNCTION("""COMPUTED_VALUE"""),"PINK VINTAGE VICTORIAN EARRINGS")</f>
        <v>PINK VINTAGE VICTORIAN EARRINGS</v>
      </c>
      <c r="B305" s="2">
        <f>IFERROR(__xludf.DUMMYFUNCTION("""COMPUTED_VALUE"""),6.0)</f>
        <v>6</v>
      </c>
    </row>
    <row r="306">
      <c r="A306" s="2" t="str">
        <f>IFERROR(__xludf.DUMMYFUNCTION("""COMPUTED_VALUE"""),"BROWN VINTAGE VICTORIAN EARRINGS")</f>
        <v>BROWN VINTAGE VICTORIAN EARRINGS</v>
      </c>
      <c r="B306" s="2">
        <f>IFERROR(__xludf.DUMMYFUNCTION("""COMPUTED_VALUE"""),6.0)</f>
        <v>6</v>
      </c>
    </row>
    <row r="307">
      <c r="A307" s="2" t="str">
        <f>IFERROR(__xludf.DUMMYFUNCTION("""COMPUTED_VALUE"""),"OLD ROSE COMBO BEAD NECKLACE")</f>
        <v>OLD ROSE COMBO BEAD NECKLACE</v>
      </c>
      <c r="B307" s="2">
        <f>IFERROR(__xludf.DUMMYFUNCTION("""COMPUTED_VALUE"""),6.0)</f>
        <v>6</v>
      </c>
    </row>
    <row r="308">
      <c r="A308" s="2" t="str">
        <f>IFERROR(__xludf.DUMMYFUNCTION("""COMPUTED_VALUE"""),"WHITE CHOCOLATE SCENT CANDLE")</f>
        <v>WHITE CHOCOLATE SCENT CANDLE</v>
      </c>
      <c r="B308" s="2">
        <f>IFERROR(__xludf.DUMMYFUNCTION("""COMPUTED_VALUE"""),12.0)</f>
        <v>12</v>
      </c>
    </row>
    <row r="309">
      <c r="A309" s="2" t="str">
        <f>IFERROR(__xludf.DUMMYFUNCTION("""COMPUTED_VALUE"""),"HOT WATER BOTTLE TEA AND SYMPATHY")</f>
        <v>HOT WATER BOTTLE TEA AND SYMPATHY</v>
      </c>
      <c r="B309" s="2">
        <f>IFERROR(__xludf.DUMMYFUNCTION("""COMPUTED_VALUE"""),8.0)</f>
        <v>8</v>
      </c>
    </row>
    <row r="310">
      <c r="A310" s="2" t="str">
        <f>IFERROR(__xludf.DUMMYFUNCTION("""COMPUTED_VALUE"""),"FOUR HOOK WHITE LOVEBIRDS")</f>
        <v>FOUR HOOK WHITE LOVEBIRDS</v>
      </c>
      <c r="B310" s="2">
        <f>IFERROR(__xludf.DUMMYFUNCTION("""COMPUTED_VALUE"""),6.0)</f>
        <v>6</v>
      </c>
    </row>
    <row r="311">
      <c r="A311" s="2" t="str">
        <f>IFERROR(__xludf.DUMMYFUNCTION("""COMPUTED_VALUE"""),"GRAND CHOCOLATECANDLE")</f>
        <v>GRAND CHOCOLATECANDLE</v>
      </c>
      <c r="B311" s="2">
        <f>IFERROR(__xludf.DUMMYFUNCTION("""COMPUTED_VALUE"""),36.0)</f>
        <v>36</v>
      </c>
    </row>
    <row r="312">
      <c r="A312" s="2" t="str">
        <f>IFERROR(__xludf.DUMMYFUNCTION("""COMPUTED_VALUE"""),"SET/3 DECOUPAGE STACKING TINS")</f>
        <v>SET/3 DECOUPAGE STACKING TINS</v>
      </c>
      <c r="B312" s="2">
        <f>IFERROR(__xludf.DUMMYFUNCTION("""COMPUTED_VALUE"""),3.0)</f>
        <v>3</v>
      </c>
    </row>
    <row r="313">
      <c r="A313" s="2" t="str">
        <f>IFERROR(__xludf.DUMMYFUNCTION("""COMPUTED_VALUE"""),"GLITTER BUTTERFLY CLIPS")</f>
        <v>GLITTER BUTTERFLY CLIPS</v>
      </c>
      <c r="B313" s="2">
        <f>IFERROR(__xludf.DUMMYFUNCTION("""COMPUTED_VALUE"""),6.0)</f>
        <v>6</v>
      </c>
    </row>
    <row r="314">
      <c r="A314" s="2" t="str">
        <f>IFERROR(__xludf.DUMMYFUNCTION("""COMPUTED_VALUE"""),"RIBBON REEL SPOTS DESIGN")</f>
        <v>RIBBON REEL SPOTS DESIGN</v>
      </c>
      <c r="B314" s="2">
        <f>IFERROR(__xludf.DUMMYFUNCTION("""COMPUTED_VALUE"""),10.0)</f>
        <v>10</v>
      </c>
    </row>
    <row r="315">
      <c r="A315" s="2" t="str">
        <f>IFERROR(__xludf.DUMMYFUNCTION("""COMPUTED_VALUE"""),"RIBBON REEL STRIPES DESIGN")</f>
        <v>RIBBON REEL STRIPES DESIGN</v>
      </c>
      <c r="B315" s="2">
        <f>IFERROR(__xludf.DUMMYFUNCTION("""COMPUTED_VALUE"""),10.0)</f>
        <v>10</v>
      </c>
    </row>
    <row r="316">
      <c r="A316" s="2" t="str">
        <f>IFERROR(__xludf.DUMMYFUNCTION("""COMPUTED_VALUE"""),"PARTY METAL SIGN")</f>
        <v>PARTY METAL SIGN</v>
      </c>
      <c r="B316" s="2">
        <f>IFERROR(__xludf.DUMMYFUNCTION("""COMPUTED_VALUE"""),12.0)</f>
        <v>12</v>
      </c>
    </row>
    <row r="317">
      <c r="A317" s="2" t="str">
        <f>IFERROR(__xludf.DUMMYFUNCTION("""COMPUTED_VALUE"""),"PLEASE ONE PERSON METAL SIGN")</f>
        <v>PLEASE ONE PERSON METAL SIGN</v>
      </c>
      <c r="B317" s="2">
        <f>IFERROR(__xludf.DUMMYFUNCTION("""COMPUTED_VALUE"""),6.0)</f>
        <v>6</v>
      </c>
    </row>
    <row r="318">
      <c r="A318" s="2" t="str">
        <f>IFERROR(__xludf.DUMMYFUNCTION("""COMPUTED_VALUE"""),"NO SINGING METAL SIGN")</f>
        <v>NO SINGING METAL SIGN</v>
      </c>
      <c r="B318" s="2">
        <f>IFERROR(__xludf.DUMMYFUNCTION("""COMPUTED_VALUE"""),12.0)</f>
        <v>12</v>
      </c>
    </row>
    <row r="319">
      <c r="A319" s="2" t="str">
        <f>IFERROR(__xludf.DUMMYFUNCTION("""COMPUTED_VALUE"""),"PINK HEART CANDY BUTTON CALCULATOR")</f>
        <v>PINK HEART CANDY BUTTON CALCULATOR</v>
      </c>
      <c r="B319" s="2">
        <f>IFERROR(__xludf.DUMMYFUNCTION("""COMPUTED_VALUE"""),54.0)</f>
        <v>54</v>
      </c>
    </row>
    <row r="320">
      <c r="A320" s="2" t="str">
        <f>IFERROR(__xludf.DUMMYFUNCTION("""COMPUTED_VALUE"""),"PAPER BUNTING VINTAGE PAISLEY")</f>
        <v>PAPER BUNTING VINTAGE PAISLEY</v>
      </c>
      <c r="B320" s="2">
        <f>IFERROR(__xludf.DUMMYFUNCTION("""COMPUTED_VALUE"""),6.0)</f>
        <v>6</v>
      </c>
    </row>
    <row r="321">
      <c r="A321" s="2" t="str">
        <f>IFERROR(__xludf.DUMMYFUNCTION("""COMPUTED_VALUE"""),"SET/3 RED GINGHAM ROSE STORAGE BOX")</f>
        <v>SET/3 RED GINGHAM ROSE STORAGE BOX</v>
      </c>
      <c r="B321" s="2">
        <f>IFERROR(__xludf.DUMMYFUNCTION("""COMPUTED_VALUE"""),4.0)</f>
        <v>4</v>
      </c>
    </row>
    <row r="322">
      <c r="A322" s="2" t="str">
        <f>IFERROR(__xludf.DUMMYFUNCTION("""COMPUTED_VALUE"""),"PAINTED BIRD ASSORTED CHRISTMAS")</f>
        <v>PAINTED BIRD ASSORTED CHRISTMAS</v>
      </c>
      <c r="B322" s="2">
        <f>IFERROR(__xludf.DUMMYFUNCTION("""COMPUTED_VALUE"""),12.0)</f>
        <v>12</v>
      </c>
    </row>
    <row r="323">
      <c r="A323" s="2" t="str">
        <f>IFERROR(__xludf.DUMMYFUNCTION("""COMPUTED_VALUE"""),"PAPER CHAIN KIT RETRO SPOT")</f>
        <v>PAPER CHAIN KIT RETRO SPOT</v>
      </c>
      <c r="B323" s="2">
        <f>IFERROR(__xludf.DUMMYFUNCTION("""COMPUTED_VALUE"""),6.0)</f>
        <v>6</v>
      </c>
    </row>
    <row r="324">
      <c r="A324" s="2" t="str">
        <f>IFERROR(__xludf.DUMMYFUNCTION("""COMPUTED_VALUE"""),"PAPER CHAIN KIT 50'S CHRISTMAS")</f>
        <v>PAPER CHAIN KIT 50'S CHRISTMAS</v>
      </c>
      <c r="B324" s="2">
        <f>IFERROR(__xludf.DUMMYFUNCTION("""COMPUTED_VALUE"""),6.0)</f>
        <v>6</v>
      </c>
    </row>
    <row r="325">
      <c r="A325" s="2" t="str">
        <f>IFERROR(__xludf.DUMMYFUNCTION("""COMPUTED_VALUE"""),"RED SPOT HEART HOT WATER BOTTLE")</f>
        <v>RED SPOT HEART HOT WATER BOTTLE</v>
      </c>
      <c r="B325" s="2">
        <f>IFERROR(__xludf.DUMMYFUNCTION("""COMPUTED_VALUE"""),3.0)</f>
        <v>3</v>
      </c>
    </row>
    <row r="326">
      <c r="A326" s="2" t="str">
        <f>IFERROR(__xludf.DUMMYFUNCTION("""COMPUTED_VALUE"""),"ZINC METAL HEART DECORATION")</f>
        <v>ZINC METAL HEART DECORATION</v>
      </c>
      <c r="B326" s="2">
        <f>IFERROR(__xludf.DUMMYFUNCTION("""COMPUTED_VALUE"""),12.0)</f>
        <v>12</v>
      </c>
    </row>
    <row r="327">
      <c r="A327" s="2" t="str">
        <f>IFERROR(__xludf.DUMMYFUNCTION("""COMPUTED_VALUE"""),"SET OF 2 FANCY FONT TEA TOWELS")</f>
        <v>SET OF 2 FANCY FONT TEA TOWELS</v>
      </c>
      <c r="B327" s="2">
        <f>IFERROR(__xludf.DUMMYFUNCTION("""COMPUTED_VALUE"""),12.0)</f>
        <v>12</v>
      </c>
    </row>
    <row r="328">
      <c r="A328" s="2" t="str">
        <f>IFERROR(__xludf.DUMMYFUNCTION("""COMPUTED_VALUE"""),"YELLOW RED FLOWER PIGGY BANK")</f>
        <v>YELLOW RED FLOWER PIGGY BANK</v>
      </c>
      <c r="B328" s="2">
        <f>IFERROR(__xludf.DUMMYFUNCTION("""COMPUTED_VALUE"""),1.0)</f>
        <v>1</v>
      </c>
    </row>
    <row r="329">
      <c r="A329" s="2" t="str">
        <f>IFERROR(__xludf.DUMMYFUNCTION("""COMPUTED_VALUE"""),"WHITE SKULL HOT WATER BOTTLE")</f>
        <v>WHITE SKULL HOT WATER BOTTLE</v>
      </c>
      <c r="B329" s="2">
        <f>IFERROR(__xludf.DUMMYFUNCTION("""COMPUTED_VALUE"""),2.0)</f>
        <v>2</v>
      </c>
    </row>
    <row r="330">
      <c r="A330" s="2" t="str">
        <f>IFERROR(__xludf.DUMMYFUNCTION("""COMPUTED_VALUE"""),"GREY HEART HOT WATER BOTTLE")</f>
        <v>GREY HEART HOT WATER BOTTLE</v>
      </c>
      <c r="B330" s="2">
        <f>IFERROR(__xludf.DUMMYFUNCTION("""COMPUTED_VALUE"""),4.0)</f>
        <v>4</v>
      </c>
    </row>
    <row r="331">
      <c r="A331" s="2" t="str">
        <f>IFERROR(__xludf.DUMMYFUNCTION("""COMPUTED_VALUE"""),"LOCAL CAFE MUG")</f>
        <v>LOCAL CAFE MUG</v>
      </c>
      <c r="B331" s="2">
        <f>IFERROR(__xludf.DUMMYFUNCTION("""COMPUTED_VALUE"""),1.0)</f>
        <v>1</v>
      </c>
    </row>
    <row r="332">
      <c r="A332" s="2" t="str">
        <f>IFERROR(__xludf.DUMMYFUNCTION("""COMPUTED_VALUE"""),"SCOTTIE DOG HOT WATER BOTTLE")</f>
        <v>SCOTTIE DOG HOT WATER BOTTLE</v>
      </c>
      <c r="B332" s="2">
        <f>IFERROR(__xludf.DUMMYFUNCTION("""COMPUTED_VALUE"""),2.0)</f>
        <v>2</v>
      </c>
    </row>
    <row r="333">
      <c r="A333" s="2" t="str">
        <f>IFERROR(__xludf.DUMMYFUNCTION("""COMPUTED_VALUE"""),"KNITTED UNION FLAG HOT WATER BOTTLE")</f>
        <v>KNITTED UNION FLAG HOT WATER BOTTLE</v>
      </c>
      <c r="B333" s="2">
        <f>IFERROR(__xludf.DUMMYFUNCTION("""COMPUTED_VALUE"""),1.0)</f>
        <v>1</v>
      </c>
    </row>
    <row r="334">
      <c r="A334" s="2" t="str">
        <f>IFERROR(__xludf.DUMMYFUNCTION("""COMPUTED_VALUE"""),"HOT WATER BOTTLE TEA AND SYMPATHY")</f>
        <v>HOT WATER BOTTLE TEA AND SYMPATHY</v>
      </c>
      <c r="B334" s="2">
        <f>IFERROR(__xludf.DUMMYFUNCTION("""COMPUTED_VALUE"""),1.0)</f>
        <v>1</v>
      </c>
    </row>
    <row r="335">
      <c r="A335" s="2" t="str">
        <f>IFERROR(__xludf.DUMMYFUNCTION("""COMPUTED_VALUE"""),"BLUE WHITE SCARF HOT WATER BOTTLE")</f>
        <v>BLUE WHITE SCARF HOT WATER BOTTLE</v>
      </c>
      <c r="B335" s="2">
        <f>IFERROR(__xludf.DUMMYFUNCTION("""COMPUTED_VALUE"""),1.0)</f>
        <v>1</v>
      </c>
    </row>
    <row r="336">
      <c r="A336" s="2" t="str">
        <f>IFERROR(__xludf.DUMMYFUNCTION("""COMPUTED_VALUE"""),"GEISHA GIRL CHOPSTICKS SET/5")</f>
        <v>GEISHA GIRL CHOPSTICKS SET/5</v>
      </c>
      <c r="B336" s="2">
        <f>IFERROR(__xludf.DUMMYFUNCTION("""COMPUTED_VALUE"""),6.0)</f>
        <v>6</v>
      </c>
    </row>
    <row r="337">
      <c r="A337" s="2" t="str">
        <f>IFERROR(__xludf.DUMMYFUNCTION("""COMPUTED_VALUE"""),"URBAN CHIC CHOPSTICKS SET/5")</f>
        <v>URBAN CHIC CHOPSTICKS SET/5</v>
      </c>
      <c r="B337" s="2">
        <f>IFERROR(__xludf.DUMMYFUNCTION("""COMPUTED_VALUE"""),2.0)</f>
        <v>2</v>
      </c>
    </row>
    <row r="338">
      <c r="A338" s="2" t="str">
        <f>IFERROR(__xludf.DUMMYFUNCTION("""COMPUTED_VALUE"""),"POTTING SHED TEA MUG")</f>
        <v>POTTING SHED TEA MUG</v>
      </c>
      <c r="B338" s="2">
        <f>IFERROR(__xludf.DUMMYFUNCTION("""COMPUTED_VALUE"""),1.0)</f>
        <v>1</v>
      </c>
    </row>
    <row r="339">
      <c r="A339" s="2" t="str">
        <f>IFERROR(__xludf.DUMMYFUNCTION("""COMPUTED_VALUE"""),"KINGS CHOICE MUG")</f>
        <v>KINGS CHOICE MUG</v>
      </c>
      <c r="B339" s="2">
        <f>IFERROR(__xludf.DUMMYFUNCTION("""COMPUTED_VALUE"""),1.0)</f>
        <v>1</v>
      </c>
    </row>
    <row r="340">
      <c r="A340" s="2" t="str">
        <f>IFERROR(__xludf.DUMMYFUNCTION("""COMPUTED_VALUE"""),"POTTING SHED COFFEE MUG")</f>
        <v>POTTING SHED COFFEE MUG</v>
      </c>
      <c r="B340" s="2">
        <f>IFERROR(__xludf.DUMMYFUNCTION("""COMPUTED_VALUE"""),1.0)</f>
        <v>1</v>
      </c>
    </row>
    <row r="341">
      <c r="A341" s="2" t="str">
        <f>IFERROR(__xludf.DUMMYFUNCTION("""COMPUTED_VALUE"""),"EIGHT PIECE DINOSAUR SET")</f>
        <v>EIGHT PIECE DINOSAUR SET</v>
      </c>
      <c r="B341" s="2">
        <f>IFERROR(__xludf.DUMMYFUNCTION("""COMPUTED_VALUE"""),3.0)</f>
        <v>3</v>
      </c>
    </row>
    <row r="342">
      <c r="A342" s="2" t="str">
        <f>IFERROR(__xludf.DUMMYFUNCTION("""COMPUTED_VALUE"""),"EIGHT PIECE CREEPY CRAWLIE SET")</f>
        <v>EIGHT PIECE CREEPY CRAWLIE SET</v>
      </c>
      <c r="B342" s="2">
        <f>IFERROR(__xludf.DUMMYFUNCTION("""COMPUTED_VALUE"""),3.0)</f>
        <v>3</v>
      </c>
    </row>
    <row r="343">
      <c r="A343" s="2" t="str">
        <f>IFERROR(__xludf.DUMMYFUNCTION("""COMPUTED_VALUE"""),"EIGHT PIECE SNAKE SET")</f>
        <v>EIGHT PIECE SNAKE SET</v>
      </c>
      <c r="B343" s="2">
        <f>IFERROR(__xludf.DUMMYFUNCTION("""COMPUTED_VALUE"""),3.0)</f>
        <v>3</v>
      </c>
    </row>
    <row r="344">
      <c r="A344" s="2" t="str">
        <f>IFERROR(__xludf.DUMMYFUNCTION("""COMPUTED_VALUE"""),"RATTLE SNAKE EGGS")</f>
        <v>RATTLE SNAKE EGGS</v>
      </c>
      <c r="B344" s="2">
        <f>IFERROR(__xludf.DUMMYFUNCTION("""COMPUTED_VALUE"""),4.0)</f>
        <v>4</v>
      </c>
    </row>
    <row r="345">
      <c r="A345" s="2" t="str">
        <f>IFERROR(__xludf.DUMMYFUNCTION("""COMPUTED_VALUE"""),"KINGS CHOICE SMALL TUBE MATCHES")</f>
        <v>KINGS CHOICE SMALL TUBE MATCHES</v>
      </c>
      <c r="B345" s="2">
        <f>IFERROR(__xludf.DUMMYFUNCTION("""COMPUTED_VALUE"""),2.0)</f>
        <v>2</v>
      </c>
    </row>
    <row r="346">
      <c r="A346" s="2" t="str">
        <f>IFERROR(__xludf.DUMMYFUNCTION("""COMPUTED_VALUE"""),"RETRO SPOT SMALL TUBE MATCHES")</f>
        <v>RETRO SPOT SMALL TUBE MATCHES</v>
      </c>
      <c r="B346" s="2">
        <f>IFERROR(__xludf.DUMMYFUNCTION("""COMPUTED_VALUE"""),2.0)</f>
        <v>2</v>
      </c>
    </row>
    <row r="347">
      <c r="A347" s="2" t="str">
        <f>IFERROR(__xludf.DUMMYFUNCTION("""COMPUTED_VALUE"""),"ASSORTED TUTTI FRUTTI NOTEBOOK")</f>
        <v>ASSORTED TUTTI FRUTTI NOTEBOOK</v>
      </c>
      <c r="B347" s="2">
        <f>IFERROR(__xludf.DUMMYFUNCTION("""COMPUTED_VALUE"""),6.0)</f>
        <v>6</v>
      </c>
    </row>
    <row r="348">
      <c r="A348" s="2" t="str">
        <f>IFERROR(__xludf.DUMMYFUNCTION("""COMPUTED_VALUE"""),"CAKE STAND LACE WHITE")</f>
        <v>CAKE STAND LACE WHITE</v>
      </c>
      <c r="B348" s="2">
        <f>IFERROR(__xludf.DUMMYFUNCTION("""COMPUTED_VALUE"""),1.0)</f>
        <v>1</v>
      </c>
    </row>
    <row r="349">
      <c r="A349" s="2" t="str">
        <f>IFERROR(__xludf.DUMMYFUNCTION("""COMPUTED_VALUE"""),"CAKE PLATE LOVEBIRD WHITE")</f>
        <v>CAKE PLATE LOVEBIRD WHITE</v>
      </c>
      <c r="B349" s="2">
        <f>IFERROR(__xludf.DUMMYFUNCTION("""COMPUTED_VALUE"""),1.0)</f>
        <v>1</v>
      </c>
    </row>
    <row r="350">
      <c r="A350" s="2" t="str">
        <f>IFERROR(__xludf.DUMMYFUNCTION("""COMPUTED_VALUE"""),"COFFEE MUG DOG + BALL DESIGN")</f>
        <v>COFFEE MUG DOG + BALL DESIGN</v>
      </c>
      <c r="B350" s="2">
        <f>IFERROR(__xludf.DUMMYFUNCTION("""COMPUTED_VALUE"""),3.0)</f>
        <v>3</v>
      </c>
    </row>
    <row r="351">
      <c r="A351" s="2" t="str">
        <f>IFERROR(__xludf.DUMMYFUNCTION("""COMPUTED_VALUE"""),"COFFEE MUG CAT + BIRD DESIGN")</f>
        <v>COFFEE MUG CAT + BIRD DESIGN</v>
      </c>
      <c r="B351" s="2">
        <f>IFERROR(__xludf.DUMMYFUNCTION("""COMPUTED_VALUE"""),3.0)</f>
        <v>3</v>
      </c>
    </row>
    <row r="352">
      <c r="A352" s="2" t="str">
        <f>IFERROR(__xludf.DUMMYFUNCTION("""COMPUTED_VALUE"""),"COFFEE MUG PINK PAISLEY DESIGN")</f>
        <v>COFFEE MUG PINK PAISLEY DESIGN</v>
      </c>
      <c r="B352" s="2">
        <f>IFERROR(__xludf.DUMMYFUNCTION("""COMPUTED_VALUE"""),3.0)</f>
        <v>3</v>
      </c>
    </row>
    <row r="353">
      <c r="A353" s="2" t="str">
        <f>IFERROR(__xludf.DUMMYFUNCTION("""COMPUTED_VALUE"""),"COFFEE MUG BLUE PAISLEY DESIGN")</f>
        <v>COFFEE MUG BLUE PAISLEY DESIGN</v>
      </c>
      <c r="B353" s="2">
        <f>IFERROR(__xludf.DUMMYFUNCTION("""COMPUTED_VALUE"""),3.0)</f>
        <v>3</v>
      </c>
    </row>
    <row r="354">
      <c r="A354" s="2" t="str">
        <f>IFERROR(__xludf.DUMMYFUNCTION("""COMPUTED_VALUE"""),"COFFEE MUG PEARS DESIGN")</f>
        <v>COFFEE MUG PEARS DESIGN</v>
      </c>
      <c r="B354" s="2">
        <f>IFERROR(__xludf.DUMMYFUNCTION("""COMPUTED_VALUE"""),3.0)</f>
        <v>3</v>
      </c>
    </row>
    <row r="355">
      <c r="A355" s="2" t="str">
        <f>IFERROR(__xludf.DUMMYFUNCTION("""COMPUTED_VALUE"""),"COFFEE MUG APPLES DESIGN")</f>
        <v>COFFEE MUG APPLES DESIGN</v>
      </c>
      <c r="B355" s="2">
        <f>IFERROR(__xludf.DUMMYFUNCTION("""COMPUTED_VALUE"""),3.0)</f>
        <v>3</v>
      </c>
    </row>
    <row r="356">
      <c r="A356" s="2" t="str">
        <f>IFERROR(__xludf.DUMMYFUNCTION("""COMPUTED_VALUE"""),"PARTY CONES CARNIVAL ASSORTED")</f>
        <v>PARTY CONES CARNIVAL ASSORTED</v>
      </c>
      <c r="B356" s="2">
        <f>IFERROR(__xludf.DUMMYFUNCTION("""COMPUTED_VALUE"""),6.0)</f>
        <v>6</v>
      </c>
    </row>
    <row r="357">
      <c r="A357" s="2" t="str">
        <f>IFERROR(__xludf.DUMMYFUNCTION("""COMPUTED_VALUE"""),"ANTIQUE GLASS HEART DECORATION")</f>
        <v>ANTIQUE GLASS HEART DECORATION</v>
      </c>
      <c r="B357" s="2">
        <f>IFERROR(__xludf.DUMMYFUNCTION("""COMPUTED_VALUE"""),7.0)</f>
        <v>7</v>
      </c>
    </row>
    <row r="358">
      <c r="A358" s="2" t="str">
        <f>IFERROR(__xludf.DUMMYFUNCTION("""COMPUTED_VALUE"""),"HEART FILIGREE DOVE SMALL")</f>
        <v>HEART FILIGREE DOVE SMALL</v>
      </c>
      <c r="B358" s="2">
        <f>IFERROR(__xludf.DUMMYFUNCTION("""COMPUTED_VALUE"""),6.0)</f>
        <v>6</v>
      </c>
    </row>
    <row r="359">
      <c r="A359" s="2" t="str">
        <f>IFERROR(__xludf.DUMMYFUNCTION("""COMPUTED_VALUE"""),"PAINTED BIRD ASSORTED CHRISTMAS")</f>
        <v>PAINTED BIRD ASSORTED CHRISTMAS</v>
      </c>
      <c r="B359" s="2">
        <f>IFERROR(__xludf.DUMMYFUNCTION("""COMPUTED_VALUE"""),6.0)</f>
        <v>6</v>
      </c>
    </row>
    <row r="360">
      <c r="A360" s="2" t="str">
        <f>IFERROR(__xludf.DUMMYFUNCTION("""COMPUTED_VALUE"""),"WOODEN BOX OF DOMINOES")</f>
        <v>WOODEN BOX OF DOMINOES</v>
      </c>
      <c r="B360" s="2">
        <f>IFERROR(__xludf.DUMMYFUNCTION("""COMPUTED_VALUE"""),2.0)</f>
        <v>2</v>
      </c>
    </row>
    <row r="361">
      <c r="A361" s="2" t="str">
        <f>IFERROR(__xludf.DUMMYFUNCTION("""COMPUTED_VALUE"""),"GREEN CHRISTMAS TREE STRING 20LIGHT")</f>
        <v>GREEN CHRISTMAS TREE STRING 20LIGHT</v>
      </c>
      <c r="B361" s="2">
        <f>IFERROR(__xludf.DUMMYFUNCTION("""COMPUTED_VALUE"""),2.0)</f>
        <v>2</v>
      </c>
    </row>
    <row r="362">
      <c r="A362" s="2" t="str">
        <f>IFERROR(__xludf.DUMMYFUNCTION("""COMPUTED_VALUE"""),"RED REINDEER STRING OF 20 LIGHTS")</f>
        <v>RED REINDEER STRING OF 20 LIGHTS</v>
      </c>
      <c r="B362" s="2">
        <f>IFERROR(__xludf.DUMMYFUNCTION("""COMPUTED_VALUE"""),2.0)</f>
        <v>2</v>
      </c>
    </row>
    <row r="363">
      <c r="A363" s="2" t="str">
        <f>IFERROR(__xludf.DUMMYFUNCTION("""COMPUTED_VALUE"""),"BINGO SET")</f>
        <v>BINGO SET</v>
      </c>
      <c r="B363" s="2">
        <f>IFERROR(__xludf.DUMMYFUNCTION("""COMPUTED_VALUE"""),3.0)</f>
        <v>3</v>
      </c>
    </row>
    <row r="364">
      <c r="A364" s="2" t="str">
        <f>IFERROR(__xludf.DUMMYFUNCTION("""COMPUTED_VALUE"""),"COSY HOUR GIANT TUBE MATCHES")</f>
        <v>COSY HOUR GIANT TUBE MATCHES</v>
      </c>
      <c r="B364" s="2">
        <f>IFERROR(__xludf.DUMMYFUNCTION("""COMPUTED_VALUE"""),6.0)</f>
        <v>6</v>
      </c>
    </row>
    <row r="365">
      <c r="A365" s="2" t="str">
        <f>IFERROR(__xludf.DUMMYFUNCTION("""COMPUTED_VALUE"""),"RETRO SPOT GIANT TUBE MATCHES")</f>
        <v>RETRO SPOT GIANT TUBE MATCHES</v>
      </c>
      <c r="B365" s="2">
        <f>IFERROR(__xludf.DUMMYFUNCTION("""COMPUTED_VALUE"""),2.0)</f>
        <v>2</v>
      </c>
    </row>
    <row r="366">
      <c r="A366" s="2" t="str">
        <f>IFERROR(__xludf.DUMMYFUNCTION("""COMPUTED_VALUE"""),"KINGS CHOICE GIANT TUBE MATCHES")</f>
        <v>KINGS CHOICE GIANT TUBE MATCHES</v>
      </c>
      <c r="B366" s="2">
        <f>IFERROR(__xludf.DUMMYFUNCTION("""COMPUTED_VALUE"""),4.0)</f>
        <v>4</v>
      </c>
    </row>
    <row r="367">
      <c r="A367" s="2" t="str">
        <f>IFERROR(__xludf.DUMMYFUNCTION("""COMPUTED_VALUE"""),"MINATURE COLOURED GARDENING SET")</f>
        <v>MINATURE COLOURED GARDENING SET</v>
      </c>
      <c r="B367" s="2">
        <f>IFERROR(__xludf.DUMMYFUNCTION("""COMPUTED_VALUE"""),2.0)</f>
        <v>2</v>
      </c>
    </row>
    <row r="368">
      <c r="A368" s="2" t="str">
        <f>IFERROR(__xludf.DUMMYFUNCTION("""COMPUTED_VALUE"""),"COLOURING PENCILS BROWN TUBE")</f>
        <v>COLOURING PENCILS BROWN TUBE</v>
      </c>
      <c r="B368" s="2">
        <f>IFERROR(__xludf.DUMMYFUNCTION("""COMPUTED_VALUE"""),6.0)</f>
        <v>6</v>
      </c>
    </row>
    <row r="369">
      <c r="A369" s="2" t="str">
        <f>IFERROR(__xludf.DUMMYFUNCTION("""COMPUTED_VALUE"""),"GREEN BLUE FLOWER PIGGY BANK")</f>
        <v>GREEN BLUE FLOWER PIGGY BANK</v>
      </c>
      <c r="B369" s="2">
        <f>IFERROR(__xludf.DUMMYFUNCTION("""COMPUTED_VALUE"""),1.0)</f>
        <v>1</v>
      </c>
    </row>
    <row r="370">
      <c r="A370" s="2" t="str">
        <f>IFERROR(__xludf.DUMMYFUNCTION("""COMPUTED_VALUE"""),"PINK SPOTTY BOWL")</f>
        <v>PINK SPOTTY BOWL</v>
      </c>
      <c r="B370" s="2">
        <f>IFERROR(__xludf.DUMMYFUNCTION("""COMPUTED_VALUE"""),1.0)</f>
        <v>1</v>
      </c>
    </row>
    <row r="371">
      <c r="A371" s="2" t="str">
        <f>IFERROR(__xludf.DUMMYFUNCTION("""COMPUTED_VALUE"""),"RED SPOTTY BOWL")</f>
        <v>RED SPOTTY BOWL</v>
      </c>
      <c r="B371" s="2">
        <f>IFERROR(__xludf.DUMMYFUNCTION("""COMPUTED_VALUE"""),1.0)</f>
        <v>1</v>
      </c>
    </row>
    <row r="372">
      <c r="A372" s="2" t="str">
        <f>IFERROR(__xludf.DUMMYFUNCTION("""COMPUTED_VALUE"""),"BLUE SPOTTY BOWL")</f>
        <v>BLUE SPOTTY BOWL</v>
      </c>
      <c r="B372" s="2">
        <f>IFERROR(__xludf.DUMMYFUNCTION("""COMPUTED_VALUE"""),1.0)</f>
        <v>1</v>
      </c>
    </row>
    <row r="373">
      <c r="A373" s="2" t="str">
        <f>IFERROR(__xludf.DUMMYFUNCTION("""COMPUTED_VALUE"""),"SET OF 6 CAKE CHOPSTICKS")</f>
        <v>SET OF 6 CAKE CHOPSTICKS</v>
      </c>
      <c r="B373" s="2">
        <f>IFERROR(__xludf.DUMMYFUNCTION("""COMPUTED_VALUE"""),6.0)</f>
        <v>6</v>
      </c>
    </row>
    <row r="374">
      <c r="A374" s="2" t="str">
        <f>IFERROR(__xludf.DUMMYFUNCTION("""COMPUTED_VALUE"""),"CAMOUFLAGE LED TORCH")</f>
        <v>CAMOUFLAGE LED TORCH</v>
      </c>
      <c r="B374" s="2">
        <f>IFERROR(__xludf.DUMMYFUNCTION("""COMPUTED_VALUE"""),12.0)</f>
        <v>12</v>
      </c>
    </row>
    <row r="375">
      <c r="A375" s="2" t="str">
        <f>IFERROR(__xludf.DUMMYFUNCTION("""COMPUTED_VALUE"""),"CHOCOLATE CALCULATOR")</f>
        <v>CHOCOLATE CALCULATOR</v>
      </c>
      <c r="B375" s="2">
        <f>IFERROR(__xludf.DUMMYFUNCTION("""COMPUTED_VALUE"""),5.0)</f>
        <v>5</v>
      </c>
    </row>
    <row r="376">
      <c r="A376" s="2" t="str">
        <f>IFERROR(__xludf.DUMMYFUNCTION("""COMPUTED_VALUE"""),"200 RED + WHITE BENDY STRAWS")</f>
        <v>200 RED + WHITE BENDY STRAWS</v>
      </c>
      <c r="B376" s="2">
        <f>IFERROR(__xludf.DUMMYFUNCTION("""COMPUTED_VALUE"""),1.0)</f>
        <v>1</v>
      </c>
    </row>
    <row r="377">
      <c r="A377" s="2" t="str">
        <f>IFERROR(__xludf.DUMMYFUNCTION("""COMPUTED_VALUE"""),"I CAN ONLY PLEASE ONE PERSON MUG")</f>
        <v>I CAN ONLY PLEASE ONE PERSON MUG</v>
      </c>
      <c r="B377" s="2">
        <f>IFERROR(__xludf.DUMMYFUNCTION("""COMPUTED_VALUE"""),1.0)</f>
        <v>1</v>
      </c>
    </row>
    <row r="378">
      <c r="A378" s="2" t="str">
        <f>IFERROR(__xludf.DUMMYFUNCTION("""COMPUTED_VALUE"""),"NO SINGING METAL SIGN")</f>
        <v>NO SINGING METAL SIGN</v>
      </c>
      <c r="B378" s="2">
        <f>IFERROR(__xludf.DUMMYFUNCTION("""COMPUTED_VALUE"""),1.0)</f>
        <v>1</v>
      </c>
    </row>
    <row r="379">
      <c r="A379" s="2" t="str">
        <f>IFERROR(__xludf.DUMMYFUNCTION("""COMPUTED_VALUE"""),"PLEASE ONE PERSON METAL SIGN")</f>
        <v>PLEASE ONE PERSON METAL SIGN</v>
      </c>
      <c r="B379" s="2">
        <f>IFERROR(__xludf.DUMMYFUNCTION("""COMPUTED_VALUE"""),2.0)</f>
        <v>2</v>
      </c>
    </row>
    <row r="380">
      <c r="A380" s="2" t="str">
        <f>IFERROR(__xludf.DUMMYFUNCTION("""COMPUTED_VALUE"""),"METAL SIGN EMPIRE TEA")</f>
        <v>METAL SIGN EMPIRE TEA</v>
      </c>
      <c r="B380" s="2">
        <f>IFERROR(__xludf.DUMMYFUNCTION("""COMPUTED_VALUE"""),1.0)</f>
        <v>1</v>
      </c>
    </row>
    <row r="381">
      <c r="A381" s="2" t="str">
        <f>IFERROR(__xludf.DUMMYFUNCTION("""COMPUTED_VALUE"""),"COOK WITH WINE METAL SIGN")</f>
        <v>COOK WITH WINE METAL SIGN</v>
      </c>
      <c r="B381" s="2">
        <f>IFERROR(__xludf.DUMMYFUNCTION("""COMPUTED_VALUE"""),2.0)</f>
        <v>2</v>
      </c>
    </row>
    <row r="382">
      <c r="A382" s="2" t="str">
        <f>IFERROR(__xludf.DUMMYFUNCTION("""COMPUTED_VALUE"""),"GIN + TONIC DIET METAL SIGN")</f>
        <v>GIN + TONIC DIET METAL SIGN</v>
      </c>
      <c r="B382" s="2">
        <f>IFERROR(__xludf.DUMMYFUNCTION("""COMPUTED_VALUE"""),2.0)</f>
        <v>2</v>
      </c>
    </row>
    <row r="383">
      <c r="A383" s="2" t="str">
        <f>IFERROR(__xludf.DUMMYFUNCTION("""COMPUTED_VALUE"""),"POTTERING IN THE SHED METAL SIGN")</f>
        <v>POTTERING IN THE SHED METAL SIGN</v>
      </c>
      <c r="B383" s="2">
        <f>IFERROR(__xludf.DUMMYFUNCTION("""COMPUTED_VALUE"""),1.0)</f>
        <v>1</v>
      </c>
    </row>
    <row r="384">
      <c r="A384" s="2" t="str">
        <f>IFERROR(__xludf.DUMMYFUNCTION("""COMPUTED_VALUE"""),"CHOCOLATE THIS WAY METAL SIGN")</f>
        <v>CHOCOLATE THIS WAY METAL SIGN</v>
      </c>
      <c r="B384" s="2">
        <f>IFERROR(__xludf.DUMMYFUNCTION("""COMPUTED_VALUE"""),3.0)</f>
        <v>3</v>
      </c>
    </row>
    <row r="385">
      <c r="A385" s="2" t="str">
        <f>IFERROR(__xludf.DUMMYFUNCTION("""COMPUTED_VALUE"""),"AREA PATROLLED METAL SIGN")</f>
        <v>AREA PATROLLED METAL SIGN</v>
      </c>
      <c r="B385" s="2">
        <f>IFERROR(__xludf.DUMMYFUNCTION("""COMPUTED_VALUE"""),1.0)</f>
        <v>1</v>
      </c>
    </row>
    <row r="386">
      <c r="A386" s="2" t="str">
        <f>IFERROR(__xludf.DUMMYFUNCTION("""COMPUTED_VALUE"""),"HAND OVER THE CHOCOLATE SIGN")</f>
        <v>HAND OVER THE CHOCOLATE SIGN</v>
      </c>
      <c r="B386" s="2">
        <f>IFERROR(__xludf.DUMMYFUNCTION("""COMPUTED_VALUE"""),2.0)</f>
        <v>2</v>
      </c>
    </row>
    <row r="387">
      <c r="A387" s="2" t="str">
        <f>IFERROR(__xludf.DUMMYFUNCTION("""COMPUTED_VALUE"""),"LADIES &amp; GENTLEMEN METAL SIGN")</f>
        <v>LADIES &amp; GENTLEMEN METAL SIGN</v>
      </c>
      <c r="B387" s="2">
        <f>IFERROR(__xludf.DUMMYFUNCTION("""COMPUTED_VALUE"""),1.0)</f>
        <v>1</v>
      </c>
    </row>
    <row r="388">
      <c r="A388" s="2" t="str">
        <f>IFERROR(__xludf.DUMMYFUNCTION("""COMPUTED_VALUE"""),"SET/6 CHRISTMAS ICICLE T-LIGHTS")</f>
        <v>SET/6 CHRISTMAS ICICLE T-LIGHTS</v>
      </c>
      <c r="B388" s="2">
        <f>IFERROR(__xludf.DUMMYFUNCTION("""COMPUTED_VALUE"""),7.0)</f>
        <v>7</v>
      </c>
    </row>
    <row r="389">
      <c r="A389" s="2" t="str">
        <f>IFERROR(__xludf.DUMMYFUNCTION("""COMPUTED_VALUE"""),"MIRROR MOSAIC T-LIGHT HOLDER ROUND")</f>
        <v>MIRROR MOSAIC T-LIGHT HOLDER ROUND</v>
      </c>
      <c r="B389" s="2">
        <f>IFERROR(__xludf.DUMMYFUNCTION("""COMPUTED_VALUE"""),6.0)</f>
        <v>6</v>
      </c>
    </row>
    <row r="390">
      <c r="A390" s="2" t="str">
        <f>IFERROR(__xludf.DUMMYFUNCTION("""COMPUTED_VALUE"""),"PAINTED METAL PEARS ASSORTED")</f>
        <v>PAINTED METAL PEARS ASSORTED</v>
      </c>
      <c r="B390" s="2">
        <f>IFERROR(__xludf.DUMMYFUNCTION("""COMPUTED_VALUE"""),8.0)</f>
        <v>8</v>
      </c>
    </row>
    <row r="391">
      <c r="A391" s="2" t="str">
        <f>IFERROR(__xludf.DUMMYFUNCTION("""COMPUTED_VALUE"""),"ASSORTED COLOUR BIRD ORNAMENT")</f>
        <v>ASSORTED COLOUR BIRD ORNAMENT</v>
      </c>
      <c r="B391" s="2">
        <f>IFERROR(__xludf.DUMMYFUNCTION("""COMPUTED_VALUE"""),8.0)</f>
        <v>8</v>
      </c>
    </row>
    <row r="392">
      <c r="A392" s="2" t="str">
        <f>IFERROR(__xludf.DUMMYFUNCTION("""COMPUTED_VALUE"""),"RED 3 PIECE MINI DOTS CUTLERY SET")</f>
        <v>RED 3 PIECE MINI DOTS CUTLERY SET</v>
      </c>
      <c r="B392" s="2">
        <f>IFERROR(__xludf.DUMMYFUNCTION("""COMPUTED_VALUE"""),1.0)</f>
        <v>1</v>
      </c>
    </row>
    <row r="393">
      <c r="A393" s="2" t="str">
        <f>IFERROR(__xludf.DUMMYFUNCTION("""COMPUTED_VALUE"""),"PINK 3 PIECE MINI DOTS CUTLERY SET")</f>
        <v>PINK 3 PIECE MINI DOTS CUTLERY SET</v>
      </c>
      <c r="B393" s="2">
        <f>IFERROR(__xludf.DUMMYFUNCTION("""COMPUTED_VALUE"""),1.0)</f>
        <v>1</v>
      </c>
    </row>
    <row r="394">
      <c r="A394" s="2" t="str">
        <f>IFERROR(__xludf.DUMMYFUNCTION("""COMPUTED_VALUE"""),"BLUE 3 PIECE MINI DOTS CUTLERY SET")</f>
        <v>BLUE 3 PIECE MINI DOTS CUTLERY SET</v>
      </c>
      <c r="B394" s="2">
        <f>IFERROR(__xludf.DUMMYFUNCTION("""COMPUTED_VALUE"""),1.0)</f>
        <v>1</v>
      </c>
    </row>
    <row r="395">
      <c r="A395" s="2" t="str">
        <f>IFERROR(__xludf.DUMMYFUNCTION("""COMPUTED_VALUE"""),"MAGIC GARDEN MOUNT FUJI")</f>
        <v>MAGIC GARDEN MOUNT FUJI</v>
      </c>
      <c r="B395" s="2">
        <f>IFERROR(__xludf.DUMMYFUNCTION("""COMPUTED_VALUE"""),4.0)</f>
        <v>4</v>
      </c>
    </row>
    <row r="396">
      <c r="A396" s="2" t="str">
        <f>IFERROR(__xludf.DUMMYFUNCTION("""COMPUTED_VALUE"""),"MAGIC SHEEP WOOL GROWING FROM PAPER")</f>
        <v>MAGIC SHEEP WOOL GROWING FROM PAPER</v>
      </c>
      <c r="B396" s="2">
        <f>IFERROR(__xludf.DUMMYFUNCTION("""COMPUTED_VALUE"""),4.0)</f>
        <v>4</v>
      </c>
    </row>
    <row r="397">
      <c r="A397" s="2" t="str">
        <f>IFERROR(__xludf.DUMMYFUNCTION("""COMPUTED_VALUE"""),"6 RIBBONS RUSTIC CHARM")</f>
        <v>6 RIBBONS RUSTIC CHARM</v>
      </c>
      <c r="B397" s="2">
        <f>IFERROR(__xludf.DUMMYFUNCTION("""COMPUTED_VALUE"""),1.0)</f>
        <v>1</v>
      </c>
    </row>
    <row r="398">
      <c r="A398" s="2" t="str">
        <f>IFERROR(__xludf.DUMMYFUNCTION("""COMPUTED_VALUE"""),"TRADITIONAL CHRISTMAS RIBBONS")</f>
        <v>TRADITIONAL CHRISTMAS RIBBONS</v>
      </c>
      <c r="B398" s="2">
        <f>IFERROR(__xludf.DUMMYFUNCTION("""COMPUTED_VALUE"""),2.0)</f>
        <v>2</v>
      </c>
    </row>
    <row r="399">
      <c r="A399" s="2" t="str">
        <f>IFERROR(__xludf.DUMMYFUNCTION("""COMPUTED_VALUE"""),"SCANDINAVIAN REDS RIBBONS")</f>
        <v>SCANDINAVIAN REDS RIBBONS</v>
      </c>
      <c r="B399" s="2">
        <f>IFERROR(__xludf.DUMMYFUNCTION("""COMPUTED_VALUE"""),2.0)</f>
        <v>2</v>
      </c>
    </row>
    <row r="400">
      <c r="A400" s="2" t="str">
        <f>IFERROR(__xludf.DUMMYFUNCTION("""COMPUTED_VALUE"""),"6 RIBBONS ELEGANT CHRISTMAS")</f>
        <v>6 RIBBONS ELEGANT CHRISTMAS</v>
      </c>
      <c r="B400" s="2">
        <f>IFERROR(__xludf.DUMMYFUNCTION("""COMPUTED_VALUE"""),2.0)</f>
        <v>2</v>
      </c>
    </row>
    <row r="401">
      <c r="A401" s="2" t="str">
        <f>IFERROR(__xludf.DUMMYFUNCTION("""COMPUTED_VALUE"""),"6 RIBBONS EMPIRE")</f>
        <v>6 RIBBONS EMPIRE</v>
      </c>
      <c r="B401" s="2">
        <f>IFERROR(__xludf.DUMMYFUNCTION("""COMPUTED_VALUE"""),1.0)</f>
        <v>1</v>
      </c>
    </row>
    <row r="402">
      <c r="A402" s="2" t="str">
        <f>IFERROR(__xludf.DUMMYFUNCTION("""COMPUTED_VALUE"""),"ASSORTED COLOUR BIRD ORNAMENT")</f>
        <v>ASSORTED COLOUR BIRD ORNAMENT</v>
      </c>
      <c r="B402" s="2">
        <f>IFERROR(__xludf.DUMMYFUNCTION("""COMPUTED_VALUE"""),800.0)</f>
        <v>800</v>
      </c>
    </row>
    <row r="403">
      <c r="A403" s="2" t="str">
        <f>IFERROR(__xludf.DUMMYFUNCTION("""COMPUTED_VALUE"""),"SCANDINAVIAN REDS RIBBONS")</f>
        <v>SCANDINAVIAN REDS RIBBONS</v>
      </c>
      <c r="B403" s="2">
        <f>IFERROR(__xludf.DUMMYFUNCTION("""COMPUTED_VALUE"""),12.0)</f>
        <v>12</v>
      </c>
    </row>
    <row r="404">
      <c r="A404" s="2" t="str">
        <f>IFERROR(__xludf.DUMMYFUNCTION("""COMPUTED_VALUE"""),"6 RIBBONS RUSTIC CHARM")</f>
        <v>6 RIBBONS RUSTIC CHARM</v>
      </c>
      <c r="B404" s="2">
        <f>IFERROR(__xludf.DUMMYFUNCTION("""COMPUTED_VALUE"""),12.0)</f>
        <v>12</v>
      </c>
    </row>
    <row r="405">
      <c r="A405" s="2" t="str">
        <f>IFERROR(__xludf.DUMMYFUNCTION("""COMPUTED_VALUE"""),"ANTIQUE SILVER TEA GLASS ETCHED")</f>
        <v>ANTIQUE SILVER TEA GLASS ETCHED</v>
      </c>
      <c r="B405" s="2">
        <f>IFERROR(__xludf.DUMMYFUNCTION("""COMPUTED_VALUE"""),12.0)</f>
        <v>12</v>
      </c>
    </row>
    <row r="406">
      <c r="A406" s="2" t="str">
        <f>IFERROR(__xludf.DUMMYFUNCTION("""COMPUTED_VALUE"""),"SILVER HANGING T-LIGHT HOLDER DOME")</f>
        <v>SILVER HANGING T-LIGHT HOLDER DOME</v>
      </c>
      <c r="B406" s="2">
        <f>IFERROR(__xludf.DUMMYFUNCTION("""COMPUTED_VALUE"""),24.0)</f>
        <v>24</v>
      </c>
    </row>
    <row r="407">
      <c r="A407" s="2" t="str">
        <f>IFERROR(__xludf.DUMMYFUNCTION("""COMPUTED_VALUE"""),"RETRO SPOTS PUDDING BOWL")</f>
        <v>RETRO SPOTS PUDDING BOWL</v>
      </c>
      <c r="B407" s="2">
        <f>IFERROR(__xludf.DUMMYFUNCTION("""COMPUTED_VALUE"""),4.0)</f>
        <v>4</v>
      </c>
    </row>
    <row r="408">
      <c r="A408" s="2" t="str">
        <f>IFERROR(__xludf.DUMMYFUNCTION("""COMPUTED_VALUE"""),"RED HANGING HEART T-LIGHT HOLDER")</f>
        <v>RED HANGING HEART T-LIGHT HOLDER</v>
      </c>
      <c r="B408" s="2">
        <f>IFERROR(__xludf.DUMMYFUNCTION("""COMPUTED_VALUE"""),6.0)</f>
        <v>6</v>
      </c>
    </row>
    <row r="409">
      <c r="A409" s="2" t="str">
        <f>IFERROR(__xludf.DUMMYFUNCTION("""COMPUTED_VALUE"""),"WHITE HANGING HEART T-LIGHT HOLDER")</f>
        <v>WHITE HANGING HEART T-LIGHT HOLDER</v>
      </c>
      <c r="B409" s="2">
        <f>IFERROR(__xludf.DUMMYFUNCTION("""COMPUTED_VALUE"""),6.0)</f>
        <v>6</v>
      </c>
    </row>
    <row r="410">
      <c r="A410" s="2" t="str">
        <f>IFERROR(__xludf.DUMMYFUNCTION("""COMPUTED_VALUE"""),"RED SPOTTY SHOPPER BAG")</f>
        <v>RED SPOTTY SHOPPER BAG</v>
      </c>
      <c r="B410" s="2">
        <f>IFERROR(__xludf.DUMMYFUNCTION("""COMPUTED_VALUE"""),10.0)</f>
        <v>10</v>
      </c>
    </row>
    <row r="411">
      <c r="A411" s="2" t="str">
        <f>IFERROR(__xludf.DUMMYFUNCTION("""COMPUTED_VALUE"""),"RED SPOTTY OVEN GLOVE DOUBLE")</f>
        <v>RED SPOTTY OVEN GLOVE DOUBLE</v>
      </c>
      <c r="B411" s="2">
        <f>IFERROR(__xludf.DUMMYFUNCTION("""COMPUTED_VALUE"""),-3.0)</f>
        <v>-3</v>
      </c>
    </row>
    <row r="412">
      <c r="A412" s="2" t="str">
        <f>IFERROR(__xludf.DUMMYFUNCTION("""COMPUTED_VALUE"""),"LOO ROLL METAL SIGN")</f>
        <v>LOO ROLL METAL SIGN</v>
      </c>
      <c r="B412" s="2">
        <f>IFERROR(__xludf.DUMMYFUNCTION("""COMPUTED_VALUE"""),-12.0)</f>
        <v>-12</v>
      </c>
    </row>
    <row r="413">
      <c r="A413" s="2" t="str">
        <f>IFERROR(__xludf.DUMMYFUNCTION("""COMPUTED_VALUE"""),"PINK JUICY FRUIT PHOTO FRAME")</f>
        <v>PINK JUICY FRUIT PHOTO FRAME</v>
      </c>
      <c r="B413" s="2">
        <f>IFERROR(__xludf.DUMMYFUNCTION("""COMPUTED_VALUE"""),-6.0)</f>
        <v>-6</v>
      </c>
    </row>
    <row r="414">
      <c r="A414" s="2" t="str">
        <f>IFERROR(__xludf.DUMMYFUNCTION("""COMPUTED_VALUE"""),"RETRO SPOTS BUTTER DISH")</f>
        <v>RETRO SPOTS BUTTER DISH</v>
      </c>
      <c r="B414" s="2">
        <f>IFERROR(__xludf.DUMMYFUNCTION("""COMPUTED_VALUE"""),3.0)</f>
        <v>3</v>
      </c>
    </row>
    <row r="415">
      <c r="A415" s="2" t="str">
        <f>IFERROR(__xludf.DUMMYFUNCTION("""COMPUTED_VALUE"""),"ZINC METAL HEART DECORATION")</f>
        <v>ZINC METAL HEART DECORATION</v>
      </c>
      <c r="B415" s="2">
        <f>IFERROR(__xludf.DUMMYFUNCTION("""COMPUTED_VALUE"""),24.0)</f>
        <v>24</v>
      </c>
    </row>
    <row r="416">
      <c r="A416" s="2" t="str">
        <f>IFERROR(__xludf.DUMMYFUNCTION("""COMPUTED_VALUE"""),"RETRO SPOT LARGE MILK JUG")</f>
        <v>RETRO SPOT LARGE MILK JUG</v>
      </c>
      <c r="B416" s="2">
        <f>IFERROR(__xludf.DUMMYFUNCTION("""COMPUTED_VALUE"""),6.0)</f>
        <v>6</v>
      </c>
    </row>
    <row r="417">
      <c r="A417" s="2" t="str">
        <f>IFERROR(__xludf.DUMMYFUNCTION("""COMPUTED_VALUE"""),"RETRO SPOT SUGAR JAM BOWL")</f>
        <v>RETRO SPOT SUGAR JAM BOWL</v>
      </c>
      <c r="B417" s="2">
        <f>IFERROR(__xludf.DUMMYFUNCTION("""COMPUTED_VALUE"""),6.0)</f>
        <v>6</v>
      </c>
    </row>
    <row r="418">
      <c r="A418" s="2" t="str">
        <f>IFERROR(__xludf.DUMMYFUNCTION("""COMPUTED_VALUE"""),"RETRO SPORT PARTY BAG + STICKER SET")</f>
        <v>RETRO SPORT PARTY BAG + STICKER SET</v>
      </c>
      <c r="B418" s="2">
        <f>IFERROR(__xludf.DUMMYFUNCTION("""COMPUTED_VALUE"""),8.0)</f>
        <v>8</v>
      </c>
    </row>
    <row r="419">
      <c r="A419" s="2" t="str">
        <f>IFERROR(__xludf.DUMMYFUNCTION("""COMPUTED_VALUE"""),"SET/3 RUSSIAN DOLL STACKING TINS")</f>
        <v>SET/3 RUSSIAN DOLL STACKING TINS</v>
      </c>
      <c r="B419" s="2">
        <f>IFERROR(__xludf.DUMMYFUNCTION("""COMPUTED_VALUE"""),9.0)</f>
        <v>9</v>
      </c>
    </row>
    <row r="420">
      <c r="A420" s="2" t="str">
        <f>IFERROR(__xludf.DUMMYFUNCTION("""COMPUTED_VALUE"""),"RED SPOTTY BOWL")</f>
        <v>RED SPOTTY BOWL</v>
      </c>
      <c r="B420" s="2">
        <f>IFERROR(__xludf.DUMMYFUNCTION("""COMPUTED_VALUE"""),8.0)</f>
        <v>8</v>
      </c>
    </row>
    <row r="421">
      <c r="A421" s="2" t="str">
        <f>IFERROR(__xludf.DUMMYFUNCTION("""COMPUTED_VALUE"""),"SET/5 RED SPOTTY LID GLASS BOWLS")</f>
        <v>SET/5 RED SPOTTY LID GLASS BOWLS</v>
      </c>
      <c r="B421" s="2">
        <f>IFERROR(__xludf.DUMMYFUNCTION("""COMPUTED_VALUE"""),12.0)</f>
        <v>12</v>
      </c>
    </row>
    <row r="422">
      <c r="A422" s="2" t="str">
        <f>IFERROR(__xludf.DUMMYFUNCTION("""COMPUTED_VALUE"""),"RED SPOTTY PLATE")</f>
        <v>RED SPOTTY PLATE</v>
      </c>
      <c r="B422" s="2">
        <f>IFERROR(__xludf.DUMMYFUNCTION("""COMPUTED_VALUE"""),8.0)</f>
        <v>8</v>
      </c>
    </row>
    <row r="423">
      <c r="A423" s="2" t="str">
        <f>IFERROR(__xludf.DUMMYFUNCTION("""COMPUTED_VALUE"""),"JIGSAW TOADSTOOLS 3 PIECE")</f>
        <v>JIGSAW TOADSTOOLS 3 PIECE</v>
      </c>
      <c r="B423" s="2">
        <f>IFERROR(__xludf.DUMMYFUNCTION("""COMPUTED_VALUE"""),8.0)</f>
        <v>8</v>
      </c>
    </row>
    <row r="424">
      <c r="A424" s="2" t="str">
        <f>IFERROR(__xludf.DUMMYFUNCTION("""COMPUTED_VALUE"""),"RETRO SPOT SMALL MILK JUG")</f>
        <v>RETRO SPOT SMALL MILK JUG</v>
      </c>
      <c r="B424" s="2">
        <f>IFERROR(__xludf.DUMMYFUNCTION("""COMPUTED_VALUE"""),6.0)</f>
        <v>6</v>
      </c>
    </row>
    <row r="425">
      <c r="A425" s="2" t="str">
        <f>IFERROR(__xludf.DUMMYFUNCTION("""COMPUTED_VALUE"""),"RETRO SPOT MUG")</f>
        <v>RETRO SPOT MUG</v>
      </c>
      <c r="B425" s="2">
        <f>IFERROR(__xludf.DUMMYFUNCTION("""COMPUTED_VALUE"""),6.0)</f>
        <v>6</v>
      </c>
    </row>
    <row r="426">
      <c r="A426" s="2" t="str">
        <f>IFERROR(__xludf.DUMMYFUNCTION("""COMPUTED_VALUE"""),"RETRO SPOT STORAGE JAR")</f>
        <v>RETRO SPOT STORAGE JAR</v>
      </c>
      <c r="B426" s="2">
        <f>IFERROR(__xludf.DUMMYFUNCTION("""COMPUTED_VALUE"""),4.0)</f>
        <v>4</v>
      </c>
    </row>
    <row r="427">
      <c r="A427" s="2" t="str">
        <f>IFERROR(__xludf.DUMMYFUNCTION("""COMPUTED_VALUE"""),"TEA CUP AND SAUCER RETRO SPOT")</f>
        <v>TEA CUP AND SAUCER RETRO SPOT</v>
      </c>
      <c r="B427" s="2">
        <f>IFERROR(__xludf.DUMMYFUNCTION("""COMPUTED_VALUE"""),4.0)</f>
        <v>4</v>
      </c>
    </row>
    <row r="428">
      <c r="A428" s="2" t="str">
        <f>IFERROR(__xludf.DUMMYFUNCTION("""COMPUTED_VALUE"""),"RED TOADSTOOL LED NIGHT LIGHT")</f>
        <v>RED TOADSTOOL LED NIGHT LIGHT</v>
      </c>
      <c r="B428" s="2">
        <f>IFERROR(__xludf.DUMMYFUNCTION("""COMPUTED_VALUE"""),12.0)</f>
        <v>12</v>
      </c>
    </row>
    <row r="429">
      <c r="A429" s="2" t="str">
        <f>IFERROR(__xludf.DUMMYFUNCTION("""COMPUTED_VALUE"""),"FELT TOADSTOOL LARGE")</f>
        <v>FELT TOADSTOOL LARGE</v>
      </c>
      <c r="B429" s="2">
        <f>IFERROR(__xludf.DUMMYFUNCTION("""COMPUTED_VALUE"""),12.0)</f>
        <v>12</v>
      </c>
    </row>
    <row r="430">
      <c r="A430" s="2" t="str">
        <f>IFERROR(__xludf.DUMMYFUNCTION("""COMPUTED_VALUE"""),"POLYESTER FILLER PAD 40x40cm")</f>
        <v>POLYESTER FILLER PAD 40x40cm</v>
      </c>
      <c r="B430" s="2">
        <f>IFERROR(__xludf.DUMMYFUNCTION("""COMPUTED_VALUE"""),2.0)</f>
        <v>2</v>
      </c>
    </row>
    <row r="431">
      <c r="A431" s="2" t="str">
        <f>IFERROR(__xludf.DUMMYFUNCTION("""COMPUTED_VALUE"""),"POLYESTER FILLER PAD 60x40cm")</f>
        <v>POLYESTER FILLER PAD 60x40cm</v>
      </c>
      <c r="B431" s="2">
        <f>IFERROR(__xludf.DUMMYFUNCTION("""COMPUTED_VALUE"""),3.0)</f>
        <v>3</v>
      </c>
    </row>
    <row r="432">
      <c r="A432" s="2" t="str">
        <f>IFERROR(__xludf.DUMMYFUNCTION("""COMPUTED_VALUE"""),"RED SPOTTY CHILDS UMBRELLA")</f>
        <v>RED SPOTTY CHILDS UMBRELLA</v>
      </c>
      <c r="B432" s="2">
        <f>IFERROR(__xludf.DUMMYFUNCTION("""COMPUTED_VALUE"""),6.0)</f>
        <v>6</v>
      </c>
    </row>
    <row r="433">
      <c r="A433" s="2" t="str">
        <f>IFERROR(__xludf.DUMMYFUNCTION("""COMPUTED_VALUE"""),"SET OF THREE VINTAGE GIFT WRAPS")</f>
        <v>SET OF THREE VINTAGE GIFT WRAPS</v>
      </c>
      <c r="B433" s="2">
        <f>IFERROR(__xludf.DUMMYFUNCTION("""COMPUTED_VALUE"""),1.0)</f>
        <v>1</v>
      </c>
    </row>
    <row r="434">
      <c r="A434" s="2" t="str">
        <f>IFERROR(__xludf.DUMMYFUNCTION("""COMPUTED_VALUE"""),"BLUE PAISLEY NOTEBOOK")</f>
        <v>BLUE PAISLEY NOTEBOOK</v>
      </c>
      <c r="B434" s="2">
        <f>IFERROR(__xludf.DUMMYFUNCTION("""COMPUTED_VALUE"""),1.0)</f>
        <v>1</v>
      </c>
    </row>
    <row r="435">
      <c r="A435" s="2" t="str">
        <f>IFERROR(__xludf.DUMMYFUNCTION("""COMPUTED_VALUE"""),"BLUE PAISLEY JOURNAL")</f>
        <v>BLUE PAISLEY JOURNAL</v>
      </c>
      <c r="B435" s="2">
        <f>IFERROR(__xludf.DUMMYFUNCTION("""COMPUTED_VALUE"""),1.0)</f>
        <v>1</v>
      </c>
    </row>
    <row r="436">
      <c r="A436" s="2" t="str">
        <f>IFERROR(__xludf.DUMMYFUNCTION("""COMPUTED_VALUE"""),"VIPPASSPORT COVER")</f>
        <v>VIPPASSPORT COVER</v>
      </c>
      <c r="B436" s="2">
        <f>IFERROR(__xludf.DUMMYFUNCTION("""COMPUTED_VALUE"""),1.0)</f>
        <v>1</v>
      </c>
    </row>
    <row r="437">
      <c r="A437" s="2" t="str">
        <f>IFERROR(__xludf.DUMMYFUNCTION("""COMPUTED_VALUE"""),"SET/10 PINK SPOTTY PARTY CANDLES")</f>
        <v>SET/10 PINK SPOTTY PARTY CANDLES</v>
      </c>
      <c r="B437" s="2">
        <f>IFERROR(__xludf.DUMMYFUNCTION("""COMPUTED_VALUE"""),1.0)</f>
        <v>1</v>
      </c>
    </row>
    <row r="438">
      <c r="A438" s="2" t="str">
        <f>IFERROR(__xludf.DUMMYFUNCTION("""COMPUTED_VALUE"""),"SET/10 BLUE SPOTTY PARTY CANDLES")</f>
        <v>SET/10 BLUE SPOTTY PARTY CANDLES</v>
      </c>
      <c r="B438" s="2">
        <f>IFERROR(__xludf.DUMMYFUNCTION("""COMPUTED_VALUE"""),1.0)</f>
        <v>1</v>
      </c>
    </row>
    <row r="439">
      <c r="A439" s="2" t="str">
        <f>IFERROR(__xludf.DUMMYFUNCTION("""COMPUTED_VALUE"""),"TROPICAL LUGGAGE TAG")</f>
        <v>TROPICAL LUGGAGE TAG</v>
      </c>
      <c r="B439" s="2">
        <f>IFERROR(__xludf.DUMMYFUNCTION("""COMPUTED_VALUE"""),1.0)</f>
        <v>1</v>
      </c>
    </row>
    <row r="440">
      <c r="A440" s="2" t="str">
        <f>IFERROR(__xludf.DUMMYFUNCTION("""COMPUTED_VALUE"""),"STRAWBERRIES PRINT BOWL")</f>
        <v>STRAWBERRIES PRINT BOWL</v>
      </c>
      <c r="B440" s="2">
        <f>IFERROR(__xludf.DUMMYFUNCTION("""COMPUTED_VALUE"""),4.0)</f>
        <v>4</v>
      </c>
    </row>
    <row r="441">
      <c r="A441" s="2" t="str">
        <f>IFERROR(__xludf.DUMMYFUNCTION("""COMPUTED_VALUE"""),"COFFEE MUG DOG + BALL DESIGN")</f>
        <v>COFFEE MUG DOG + BALL DESIGN</v>
      </c>
      <c r="B441" s="2">
        <f>IFERROR(__xludf.DUMMYFUNCTION("""COMPUTED_VALUE"""),6.0)</f>
        <v>6</v>
      </c>
    </row>
    <row r="442">
      <c r="A442" s="2" t="str">
        <f>IFERROR(__xludf.DUMMYFUNCTION("""COMPUTED_VALUE"""),"PAPER CHAIN KIT 50'S CHRISTMAS")</f>
        <v>PAPER CHAIN KIT 50'S CHRISTMAS</v>
      </c>
      <c r="B442" s="2">
        <f>IFERROR(__xludf.DUMMYFUNCTION("""COMPUTED_VALUE"""),1.0)</f>
        <v>1</v>
      </c>
    </row>
    <row r="443">
      <c r="A443" s="2" t="str">
        <f>IFERROR(__xludf.DUMMYFUNCTION("""COMPUTED_VALUE"""),"TROPICAL PASSPORT COVER")</f>
        <v>TROPICAL PASSPORT COVER</v>
      </c>
      <c r="B443" s="2">
        <f>IFERROR(__xludf.DUMMYFUNCTION("""COMPUTED_VALUE"""),1.0)</f>
        <v>1</v>
      </c>
    </row>
    <row r="444">
      <c r="A444" s="2" t="str">
        <f>IFERROR(__xludf.DUMMYFUNCTION("""COMPUTED_VALUE"""),"UNION JACK FLAG PASSPORT COVER")</f>
        <v>UNION JACK FLAG PASSPORT COVER</v>
      </c>
      <c r="B444" s="2">
        <f>IFERROR(__xludf.DUMMYFUNCTION("""COMPUTED_VALUE"""),1.0)</f>
        <v>1</v>
      </c>
    </row>
    <row r="445">
      <c r="A445" s="2" t="str">
        <f>IFERROR(__xludf.DUMMYFUNCTION("""COMPUTED_VALUE"""),"UNION JACK FLAG LUGGAGE TAG")</f>
        <v>UNION JACK FLAG LUGGAGE TAG</v>
      </c>
      <c r="B445" s="2">
        <f>IFERROR(__xludf.DUMMYFUNCTION("""COMPUTED_VALUE"""),1.0)</f>
        <v>1</v>
      </c>
    </row>
    <row r="446">
      <c r="A446" s="2" t="str">
        <f>IFERROR(__xludf.DUMMYFUNCTION("""COMPUTED_VALUE"""),"VIP LUGGAGE TAG")</f>
        <v>VIP LUGGAGE TAG</v>
      </c>
      <c r="B446" s="2">
        <f>IFERROR(__xludf.DUMMYFUNCTION("""COMPUTED_VALUE"""),1.0)</f>
        <v>1</v>
      </c>
    </row>
    <row r="447">
      <c r="A447" s="2" t="str">
        <f>IFERROR(__xludf.DUMMYFUNCTION("""COMPUTED_VALUE"""),"BLUE WHITE SCARF HOT WATER BOTTLE")</f>
        <v>BLUE WHITE SCARF HOT WATER BOTTLE</v>
      </c>
      <c r="B447" s="2">
        <f>IFERROR(__xludf.DUMMYFUNCTION("""COMPUTED_VALUE"""),1.0)</f>
        <v>1</v>
      </c>
    </row>
    <row r="448">
      <c r="A448" s="2" t="str">
        <f>IFERROR(__xludf.DUMMYFUNCTION("""COMPUTED_VALUE"""),"PINK STRAWBERRY HANDBAG")</f>
        <v>PINK STRAWBERRY HANDBAG</v>
      </c>
      <c r="B448" s="2">
        <f>IFERROR(__xludf.DUMMYFUNCTION("""COMPUTED_VALUE"""),1.0)</f>
        <v>1</v>
      </c>
    </row>
    <row r="449">
      <c r="A449" s="2" t="str">
        <f>IFERROR(__xludf.DUMMYFUNCTION("""COMPUTED_VALUE"""),"CHRYSANTHEMUM NOTEBOOK")</f>
        <v>CHRYSANTHEMUM NOTEBOOK</v>
      </c>
      <c r="B449" s="2">
        <f>IFERROR(__xludf.DUMMYFUNCTION("""COMPUTED_VALUE"""),1.0)</f>
        <v>1</v>
      </c>
    </row>
    <row r="450">
      <c r="A450" s="2" t="str">
        <f>IFERROR(__xludf.DUMMYFUNCTION("""COMPUTED_VALUE"""),"GREEN FERN NOTEBOOK")</f>
        <v>GREEN FERN NOTEBOOK</v>
      </c>
      <c r="B450" s="2">
        <f>IFERROR(__xludf.DUMMYFUNCTION("""COMPUTED_VALUE"""),2.0)</f>
        <v>2</v>
      </c>
    </row>
    <row r="451">
      <c r="A451" s="2" t="str">
        <f>IFERROR(__xludf.DUMMYFUNCTION("""COMPUTED_VALUE"""),"CAMOUFLAGE LED TORCH")</f>
        <v>CAMOUFLAGE LED TORCH</v>
      </c>
      <c r="B451" s="2">
        <f>IFERROR(__xludf.DUMMYFUNCTION("""COMPUTED_VALUE"""),2.0)</f>
        <v>2</v>
      </c>
    </row>
    <row r="452">
      <c r="A452" s="2" t="str">
        <f>IFERROR(__xludf.DUMMYFUNCTION("""COMPUTED_VALUE"""),"ROSE DU SUD CHILDS APRON")</f>
        <v>ROSE DU SUD CHILDS APRON</v>
      </c>
      <c r="B452" s="2">
        <f>IFERROR(__xludf.DUMMYFUNCTION("""COMPUTED_VALUE"""),1.0)</f>
        <v>1</v>
      </c>
    </row>
    <row r="453">
      <c r="A453" s="2" t="str">
        <f>IFERROR(__xludf.DUMMYFUNCTION("""COMPUTED_VALUE"""),"PINK DRESS JEWELLERY STAND")</f>
        <v>PINK DRESS JEWELLERY STAND</v>
      </c>
      <c r="B453" s="2">
        <f>IFERROR(__xludf.DUMMYFUNCTION("""COMPUTED_VALUE"""),1.0)</f>
        <v>1</v>
      </c>
    </row>
    <row r="454">
      <c r="A454" s="2" t="str">
        <f>IFERROR(__xludf.DUMMYFUNCTION("""COMPUTED_VALUE"""),"BLACK STITCHED WALL CLOCK")</f>
        <v>BLACK STITCHED WALL CLOCK</v>
      </c>
      <c r="B454" s="2">
        <f>IFERROR(__xludf.DUMMYFUNCTION("""COMPUTED_VALUE"""),1.0)</f>
        <v>1</v>
      </c>
    </row>
    <row r="455">
      <c r="A455" s="2" t="str">
        <f>IFERROR(__xludf.DUMMYFUNCTION("""COMPUTED_VALUE"""),"RED GINGHAM ROSE JEWELLERY BOX")</f>
        <v>RED GINGHAM ROSE JEWELLERY BOX</v>
      </c>
      <c r="B455" s="2">
        <f>IFERROR(__xludf.DUMMYFUNCTION("""COMPUTED_VALUE"""),4.0)</f>
        <v>4</v>
      </c>
    </row>
    <row r="456">
      <c r="A456" s="2" t="str">
        <f>IFERROR(__xludf.DUMMYFUNCTION("""COMPUTED_VALUE"""),"F FAIRY POTPOURRI CUSHIONS LAVENDER")</f>
        <v>F FAIRY POTPOURRI CUSHIONS LAVENDER</v>
      </c>
      <c r="B456" s="2">
        <f>IFERROR(__xludf.DUMMYFUNCTION("""COMPUTED_VALUE"""),1.0)</f>
        <v>1</v>
      </c>
    </row>
    <row r="457">
      <c r="A457" s="2" t="str">
        <f>IFERROR(__xludf.DUMMYFUNCTION("""COMPUTED_VALUE"""),"GREEN GINGHAM FLOWER JEWELLERY BOX")</f>
        <v>GREEN GINGHAM FLOWER JEWELLERY BOX</v>
      </c>
      <c r="B457" s="2">
        <f>IFERROR(__xludf.DUMMYFUNCTION("""COMPUTED_VALUE"""),4.0)</f>
        <v>4</v>
      </c>
    </row>
    <row r="458">
      <c r="A458" s="2" t="str">
        <f>IFERROR(__xludf.DUMMYFUNCTION("""COMPUTED_VALUE"""),"VINTAGE SNAKES &amp; LADDERS")</f>
        <v>VINTAGE SNAKES &amp; LADDERS</v>
      </c>
      <c r="B458" s="2">
        <f>IFERROR(__xludf.DUMMYFUNCTION("""COMPUTED_VALUE"""),2.0)</f>
        <v>2</v>
      </c>
    </row>
    <row r="459">
      <c r="A459" s="2" t="str">
        <f>IFERROR(__xludf.DUMMYFUNCTION("""COMPUTED_VALUE"""),"PAPER CHAIN KIT 50'S CHRISTMAS")</f>
        <v>PAPER CHAIN KIT 50'S CHRISTMAS</v>
      </c>
      <c r="B459" s="2">
        <f>IFERROR(__xludf.DUMMYFUNCTION("""COMPUTED_VALUE"""),3.0)</f>
        <v>3</v>
      </c>
    </row>
    <row r="460">
      <c r="A460" s="2" t="str">
        <f>IFERROR(__xludf.DUMMYFUNCTION("""COMPUTED_VALUE"""),"SET OF THREE 50'S GIFT WRAPS")</f>
        <v>SET OF THREE 50'S GIFT WRAPS</v>
      </c>
      <c r="B460" s="2">
        <f>IFERROR(__xludf.DUMMYFUNCTION("""COMPUTED_VALUE"""),2.0)</f>
        <v>2</v>
      </c>
    </row>
    <row r="461">
      <c r="A461" s="2" t="str">
        <f>IFERROR(__xludf.DUMMYFUNCTION("""COMPUTED_VALUE"""),"OCEAN SCENT CANDLE IN JEWELLED BOX")</f>
        <v>OCEAN SCENT CANDLE IN JEWELLED BOX</v>
      </c>
      <c r="B461" s="2">
        <f>IFERROR(__xludf.DUMMYFUNCTION("""COMPUTED_VALUE"""),3.0)</f>
        <v>3</v>
      </c>
    </row>
    <row r="462">
      <c r="A462" s="2" t="str">
        <f>IFERROR(__xludf.DUMMYFUNCTION("""COMPUTED_VALUE"""),"ROSE SCENT CANDLE JEWELLED DRAWER")</f>
        <v>ROSE SCENT CANDLE JEWELLED DRAWER</v>
      </c>
      <c r="B462" s="2">
        <f>IFERROR(__xludf.DUMMYFUNCTION("""COMPUTED_VALUE"""),-1.0)</f>
        <v>-1</v>
      </c>
    </row>
    <row r="463">
      <c r="A463" s="2" t="str">
        <f>IFERROR(__xludf.DUMMYFUNCTION("""COMPUTED_VALUE"""),"GLASS HONEYPOT WASP CATCHER")</f>
        <v>GLASS HONEYPOT WASP CATCHER</v>
      </c>
      <c r="B463" s="2">
        <f>IFERROR(__xludf.DUMMYFUNCTION("""COMPUTED_VALUE"""),1.0)</f>
        <v>1</v>
      </c>
    </row>
    <row r="464">
      <c r="A464" s="2" t="str">
        <f>IFERROR(__xludf.DUMMYFUNCTION("""COMPUTED_VALUE"""),"COLOUR GLASS. STAR T-LIGHT HOLDER")</f>
        <v>COLOUR GLASS. STAR T-LIGHT HOLDER</v>
      </c>
      <c r="B464" s="2">
        <f>IFERROR(__xludf.DUMMYFUNCTION("""COMPUTED_VALUE"""),12.0)</f>
        <v>12</v>
      </c>
    </row>
    <row r="465">
      <c r="A465" s="2" t="str">
        <f>IFERROR(__xludf.DUMMYFUNCTION("""COMPUTED_VALUE"""),"ANTIQUE LILY FAIRY LIGHTS")</f>
        <v>ANTIQUE LILY FAIRY LIGHTS</v>
      </c>
      <c r="B465" s="2">
        <f>IFERROR(__xludf.DUMMYFUNCTION("""COMPUTED_VALUE"""),4.0)</f>
        <v>4</v>
      </c>
    </row>
    <row r="466">
      <c r="A466" s="2" t="str">
        <f>IFERROR(__xludf.DUMMYFUNCTION("""COMPUTED_VALUE"""),"WHITE HANGING HEART T-LIGHT HOLDER")</f>
        <v>WHITE HANGING HEART T-LIGHT HOLDER</v>
      </c>
      <c r="B466" s="2">
        <f>IFERROR(__xludf.DUMMYFUNCTION("""COMPUTED_VALUE"""),5.0)</f>
        <v>5</v>
      </c>
    </row>
    <row r="467">
      <c r="A467" s="2" t="str">
        <f>IFERROR(__xludf.DUMMYFUNCTION("""COMPUTED_VALUE"""),"KINGS CHOICE CIGAR BOX MATCHES")</f>
        <v>KINGS CHOICE CIGAR BOX MATCHES</v>
      </c>
      <c r="B467" s="2">
        <f>IFERROR(__xludf.DUMMYFUNCTION("""COMPUTED_VALUE"""),4.0)</f>
        <v>4</v>
      </c>
    </row>
    <row r="468">
      <c r="A468" s="2" t="str">
        <f>IFERROR(__xludf.DUMMYFUNCTION("""COMPUTED_VALUE"""),"COSY HOUR CIGAR BOX MATCHES")</f>
        <v>COSY HOUR CIGAR BOX MATCHES</v>
      </c>
      <c r="B468" s="2">
        <f>IFERROR(__xludf.DUMMYFUNCTION("""COMPUTED_VALUE"""),7.0)</f>
        <v>7</v>
      </c>
    </row>
    <row r="469">
      <c r="A469" s="2" t="str">
        <f>IFERROR(__xludf.DUMMYFUNCTION("""COMPUTED_VALUE"""),"KINGS CHOICE SMALL TUBE MATCHES")</f>
        <v>KINGS CHOICE SMALL TUBE MATCHES</v>
      </c>
      <c r="B469" s="2">
        <f>IFERROR(__xludf.DUMMYFUNCTION("""COMPUTED_VALUE"""),8.0)</f>
        <v>8</v>
      </c>
    </row>
    <row r="470">
      <c r="A470" s="2" t="str">
        <f>IFERROR(__xludf.DUMMYFUNCTION("""COMPUTED_VALUE"""),"COSY HOUR GIANT TUBE MATCHES")</f>
        <v>COSY HOUR GIANT TUBE MATCHES</v>
      </c>
      <c r="B470" s="2">
        <f>IFERROR(__xludf.DUMMYFUNCTION("""COMPUTED_VALUE"""),6.0)</f>
        <v>6</v>
      </c>
    </row>
    <row r="471">
      <c r="A471" s="2" t="str">
        <f>IFERROR(__xludf.DUMMYFUNCTION("""COMPUTED_VALUE"""),"CHOCOLATE HOT WATER BOTTLE")</f>
        <v>CHOCOLATE HOT WATER BOTTLE</v>
      </c>
      <c r="B471" s="2">
        <f>IFERROR(__xludf.DUMMYFUNCTION("""COMPUTED_VALUE"""),1.0)</f>
        <v>1</v>
      </c>
    </row>
    <row r="472">
      <c r="A472" s="2" t="str">
        <f>IFERROR(__xludf.DUMMYFUNCTION("""COMPUTED_VALUE"""),"SCOTTIE DOG HOT WATER BOTTLE")</f>
        <v>SCOTTIE DOG HOT WATER BOTTLE</v>
      </c>
      <c r="B472" s="2">
        <f>IFERROR(__xludf.DUMMYFUNCTION("""COMPUTED_VALUE"""),1.0)</f>
        <v>1</v>
      </c>
    </row>
    <row r="473">
      <c r="A473" s="2" t="str">
        <f>IFERROR(__xludf.DUMMYFUNCTION("""COMPUTED_VALUE"""),"S/4 FESTIVE GREEN DINNER CANDLES")</f>
        <v>S/4 FESTIVE GREEN DINNER CANDLES</v>
      </c>
      <c r="B473" s="2">
        <f>IFERROR(__xludf.DUMMYFUNCTION("""COMPUTED_VALUE"""),2.0)</f>
        <v>2</v>
      </c>
    </row>
    <row r="474">
      <c r="A474" s="2" t="str">
        <f>IFERROR(__xludf.DUMMYFUNCTION("""COMPUTED_VALUE"""),"BRIGHT BLUES RIBBONS")</f>
        <v>BRIGHT BLUES RIBBONS</v>
      </c>
      <c r="B474" s="2">
        <f>IFERROR(__xludf.DUMMYFUNCTION("""COMPUTED_VALUE"""),12.0)</f>
        <v>12</v>
      </c>
    </row>
    <row r="475">
      <c r="A475" s="2" t="str">
        <f>IFERROR(__xludf.DUMMYFUNCTION("""COMPUTED_VALUE"""),"PAPER CHAIN KIT RETRO SPOT")</f>
        <v>PAPER CHAIN KIT RETRO SPOT</v>
      </c>
      <c r="B475" s="2">
        <f>IFERROR(__xludf.DUMMYFUNCTION("""COMPUTED_VALUE"""),6.0)</f>
        <v>6</v>
      </c>
    </row>
    <row r="476">
      <c r="A476" s="2" t="str">
        <f>IFERROR(__xludf.DUMMYFUNCTION("""COMPUTED_VALUE"""),"PAPER CHAIN KIT 50'S CHRISTMAS")</f>
        <v>PAPER CHAIN KIT 50'S CHRISTMAS</v>
      </c>
      <c r="B476" s="2">
        <f>IFERROR(__xludf.DUMMYFUNCTION("""COMPUTED_VALUE"""),6.0)</f>
        <v>6</v>
      </c>
    </row>
    <row r="477">
      <c r="A477" s="2" t="str">
        <f>IFERROR(__xludf.DUMMYFUNCTION("""COMPUTED_VALUE"""),"SCOTTIE DOG HOT WATER BOTTLE")</f>
        <v>SCOTTIE DOG HOT WATER BOTTLE</v>
      </c>
      <c r="B477" s="2">
        <f>IFERROR(__xludf.DUMMYFUNCTION("""COMPUTED_VALUE"""),3.0)</f>
        <v>3</v>
      </c>
    </row>
    <row r="478">
      <c r="A478" s="2" t="str">
        <f>IFERROR(__xludf.DUMMYFUNCTION("""COMPUTED_VALUE"""),"ROTATING SILVER ANGELS T-LIGHT HLDR")</f>
        <v>ROTATING SILVER ANGELS T-LIGHT HLDR</v>
      </c>
      <c r="B478" s="2">
        <f>IFERROR(__xludf.DUMMYFUNCTION("""COMPUTED_VALUE"""),6.0)</f>
        <v>6</v>
      </c>
    </row>
    <row r="479">
      <c r="A479" s="2" t="str">
        <f>IFERROR(__xludf.DUMMYFUNCTION("""COMPUTED_VALUE"""),"RED SPOT HEART HOT WATER BOTTLE")</f>
        <v>RED SPOT HEART HOT WATER BOTTLE</v>
      </c>
      <c r="B479" s="2">
        <f>IFERROR(__xludf.DUMMYFUNCTION("""COMPUTED_VALUE"""),3.0)</f>
        <v>3</v>
      </c>
    </row>
    <row r="480">
      <c r="A480" s="2" t="str">
        <f>IFERROR(__xludf.DUMMYFUNCTION("""COMPUTED_VALUE"""),"SMALL RETRO SPOT MUG IN BOX WHITE")</f>
        <v>SMALL RETRO SPOT MUG IN BOX WHITE</v>
      </c>
      <c r="B480" s="2">
        <f>IFERROR(__xludf.DUMMYFUNCTION("""COMPUTED_VALUE"""),6.0)</f>
        <v>6</v>
      </c>
    </row>
    <row r="481">
      <c r="A481" s="2" t="str">
        <f>IFERROR(__xludf.DUMMYFUNCTION("""COMPUTED_VALUE"""),"SMALL RETRO SPOT MUG IN BOX RED")</f>
        <v>SMALL RETRO SPOT MUG IN BOX RED</v>
      </c>
      <c r="B481" s="2">
        <f>IFERROR(__xludf.DUMMYFUNCTION("""COMPUTED_VALUE"""),6.0)</f>
        <v>6</v>
      </c>
    </row>
    <row r="482">
      <c r="A482" s="2" t="str">
        <f>IFERROR(__xludf.DUMMYFUNCTION("""COMPUTED_VALUE"""),"6 RIBBONS RUSTIC CHARM")</f>
        <v>6 RIBBONS RUSTIC CHARM</v>
      </c>
      <c r="B482" s="2">
        <f>IFERROR(__xludf.DUMMYFUNCTION("""COMPUTED_VALUE"""),9.0)</f>
        <v>9</v>
      </c>
    </row>
    <row r="483">
      <c r="A483" s="2" t="str">
        <f>IFERROR(__xludf.DUMMYFUNCTION("""COMPUTED_VALUE"""),"ROMANTIC PINKS RIBBONS")</f>
        <v>ROMANTIC PINKS RIBBONS</v>
      </c>
      <c r="B483" s="2">
        <f>IFERROR(__xludf.DUMMYFUNCTION("""COMPUTED_VALUE"""),12.0)</f>
        <v>12</v>
      </c>
    </row>
    <row r="484">
      <c r="A484" s="2" t="str">
        <f>IFERROR(__xludf.DUMMYFUNCTION("""COMPUTED_VALUE"""),"CORONA MEXICAN TRAY")</f>
        <v>CORONA MEXICAN TRAY</v>
      </c>
      <c r="B484" s="2">
        <f>IFERROR(__xludf.DUMMYFUNCTION("""COMPUTED_VALUE"""),1.0)</f>
        <v>1</v>
      </c>
    </row>
    <row r="485">
      <c r="A485" s="2" t="str">
        <f>IFERROR(__xludf.DUMMYFUNCTION("""COMPUTED_VALUE"""),"MILK PAN RED RETROSPOT")</f>
        <v>MILK PAN RED RETROSPOT</v>
      </c>
      <c r="B485" s="2">
        <f>IFERROR(__xludf.DUMMYFUNCTION("""COMPUTED_VALUE"""),1.0)</f>
        <v>1</v>
      </c>
    </row>
    <row r="486">
      <c r="A486" s="2" t="str">
        <f>IFERROR(__xludf.DUMMYFUNCTION("""COMPUTED_VALUE"""),"ANTIQUE SILVER TEA GLASS ETCHED")</f>
        <v>ANTIQUE SILVER TEA GLASS ETCHED</v>
      </c>
      <c r="B486" s="2">
        <f>IFERROR(__xludf.DUMMYFUNCTION("""COMPUTED_VALUE"""),6.0)</f>
        <v>6</v>
      </c>
    </row>
    <row r="487">
      <c r="A487" s="2" t="str">
        <f>IFERROR(__xludf.DUMMYFUNCTION("""COMPUTED_VALUE"""),"COFFEE MUG DOG + BALL DESIGN")</f>
        <v>COFFEE MUG DOG + BALL DESIGN</v>
      </c>
      <c r="B487" s="2">
        <f>IFERROR(__xludf.DUMMYFUNCTION("""COMPUTED_VALUE"""),6.0)</f>
        <v>6</v>
      </c>
    </row>
    <row r="488">
      <c r="A488" s="2" t="str">
        <f>IFERROR(__xludf.DUMMYFUNCTION("""COMPUTED_VALUE"""),"RETRO SPOT SMALL MILK JUG")</f>
        <v>RETRO SPOT SMALL MILK JUG</v>
      </c>
      <c r="B488" s="2">
        <f>IFERROR(__xludf.DUMMYFUNCTION("""COMPUTED_VALUE"""),1.0)</f>
        <v>1</v>
      </c>
    </row>
    <row r="489">
      <c r="A489" s="2" t="str">
        <f>IFERROR(__xludf.DUMMYFUNCTION("""COMPUTED_VALUE"""),"DAIRY MAID CERAMIC BUTTER DISH")</f>
        <v>DAIRY MAID CERAMIC BUTTER DISH</v>
      </c>
      <c r="B489" s="2">
        <f>IFERROR(__xludf.DUMMYFUNCTION("""COMPUTED_VALUE"""),2.0)</f>
        <v>2</v>
      </c>
    </row>
    <row r="490">
      <c r="A490" s="2" t="str">
        <f>IFERROR(__xludf.DUMMYFUNCTION("""COMPUTED_VALUE"""),"DAIRY MAID PUDDING BOWL")</f>
        <v>DAIRY MAID PUDDING BOWL</v>
      </c>
      <c r="B490" s="2">
        <f>IFERROR(__xludf.DUMMYFUNCTION("""COMPUTED_VALUE"""),1.0)</f>
        <v>1</v>
      </c>
    </row>
    <row r="491">
      <c r="A491" s="2" t="str">
        <f>IFERROR(__xludf.DUMMYFUNCTION("""COMPUTED_VALUE"""),"RETRO SPOT STORAGE JAR")</f>
        <v>RETRO SPOT STORAGE JAR</v>
      </c>
      <c r="B491" s="2">
        <f>IFERROR(__xludf.DUMMYFUNCTION("""COMPUTED_VALUE"""),1.0)</f>
        <v>1</v>
      </c>
    </row>
    <row r="492">
      <c r="A492" s="2" t="str">
        <f>IFERROR(__xludf.DUMMYFUNCTION("""COMPUTED_VALUE"""),"DAIRY MAID LARGE MILK JUG")</f>
        <v>DAIRY MAID LARGE MILK JUG</v>
      </c>
      <c r="B492" s="2">
        <f>IFERROR(__xludf.DUMMYFUNCTION("""COMPUTED_VALUE"""),1.0)</f>
        <v>1</v>
      </c>
    </row>
    <row r="493">
      <c r="A493" s="2" t="str">
        <f>IFERROR(__xludf.DUMMYFUNCTION("""COMPUTED_VALUE"""),"RETRO SPOT LARGE MILK JUG")</f>
        <v>RETRO SPOT LARGE MILK JUG</v>
      </c>
      <c r="B493" s="2">
        <f>IFERROR(__xludf.DUMMYFUNCTION("""COMPUTED_VALUE"""),1.0)</f>
        <v>1</v>
      </c>
    </row>
    <row r="494">
      <c r="A494" s="2" t="str">
        <f>IFERROR(__xludf.DUMMYFUNCTION("""COMPUTED_VALUE"""),"ZINC METAL HEART DECORATION")</f>
        <v>ZINC METAL HEART DECORATION</v>
      </c>
      <c r="B494" s="2">
        <f>IFERROR(__xludf.DUMMYFUNCTION("""COMPUTED_VALUE"""),12.0)</f>
        <v>12</v>
      </c>
    </row>
    <row r="495">
      <c r="A495" s="2" t="str">
        <f>IFERROR(__xludf.DUMMYFUNCTION("""COMPUTED_VALUE"""),"FRENCH ENAMEL CANDLEHOLDER")</f>
        <v>FRENCH ENAMEL CANDLEHOLDER</v>
      </c>
      <c r="B495" s="2">
        <f>IFERROR(__xludf.DUMMYFUNCTION("""COMPUTED_VALUE"""),2.0)</f>
        <v>2</v>
      </c>
    </row>
    <row r="496">
      <c r="A496" s="2" t="str">
        <f>IFERROR(__xludf.DUMMYFUNCTION("""COMPUTED_VALUE"""),"JOY WOODEN BLOCK LETTERS")</f>
        <v>JOY WOODEN BLOCK LETTERS</v>
      </c>
      <c r="B496" s="2">
        <f>IFERROR(__xludf.DUMMYFUNCTION("""COMPUTED_VALUE"""),1.0)</f>
        <v>1</v>
      </c>
    </row>
    <row r="497">
      <c r="A497" s="2" t="str">
        <f>IFERROR(__xludf.DUMMYFUNCTION("""COMPUTED_VALUE"""),"JOY WOODEN BLOCK LETTERS")</f>
        <v>JOY WOODEN BLOCK LETTERS</v>
      </c>
      <c r="B497" s="2">
        <f>IFERROR(__xludf.DUMMYFUNCTION("""COMPUTED_VALUE"""),2.0)</f>
        <v>2</v>
      </c>
    </row>
    <row r="498">
      <c r="A498" s="2" t="str">
        <f>IFERROR(__xludf.DUMMYFUNCTION("""COMPUTED_VALUE"""),"FULL ENGLISH BREAKFAST PLATE")</f>
        <v>FULL ENGLISH BREAKFAST PLATE</v>
      </c>
      <c r="B498" s="2">
        <f>IFERROR(__xludf.DUMMYFUNCTION("""COMPUTED_VALUE"""),1.0)</f>
        <v>1</v>
      </c>
    </row>
    <row r="499">
      <c r="A499" s="2" t="str">
        <f>IFERROR(__xludf.DUMMYFUNCTION("""COMPUTED_VALUE"""),"UNION JACK FLAG PASSPORT COVER")</f>
        <v>UNION JACK FLAG PASSPORT COVER</v>
      </c>
      <c r="B499" s="2">
        <f>IFERROR(__xludf.DUMMYFUNCTION("""COMPUTED_VALUE"""),1.0)</f>
        <v>1</v>
      </c>
    </row>
    <row r="500">
      <c r="A500" s="2" t="str">
        <f>IFERROR(__xludf.DUMMYFUNCTION("""COMPUTED_VALUE"""),"RED STAR CARD HOLDER")</f>
        <v>RED STAR CARD HOLDER</v>
      </c>
      <c r="B500" s="2">
        <f>IFERROR(__xludf.DUMMYFUNCTION("""COMPUTED_VALUE"""),1.0)</f>
        <v>1</v>
      </c>
    </row>
    <row r="501">
      <c r="A501" s="2" t="str">
        <f>IFERROR(__xludf.DUMMYFUNCTION("""COMPUTED_VALUE"""),"ENGLISH ROSE GARDEN SECATEURS")</f>
        <v>ENGLISH ROSE GARDEN SECATEURS</v>
      </c>
      <c r="B501" s="2">
        <f>IFERROR(__xludf.DUMMYFUNCTION("""COMPUTED_VALUE"""),2.0)</f>
        <v>2</v>
      </c>
    </row>
    <row r="502">
      <c r="A502" s="2" t="str">
        <f>IFERROR(__xludf.DUMMYFUNCTION("""COMPUTED_VALUE"""),"ENGLISH ROSE TORCH")</f>
        <v>ENGLISH ROSE TORCH</v>
      </c>
      <c r="B502" s="2">
        <f>IFERROR(__xludf.DUMMYFUNCTION("""COMPUTED_VALUE"""),2.0)</f>
        <v>2</v>
      </c>
    </row>
    <row r="503">
      <c r="A503" s="2" t="str">
        <f>IFERROR(__xludf.DUMMYFUNCTION("""COMPUTED_VALUE"""),"CHRISTMAS HANGING TREE WITH BELL")</f>
        <v>CHRISTMAS HANGING TREE WITH BELL</v>
      </c>
      <c r="B503" s="2">
        <f>IFERROR(__xludf.DUMMYFUNCTION("""COMPUTED_VALUE"""),1.0)</f>
        <v>1</v>
      </c>
    </row>
    <row r="504">
      <c r="A504" s="2" t="str">
        <f>IFERROR(__xludf.DUMMYFUNCTION("""COMPUTED_VALUE"""),"6 RIBBONS ELEGANT CHRISTMAS")</f>
        <v>6 RIBBONS ELEGANT CHRISTMAS</v>
      </c>
      <c r="B504" s="2">
        <f>IFERROR(__xludf.DUMMYFUNCTION("""COMPUTED_VALUE"""),1.0)</f>
        <v>1</v>
      </c>
    </row>
    <row r="505">
      <c r="A505" s="2" t="str">
        <f>IFERROR(__xludf.DUMMYFUNCTION("""COMPUTED_VALUE"""),"WHITE DOVE HONEYCOMB PAPER GARLAND")</f>
        <v>WHITE DOVE HONEYCOMB PAPER GARLAND</v>
      </c>
      <c r="B505" s="2">
        <f>IFERROR(__xludf.DUMMYFUNCTION("""COMPUTED_VALUE"""),2.0)</f>
        <v>2</v>
      </c>
    </row>
    <row r="506">
      <c r="A506" s="2" t="str">
        <f>IFERROR(__xludf.DUMMYFUNCTION("""COMPUTED_VALUE"""),"PAPER CHAIN KIT 50'S CHRISTMAS")</f>
        <v>PAPER CHAIN KIT 50'S CHRISTMAS</v>
      </c>
      <c r="B506" s="2">
        <f>IFERROR(__xludf.DUMMYFUNCTION("""COMPUTED_VALUE"""),1.0)</f>
        <v>1</v>
      </c>
    </row>
    <row r="507">
      <c r="A507" s="2" t="str">
        <f>IFERROR(__xludf.DUMMYFUNCTION("""COMPUTED_VALUE"""),"SET OF 12 LILY BOTANICAL T-LIGHTS")</f>
        <v>SET OF 12 LILY BOTANICAL T-LIGHTS</v>
      </c>
      <c r="B507" s="2">
        <f>IFERROR(__xludf.DUMMYFUNCTION("""COMPUTED_VALUE"""),2.0)</f>
        <v>2</v>
      </c>
    </row>
    <row r="508">
      <c r="A508" s="2" t="str">
        <f>IFERROR(__xludf.DUMMYFUNCTION("""COMPUTED_VALUE"""),"GREY HEART HOT WATER BOTTLE")</f>
        <v>GREY HEART HOT WATER BOTTLE</v>
      </c>
      <c r="B508" s="2">
        <f>IFERROR(__xludf.DUMMYFUNCTION("""COMPUTED_VALUE"""),2.0)</f>
        <v>2</v>
      </c>
    </row>
    <row r="509">
      <c r="A509" s="2" t="str">
        <f>IFERROR(__xludf.DUMMYFUNCTION("""COMPUTED_VALUE"""),"PINK STRIPE HOT WATER BOTTLE")</f>
        <v>PINK STRIPE HOT WATER BOTTLE</v>
      </c>
      <c r="B509" s="2">
        <f>IFERROR(__xludf.DUMMYFUNCTION("""COMPUTED_VALUE"""),1.0)</f>
        <v>1</v>
      </c>
    </row>
    <row r="510">
      <c r="A510" s="2" t="str">
        <f>IFERROR(__xludf.DUMMYFUNCTION("""COMPUTED_VALUE"""),"HEART FILIGREE DOVE LARGE")</f>
        <v>HEART FILIGREE DOVE LARGE</v>
      </c>
      <c r="B510" s="2">
        <f>IFERROR(__xludf.DUMMYFUNCTION("""COMPUTED_VALUE"""),2.0)</f>
        <v>2</v>
      </c>
    </row>
    <row r="511">
      <c r="A511" s="2" t="str">
        <f>IFERROR(__xludf.DUMMYFUNCTION("""COMPUTED_VALUE"""),"SET/6 IVORY BIRD T-LIGHT CANDLES")</f>
        <v>SET/6 IVORY BIRD T-LIGHT CANDLES</v>
      </c>
      <c r="B511" s="2">
        <f>IFERROR(__xludf.DUMMYFUNCTION("""COMPUTED_VALUE"""),1.0)</f>
        <v>1</v>
      </c>
    </row>
    <row r="512">
      <c r="A512" s="2" t="str">
        <f>IFERROR(__xludf.DUMMYFUNCTION("""COMPUTED_VALUE"""),"SET/6 SILVER REINDEER T-LIGHTS")</f>
        <v>SET/6 SILVER REINDEER T-LIGHTS</v>
      </c>
      <c r="B512" s="2">
        <f>IFERROR(__xludf.DUMMYFUNCTION("""COMPUTED_VALUE"""),1.0)</f>
        <v>1</v>
      </c>
    </row>
    <row r="513">
      <c r="A513" s="2" t="str">
        <f>IFERROR(__xludf.DUMMYFUNCTION("""COMPUTED_VALUE"""),"SET/6 BLACK SNOWFLAKE T-LIGHTS")</f>
        <v>SET/6 BLACK SNOWFLAKE T-LIGHTS</v>
      </c>
      <c r="B513" s="2">
        <f>IFERROR(__xludf.DUMMYFUNCTION("""COMPUTED_VALUE"""),1.0)</f>
        <v>1</v>
      </c>
    </row>
    <row r="514">
      <c r="A514" s="2" t="str">
        <f>IFERROR(__xludf.DUMMYFUNCTION("""COMPUTED_VALUE"""),"SLATE TILE NATURAL HANGING")</f>
        <v>SLATE TILE NATURAL HANGING</v>
      </c>
      <c r="B514" s="2">
        <f>IFERROR(__xludf.DUMMYFUNCTION("""COMPUTED_VALUE"""),2.0)</f>
        <v>2</v>
      </c>
    </row>
    <row r="515">
      <c r="A515" s="2" t="str">
        <f>IFERROR(__xludf.DUMMYFUNCTION("""COMPUTED_VALUE"""),"RETRO BLUE SPOTTY WASHING UP GLOVES")</f>
        <v>RETRO BLUE SPOTTY WASHING UP GLOVES</v>
      </c>
      <c r="B515" s="2">
        <f>IFERROR(__xludf.DUMMYFUNCTION("""COMPUTED_VALUE"""),1.0)</f>
        <v>1</v>
      </c>
    </row>
    <row r="516">
      <c r="A516" s="2" t="str">
        <f>IFERROR(__xludf.DUMMYFUNCTION("""COMPUTED_VALUE"""),"RETRO RED SPOTTY WASHING UP GLOVES")</f>
        <v>RETRO RED SPOTTY WASHING UP GLOVES</v>
      </c>
      <c r="B516" s="2">
        <f>IFERROR(__xludf.DUMMYFUNCTION("""COMPUTED_VALUE"""),1.0)</f>
        <v>1</v>
      </c>
    </row>
    <row r="517">
      <c r="A517" s="2" t="str">
        <f>IFERROR(__xludf.DUMMYFUNCTION("""COMPUTED_VALUE"""),"WISE MAN STAR SHAPE EGG PAN")</f>
        <v>WISE MAN STAR SHAPE EGG PAN</v>
      </c>
      <c r="B517" s="2">
        <f>IFERROR(__xludf.DUMMYFUNCTION("""COMPUTED_VALUE"""),1.0)</f>
        <v>1</v>
      </c>
    </row>
    <row r="518">
      <c r="A518" s="2" t="str">
        <f>IFERROR(__xludf.DUMMYFUNCTION("""COMPUTED_VALUE"""),"PINK UNION JACK PASSPORT COVER")</f>
        <v>PINK UNION JACK PASSPORT COVER</v>
      </c>
      <c r="B518" s="2">
        <f>IFERROR(__xludf.DUMMYFUNCTION("""COMPUTED_VALUE"""),1.0)</f>
        <v>1</v>
      </c>
    </row>
    <row r="519">
      <c r="A519" s="2" t="str">
        <f>IFERROR(__xludf.DUMMYFUNCTION("""COMPUTED_VALUE"""),"CHOCOLATE CALCULATOR")</f>
        <v>CHOCOLATE CALCULATOR</v>
      </c>
      <c r="B519" s="2">
        <f>IFERROR(__xludf.DUMMYFUNCTION("""COMPUTED_VALUE"""),1.0)</f>
        <v>1</v>
      </c>
    </row>
    <row r="520">
      <c r="A520" s="2" t="str">
        <f>IFERROR(__xludf.DUMMYFUNCTION("""COMPUTED_VALUE"""),"BLUE CHARLIE+LOLA PERSONAL DOORSIGN")</f>
        <v>BLUE CHARLIE+LOLA PERSONAL DOORSIGN</v>
      </c>
      <c r="B520" s="2">
        <f>IFERROR(__xludf.DUMMYFUNCTION("""COMPUTED_VALUE"""),1.0)</f>
        <v>1</v>
      </c>
    </row>
    <row r="521">
      <c r="A521" s="2" t="str">
        <f>IFERROR(__xludf.DUMMYFUNCTION("""COMPUTED_VALUE"""),"RED CHARLIE+LOLA PERSONAL DOORSIGN")</f>
        <v>RED CHARLIE+LOLA PERSONAL DOORSIGN</v>
      </c>
      <c r="B521" s="2">
        <f>IFERROR(__xludf.DUMMYFUNCTION("""COMPUTED_VALUE"""),1.0)</f>
        <v>1</v>
      </c>
    </row>
    <row r="522">
      <c r="A522" s="2" t="str">
        <f>IFERROR(__xludf.DUMMYFUNCTION("""COMPUTED_VALUE"""),"SET OF 6 CAKE CHOPSTICKS")</f>
        <v>SET OF 6 CAKE CHOPSTICKS</v>
      </c>
      <c r="B522" s="2">
        <f>IFERROR(__xludf.DUMMYFUNCTION("""COMPUTED_VALUE"""),1.0)</f>
        <v>1</v>
      </c>
    </row>
    <row r="523">
      <c r="A523" s="2" t="str">
        <f>IFERROR(__xludf.DUMMYFUNCTION("""COMPUTED_VALUE"""),"VINTAGE HEADS AND TAILS CARD GAME")</f>
        <v>VINTAGE HEADS AND TAILS CARD GAME</v>
      </c>
      <c r="B523" s="2">
        <f>IFERROR(__xludf.DUMMYFUNCTION("""COMPUTED_VALUE"""),2.0)</f>
        <v>2</v>
      </c>
    </row>
    <row r="524">
      <c r="A524" s="2" t="str">
        <f>IFERROR(__xludf.DUMMYFUNCTION("""COMPUTED_VALUE"""),"PAPER CHAIN KIT 50'S CHRISTMAS")</f>
        <v>PAPER CHAIN KIT 50'S CHRISTMAS</v>
      </c>
      <c r="B524" s="2">
        <f>IFERROR(__xludf.DUMMYFUNCTION("""COMPUTED_VALUE"""),2.0)</f>
        <v>2</v>
      </c>
    </row>
    <row r="525">
      <c r="A525" s="2" t="str">
        <f>IFERROR(__xludf.DUMMYFUNCTION("""COMPUTED_VALUE"""),"SET OF THREE VINTAGE GIFT WRAPS")</f>
        <v>SET OF THREE VINTAGE GIFT WRAPS</v>
      </c>
      <c r="B525" s="2">
        <f>IFERROR(__xludf.DUMMYFUNCTION("""COMPUTED_VALUE"""),2.0)</f>
        <v>2</v>
      </c>
    </row>
    <row r="526">
      <c r="A526" s="2" t="str">
        <f>IFERROR(__xludf.DUMMYFUNCTION("""COMPUTED_VALUE"""),"FEATHER DUSTER, COAL BLACK")</f>
        <v>FEATHER DUSTER, COAL BLACK</v>
      </c>
      <c r="B526" s="2">
        <f>IFERROR(__xludf.DUMMYFUNCTION("""COMPUTED_VALUE"""),1.0)</f>
        <v>1</v>
      </c>
    </row>
    <row r="527">
      <c r="A527" s="2" t="str">
        <f>IFERROR(__xludf.DUMMYFUNCTION("""COMPUTED_VALUE"""),"CROCHET BEAR WITH BLUE STRIPES")</f>
        <v>CROCHET BEAR WITH BLUE STRIPES</v>
      </c>
      <c r="B527" s="2">
        <f>IFERROR(__xludf.DUMMYFUNCTION("""COMPUTED_VALUE"""),1.0)</f>
        <v>1</v>
      </c>
    </row>
    <row r="528">
      <c r="A528" s="2" t="str">
        <f>IFERROR(__xludf.DUMMYFUNCTION("""COMPUTED_VALUE"""),"SMALL SKULL WINDMILL")</f>
        <v>SMALL SKULL WINDMILL</v>
      </c>
      <c r="B528" s="2">
        <f>IFERROR(__xludf.DUMMYFUNCTION("""COMPUTED_VALUE"""),1.0)</f>
        <v>1</v>
      </c>
    </row>
    <row r="529">
      <c r="A529" s="2" t="str">
        <f>IFERROR(__xludf.DUMMYFUNCTION("""COMPUTED_VALUE"""),"PIZZA PLATE IN BOX")</f>
        <v>PIZZA PLATE IN BOX</v>
      </c>
      <c r="B529" s="2">
        <f>IFERROR(__xludf.DUMMYFUNCTION("""COMPUTED_VALUE"""),1.0)</f>
        <v>1</v>
      </c>
    </row>
    <row r="530">
      <c r="A530" s="2" t="str">
        <f>IFERROR(__xludf.DUMMYFUNCTION("""COMPUTED_VALUE"""),"72 ROUND PINK DOILIES")</f>
        <v>72 ROUND PINK DOILIES</v>
      </c>
      <c r="B530" s="2">
        <f>IFERROR(__xludf.DUMMYFUNCTION("""COMPUTED_VALUE"""),1.0)</f>
        <v>1</v>
      </c>
    </row>
    <row r="531">
      <c r="A531" s="2" t="str">
        <f>IFERROR(__xludf.DUMMYFUNCTION("""COMPUTED_VALUE"""),"RETRO SPOT TEA SET CERAMIC 11 PC")</f>
        <v>RETRO SPOT TEA SET CERAMIC 11 PC</v>
      </c>
      <c r="B531" s="2">
        <f>IFERROR(__xludf.DUMMYFUNCTION("""COMPUTED_VALUE"""),1.0)</f>
        <v>1</v>
      </c>
    </row>
    <row r="532">
      <c r="A532" s="2" t="str">
        <f>IFERROR(__xludf.DUMMYFUNCTION("""COMPUTED_VALUE"""),"SET OF 20 KIDS COOKIE CUTTERS")</f>
        <v>SET OF 20 KIDS COOKIE CUTTERS</v>
      </c>
      <c r="B532" s="2">
        <f>IFERROR(__xludf.DUMMYFUNCTION("""COMPUTED_VALUE"""),1.0)</f>
        <v>1</v>
      </c>
    </row>
    <row r="533">
      <c r="A533" s="2" t="str">
        <f>IFERROR(__xludf.DUMMYFUNCTION("""COMPUTED_VALUE"""),"BLACK LOVE BIRD T-LIGHT HOLDER")</f>
        <v>BLACK LOVE BIRD T-LIGHT HOLDER</v>
      </c>
      <c r="B533" s="2">
        <f>IFERROR(__xludf.DUMMYFUNCTION("""COMPUTED_VALUE"""),2.0)</f>
        <v>2</v>
      </c>
    </row>
    <row r="534">
      <c r="A534" s="2" t="str">
        <f>IFERROR(__xludf.DUMMYFUNCTION("""COMPUTED_VALUE"""),"STRAWBERRY BATH SPONGE")</f>
        <v>STRAWBERRY BATH SPONGE</v>
      </c>
      <c r="B534" s="2">
        <f>IFERROR(__xludf.DUMMYFUNCTION("""COMPUTED_VALUE"""),1.0)</f>
        <v>1</v>
      </c>
    </row>
    <row r="535">
      <c r="A535" s="2" t="str">
        <f>IFERROR(__xludf.DUMMYFUNCTION("""COMPUTED_VALUE"""),"WATERMELON BATH SPONGE")</f>
        <v>WATERMELON BATH SPONGE</v>
      </c>
      <c r="B535" s="2">
        <f>IFERROR(__xludf.DUMMYFUNCTION("""COMPUTED_VALUE"""),1.0)</f>
        <v>1</v>
      </c>
    </row>
    <row r="536">
      <c r="A536" s="2" t="str">
        <f>IFERROR(__xludf.DUMMYFUNCTION("""COMPUTED_VALUE"""),"SANDWICH BATH SPONGE")</f>
        <v>SANDWICH BATH SPONGE</v>
      </c>
      <c r="B536" s="2">
        <f>IFERROR(__xludf.DUMMYFUNCTION("""COMPUTED_VALUE"""),1.0)</f>
        <v>1</v>
      </c>
    </row>
    <row r="537">
      <c r="A537" s="2" t="str">
        <f>IFERROR(__xludf.DUMMYFUNCTION("""COMPUTED_VALUE"""),"VINTAGE HEADS AND TAILS CARD GAME")</f>
        <v>VINTAGE HEADS AND TAILS CARD GAME</v>
      </c>
      <c r="B537" s="2">
        <f>IFERROR(__xludf.DUMMYFUNCTION("""COMPUTED_VALUE"""),6.0)</f>
        <v>6</v>
      </c>
    </row>
    <row r="538">
      <c r="A538" s="2" t="str">
        <f>IFERROR(__xludf.DUMMYFUNCTION("""COMPUTED_VALUE"""),"S/6 WOODEN SKITTLES IN COTTON BAG")</f>
        <v>S/6 WOODEN SKITTLES IN COTTON BAG</v>
      </c>
      <c r="B538" s="2">
        <f>IFERROR(__xludf.DUMMYFUNCTION("""COMPUTED_VALUE"""),1.0)</f>
        <v>1</v>
      </c>
    </row>
    <row r="539">
      <c r="A539" s="2" t="str">
        <f>IFERROR(__xludf.DUMMYFUNCTION("""COMPUTED_VALUE"""),"LUNCHBOX WITH CUTLERY FAIRY CAKES")</f>
        <v>LUNCHBOX WITH CUTLERY FAIRY CAKES</v>
      </c>
      <c r="B539" s="2">
        <f>IFERROR(__xludf.DUMMYFUNCTION("""COMPUTED_VALUE"""),1.0)</f>
        <v>1</v>
      </c>
    </row>
    <row r="540">
      <c r="A540" s="2" t="str">
        <f>IFERROR(__xludf.DUMMYFUNCTION("""COMPUTED_VALUE"""),"SET/6 PINK BIRD T-LIGHT CANDLES")</f>
        <v>SET/6 PINK BIRD T-LIGHT CANDLES</v>
      </c>
      <c r="B540" s="2">
        <f>IFERROR(__xludf.DUMMYFUNCTION("""COMPUTED_VALUE"""),1.0)</f>
        <v>1</v>
      </c>
    </row>
    <row r="541">
      <c r="A541" s="2" t="str">
        <f>IFERROR(__xludf.DUMMYFUNCTION("""COMPUTED_VALUE"""),"VANILLA INCENSE IN TIN")</f>
        <v>VANILLA INCENSE IN TIN</v>
      </c>
      <c r="B541" s="2">
        <f>IFERROR(__xludf.DUMMYFUNCTION("""COMPUTED_VALUE"""),1.0)</f>
        <v>1</v>
      </c>
    </row>
    <row r="542">
      <c r="A542" s="2" t="str">
        <f>IFERROR(__xludf.DUMMYFUNCTION("""COMPUTED_VALUE"""),"CORONA MEXICAN TRAY")</f>
        <v>CORONA MEXICAN TRAY</v>
      </c>
      <c r="B542" s="2">
        <f>IFERROR(__xludf.DUMMYFUNCTION("""COMPUTED_VALUE"""),1.0)</f>
        <v>1</v>
      </c>
    </row>
    <row r="543">
      <c r="A543" s="2" t="str">
        <f>IFERROR(__xludf.DUMMYFUNCTION("""COMPUTED_VALUE"""),"PINK SPOTTY BOWL")</f>
        <v>PINK SPOTTY BOWL</v>
      </c>
      <c r="B543" s="2">
        <f>IFERROR(__xludf.DUMMYFUNCTION("""COMPUTED_VALUE"""),1.0)</f>
        <v>1</v>
      </c>
    </row>
    <row r="544">
      <c r="A544" s="2" t="str">
        <f>IFERROR(__xludf.DUMMYFUNCTION("""COMPUTED_VALUE"""),"BLUE SPOTTY BOWL")</f>
        <v>BLUE SPOTTY BOWL</v>
      </c>
      <c r="B544" s="2">
        <f>IFERROR(__xludf.DUMMYFUNCTION("""COMPUTED_VALUE"""),1.0)</f>
        <v>1</v>
      </c>
    </row>
    <row r="545">
      <c r="A545" s="2" t="str">
        <f>IFERROR(__xludf.DUMMYFUNCTION("""COMPUTED_VALUE"""),"RED SPOTTY BOWL")</f>
        <v>RED SPOTTY BOWL</v>
      </c>
      <c r="B545" s="2">
        <f>IFERROR(__xludf.DUMMYFUNCTION("""COMPUTED_VALUE"""),2.0)</f>
        <v>2</v>
      </c>
    </row>
    <row r="546">
      <c r="A546" s="2" t="str">
        <f>IFERROR(__xludf.DUMMYFUNCTION("""COMPUTED_VALUE"""),"12 MINI TOADSTOOL PEGS")</f>
        <v>12 MINI TOADSTOOL PEGS</v>
      </c>
      <c r="B546" s="2">
        <f>IFERROR(__xludf.DUMMYFUNCTION("""COMPUTED_VALUE"""),1.0)</f>
        <v>1</v>
      </c>
    </row>
    <row r="547">
      <c r="A547" s="2" t="str">
        <f>IFERROR(__xludf.DUMMYFUNCTION("""COMPUTED_VALUE"""),"PHOTO CUBE")</f>
        <v>PHOTO CUBE</v>
      </c>
      <c r="B547" s="2">
        <f>IFERROR(__xludf.DUMMYFUNCTION("""COMPUTED_VALUE"""),2.0)</f>
        <v>2</v>
      </c>
    </row>
    <row r="548">
      <c r="A548" s="2" t="str">
        <f>IFERROR(__xludf.DUMMYFUNCTION("""COMPUTED_VALUE"""),"CHRISTMAS CRAFT WHITE FAIRY")</f>
        <v>CHRISTMAS CRAFT WHITE FAIRY</v>
      </c>
      <c r="B548" s="2">
        <f>IFERROR(__xludf.DUMMYFUNCTION("""COMPUTED_VALUE"""),1.0)</f>
        <v>1</v>
      </c>
    </row>
    <row r="549">
      <c r="A549" s="2" t="str">
        <f>IFERROR(__xludf.DUMMYFUNCTION("""COMPUTED_VALUE"""),"3 STRIPEY MICE FELTCRAFT")</f>
        <v>3 STRIPEY MICE FELTCRAFT</v>
      </c>
      <c r="B549" s="2">
        <f>IFERROR(__xludf.DUMMYFUNCTION("""COMPUTED_VALUE"""),2.0)</f>
        <v>2</v>
      </c>
    </row>
    <row r="550">
      <c r="A550" s="2" t="str">
        <f>IFERROR(__xludf.DUMMYFUNCTION("""COMPUTED_VALUE"""),"FELTCRAFT BUTTERFLY HEARTS")</f>
        <v>FELTCRAFT BUTTERFLY HEARTS</v>
      </c>
      <c r="B550" s="2">
        <f>IFERROR(__xludf.DUMMYFUNCTION("""COMPUTED_VALUE"""),2.0)</f>
        <v>2</v>
      </c>
    </row>
    <row r="551">
      <c r="A551" s="2" t="str">
        <f>IFERROR(__xludf.DUMMYFUNCTION("""COMPUTED_VALUE"""),"TOAST ITS - FAIRY FLOWER")</f>
        <v>TOAST ITS - FAIRY FLOWER</v>
      </c>
      <c r="B551" s="2">
        <f>IFERROR(__xludf.DUMMYFUNCTION("""COMPUTED_VALUE"""),1.0)</f>
        <v>1</v>
      </c>
    </row>
    <row r="552">
      <c r="A552" s="2" t="str">
        <f>IFERROR(__xludf.DUMMYFUNCTION("""COMPUTED_VALUE"""),"TOAST ITS - DINOSAUR")</f>
        <v>TOAST ITS - DINOSAUR</v>
      </c>
      <c r="B552" s="2">
        <f>IFERROR(__xludf.DUMMYFUNCTION("""COMPUTED_VALUE"""),1.0)</f>
        <v>1</v>
      </c>
    </row>
    <row r="553">
      <c r="A553" s="2" t="str">
        <f>IFERROR(__xludf.DUMMYFUNCTION("""COMPUTED_VALUE"""),"COOK WITH WINE METAL SIGN")</f>
        <v>COOK WITH WINE METAL SIGN</v>
      </c>
      <c r="B553" s="2">
        <f>IFERROR(__xludf.DUMMYFUNCTION("""COMPUTED_VALUE"""),1.0)</f>
        <v>1</v>
      </c>
    </row>
    <row r="554">
      <c r="A554" s="2" t="str">
        <f>IFERROR(__xludf.DUMMYFUNCTION("""COMPUTED_VALUE"""),"LUNCH BAG CARS BLUE")</f>
        <v>LUNCH BAG CARS BLUE</v>
      </c>
      <c r="B554" s="2">
        <f>IFERROR(__xludf.DUMMYFUNCTION("""COMPUTED_VALUE"""),4.0)</f>
        <v>4</v>
      </c>
    </row>
    <row r="555">
      <c r="A555" s="2" t="str">
        <f>IFERROR(__xludf.DUMMYFUNCTION("""COMPUTED_VALUE"""),"GLASS STAR FROSTED T-LIGHT HOLDER")</f>
        <v>GLASS STAR FROSTED T-LIGHT HOLDER</v>
      </c>
      <c r="B555" s="2">
        <f>IFERROR(__xludf.DUMMYFUNCTION("""COMPUTED_VALUE"""),1.0)</f>
        <v>1</v>
      </c>
    </row>
    <row r="556">
      <c r="A556" s="2" t="str">
        <f>IFERROR(__xludf.DUMMYFUNCTION("""COMPUTED_VALUE"""),"VIP LUGGAGE TAG")</f>
        <v>VIP LUGGAGE TAG</v>
      </c>
      <c r="B556" s="2">
        <f>IFERROR(__xludf.DUMMYFUNCTION("""COMPUTED_VALUE"""),1.0)</f>
        <v>1</v>
      </c>
    </row>
    <row r="557">
      <c r="A557" s="2" t="str">
        <f>IFERROR(__xludf.DUMMYFUNCTION("""COMPUTED_VALUE"""),"HI TEC ALPINE HAND WARMER")</f>
        <v>HI TEC ALPINE HAND WARMER</v>
      </c>
      <c r="B557" s="2">
        <f>IFERROR(__xludf.DUMMYFUNCTION("""COMPUTED_VALUE"""),1.0)</f>
        <v>1</v>
      </c>
    </row>
    <row r="558">
      <c r="A558" s="2" t="str">
        <f>IFERROR(__xludf.DUMMYFUNCTION("""COMPUTED_VALUE"""),"LOVE HEART POCKET WARMER")</f>
        <v>LOVE HEART POCKET WARMER</v>
      </c>
      <c r="B558" s="2">
        <f>IFERROR(__xludf.DUMMYFUNCTION("""COMPUTED_VALUE"""),1.0)</f>
        <v>1</v>
      </c>
    </row>
    <row r="559">
      <c r="A559" s="2" t="str">
        <f>IFERROR(__xludf.DUMMYFUNCTION("""COMPUTED_VALUE"""),"FELTCRAFT BUTTERFLY HEARTS")</f>
        <v>FELTCRAFT BUTTERFLY HEARTS</v>
      </c>
      <c r="B559" s="2">
        <f>IFERROR(__xludf.DUMMYFUNCTION("""COMPUTED_VALUE"""),1.0)</f>
        <v>1</v>
      </c>
    </row>
    <row r="560">
      <c r="A560" s="2" t="str">
        <f>IFERROR(__xludf.DUMMYFUNCTION("""COMPUTED_VALUE"""),"TRADITIONAL WOODEN CATCH CUP GAME")</f>
        <v>TRADITIONAL WOODEN CATCH CUP GAME</v>
      </c>
      <c r="B560" s="2">
        <f>IFERROR(__xludf.DUMMYFUNCTION("""COMPUTED_VALUE"""),1.0)</f>
        <v>1</v>
      </c>
    </row>
    <row r="561">
      <c r="A561" s="2" t="str">
        <f>IFERROR(__xludf.DUMMYFUNCTION("""COMPUTED_VALUE"""),"QUEEN OF SKIES LUGGAGE TAG")</f>
        <v>QUEEN OF SKIES LUGGAGE TAG</v>
      </c>
      <c r="B561" s="2">
        <f>IFERROR(__xludf.DUMMYFUNCTION("""COMPUTED_VALUE"""),1.0)</f>
        <v>1</v>
      </c>
    </row>
    <row r="562">
      <c r="A562" s="2" t="str">
        <f>IFERROR(__xludf.DUMMYFUNCTION("""COMPUTED_VALUE"""),"VINTAGE HEADS AND TAILS CARD GAME")</f>
        <v>VINTAGE HEADS AND TAILS CARD GAME</v>
      </c>
      <c r="B562" s="2">
        <f>IFERROR(__xludf.DUMMYFUNCTION("""COMPUTED_VALUE"""),1.0)</f>
        <v>1</v>
      </c>
    </row>
    <row r="563">
      <c r="A563" s="2" t="str">
        <f>IFERROR(__xludf.DUMMYFUNCTION("""COMPUTED_VALUE"""),"MODERN FLORAL STATIONERY SET")</f>
        <v>MODERN FLORAL STATIONERY SET</v>
      </c>
      <c r="B563" s="2">
        <f>IFERROR(__xludf.DUMMYFUNCTION("""COMPUTED_VALUE"""),1.0)</f>
        <v>1</v>
      </c>
    </row>
    <row r="564">
      <c r="A564" s="2" t="str">
        <f>IFERROR(__xludf.DUMMYFUNCTION("""COMPUTED_VALUE"""),"SWEETHEART CERAMIC TRINKET BOX")</f>
        <v>SWEETHEART CERAMIC TRINKET BOX</v>
      </c>
      <c r="B564" s="2">
        <f>IFERROR(__xludf.DUMMYFUNCTION("""COMPUTED_VALUE"""),1.0)</f>
        <v>1</v>
      </c>
    </row>
    <row r="565">
      <c r="A565" s="2" t="str">
        <f>IFERROR(__xludf.DUMMYFUNCTION("""COMPUTED_VALUE"""),"PINK DOUGHNUT TRINKET POT")</f>
        <v>PINK DOUGHNUT TRINKET POT</v>
      </c>
      <c r="B565" s="2">
        <f>IFERROR(__xludf.DUMMYFUNCTION("""COMPUTED_VALUE"""),4.0)</f>
        <v>4</v>
      </c>
    </row>
    <row r="566">
      <c r="A566" s="2" t="str">
        <f>IFERROR(__xludf.DUMMYFUNCTION("""COMPUTED_VALUE"""),"SKULL SHOULDER BAG")</f>
        <v>SKULL SHOULDER BAG</v>
      </c>
      <c r="B566" s="2">
        <f>IFERROR(__xludf.DUMMYFUNCTION("""COMPUTED_VALUE"""),1.0)</f>
        <v>1</v>
      </c>
    </row>
    <row r="567">
      <c r="A567" s="2" t="str">
        <f>IFERROR(__xludf.DUMMYFUNCTION("""COMPUTED_VALUE"""),"WOODLAND DESIGN COTTON TOTE BAG")</f>
        <v>WOODLAND DESIGN COTTON TOTE BAG</v>
      </c>
      <c r="B567" s="2">
        <f>IFERROR(__xludf.DUMMYFUNCTION("""COMPUTED_VALUE"""),1.0)</f>
        <v>1</v>
      </c>
    </row>
    <row r="568">
      <c r="A568" s="2" t="str">
        <f>IFERROR(__xludf.DUMMYFUNCTION("""COMPUTED_VALUE"""),"LOLITA DESIGN COTTON TOTE BAG")</f>
        <v>LOLITA DESIGN COTTON TOTE BAG</v>
      </c>
      <c r="B568" s="2">
        <f>IFERROR(__xludf.DUMMYFUNCTION("""COMPUTED_VALUE"""),1.0)</f>
        <v>1</v>
      </c>
    </row>
    <row r="569">
      <c r="A569" s="2" t="str">
        <f>IFERROR(__xludf.DUMMYFUNCTION("""COMPUTED_VALUE"""),"SAVE THE PLANET COTTON TOTE BAG")</f>
        <v>SAVE THE PLANET COTTON TOTE BAG</v>
      </c>
      <c r="B569" s="2">
        <f>IFERROR(__xludf.DUMMYFUNCTION("""COMPUTED_VALUE"""),2.0)</f>
        <v>2</v>
      </c>
    </row>
    <row r="570">
      <c r="A570" s="2" t="str">
        <f>IFERROR(__xludf.DUMMYFUNCTION("""COMPUTED_VALUE"""),"JUMBO STORAGE BAG SUKI")</f>
        <v>JUMBO STORAGE BAG SUKI</v>
      </c>
      <c r="B570" s="2">
        <f>IFERROR(__xludf.DUMMYFUNCTION("""COMPUTED_VALUE"""),5.0)</f>
        <v>5</v>
      </c>
    </row>
    <row r="571">
      <c r="A571" s="2" t="str">
        <f>IFERROR(__xludf.DUMMYFUNCTION("""COMPUTED_VALUE"""),"JUMBO BAG RED WHITE SPOTTY")</f>
        <v>JUMBO BAG RED WHITE SPOTTY</v>
      </c>
      <c r="B571" s="2">
        <f>IFERROR(__xludf.DUMMYFUNCTION("""COMPUTED_VALUE"""),5.0)</f>
        <v>5</v>
      </c>
    </row>
    <row r="572">
      <c r="A572" s="2" t="str">
        <f>IFERROR(__xludf.DUMMYFUNCTION("""COMPUTED_VALUE"""),"JUMBO BAG OWLS")</f>
        <v>JUMBO BAG OWLS</v>
      </c>
      <c r="B572" s="2">
        <f>IFERROR(__xludf.DUMMYFUNCTION("""COMPUTED_VALUE"""),1.0)</f>
        <v>1</v>
      </c>
    </row>
    <row r="573">
      <c r="A573" s="2" t="str">
        <f>IFERROR(__xludf.DUMMYFUNCTION("""COMPUTED_VALUE"""),"JUMBO BAG WOODLAND ANIMALS")</f>
        <v>JUMBO BAG WOODLAND ANIMALS</v>
      </c>
      <c r="B573" s="2">
        <f>IFERROR(__xludf.DUMMYFUNCTION("""COMPUTED_VALUE"""),1.0)</f>
        <v>1</v>
      </c>
    </row>
    <row r="574">
      <c r="A574" s="2" t="str">
        <f>IFERROR(__xludf.DUMMYFUNCTION("""COMPUTED_VALUE"""),"DINOSAUR LUNCHBOX WITH CUTLERY")</f>
        <v>DINOSAUR LUNCHBOX WITH CUTLERY</v>
      </c>
      <c r="B574" s="2">
        <f>IFERROR(__xludf.DUMMYFUNCTION("""COMPUTED_VALUE"""),1.0)</f>
        <v>1</v>
      </c>
    </row>
    <row r="575">
      <c r="A575" s="2" t="str">
        <f>IFERROR(__xludf.DUMMYFUNCTION("""COMPUTED_VALUE"""),"SILVER FINCH DECORATION")</f>
        <v>SILVER FINCH DECORATION</v>
      </c>
      <c r="B575" s="2">
        <f>IFERROR(__xludf.DUMMYFUNCTION("""COMPUTED_VALUE"""),1.0)</f>
        <v>1</v>
      </c>
    </row>
    <row r="576">
      <c r="A576" s="2" t="str">
        <f>IFERROR(__xludf.DUMMYFUNCTION("""COMPUTED_VALUE"""),"SET/10 PINK SPOTTY PARTY CANDLES")</f>
        <v>SET/10 PINK SPOTTY PARTY CANDLES</v>
      </c>
      <c r="B576" s="2">
        <f>IFERROR(__xludf.DUMMYFUNCTION("""COMPUTED_VALUE"""),1.0)</f>
        <v>1</v>
      </c>
    </row>
    <row r="577">
      <c r="A577" s="2" t="str">
        <f>IFERROR(__xludf.DUMMYFUNCTION("""COMPUTED_VALUE"""),"STRAWBERRY CERAMIC TRINKET BOX")</f>
        <v>STRAWBERRY CERAMIC TRINKET BOX</v>
      </c>
      <c r="B577" s="2">
        <f>IFERROR(__xludf.DUMMYFUNCTION("""COMPUTED_VALUE"""),3.0)</f>
        <v>3</v>
      </c>
    </row>
    <row r="578">
      <c r="A578" s="2" t="str">
        <f>IFERROR(__xludf.DUMMYFUNCTION("""COMPUTED_VALUE"""),"ANTIQUE SILVER TEA GLASS ETCHED")</f>
        <v>ANTIQUE SILVER TEA GLASS ETCHED</v>
      </c>
      <c r="B578" s="2">
        <f>IFERROR(__xludf.DUMMYFUNCTION("""COMPUTED_VALUE"""),6.0)</f>
        <v>6</v>
      </c>
    </row>
    <row r="579">
      <c r="A579" s="2" t="str">
        <f>IFERROR(__xludf.DUMMYFUNCTION("""COMPUTED_VALUE"""),"BLACK PIRATE TREASURE CHEST")</f>
        <v>BLACK PIRATE TREASURE CHEST</v>
      </c>
      <c r="B579" s="2">
        <f>IFERROR(__xludf.DUMMYFUNCTION("""COMPUTED_VALUE"""),4.0)</f>
        <v>4</v>
      </c>
    </row>
    <row r="580">
      <c r="A580" s="2" t="str">
        <f>IFERROR(__xludf.DUMMYFUNCTION("""COMPUTED_VALUE"""),"SMALL CAMPHOR WOOD FIELD MUSHROOM")</f>
        <v>SMALL CAMPHOR WOOD FIELD MUSHROOM</v>
      </c>
      <c r="B580" s="2">
        <f>IFERROR(__xludf.DUMMYFUNCTION("""COMPUTED_VALUE"""),1.0)</f>
        <v>1</v>
      </c>
    </row>
    <row r="581">
      <c r="A581" s="2" t="str">
        <f>IFERROR(__xludf.DUMMYFUNCTION("""COMPUTED_VALUE"""),"CAMPHOR WOOD PORTOBELLO MUSHROOM")</f>
        <v>CAMPHOR WOOD PORTOBELLO MUSHROOM</v>
      </c>
      <c r="B581" s="2">
        <f>IFERROR(__xludf.DUMMYFUNCTION("""COMPUTED_VALUE"""),1.0)</f>
        <v>1</v>
      </c>
    </row>
    <row r="582">
      <c r="A582" s="2" t="str">
        <f>IFERROR(__xludf.DUMMYFUNCTION("""COMPUTED_VALUE"""),"PORCELAIN T-LIGHT HOLDERS ASSORTED")</f>
        <v>PORCELAIN T-LIGHT HOLDERS ASSORTED</v>
      </c>
      <c r="B582" s="2">
        <f>IFERROR(__xludf.DUMMYFUNCTION("""COMPUTED_VALUE"""),1.0)</f>
        <v>1</v>
      </c>
    </row>
    <row r="583">
      <c r="A583" s="2" t="str">
        <f>IFERROR(__xludf.DUMMYFUNCTION("""COMPUTED_VALUE"""),"SET/6 BLACK GLITTER REINDEER CANDLE")</f>
        <v>SET/6 BLACK GLITTER REINDEER CANDLE</v>
      </c>
      <c r="B583" s="2">
        <f>IFERROR(__xludf.DUMMYFUNCTION("""COMPUTED_VALUE"""),1.0)</f>
        <v>1</v>
      </c>
    </row>
    <row r="584">
      <c r="A584" s="2" t="str">
        <f>IFERROR(__xludf.DUMMYFUNCTION("""COMPUTED_VALUE"""),"WOODLAND DESIGN COTTON TOTE BAG")</f>
        <v>WOODLAND DESIGN COTTON TOTE BAG</v>
      </c>
      <c r="B584" s="2">
        <f>IFERROR(__xludf.DUMMYFUNCTION("""COMPUTED_VALUE"""),2.0)</f>
        <v>2</v>
      </c>
    </row>
    <row r="585">
      <c r="A585" s="2" t="str">
        <f>IFERROR(__xludf.DUMMYFUNCTION("""COMPUTED_VALUE"""),"SKULL SHOULDER BAG")</f>
        <v>SKULL SHOULDER BAG</v>
      </c>
      <c r="B585" s="2">
        <f>IFERROR(__xludf.DUMMYFUNCTION("""COMPUTED_VALUE"""),2.0)</f>
        <v>2</v>
      </c>
    </row>
    <row r="586">
      <c r="A586" s="2" t="str">
        <f>IFERROR(__xludf.DUMMYFUNCTION("""COMPUTED_VALUE"""),"SKULLS DESIGN COTTON TOTE BAG")</f>
        <v>SKULLS DESIGN COTTON TOTE BAG</v>
      </c>
      <c r="B586" s="2">
        <f>IFERROR(__xludf.DUMMYFUNCTION("""COMPUTED_VALUE"""),4.0)</f>
        <v>4</v>
      </c>
    </row>
    <row r="587">
      <c r="A587" s="2" t="str">
        <f>IFERROR(__xludf.DUMMYFUNCTION("""COMPUTED_VALUE"""),"PORCELAIN T-LIGHT HOLDERS ASSORTED")</f>
        <v>PORCELAIN T-LIGHT HOLDERS ASSORTED</v>
      </c>
      <c r="B587" s="2">
        <f>IFERROR(__xludf.DUMMYFUNCTION("""COMPUTED_VALUE"""),2.0)</f>
        <v>2</v>
      </c>
    </row>
    <row r="588">
      <c r="A588" s="2" t="str">
        <f>IFERROR(__xludf.DUMMYFUNCTION("""COMPUTED_VALUE"""),"LUNCH BAG BLACK SKULL.")</f>
        <v>LUNCH BAG BLACK SKULL.</v>
      </c>
      <c r="B588" s="2">
        <f>IFERROR(__xludf.DUMMYFUNCTION("""COMPUTED_VALUE"""),3.0)</f>
        <v>3</v>
      </c>
    </row>
    <row r="589">
      <c r="A589" s="2" t="str">
        <f>IFERROR(__xludf.DUMMYFUNCTION("""COMPUTED_VALUE"""),"VINTAGE BILLBOARD DRINK ME MUG")</f>
        <v>VINTAGE BILLBOARD DRINK ME MUG</v>
      </c>
      <c r="B589" s="2">
        <f>IFERROR(__xludf.DUMMYFUNCTION("""COMPUTED_VALUE"""),1.0)</f>
        <v>1</v>
      </c>
    </row>
    <row r="590">
      <c r="A590" s="2" t="str">
        <f>IFERROR(__xludf.DUMMYFUNCTION("""COMPUTED_VALUE"""),"VINTAGE BILLBOARD LOVE/HATE MUG")</f>
        <v>VINTAGE BILLBOARD LOVE/HATE MUG</v>
      </c>
      <c r="B590" s="2">
        <f>IFERROR(__xludf.DUMMYFUNCTION("""COMPUTED_VALUE"""),1.0)</f>
        <v>1</v>
      </c>
    </row>
    <row r="591">
      <c r="A591" s="2" t="str">
        <f>IFERROR(__xludf.DUMMYFUNCTION("""COMPUTED_VALUE"""),"CREAM HEART CARD HOLDER")</f>
        <v>CREAM HEART CARD HOLDER</v>
      </c>
      <c r="B591" s="2">
        <f>IFERROR(__xludf.DUMMYFUNCTION("""COMPUTED_VALUE"""),1.0)</f>
        <v>1</v>
      </c>
    </row>
    <row r="592">
      <c r="A592" s="2" t="str">
        <f>IFERROR(__xludf.DUMMYFUNCTION("""COMPUTED_VALUE"""),"RED HANGING HEART T-LIGHT HOLDER")</f>
        <v>RED HANGING HEART T-LIGHT HOLDER</v>
      </c>
      <c r="B592" s="2">
        <f>IFERROR(__xludf.DUMMYFUNCTION("""COMPUTED_VALUE"""),10.0)</f>
        <v>10</v>
      </c>
    </row>
    <row r="593">
      <c r="A593" s="2" t="str">
        <f>IFERROR(__xludf.DUMMYFUNCTION("""COMPUTED_VALUE"""),"RED FLORAL FELTCRAFT SHOULDER BAG")</f>
        <v>RED FLORAL FELTCRAFT SHOULDER BAG</v>
      </c>
      <c r="B593" s="2">
        <f>IFERROR(__xludf.DUMMYFUNCTION("""COMPUTED_VALUE"""),4.0)</f>
        <v>4</v>
      </c>
    </row>
    <row r="594">
      <c r="A594" s="2" t="str">
        <f>IFERROR(__xludf.DUMMYFUNCTION("""COMPUTED_VALUE"""),"PINK FLORAL FELTCRAFT SHOULDER BAG")</f>
        <v>PINK FLORAL FELTCRAFT SHOULDER BAG</v>
      </c>
      <c r="B594" s="2">
        <f>IFERROR(__xludf.DUMMYFUNCTION("""COMPUTED_VALUE"""),4.0)</f>
        <v>4</v>
      </c>
    </row>
    <row r="595">
      <c r="A595" s="2" t="str">
        <f>IFERROR(__xludf.DUMMYFUNCTION("""COMPUTED_VALUE"""),"GREEN FLORAL FELTCRAFT SHOULDER BAG")</f>
        <v>GREEN FLORAL FELTCRAFT SHOULDER BAG</v>
      </c>
      <c r="B595" s="2">
        <f>IFERROR(__xludf.DUMMYFUNCTION("""COMPUTED_VALUE"""),4.0)</f>
        <v>4</v>
      </c>
    </row>
    <row r="596">
      <c r="A596" s="2" t="str">
        <f>IFERROR(__xludf.DUMMYFUNCTION("""COMPUTED_VALUE"""),"GREY FLORAL FELTCRAFT SHOULDER BAG")</f>
        <v>GREY FLORAL FELTCRAFT SHOULDER BAG</v>
      </c>
      <c r="B596" s="2">
        <f>IFERROR(__xludf.DUMMYFUNCTION("""COMPUTED_VALUE"""),2.0)</f>
        <v>2</v>
      </c>
    </row>
    <row r="597">
      <c r="A597" s="2" t="str">
        <f>IFERROR(__xludf.DUMMYFUNCTION("""COMPUTED_VALUE"""),"YELLOW + BROWN BEAR FELT PURSE KIT")</f>
        <v>YELLOW + BROWN BEAR FELT PURSE KIT</v>
      </c>
      <c r="B597" s="2">
        <f>IFERROR(__xludf.DUMMYFUNCTION("""COMPUTED_VALUE"""),2.0)</f>
        <v>2</v>
      </c>
    </row>
    <row r="598">
      <c r="A598" s="2" t="str">
        <f>IFERROR(__xludf.DUMMYFUNCTION("""COMPUTED_VALUE"""),"YELLOW PURPLE DAISY FELT PURSE KIT")</f>
        <v>YELLOW PURPLE DAISY FELT PURSE KIT</v>
      </c>
      <c r="B598" s="2">
        <f>IFERROR(__xludf.DUMMYFUNCTION("""COMPUTED_VALUE"""),3.0)</f>
        <v>3</v>
      </c>
    </row>
    <row r="599">
      <c r="A599" s="2" t="str">
        <f>IFERROR(__xludf.DUMMYFUNCTION("""COMPUTED_VALUE"""),"YELLOW FLOWERS FELT HANDBAG KIT")</f>
        <v>YELLOW FLOWERS FELT HANDBAG KIT</v>
      </c>
      <c r="B599" s="2">
        <f>IFERROR(__xludf.DUMMYFUNCTION("""COMPUTED_VALUE"""),5.0)</f>
        <v>5</v>
      </c>
    </row>
    <row r="600">
      <c r="A600" s="2" t="str">
        <f>IFERROR(__xludf.DUMMYFUNCTION("""COMPUTED_VALUE"""),"PINK BLUE FELT CRAFT TRINKET BOX")</f>
        <v>PINK BLUE FELT CRAFT TRINKET BOX</v>
      </c>
      <c r="B600" s="2">
        <f>IFERROR(__xludf.DUMMYFUNCTION("""COMPUTED_VALUE"""),5.0)</f>
        <v>5</v>
      </c>
    </row>
    <row r="601">
      <c r="A601" s="2" t="str">
        <f>IFERROR(__xludf.DUMMYFUNCTION("""COMPUTED_VALUE"""),"PINK CREAM FELT CRAFT TRINKET BOX")</f>
        <v>PINK CREAM FELT CRAFT TRINKET BOX</v>
      </c>
      <c r="B601" s="2">
        <f>IFERROR(__xludf.DUMMYFUNCTION("""COMPUTED_VALUE"""),5.0)</f>
        <v>5</v>
      </c>
    </row>
    <row r="602">
      <c r="A602" s="2" t="str">
        <f>IFERROR(__xludf.DUMMYFUNCTION("""COMPUTED_VALUE"""),"FRYING PAN UNION FLAG")</f>
        <v>FRYING PAN UNION FLAG</v>
      </c>
      <c r="B602" s="2">
        <f>IFERROR(__xludf.DUMMYFUNCTION("""COMPUTED_VALUE"""),1.0)</f>
        <v>1</v>
      </c>
    </row>
    <row r="603">
      <c r="A603" s="2" t="str">
        <f>IFERROR(__xludf.DUMMYFUNCTION("""COMPUTED_VALUE"""),"METAL SIGN EMPIRE TEA")</f>
        <v>METAL SIGN EMPIRE TEA</v>
      </c>
      <c r="B603" s="2">
        <f>IFERROR(__xludf.DUMMYFUNCTION("""COMPUTED_VALUE"""),1.0)</f>
        <v>1</v>
      </c>
    </row>
    <row r="604">
      <c r="A604" s="2" t="str">
        <f>IFERROR(__xludf.DUMMYFUNCTION("""COMPUTED_VALUE"""),"FELTCRAFT DOLL MOLLY")</f>
        <v>FELTCRAFT DOLL MOLLY</v>
      </c>
      <c r="B604" s="2">
        <f>IFERROR(__xludf.DUMMYFUNCTION("""COMPUTED_VALUE"""),2.0)</f>
        <v>2</v>
      </c>
    </row>
    <row r="605">
      <c r="A605" s="2" t="str">
        <f>IFERROR(__xludf.DUMMYFUNCTION("""COMPUTED_VALUE"""),"GLITTER BUTTERFLY CLIPS")</f>
        <v>GLITTER BUTTERFLY CLIPS</v>
      </c>
      <c r="B605" s="2">
        <f>IFERROR(__xludf.DUMMYFUNCTION("""COMPUTED_VALUE"""),6.0)</f>
        <v>6</v>
      </c>
    </row>
    <row r="606">
      <c r="A606" s="2" t="str">
        <f>IFERROR(__xludf.DUMMYFUNCTION("""COMPUTED_VALUE"""),"GLITTER HANGING BUTTERFLY STRING")</f>
        <v>GLITTER HANGING BUTTERFLY STRING</v>
      </c>
      <c r="B606" s="2">
        <f>IFERROR(__xludf.DUMMYFUNCTION("""COMPUTED_VALUE"""),6.0)</f>
        <v>6</v>
      </c>
    </row>
    <row r="607">
      <c r="A607" s="2" t="str">
        <f>IFERROR(__xludf.DUMMYFUNCTION("""COMPUTED_VALUE"""),"BROWN CHECK CAT DOORSTOP")</f>
        <v>BROWN CHECK CAT DOORSTOP</v>
      </c>
      <c r="B607" s="2">
        <f>IFERROR(__xludf.DUMMYFUNCTION("""COMPUTED_VALUE"""),1.0)</f>
        <v>1</v>
      </c>
    </row>
    <row r="608">
      <c r="A608" s="2" t="str">
        <f>IFERROR(__xludf.DUMMYFUNCTION("""COMPUTED_VALUE"""),"COUNTRY COTTAGE DOORSTOP GREEN")</f>
        <v>COUNTRY COTTAGE DOORSTOP GREEN</v>
      </c>
      <c r="B608" s="2">
        <f>IFERROR(__xludf.DUMMYFUNCTION("""COMPUTED_VALUE"""),2.0)</f>
        <v>2</v>
      </c>
    </row>
    <row r="609">
      <c r="A609" s="2" t="str">
        <f>IFERROR(__xludf.DUMMYFUNCTION("""COMPUTED_VALUE"""),"4 IVORY DINNER CANDLES GOLD FLOCK")</f>
        <v>4 IVORY DINNER CANDLES GOLD FLOCK</v>
      </c>
      <c r="B609" s="2">
        <f>IFERROR(__xludf.DUMMYFUNCTION("""COMPUTED_VALUE"""),1.0)</f>
        <v>1</v>
      </c>
    </row>
    <row r="610">
      <c r="A610" s="2" t="str">
        <f>IFERROR(__xludf.DUMMYFUNCTION("""COMPUTED_VALUE"""),"GINGHAM HEART DOORSTOP RED")</f>
        <v>GINGHAM HEART DOORSTOP RED</v>
      </c>
      <c r="B610" s="2">
        <f>IFERROR(__xludf.DUMMYFUNCTION("""COMPUTED_VALUE"""),4.0)</f>
        <v>4</v>
      </c>
    </row>
    <row r="611">
      <c r="A611" s="2" t="str">
        <f>IFERROR(__xludf.DUMMYFUNCTION("""COMPUTED_VALUE"""),"FLORAL FOLK STATIONERY SET")</f>
        <v>FLORAL FOLK STATIONERY SET</v>
      </c>
      <c r="B611" s="2">
        <f>IFERROR(__xludf.DUMMYFUNCTION("""COMPUTED_VALUE"""),3.0)</f>
        <v>3</v>
      </c>
    </row>
    <row r="612">
      <c r="A612" s="2" t="str">
        <f>IFERROR(__xludf.DUMMYFUNCTION("""COMPUTED_VALUE"""),"CHARLIE + LOLA RED HOT WATER BOTTLE")</f>
        <v>CHARLIE + LOLA RED HOT WATER BOTTLE</v>
      </c>
      <c r="B612" s="2">
        <f>IFERROR(__xludf.DUMMYFUNCTION("""COMPUTED_VALUE"""),4.0)</f>
        <v>4</v>
      </c>
    </row>
    <row r="613">
      <c r="A613" s="2" t="str">
        <f>IFERROR(__xludf.DUMMYFUNCTION("""COMPUTED_VALUE"""),"CHARLIE+LOLA PINK HOT WATER BOTTLE")</f>
        <v>CHARLIE+LOLA PINK HOT WATER BOTTLE</v>
      </c>
      <c r="B613" s="2">
        <f>IFERROR(__xludf.DUMMYFUNCTION("""COMPUTED_VALUE"""),4.0)</f>
        <v>4</v>
      </c>
    </row>
    <row r="614">
      <c r="A614" s="2" t="str">
        <f>IFERROR(__xludf.DUMMYFUNCTION("""COMPUTED_VALUE"""),"MUSHROOM BLUE HOT WATER BOTTLE")</f>
        <v>MUSHROOM BLUE HOT WATER BOTTLE</v>
      </c>
      <c r="B614" s="2">
        <f>IFERROR(__xludf.DUMMYFUNCTION("""COMPUTED_VALUE"""),3.0)</f>
        <v>3</v>
      </c>
    </row>
    <row r="615">
      <c r="A615" s="2" t="str">
        <f>IFERROR(__xludf.DUMMYFUNCTION("""COMPUTED_VALUE"""),"WHITE SKULL HOT WATER BOTTLE")</f>
        <v>WHITE SKULL HOT WATER BOTTLE</v>
      </c>
      <c r="B615" s="2">
        <f>IFERROR(__xludf.DUMMYFUNCTION("""COMPUTED_VALUE"""),2.0)</f>
        <v>2</v>
      </c>
    </row>
    <row r="616">
      <c r="A616" s="2" t="str">
        <f>IFERROR(__xludf.DUMMYFUNCTION("""COMPUTED_VALUE"""),"PINK STRIPE HOT WATER BOTTLE")</f>
        <v>PINK STRIPE HOT WATER BOTTLE</v>
      </c>
      <c r="B616" s="2">
        <f>IFERROR(__xludf.DUMMYFUNCTION("""COMPUTED_VALUE"""),5.0)</f>
        <v>5</v>
      </c>
    </row>
    <row r="617">
      <c r="A617" s="2" t="str">
        <f>IFERROR(__xludf.DUMMYFUNCTION("""COMPUTED_VALUE"""),"PINK HEART DOTS HOT WATER BOTTLE")</f>
        <v>PINK HEART DOTS HOT WATER BOTTLE</v>
      </c>
      <c r="B617" s="2">
        <f>IFERROR(__xludf.DUMMYFUNCTION("""COMPUTED_VALUE"""),2.0)</f>
        <v>2</v>
      </c>
    </row>
    <row r="618">
      <c r="A618" s="2" t="str">
        <f>IFERROR(__xludf.DUMMYFUNCTION("""COMPUTED_VALUE"""),"FAWN BLUE HOT WATER BOTTLE")</f>
        <v>FAWN BLUE HOT WATER BOTTLE</v>
      </c>
      <c r="B618" s="2">
        <f>IFERROR(__xludf.DUMMYFUNCTION("""COMPUTED_VALUE"""),3.0)</f>
        <v>3</v>
      </c>
    </row>
    <row r="619">
      <c r="A619" s="2" t="str">
        <f>IFERROR(__xludf.DUMMYFUNCTION("""COMPUTED_VALUE"""),"SWEETHEART CERAMIC TRINKET BOX")</f>
        <v>SWEETHEART CERAMIC TRINKET BOX</v>
      </c>
      <c r="B619" s="2">
        <f>IFERROR(__xludf.DUMMYFUNCTION("""COMPUTED_VALUE"""),20.0)</f>
        <v>20</v>
      </c>
    </row>
    <row r="620">
      <c r="A620" s="2" t="str">
        <f>IFERROR(__xludf.DUMMYFUNCTION("""COMPUTED_VALUE"""),"STRAWBERRY CERAMIC TRINKET BOX")</f>
        <v>STRAWBERRY CERAMIC TRINKET BOX</v>
      </c>
      <c r="B620" s="2">
        <f>IFERROR(__xludf.DUMMYFUNCTION("""COMPUTED_VALUE"""),20.0)</f>
        <v>20</v>
      </c>
    </row>
    <row r="621">
      <c r="A621" s="2" t="str">
        <f>IFERROR(__xludf.DUMMYFUNCTION("""COMPUTED_VALUE"""),"GARLAND WITH STARS AND BELLS")</f>
        <v>GARLAND WITH STARS AND BELLS</v>
      </c>
      <c r="B621" s="2">
        <f>IFERROR(__xludf.DUMMYFUNCTION("""COMPUTED_VALUE"""),1.0)</f>
        <v>1</v>
      </c>
    </row>
    <row r="622">
      <c r="A622" s="2" t="str">
        <f>IFERROR(__xludf.DUMMYFUNCTION("""COMPUTED_VALUE"""),"GARLAND WITH HEARTS AND BELLS")</f>
        <v>GARLAND WITH HEARTS AND BELLS</v>
      </c>
      <c r="B622" s="2">
        <f>IFERROR(__xludf.DUMMYFUNCTION("""COMPUTED_VALUE"""),4.0)</f>
        <v>4</v>
      </c>
    </row>
    <row r="623">
      <c r="A623" s="2" t="str">
        <f>IFERROR(__xludf.DUMMYFUNCTION("""COMPUTED_VALUE"""),"BLUE WHITE SCARF HOT WATER BOTTLE")</f>
        <v>BLUE WHITE SCARF HOT WATER BOTTLE</v>
      </c>
      <c r="B623" s="2">
        <f>IFERROR(__xludf.DUMMYFUNCTION("""COMPUTED_VALUE"""),3.0)</f>
        <v>3</v>
      </c>
    </row>
    <row r="624">
      <c r="A624" s="2" t="str">
        <f>IFERROR(__xludf.DUMMYFUNCTION("""COMPUTED_VALUE"""),"RED WHITE SCARF HOT WATER BOTTLE")</f>
        <v>RED WHITE SCARF HOT WATER BOTTLE</v>
      </c>
      <c r="B624" s="2">
        <f>IFERROR(__xludf.DUMMYFUNCTION("""COMPUTED_VALUE"""),3.0)</f>
        <v>3</v>
      </c>
    </row>
    <row r="625">
      <c r="A625" s="2" t="str">
        <f>IFERROR(__xludf.DUMMYFUNCTION("""COMPUTED_VALUE"""),"RED WOOLLY HOTTIE WHITE HEART.")</f>
        <v>RED WOOLLY HOTTIE WHITE HEART.</v>
      </c>
      <c r="B625" s="2">
        <f>IFERROR(__xludf.DUMMYFUNCTION("""COMPUTED_VALUE"""),1.0)</f>
        <v>1</v>
      </c>
    </row>
    <row r="626">
      <c r="A626" s="2" t="str">
        <f>IFERROR(__xludf.DUMMYFUNCTION("""COMPUTED_VALUE"""),"STRING OF 8 BUTTERFLIES,PINK")</f>
        <v>STRING OF 8 BUTTERFLIES,PINK</v>
      </c>
      <c r="B626" s="2">
        <f>IFERROR(__xludf.DUMMYFUNCTION("""COMPUTED_VALUE"""),3.0)</f>
        <v>3</v>
      </c>
    </row>
    <row r="627">
      <c r="A627" s="2" t="str">
        <f>IFERROR(__xludf.DUMMYFUNCTION("""COMPUTED_VALUE"""),"4 IVORY DINNER CANDLES SILVER FLOCK")</f>
        <v>4 IVORY DINNER CANDLES SILVER FLOCK</v>
      </c>
      <c r="B627" s="2">
        <f>IFERROR(__xludf.DUMMYFUNCTION("""COMPUTED_VALUE"""),4.0)</f>
        <v>4</v>
      </c>
    </row>
    <row r="628">
      <c r="A628" s="2" t="str">
        <f>IFERROR(__xludf.DUMMYFUNCTION("""COMPUTED_VALUE"""),"4 IVORY DINNER CANDLES GOLD FLOCK")</f>
        <v>4 IVORY DINNER CANDLES GOLD FLOCK</v>
      </c>
      <c r="B628" s="2">
        <f>IFERROR(__xludf.DUMMYFUNCTION("""COMPUTED_VALUE"""),3.0)</f>
        <v>3</v>
      </c>
    </row>
    <row r="629">
      <c r="A629" s="2" t="str">
        <f>IFERROR(__xludf.DUMMYFUNCTION("""COMPUTED_VALUE"""),"S/4 BURGUNDY WINE DINNER CANDLES")</f>
        <v>S/4 BURGUNDY WINE DINNER CANDLES</v>
      </c>
      <c r="B629" s="2">
        <f>IFERROR(__xludf.DUMMYFUNCTION("""COMPUTED_VALUE"""),3.0)</f>
        <v>3</v>
      </c>
    </row>
    <row r="630">
      <c r="A630" s="2" t="str">
        <f>IFERROR(__xludf.DUMMYFUNCTION("""COMPUTED_VALUE"""),"S/4 FESTIVE RED DINNER CANDLES")</f>
        <v>S/4 FESTIVE RED DINNER CANDLES</v>
      </c>
      <c r="B630" s="2">
        <f>IFERROR(__xludf.DUMMYFUNCTION("""COMPUTED_VALUE"""),6.0)</f>
        <v>6</v>
      </c>
    </row>
    <row r="631">
      <c r="A631" s="2" t="str">
        <f>IFERROR(__xludf.DUMMYFUNCTION("""COMPUTED_VALUE"""),"S/4 FESTIVE GREEN DINNER CANDLES")</f>
        <v>S/4 FESTIVE GREEN DINNER CANDLES</v>
      </c>
      <c r="B631" s="2">
        <f>IFERROR(__xludf.DUMMYFUNCTION("""COMPUTED_VALUE"""),6.0)</f>
        <v>6</v>
      </c>
    </row>
    <row r="632">
      <c r="A632" s="2" t="str">
        <f>IFERROR(__xludf.DUMMYFUNCTION("""COMPUTED_VALUE"""),"VINTAGE HEADS AND TAILS CARD GAME")</f>
        <v>VINTAGE HEADS AND TAILS CARD GAME</v>
      </c>
      <c r="B632" s="2">
        <f>IFERROR(__xludf.DUMMYFUNCTION("""COMPUTED_VALUE"""),6.0)</f>
        <v>6</v>
      </c>
    </row>
    <row r="633">
      <c r="A633" s="2" t="str">
        <f>IFERROR(__xludf.DUMMYFUNCTION("""COMPUTED_VALUE"""),"BINGO SET")</f>
        <v>BINGO SET</v>
      </c>
      <c r="B633" s="2">
        <f>IFERROR(__xludf.DUMMYFUNCTION("""COMPUTED_VALUE"""),3.0)</f>
        <v>3</v>
      </c>
    </row>
    <row r="634">
      <c r="A634" s="2" t="str">
        <f>IFERROR(__xludf.DUMMYFUNCTION("""COMPUTED_VALUE"""),"RED HANGING METAL STAR TLIGHT HLDR")</f>
        <v>RED HANGING METAL STAR TLIGHT HLDR</v>
      </c>
      <c r="B634" s="2">
        <f>IFERROR(__xludf.DUMMYFUNCTION("""COMPUTED_VALUE"""),24.0)</f>
        <v>24</v>
      </c>
    </row>
    <row r="635">
      <c r="A635" s="2" t="str">
        <f>IFERROR(__xludf.DUMMYFUNCTION("""COMPUTED_VALUE"""),"PAPER CHAIN KIT RETRO SPOT")</f>
        <v>PAPER CHAIN KIT RETRO SPOT</v>
      </c>
      <c r="B635" s="2">
        <f>IFERROR(__xludf.DUMMYFUNCTION("""COMPUTED_VALUE"""),58.0)</f>
        <v>58</v>
      </c>
    </row>
    <row r="636">
      <c r="A636" s="2" t="str">
        <f>IFERROR(__xludf.DUMMYFUNCTION("""COMPUTED_VALUE"""),"PAPER CHAIN KIT 50'S CHRISTMAS")</f>
        <v>PAPER CHAIN KIT 50'S CHRISTMAS</v>
      </c>
      <c r="B636" s="2">
        <f>IFERROR(__xludf.DUMMYFUNCTION("""COMPUTED_VALUE"""),58.0)</f>
        <v>58</v>
      </c>
    </row>
    <row r="637">
      <c r="A637" s="2" t="str">
        <f>IFERROR(__xludf.DUMMYFUNCTION("""COMPUTED_VALUE"""),"ANTIQUE SILVER TEA GLASS ETCHED")</f>
        <v>ANTIQUE SILVER TEA GLASS ETCHED</v>
      </c>
      <c r="B637" s="2">
        <f>IFERROR(__xludf.DUMMYFUNCTION("""COMPUTED_VALUE"""),24.0)</f>
        <v>24</v>
      </c>
    </row>
    <row r="638">
      <c r="A638" s="2" t="str">
        <f>IFERROR(__xludf.DUMMYFUNCTION("""COMPUTED_VALUE"""),"SET OF KITCHEN WALL STICKERS")</f>
        <v>SET OF KITCHEN WALL STICKERS</v>
      </c>
      <c r="B638" s="2">
        <f>IFERROR(__xludf.DUMMYFUNCTION("""COMPUTED_VALUE"""),-4.0)</f>
        <v>-4</v>
      </c>
    </row>
    <row r="639">
      <c r="A639" s="2" t="str">
        <f>IFERROR(__xludf.DUMMYFUNCTION("""COMPUTED_VALUE"""),"PAPER CHAIN KIT 50'S CHRISTMAS")</f>
        <v>PAPER CHAIN KIT 50'S CHRISTMAS</v>
      </c>
      <c r="B639" s="2">
        <f>IFERROR(__xludf.DUMMYFUNCTION("""COMPUTED_VALUE"""),160.0)</f>
        <v>160</v>
      </c>
    </row>
    <row r="640">
      <c r="A640" s="2" t="str">
        <f>IFERROR(__xludf.DUMMYFUNCTION("""COMPUTED_VALUE"""),"PAPER CHAIN KIT RETRO SPOT")</f>
        <v>PAPER CHAIN KIT RETRO SPOT</v>
      </c>
      <c r="B640" s="2">
        <f>IFERROR(__xludf.DUMMYFUNCTION("""COMPUTED_VALUE"""),160.0)</f>
        <v>160</v>
      </c>
    </row>
    <row r="641">
      <c r="A641" s="2" t="str">
        <f>IFERROR(__xludf.DUMMYFUNCTION("""COMPUTED_VALUE"""),"SET/4 PINK ORCHID CANDLES IN BOWL")</f>
        <v>SET/4 PINK ORCHID CANDLES IN BOWL</v>
      </c>
      <c r="B641" s="2">
        <f>IFERROR(__xludf.DUMMYFUNCTION("""COMPUTED_VALUE"""),48.0)</f>
        <v>48</v>
      </c>
    </row>
    <row r="642">
      <c r="A642" s="2" t="str">
        <f>IFERROR(__xludf.DUMMYFUNCTION("""COMPUTED_VALUE"""),"SET/4 BLUE FLOWER CANDLES IN BOWL")</f>
        <v>SET/4 BLUE FLOWER CANDLES IN BOWL</v>
      </c>
      <c r="B642" s="2">
        <f>IFERROR(__xludf.DUMMYFUNCTION("""COMPUTED_VALUE"""),192.0)</f>
        <v>192</v>
      </c>
    </row>
    <row r="643">
      <c r="A643" s="2" t="str">
        <f>IFERROR(__xludf.DUMMYFUNCTION("""COMPUTED_VALUE"""),"ASSORTED COLOUR BIRD ORNAMENT")</f>
        <v>ASSORTED COLOUR BIRD ORNAMENT</v>
      </c>
      <c r="B643" s="2">
        <f>IFERROR(__xludf.DUMMYFUNCTION("""COMPUTED_VALUE"""),96.0)</f>
        <v>96</v>
      </c>
    </row>
    <row r="644">
      <c r="A644" s="2" t="str">
        <f>IFERROR(__xludf.DUMMYFUNCTION("""COMPUTED_VALUE"""),"RETRO SPOT TEA SET CERAMIC 11 PC")</f>
        <v>RETRO SPOT TEA SET CERAMIC 11 PC</v>
      </c>
      <c r="B644" s="2">
        <f>IFERROR(__xludf.DUMMYFUNCTION("""COMPUTED_VALUE"""),72.0)</f>
        <v>72</v>
      </c>
    </row>
    <row r="645">
      <c r="A645" s="2" t="str">
        <f>IFERROR(__xludf.DUMMYFUNCTION("""COMPUTED_VALUE"""),"WHITE SPOT BLUE CERAMIC DRAWER KNOB")</f>
        <v>WHITE SPOT BLUE CERAMIC DRAWER KNOB</v>
      </c>
      <c r="B645" s="2">
        <f>IFERROR(__xludf.DUMMYFUNCTION("""COMPUTED_VALUE"""),60.0)</f>
        <v>60</v>
      </c>
    </row>
    <row r="646">
      <c r="A646" s="2" t="str">
        <f>IFERROR(__xludf.DUMMYFUNCTION("""COMPUTED_VALUE"""),"RED SPOT CERAMIC DRAWER KNOB")</f>
        <v>RED SPOT CERAMIC DRAWER KNOB</v>
      </c>
      <c r="B646" s="2">
        <f>IFERROR(__xludf.DUMMYFUNCTION("""COMPUTED_VALUE"""),60.0)</f>
        <v>60</v>
      </c>
    </row>
    <row r="647">
      <c r="A647" s="2" t="str">
        <f>IFERROR(__xludf.DUMMYFUNCTION("""COMPUTED_VALUE"""),"BLUE STRIPE CERAMIC DRAWER KNOB")</f>
        <v>BLUE STRIPE CERAMIC DRAWER KNOB</v>
      </c>
      <c r="B647" s="2">
        <f>IFERROR(__xludf.DUMMYFUNCTION("""COMPUTED_VALUE"""),60.0)</f>
        <v>60</v>
      </c>
    </row>
    <row r="648">
      <c r="A648" s="2" t="str">
        <f>IFERROR(__xludf.DUMMYFUNCTION("""COMPUTED_VALUE"""),"FLORAL ELEPHANT SOFT TOY")</f>
        <v>FLORAL ELEPHANT SOFT TOY</v>
      </c>
      <c r="B648" s="2">
        <f>IFERROR(__xludf.DUMMYFUNCTION("""COMPUTED_VALUE"""),96.0)</f>
        <v>96</v>
      </c>
    </row>
    <row r="649">
      <c r="A649" s="2" t="str">
        <f>IFERROR(__xludf.DUMMYFUNCTION("""COMPUTED_VALUE"""),"RETRO SPOT TEA SET CERAMIC 11 PC")</f>
        <v>RETRO SPOT TEA SET CERAMIC 11 PC</v>
      </c>
      <c r="B649" s="2">
        <f>IFERROR(__xludf.DUMMYFUNCTION("""COMPUTED_VALUE"""),48.0)</f>
        <v>48</v>
      </c>
    </row>
    <row r="650">
      <c r="A650" s="2" t="str">
        <f>IFERROR(__xludf.DUMMYFUNCTION("""COMPUTED_VALUE"""),"PAPER CHAIN KIT 50'S CHRISTMAS")</f>
        <v>PAPER CHAIN KIT 50'S CHRISTMAS</v>
      </c>
      <c r="B650" s="2">
        <f>IFERROR(__xludf.DUMMYFUNCTION("""COMPUTED_VALUE"""),18.0)</f>
        <v>18</v>
      </c>
    </row>
    <row r="651">
      <c r="A651" s="2" t="str">
        <f>IFERROR(__xludf.DUMMYFUNCTION("""COMPUTED_VALUE"""),"ROTATING SILVER ANGELS T-LIGHT HLDR")</f>
        <v>ROTATING SILVER ANGELS T-LIGHT HLDR</v>
      </c>
      <c r="B651" s="2">
        <f>IFERROR(__xludf.DUMMYFUNCTION("""COMPUTED_VALUE"""),18.0)</f>
        <v>18</v>
      </c>
    </row>
    <row r="652">
      <c r="A652" s="2" t="str">
        <f>IFERROR(__xludf.DUMMYFUNCTION("""COMPUTED_VALUE"""),"CHRISTMAS PUDDING TRINKET POT")</f>
        <v>CHRISTMAS PUDDING TRINKET POT</v>
      </c>
      <c r="B652" s="2">
        <f>IFERROR(__xludf.DUMMYFUNCTION("""COMPUTED_VALUE"""),12.0)</f>
        <v>12</v>
      </c>
    </row>
    <row r="653">
      <c r="A653" s="2" t="str">
        <f>IFERROR(__xludf.DUMMYFUNCTION("""COMPUTED_VALUE"""),"GARLAND WITH STARS AND BELLS")</f>
        <v>GARLAND WITH STARS AND BELLS</v>
      </c>
      <c r="B653" s="2">
        <f>IFERROR(__xludf.DUMMYFUNCTION("""COMPUTED_VALUE"""),6.0)</f>
        <v>6</v>
      </c>
    </row>
    <row r="654">
      <c r="A654" s="2" t="str">
        <f>IFERROR(__xludf.DUMMYFUNCTION("""COMPUTED_VALUE"""),"RETRO SPOT MUG")</f>
        <v>RETRO SPOT MUG</v>
      </c>
      <c r="B654" s="2">
        <f>IFERROR(__xludf.DUMMYFUNCTION("""COMPUTED_VALUE"""),6.0)</f>
        <v>6</v>
      </c>
    </row>
    <row r="655">
      <c r="A655" s="2" t="str">
        <f>IFERROR(__xludf.DUMMYFUNCTION("""COMPUTED_VALUE"""),"SMALL RETRO SPOT MUG IN BOX RED")</f>
        <v>SMALL RETRO SPOT MUG IN BOX RED</v>
      </c>
      <c r="B655" s="2">
        <f>IFERROR(__xludf.DUMMYFUNCTION("""COMPUTED_VALUE"""),6.0)</f>
        <v>6</v>
      </c>
    </row>
    <row r="656">
      <c r="A656" s="2" t="str">
        <f>IFERROR(__xludf.DUMMYFUNCTION("""COMPUTED_VALUE"""),"CHRISTMAS HANGING TREE WITH BELL")</f>
        <v>CHRISTMAS HANGING TREE WITH BELL</v>
      </c>
      <c r="B656" s="2">
        <f>IFERROR(__xludf.DUMMYFUNCTION("""COMPUTED_VALUE"""),12.0)</f>
        <v>12</v>
      </c>
    </row>
    <row r="657">
      <c r="A657" s="2" t="str">
        <f>IFERROR(__xludf.DUMMYFUNCTION("""COMPUTED_VALUE"""),"PINK STRIPE HOT WATER BOTTLE")</f>
        <v>PINK STRIPE HOT WATER BOTTLE</v>
      </c>
      <c r="B657" s="2">
        <f>IFERROR(__xludf.DUMMYFUNCTION("""COMPUTED_VALUE"""),2.0)</f>
        <v>2</v>
      </c>
    </row>
    <row r="658">
      <c r="A658" s="2" t="str">
        <f>IFERROR(__xludf.DUMMYFUNCTION("""COMPUTED_VALUE"""),"BIRD HOUSE HOT WATER BOTTLE")</f>
        <v>BIRD HOUSE HOT WATER BOTTLE</v>
      </c>
      <c r="B658" s="2">
        <f>IFERROR(__xludf.DUMMYFUNCTION("""COMPUTED_VALUE"""),1.0)</f>
        <v>1</v>
      </c>
    </row>
    <row r="659">
      <c r="A659" s="2" t="str">
        <f>IFERROR(__xludf.DUMMYFUNCTION("""COMPUTED_VALUE"""),"GREY HEART HOT WATER BOTTLE")</f>
        <v>GREY HEART HOT WATER BOTTLE</v>
      </c>
      <c r="B659" s="2">
        <f>IFERROR(__xludf.DUMMYFUNCTION("""COMPUTED_VALUE"""),1.0)</f>
        <v>1</v>
      </c>
    </row>
    <row r="660">
      <c r="A660" s="2" t="str">
        <f>IFERROR(__xludf.DUMMYFUNCTION("""COMPUTED_VALUE"""),"CHICK GREY HOT WATER BOTTLE")</f>
        <v>CHICK GREY HOT WATER BOTTLE</v>
      </c>
      <c r="B660" s="2">
        <f>IFERROR(__xludf.DUMMYFUNCTION("""COMPUTED_VALUE"""),2.0)</f>
        <v>2</v>
      </c>
    </row>
    <row r="661">
      <c r="A661" s="2" t="str">
        <f>IFERROR(__xludf.DUMMYFUNCTION("""COMPUTED_VALUE"""),"SET/5 RED SPOTTY LID GLASS BOWLS")</f>
        <v>SET/5 RED SPOTTY LID GLASS BOWLS</v>
      </c>
      <c r="B661" s="2">
        <f>IFERROR(__xludf.DUMMYFUNCTION("""COMPUTED_VALUE"""),1.0)</f>
        <v>1</v>
      </c>
    </row>
    <row r="662">
      <c r="A662" s="2" t="str">
        <f>IFERROR(__xludf.DUMMYFUNCTION("""COMPUTED_VALUE"""),"WIRE FLOWER T-LIGHT HOLDER")</f>
        <v>WIRE FLOWER T-LIGHT HOLDER</v>
      </c>
      <c r="B662" s="2">
        <f>IFERROR(__xludf.DUMMYFUNCTION("""COMPUTED_VALUE"""),6.0)</f>
        <v>6</v>
      </c>
    </row>
    <row r="663">
      <c r="A663" s="2" t="str">
        <f>IFERROR(__xludf.DUMMYFUNCTION("""COMPUTED_VALUE"""),"POTTING SHED TEA MUG")</f>
        <v>POTTING SHED TEA MUG</v>
      </c>
      <c r="B663" s="2">
        <f>IFERROR(__xludf.DUMMYFUNCTION("""COMPUTED_VALUE"""),1.0)</f>
        <v>1</v>
      </c>
    </row>
    <row r="664">
      <c r="A664" s="2" t="str">
        <f>IFERROR(__xludf.DUMMYFUNCTION("""COMPUTED_VALUE"""),"TOXIC AREA DOOR HANGER")</f>
        <v>TOXIC AREA DOOR HANGER</v>
      </c>
      <c r="B664" s="2">
        <f>IFERROR(__xludf.DUMMYFUNCTION("""COMPUTED_VALUE"""),1.0)</f>
        <v>1</v>
      </c>
    </row>
    <row r="665">
      <c r="A665" s="2" t="str">
        <f>IFERROR(__xludf.DUMMYFUNCTION("""COMPUTED_VALUE"""),"RETRO COFFEE MUGS ASSORTED")</f>
        <v>RETRO COFFEE MUGS ASSORTED</v>
      </c>
      <c r="B665" s="2">
        <f>IFERROR(__xludf.DUMMYFUNCTION("""COMPUTED_VALUE"""),2.0)</f>
        <v>2</v>
      </c>
    </row>
    <row r="666">
      <c r="A666" s="2" t="str">
        <f>IFERROR(__xludf.DUMMYFUNCTION("""COMPUTED_VALUE"""),"PREMIUM CHURCH CANDLE")</f>
        <v>PREMIUM CHURCH CANDLE</v>
      </c>
      <c r="B666" s="2">
        <f>IFERROR(__xludf.DUMMYFUNCTION("""COMPUTED_VALUE"""),3.0)</f>
        <v>3</v>
      </c>
    </row>
    <row r="667">
      <c r="A667" s="2" t="str">
        <f>IFERROR(__xludf.DUMMYFUNCTION("""COMPUTED_VALUE"""),"RETRO SPOT TEA SET CERAMIC 11 PC")</f>
        <v>RETRO SPOT TEA SET CERAMIC 11 PC</v>
      </c>
      <c r="B667" s="2">
        <f>IFERROR(__xludf.DUMMYFUNCTION("""COMPUTED_VALUE"""),4.0)</f>
        <v>4</v>
      </c>
    </row>
    <row r="668">
      <c r="A668" s="2" t="str">
        <f>IFERROR(__xludf.DUMMYFUNCTION("""COMPUTED_VALUE"""),"CHRISTMAS CRAFT HEART DECORATIONS")</f>
        <v>CHRISTMAS CRAFT HEART DECORATIONS</v>
      </c>
      <c r="B668" s="2">
        <f>IFERROR(__xludf.DUMMYFUNCTION("""COMPUTED_VALUE"""),1.0)</f>
        <v>1</v>
      </c>
    </row>
    <row r="669">
      <c r="A669" s="2" t="str">
        <f>IFERROR(__xludf.DUMMYFUNCTION("""COMPUTED_VALUE"""),"RIBBON REEL FLORA + FAUNA")</f>
        <v>RIBBON REEL FLORA + FAUNA</v>
      </c>
      <c r="B669" s="2">
        <f>IFERROR(__xludf.DUMMYFUNCTION("""COMPUTED_VALUE"""),1.0)</f>
        <v>1</v>
      </c>
    </row>
    <row r="670">
      <c r="A670" s="2" t="str">
        <f>IFERROR(__xludf.DUMMYFUNCTION("""COMPUTED_VALUE"""),"RIBBON REEL HEARTS DESIGN")</f>
        <v>RIBBON REEL HEARTS DESIGN</v>
      </c>
      <c r="B670" s="2">
        <f>IFERROR(__xludf.DUMMYFUNCTION("""COMPUTED_VALUE"""),1.0)</f>
        <v>1</v>
      </c>
    </row>
    <row r="671">
      <c r="A671" s="2" t="str">
        <f>IFERROR(__xludf.DUMMYFUNCTION("""COMPUTED_VALUE"""),"FELTCRAFT DOLL MOLLY")</f>
        <v>FELTCRAFT DOLL MOLLY</v>
      </c>
      <c r="B671" s="2">
        <f>IFERROR(__xludf.DUMMYFUNCTION("""COMPUTED_VALUE"""),1.0)</f>
        <v>1</v>
      </c>
    </row>
    <row r="672">
      <c r="A672" s="2" t="str">
        <f>IFERROR(__xludf.DUMMYFUNCTION("""COMPUTED_VALUE"""),"FELTCRAFT DOLL MARIA")</f>
        <v>FELTCRAFT DOLL MARIA</v>
      </c>
      <c r="B672" s="2">
        <f>IFERROR(__xludf.DUMMYFUNCTION("""COMPUTED_VALUE"""),1.0)</f>
        <v>1</v>
      </c>
    </row>
    <row r="673">
      <c r="A673" s="2" t="str">
        <f>IFERROR(__xludf.DUMMYFUNCTION("""COMPUTED_VALUE"""),"FELTCRAFT DOLL EMILY")</f>
        <v>FELTCRAFT DOLL EMILY</v>
      </c>
      <c r="B673" s="2">
        <f>IFERROR(__xludf.DUMMYFUNCTION("""COMPUTED_VALUE"""),1.0)</f>
        <v>1</v>
      </c>
    </row>
    <row r="674">
      <c r="A674" s="2" t="str">
        <f>IFERROR(__xludf.DUMMYFUNCTION("""COMPUTED_VALUE"""),"SET/10 BLUE SPOTTY PARTY CANDLES")</f>
        <v>SET/10 BLUE SPOTTY PARTY CANDLES</v>
      </c>
      <c r="B674" s="2">
        <f>IFERROR(__xludf.DUMMYFUNCTION("""COMPUTED_VALUE"""),1.0)</f>
        <v>1</v>
      </c>
    </row>
    <row r="675">
      <c r="A675" s="2" t="str">
        <f>IFERROR(__xludf.DUMMYFUNCTION("""COMPUTED_VALUE"""),"SET/10 PINK SPOTTY PARTY CANDLES")</f>
        <v>SET/10 PINK SPOTTY PARTY CANDLES</v>
      </c>
      <c r="B675" s="2">
        <f>IFERROR(__xludf.DUMMYFUNCTION("""COMPUTED_VALUE"""),1.0)</f>
        <v>1</v>
      </c>
    </row>
    <row r="676">
      <c r="A676" s="2" t="str">
        <f>IFERROR(__xludf.DUMMYFUNCTION("""COMPUTED_VALUE"""),"SET OF 6 GIRLS CELEBRATION CANDLES")</f>
        <v>SET OF 6 GIRLS CELEBRATION CANDLES</v>
      </c>
      <c r="B676" s="2">
        <f>IFERROR(__xludf.DUMMYFUNCTION("""COMPUTED_VALUE"""),1.0)</f>
        <v>1</v>
      </c>
    </row>
    <row r="677">
      <c r="A677" s="2" t="str">
        <f>IFERROR(__xludf.DUMMYFUNCTION("""COMPUTED_VALUE"""),"SET 6 FOOTBALL CELEBRATION CANDLES")</f>
        <v>SET 6 FOOTBALL CELEBRATION CANDLES</v>
      </c>
      <c r="B677" s="2">
        <f>IFERROR(__xludf.DUMMYFUNCTION("""COMPUTED_VALUE"""),1.0)</f>
        <v>1</v>
      </c>
    </row>
    <row r="678">
      <c r="A678" s="2" t="str">
        <f>IFERROR(__xludf.DUMMYFUNCTION("""COMPUTED_VALUE"""),"MIRROR MOSAIC T-LIGHT HOLDER")</f>
        <v>MIRROR MOSAIC T-LIGHT HOLDER</v>
      </c>
      <c r="B678" s="2">
        <f>IFERROR(__xludf.DUMMYFUNCTION("""COMPUTED_VALUE"""),3.0)</f>
        <v>3</v>
      </c>
    </row>
    <row r="679">
      <c r="A679" s="2" t="str">
        <f>IFERROR(__xludf.DUMMYFUNCTION("""COMPUTED_VALUE"""),"PINK HEART SHAPE EGG FRYING PAN")</f>
        <v>PINK HEART SHAPE EGG FRYING PAN</v>
      </c>
      <c r="B679" s="2">
        <f>IFERROR(__xludf.DUMMYFUNCTION("""COMPUTED_VALUE"""),6.0)</f>
        <v>6</v>
      </c>
    </row>
    <row r="680">
      <c r="A680" s="2" t="str">
        <f>IFERROR(__xludf.DUMMYFUNCTION("""COMPUTED_VALUE"""),"ENGLISH ROSE DESIGN PEG BAG")</f>
        <v>ENGLISH ROSE DESIGN PEG BAG</v>
      </c>
      <c r="B680" s="2">
        <f>IFERROR(__xludf.DUMMYFUNCTION("""COMPUTED_VALUE"""),6.0)</f>
        <v>6</v>
      </c>
    </row>
    <row r="681">
      <c r="A681" s="2" t="str">
        <f>IFERROR(__xludf.DUMMYFUNCTION("""COMPUTED_VALUE"""),"STRAWBERRY CERAMIC TRINKET BOX")</f>
        <v>STRAWBERRY CERAMIC TRINKET BOX</v>
      </c>
      <c r="B681" s="2">
        <f>IFERROR(__xludf.DUMMYFUNCTION("""COMPUTED_VALUE"""),12.0)</f>
        <v>12</v>
      </c>
    </row>
    <row r="682">
      <c r="A682" s="2" t="str">
        <f>IFERROR(__xludf.DUMMYFUNCTION("""COMPUTED_VALUE"""),"SWEETHEART CERAMIC TRINKET BOX")</f>
        <v>SWEETHEART CERAMIC TRINKET BOX</v>
      </c>
      <c r="B682" s="2">
        <f>IFERROR(__xludf.DUMMYFUNCTION("""COMPUTED_VALUE"""),12.0)</f>
        <v>12</v>
      </c>
    </row>
    <row r="683">
      <c r="A683" s="2" t="str">
        <f>IFERROR(__xludf.DUMMYFUNCTION("""COMPUTED_VALUE"""),"RED STAR CARD HOLDER")</f>
        <v>RED STAR CARD HOLDER</v>
      </c>
      <c r="B683" s="2">
        <f>IFERROR(__xludf.DUMMYFUNCTION("""COMPUTED_VALUE"""),6.0)</f>
        <v>6</v>
      </c>
    </row>
    <row r="684">
      <c r="A684" s="2" t="str">
        <f>IFERROR(__xludf.DUMMYFUNCTION("""COMPUTED_VALUE"""),"WOODEN FRAME ANTIQUE WHITE")</f>
        <v>WOODEN FRAME ANTIQUE WHITE</v>
      </c>
      <c r="B684" s="2">
        <f>IFERROR(__xludf.DUMMYFUNCTION("""COMPUTED_VALUE"""),6.0)</f>
        <v>6</v>
      </c>
    </row>
    <row r="685">
      <c r="A685" s="2" t="str">
        <f>IFERROR(__xludf.DUMMYFUNCTION("""COMPUTED_VALUE"""),"LARGE GREEN PEONY FOLDING STOOL")</f>
        <v>LARGE GREEN PEONY FOLDING STOOL</v>
      </c>
      <c r="B685" s="2">
        <f>IFERROR(__xludf.DUMMYFUNCTION("""COMPUTED_VALUE"""),6.0)</f>
        <v>6</v>
      </c>
    </row>
    <row r="686">
      <c r="A686" s="2" t="str">
        <f>IFERROR(__xludf.DUMMYFUNCTION("""COMPUTED_VALUE"""),"LARGE PINK PEONY FOLDING STOOL")</f>
        <v>LARGE PINK PEONY FOLDING STOOL</v>
      </c>
      <c r="B686" s="2">
        <f>IFERROR(__xludf.DUMMYFUNCTION("""COMPUTED_VALUE"""),6.0)</f>
        <v>6</v>
      </c>
    </row>
    <row r="687">
      <c r="A687" s="2" t="str">
        <f>IFERROR(__xludf.DUMMYFUNCTION("""COMPUTED_VALUE"""),"FRYING PAN BLUE POLKADOT")</f>
        <v>FRYING PAN BLUE POLKADOT</v>
      </c>
      <c r="B687" s="2">
        <f>IFERROR(__xludf.DUMMYFUNCTION("""COMPUTED_VALUE"""),4.0)</f>
        <v>4</v>
      </c>
    </row>
    <row r="688">
      <c r="A688" s="2" t="str">
        <f>IFERROR(__xludf.DUMMYFUNCTION("""COMPUTED_VALUE"""),"PAPER CHAIN KIT 50'S CHRISTMAS")</f>
        <v>PAPER CHAIN KIT 50'S CHRISTMAS</v>
      </c>
      <c r="B688" s="2">
        <f>IFERROR(__xludf.DUMMYFUNCTION("""COMPUTED_VALUE"""),18.0)</f>
        <v>18</v>
      </c>
    </row>
    <row r="689">
      <c r="A689" s="2" t="str">
        <f>IFERROR(__xludf.DUMMYFUNCTION("""COMPUTED_VALUE"""),"SAVE THE PLANET MUG")</f>
        <v>SAVE THE PLANET MUG</v>
      </c>
      <c r="B689" s="2">
        <f>IFERROR(__xludf.DUMMYFUNCTION("""COMPUTED_VALUE"""),12.0)</f>
        <v>12</v>
      </c>
    </row>
    <row r="690">
      <c r="A690" s="2" t="str">
        <f>IFERROR(__xludf.DUMMYFUNCTION("""COMPUTED_VALUE"""),"KINGS CHOICE MUG")</f>
        <v>KINGS CHOICE MUG</v>
      </c>
      <c r="B690" s="2">
        <f>IFERROR(__xludf.DUMMYFUNCTION("""COMPUTED_VALUE"""),12.0)</f>
        <v>12</v>
      </c>
    </row>
    <row r="691">
      <c r="A691" s="2" t="str">
        <f>IFERROR(__xludf.DUMMYFUNCTION("""COMPUTED_VALUE"""),"COSY HOUR GIANT TUBE MATCHES")</f>
        <v>COSY HOUR GIANT TUBE MATCHES</v>
      </c>
      <c r="B691" s="2">
        <f>IFERROR(__xludf.DUMMYFUNCTION("""COMPUTED_VALUE"""),12.0)</f>
        <v>12</v>
      </c>
    </row>
    <row r="692">
      <c r="A692" s="2" t="str">
        <f>IFERROR(__xludf.DUMMYFUNCTION("""COMPUTED_VALUE"""),"SWALLOW CIGAR BOX MATCHES")</f>
        <v>SWALLOW CIGAR BOX MATCHES</v>
      </c>
      <c r="B692" s="2">
        <f>IFERROR(__xludf.DUMMYFUNCTION("""COMPUTED_VALUE"""),24.0)</f>
        <v>24</v>
      </c>
    </row>
    <row r="693">
      <c r="A693" s="2" t="str">
        <f>IFERROR(__xludf.DUMMYFUNCTION("""COMPUTED_VALUE"""),"COSY HOUR CIGAR BOX MATCHES")</f>
        <v>COSY HOUR CIGAR BOX MATCHES</v>
      </c>
      <c r="B693" s="2">
        <f>IFERROR(__xludf.DUMMYFUNCTION("""COMPUTED_VALUE"""),24.0)</f>
        <v>24</v>
      </c>
    </row>
    <row r="694">
      <c r="A694" s="2" t="str">
        <f>IFERROR(__xludf.DUMMYFUNCTION("""COMPUTED_VALUE"""),"KINGS CHOICE CIGAR BOX MATCHES")</f>
        <v>KINGS CHOICE CIGAR BOX MATCHES</v>
      </c>
      <c r="B694" s="2">
        <f>IFERROR(__xludf.DUMMYFUNCTION("""COMPUTED_VALUE"""),24.0)</f>
        <v>24</v>
      </c>
    </row>
    <row r="695">
      <c r="A695" s="2" t="str">
        <f>IFERROR(__xludf.DUMMYFUNCTION("""COMPUTED_VALUE"""),"PAPER CHAIN KIT RETRO SPOT")</f>
        <v>PAPER CHAIN KIT RETRO SPOT</v>
      </c>
      <c r="B695" s="2">
        <f>IFERROR(__xludf.DUMMYFUNCTION("""COMPUTED_VALUE"""),6.0)</f>
        <v>6</v>
      </c>
    </row>
    <row r="696">
      <c r="A696" s="2" t="str">
        <f>IFERROR(__xludf.DUMMYFUNCTION("""COMPUTED_VALUE"""),"PAPER CHAIN KIT SKULLS")</f>
        <v>PAPER CHAIN KIT SKULLS</v>
      </c>
      <c r="B696" s="2">
        <f>IFERROR(__xludf.DUMMYFUNCTION("""COMPUTED_VALUE"""),6.0)</f>
        <v>6</v>
      </c>
    </row>
    <row r="697">
      <c r="A697" s="2" t="str">
        <f>IFERROR(__xludf.DUMMYFUNCTION("""COMPUTED_VALUE"""),"BAKING SET 9 PIECE RETROSPOT")</f>
        <v>BAKING SET 9 PIECE RETROSPOT</v>
      </c>
      <c r="B697" s="2">
        <f>IFERROR(__xludf.DUMMYFUNCTION("""COMPUTED_VALUE"""),3.0)</f>
        <v>3</v>
      </c>
    </row>
    <row r="698">
      <c r="A698" s="2" t="str">
        <f>IFERROR(__xludf.DUMMYFUNCTION("""COMPUTED_VALUE"""),"JUMBO STORAGE BAG SKULLS")</f>
        <v>JUMBO STORAGE BAG SKULLS</v>
      </c>
      <c r="B698" s="2">
        <f>IFERROR(__xludf.DUMMYFUNCTION("""COMPUTED_VALUE"""),10.0)</f>
        <v>10</v>
      </c>
    </row>
    <row r="699">
      <c r="A699" s="2" t="str">
        <f>IFERROR(__xludf.DUMMYFUNCTION("""COMPUTED_VALUE"""),"JUMBO BAG RED WHITE SPOTTY")</f>
        <v>JUMBO BAG RED WHITE SPOTTY</v>
      </c>
      <c r="B699" s="2">
        <f>IFERROR(__xludf.DUMMYFUNCTION("""COMPUTED_VALUE"""),10.0)</f>
        <v>10</v>
      </c>
    </row>
    <row r="700">
      <c r="A700" s="2" t="str">
        <f>IFERROR(__xludf.DUMMYFUNCTION("""COMPUTED_VALUE"""),"JUMBO BAG BAROQUE BLACK WHITE")</f>
        <v>JUMBO BAG BAROQUE BLACK WHITE</v>
      </c>
      <c r="B700" s="2">
        <f>IFERROR(__xludf.DUMMYFUNCTION("""COMPUTED_VALUE"""),10.0)</f>
        <v>10</v>
      </c>
    </row>
    <row r="701">
      <c r="A701" s="2" t="str">
        <f>IFERROR(__xludf.DUMMYFUNCTION("""COMPUTED_VALUE"""),"LUNCH BAG BLACK SKULL.")</f>
        <v>LUNCH BAG BLACK SKULL.</v>
      </c>
      <c r="B701" s="2">
        <f>IFERROR(__xludf.DUMMYFUNCTION("""COMPUTED_VALUE"""),10.0)</f>
        <v>10</v>
      </c>
    </row>
    <row r="702">
      <c r="A702" s="2" t="str">
        <f>IFERROR(__xludf.DUMMYFUNCTION("""COMPUTED_VALUE"""),"LUNCH BAG WOODLAND")</f>
        <v>LUNCH BAG WOODLAND</v>
      </c>
      <c r="B702" s="2">
        <f>IFERROR(__xludf.DUMMYFUNCTION("""COMPUTED_VALUE"""),10.0)</f>
        <v>10</v>
      </c>
    </row>
    <row r="703">
      <c r="A703" s="2" t="str">
        <f>IFERROR(__xludf.DUMMYFUNCTION("""COMPUTED_VALUE"""),"LUNCH BAG RED SPOTTY")</f>
        <v>LUNCH BAG RED SPOTTY</v>
      </c>
      <c r="B703" s="2">
        <f>IFERROR(__xludf.DUMMYFUNCTION("""COMPUTED_VALUE"""),20.0)</f>
        <v>20</v>
      </c>
    </row>
    <row r="704">
      <c r="A704" s="2" t="str">
        <f>IFERROR(__xludf.DUMMYFUNCTION("""COMPUTED_VALUE"""),"PINK 3 PIECE MINI DOTS CUTLERY SET")</f>
        <v>PINK 3 PIECE MINI DOTS CUTLERY SET</v>
      </c>
      <c r="B704" s="2">
        <f>IFERROR(__xludf.DUMMYFUNCTION("""COMPUTED_VALUE"""),6.0)</f>
        <v>6</v>
      </c>
    </row>
    <row r="705">
      <c r="A705" s="2" t="str">
        <f>IFERROR(__xludf.DUMMYFUNCTION("""COMPUTED_VALUE"""),"SCOTTIE DOG HOT WATER BOTTLE")</f>
        <v>SCOTTIE DOG HOT WATER BOTTLE</v>
      </c>
      <c r="B705" s="2">
        <f>IFERROR(__xludf.DUMMYFUNCTION("""COMPUTED_VALUE"""),3.0)</f>
        <v>3</v>
      </c>
    </row>
    <row r="706">
      <c r="A706" s="2" t="str">
        <f>IFERROR(__xludf.DUMMYFUNCTION("""COMPUTED_VALUE"""),"RED SPOT HEART HOT WATER BOTTLE")</f>
        <v>RED SPOT HEART HOT WATER BOTTLE</v>
      </c>
      <c r="B706" s="2">
        <f>IFERROR(__xludf.DUMMYFUNCTION("""COMPUTED_VALUE"""),3.0)</f>
        <v>3</v>
      </c>
    </row>
    <row r="707">
      <c r="A707" s="2" t="str">
        <f>IFERROR(__xludf.DUMMYFUNCTION("""COMPUTED_VALUE"""),"CHICK GREY HOT WATER BOTTLE")</f>
        <v>CHICK GREY HOT WATER BOTTLE</v>
      </c>
      <c r="B707" s="2">
        <f>IFERROR(__xludf.DUMMYFUNCTION("""COMPUTED_VALUE"""),4.0)</f>
        <v>4</v>
      </c>
    </row>
    <row r="708">
      <c r="A708" s="2" t="str">
        <f>IFERROR(__xludf.DUMMYFUNCTION("""COMPUTED_VALUE"""),"FLORAL ELEPHANT SOFT TOY")</f>
        <v>FLORAL ELEPHANT SOFT TOY</v>
      </c>
      <c r="B708" s="2">
        <f>IFERROR(__xludf.DUMMYFUNCTION("""COMPUTED_VALUE"""),9.0)</f>
        <v>9</v>
      </c>
    </row>
    <row r="709">
      <c r="A709" s="2" t="str">
        <f>IFERROR(__xludf.DUMMYFUNCTION("""COMPUTED_VALUE"""),"GREEN FERN JOURNAL")</f>
        <v>GREEN FERN JOURNAL</v>
      </c>
      <c r="B709" s="2">
        <f>IFERROR(__xludf.DUMMYFUNCTION("""COMPUTED_VALUE"""),6.0)</f>
        <v>6</v>
      </c>
    </row>
    <row r="710">
      <c r="A710" s="2" t="str">
        <f>IFERROR(__xludf.DUMMYFUNCTION("""COMPUTED_VALUE"""),"PINK FAIRY CAKE CHILD'S APRON")</f>
        <v>PINK FAIRY CAKE CHILD'S APRON</v>
      </c>
      <c r="B710" s="2">
        <f>IFERROR(__xludf.DUMMYFUNCTION("""COMPUTED_VALUE"""),8.0)</f>
        <v>8</v>
      </c>
    </row>
    <row r="711">
      <c r="A711" s="2" t="str">
        <f>IFERROR(__xludf.DUMMYFUNCTION("""COMPUTED_VALUE"""),"SCOTTIES DES CHILD'S APRON")</f>
        <v>SCOTTIES DES CHILD'S APRON</v>
      </c>
      <c r="B711" s="2">
        <f>IFERROR(__xludf.DUMMYFUNCTION("""COMPUTED_VALUE"""),8.0)</f>
        <v>8</v>
      </c>
    </row>
    <row r="712">
      <c r="A712" s="2" t="str">
        <f>IFERROR(__xludf.DUMMYFUNCTION("""COMPUTED_VALUE"""),"ROSE DU SUD CHILDS APRON")</f>
        <v>ROSE DU SUD CHILDS APRON</v>
      </c>
      <c r="B712" s="2">
        <f>IFERROR(__xludf.DUMMYFUNCTION("""COMPUTED_VALUE"""),3.0)</f>
        <v>3</v>
      </c>
    </row>
    <row r="713">
      <c r="A713" s="2" t="str">
        <f>IFERROR(__xludf.DUMMYFUNCTION("""COMPUTED_VALUE"""),"FUNKY WASHING UP GLOVES ASSORTED")</f>
        <v>FUNKY WASHING UP GLOVES ASSORTED</v>
      </c>
      <c r="B713" s="2">
        <f>IFERROR(__xludf.DUMMYFUNCTION("""COMPUTED_VALUE"""),12.0)</f>
        <v>12</v>
      </c>
    </row>
    <row r="714">
      <c r="A714" s="2" t="str">
        <f>IFERROR(__xludf.DUMMYFUNCTION("""COMPUTED_VALUE"""),"LARGE HEART MEASURING SPOONS")</f>
        <v>LARGE HEART MEASURING SPOONS</v>
      </c>
      <c r="B714" s="2">
        <f>IFERROR(__xludf.DUMMYFUNCTION("""COMPUTED_VALUE"""),12.0)</f>
        <v>12</v>
      </c>
    </row>
    <row r="715">
      <c r="A715" s="2" t="str">
        <f>IFERROR(__xludf.DUMMYFUNCTION("""COMPUTED_VALUE"""),"FRYING PAN RED POLKADOT")</f>
        <v>FRYING PAN RED POLKADOT</v>
      </c>
      <c r="B715" s="2">
        <f>IFERROR(__xludf.DUMMYFUNCTION("""COMPUTED_VALUE"""),4.0)</f>
        <v>4</v>
      </c>
    </row>
    <row r="716">
      <c r="A716" s="2" t="str">
        <f>IFERROR(__xludf.DUMMYFUNCTION("""COMPUTED_VALUE"""),"FELTCRAFT DOLL ROSIE")</f>
        <v>FELTCRAFT DOLL ROSIE</v>
      </c>
      <c r="B716" s="2">
        <f>IFERROR(__xludf.DUMMYFUNCTION("""COMPUTED_VALUE"""),1.0)</f>
        <v>1</v>
      </c>
    </row>
    <row r="717">
      <c r="A717" s="2" t="str">
        <f>IFERROR(__xludf.DUMMYFUNCTION("""COMPUTED_VALUE"""),"FELT TOADSTOOL LARGE")</f>
        <v>FELT TOADSTOOL LARGE</v>
      </c>
      <c r="B717" s="2">
        <f>IFERROR(__xludf.DUMMYFUNCTION("""COMPUTED_VALUE"""),12.0)</f>
        <v>12</v>
      </c>
    </row>
    <row r="718">
      <c r="A718" s="2" t="str">
        <f>IFERROR(__xludf.DUMMYFUNCTION("""COMPUTED_VALUE"""),"FELTCRAFT DOLL MOLLY")</f>
        <v>FELTCRAFT DOLL MOLLY</v>
      </c>
      <c r="B718" s="2">
        <f>IFERROR(__xludf.DUMMYFUNCTION("""COMPUTED_VALUE"""),3.0)</f>
        <v>3</v>
      </c>
    </row>
    <row r="719">
      <c r="A719" s="2" t="str">
        <f>IFERROR(__xludf.DUMMYFUNCTION("""COMPUTED_VALUE"""),"LARGE HEART MEASURING SPOONS")</f>
        <v>LARGE HEART MEASURING SPOONS</v>
      </c>
      <c r="B719" s="2">
        <f>IFERROR(__xludf.DUMMYFUNCTION("""COMPUTED_VALUE"""),1.0)</f>
        <v>1</v>
      </c>
    </row>
    <row r="720">
      <c r="A720" s="2" t="str">
        <f>IFERROR(__xludf.DUMMYFUNCTION("""COMPUTED_VALUE"""),"FOOD CONTAINER SET 3 LOVE HEART")</f>
        <v>FOOD CONTAINER SET 3 LOVE HEART</v>
      </c>
      <c r="B720" s="2">
        <f>IFERROR(__xludf.DUMMYFUNCTION("""COMPUTED_VALUE"""),2.0)</f>
        <v>2</v>
      </c>
    </row>
    <row r="721">
      <c r="A721" s="2" t="str">
        <f>IFERROR(__xludf.DUMMYFUNCTION("""COMPUTED_VALUE"""),"RIBBON REEL HEARTS DESIGN")</f>
        <v>RIBBON REEL HEARTS DESIGN</v>
      </c>
      <c r="B721" s="2">
        <f>IFERROR(__xludf.DUMMYFUNCTION("""COMPUTED_VALUE"""),10.0)</f>
        <v>10</v>
      </c>
    </row>
    <row r="722">
      <c r="A722" s="2" t="str">
        <f>IFERROR(__xludf.DUMMYFUNCTION("""COMPUTED_VALUE"""),"BAKING SET 9 PIECE RETROSPOT")</f>
        <v>BAKING SET 9 PIECE RETROSPOT</v>
      </c>
      <c r="B722" s="2">
        <f>IFERROR(__xludf.DUMMYFUNCTION("""COMPUTED_VALUE"""),3.0)</f>
        <v>3</v>
      </c>
    </row>
    <row r="723">
      <c r="A723" s="2" t="str">
        <f>IFERROR(__xludf.DUMMYFUNCTION("""COMPUTED_VALUE"""),"FELTCRAFT BUTTERFLY HEARTS")</f>
        <v>FELTCRAFT BUTTERFLY HEARTS</v>
      </c>
      <c r="B723" s="2">
        <f>IFERROR(__xludf.DUMMYFUNCTION("""COMPUTED_VALUE"""),2.0)</f>
        <v>2</v>
      </c>
    </row>
    <row r="724">
      <c r="A724" s="2" t="str">
        <f>IFERROR(__xludf.DUMMYFUNCTION("""COMPUTED_VALUE"""),"CHRISTMAS CRAFT WHITE FAIRY")</f>
        <v>CHRISTMAS CRAFT WHITE FAIRY</v>
      </c>
      <c r="B724" s="2">
        <f>IFERROR(__xludf.DUMMYFUNCTION("""COMPUTED_VALUE"""),2.0)</f>
        <v>2</v>
      </c>
    </row>
    <row r="725">
      <c r="A725" s="2" t="str">
        <f>IFERROR(__xludf.DUMMYFUNCTION("""COMPUTED_VALUE"""),"3 STRIPEY MICE FELTCRAFT")</f>
        <v>3 STRIPEY MICE FELTCRAFT</v>
      </c>
      <c r="B725" s="2">
        <f>IFERROR(__xludf.DUMMYFUNCTION("""COMPUTED_VALUE"""),2.0)</f>
        <v>2</v>
      </c>
    </row>
    <row r="726">
      <c r="A726" s="2" t="str">
        <f>IFERROR(__xludf.DUMMYFUNCTION("""COMPUTED_VALUE"""),"GLASS CHICKEN BUTTER DISH")</f>
        <v>GLASS CHICKEN BUTTER DISH</v>
      </c>
      <c r="B726" s="2">
        <f>IFERROR(__xludf.DUMMYFUNCTION("""COMPUTED_VALUE"""),1.0)</f>
        <v>1</v>
      </c>
    </row>
    <row r="727">
      <c r="A727" s="2" t="str">
        <f>IFERROR(__xludf.DUMMYFUNCTION("""COMPUTED_VALUE"""),"PAPER CHAIN KIT 50'S CHRISTMAS")</f>
        <v>PAPER CHAIN KIT 50'S CHRISTMAS</v>
      </c>
      <c r="B727" s="2">
        <f>IFERROR(__xludf.DUMMYFUNCTION("""COMPUTED_VALUE"""),3.0)</f>
        <v>3</v>
      </c>
    </row>
    <row r="728">
      <c r="A728" s="2" t="str">
        <f>IFERROR(__xludf.DUMMYFUNCTION("""COMPUTED_VALUE"""),"VINTAGE RED TEATIME MUG")</f>
        <v>VINTAGE RED TEATIME MUG</v>
      </c>
      <c r="B728" s="2">
        <f>IFERROR(__xludf.DUMMYFUNCTION("""COMPUTED_VALUE"""),6.0)</f>
        <v>6</v>
      </c>
    </row>
    <row r="729">
      <c r="A729" s="2" t="str">
        <f>IFERROR(__xludf.DUMMYFUNCTION("""COMPUTED_VALUE"""),"LARGE HEART MEASURING SPOONS")</f>
        <v>LARGE HEART MEASURING SPOONS</v>
      </c>
      <c r="B729" s="2">
        <f>IFERROR(__xludf.DUMMYFUNCTION("""COMPUTED_VALUE"""),5.0)</f>
        <v>5</v>
      </c>
    </row>
    <row r="730">
      <c r="A730" s="2" t="str">
        <f>IFERROR(__xludf.DUMMYFUNCTION("""COMPUTED_VALUE"""),"APPLE BATH SPONGE")</f>
        <v>APPLE BATH SPONGE</v>
      </c>
      <c r="B730" s="2">
        <f>IFERROR(__xludf.DUMMYFUNCTION("""COMPUTED_VALUE"""),10.0)</f>
        <v>10</v>
      </c>
    </row>
    <row r="731">
      <c r="A731" s="2" t="str">
        <f>IFERROR(__xludf.DUMMYFUNCTION("""COMPUTED_VALUE"""),"FRENCH ENAMEL CANDLEHOLDER")</f>
        <v>FRENCH ENAMEL CANDLEHOLDER</v>
      </c>
      <c r="B731" s="2">
        <f>IFERROR(__xludf.DUMMYFUNCTION("""COMPUTED_VALUE"""),1.0)</f>
        <v>1</v>
      </c>
    </row>
    <row r="732">
      <c r="A732" s="2" t="str">
        <f>IFERROR(__xludf.DUMMYFUNCTION("""COMPUTED_VALUE"""),"STRAWBERRY LUNCHBOX WITH CUTLERY")</f>
        <v>STRAWBERRY LUNCHBOX WITH CUTLERY</v>
      </c>
      <c r="B732" s="2">
        <f>IFERROR(__xludf.DUMMYFUNCTION("""COMPUTED_VALUE"""),2.0)</f>
        <v>2</v>
      </c>
    </row>
    <row r="733">
      <c r="A733" s="2" t="str">
        <f>IFERROR(__xludf.DUMMYFUNCTION("""COMPUTED_VALUE"""),"SKULL LUNCHBOX WITH CUTLERY")</f>
        <v>SKULL LUNCHBOX WITH CUTLERY</v>
      </c>
      <c r="B733" s="2">
        <f>IFERROR(__xludf.DUMMYFUNCTION("""COMPUTED_VALUE"""),3.0)</f>
        <v>3</v>
      </c>
    </row>
    <row r="734">
      <c r="A734" s="2" t="str">
        <f>IFERROR(__xludf.DUMMYFUNCTION("""COMPUTED_VALUE"""),"LUNCHBOX WITH CUTLERY RETROSPOT")</f>
        <v>LUNCHBOX WITH CUTLERY RETROSPOT</v>
      </c>
      <c r="B734" s="2">
        <f>IFERROR(__xludf.DUMMYFUNCTION("""COMPUTED_VALUE"""),1.0)</f>
        <v>1</v>
      </c>
    </row>
    <row r="735">
      <c r="A735" s="2" t="str">
        <f>IFERROR(__xludf.DUMMYFUNCTION("""COMPUTED_VALUE"""),"ROSE DU SUD CHILDS APRON")</f>
        <v>ROSE DU SUD CHILDS APRON</v>
      </c>
      <c r="B735" s="2">
        <f>IFERROR(__xludf.DUMMYFUNCTION("""COMPUTED_VALUE"""),3.0)</f>
        <v>3</v>
      </c>
    </row>
    <row r="736">
      <c r="A736" s="2" t="str">
        <f>IFERROR(__xludf.DUMMYFUNCTION("""COMPUTED_VALUE"""),"GREEN GINGHAM FLOWER JEWELLERY BOX")</f>
        <v>GREEN GINGHAM FLOWER JEWELLERY BOX</v>
      </c>
      <c r="B736" s="2">
        <f>IFERROR(__xludf.DUMMYFUNCTION("""COMPUTED_VALUE"""),1.0)</f>
        <v>1</v>
      </c>
    </row>
    <row r="737">
      <c r="A737" s="2" t="str">
        <f>IFERROR(__xludf.DUMMYFUNCTION("""COMPUTED_VALUE"""),"GLASS CHALICE BLUE LARGE")</f>
        <v>GLASS CHALICE BLUE LARGE</v>
      </c>
      <c r="B737" s="2">
        <f>IFERROR(__xludf.DUMMYFUNCTION("""COMPUTED_VALUE"""),6.0)</f>
        <v>6</v>
      </c>
    </row>
    <row r="738">
      <c r="A738" s="2" t="str">
        <f>IFERROR(__xludf.DUMMYFUNCTION("""COMPUTED_VALUE"""),"WASH BAG VINTAGE ROSE PAISLEY")</f>
        <v>WASH BAG VINTAGE ROSE PAISLEY</v>
      </c>
      <c r="B738" s="2">
        <f>IFERROR(__xludf.DUMMYFUNCTION("""COMPUTED_VALUE"""),1.0)</f>
        <v>1</v>
      </c>
    </row>
    <row r="739">
      <c r="A739" s="2" t="str">
        <f>IFERROR(__xludf.DUMMYFUNCTION("""COMPUTED_VALUE"""),"RETRO PINK SPOT WASHING UP GLOVES")</f>
        <v>RETRO PINK SPOT WASHING UP GLOVES</v>
      </c>
      <c r="B739" s="2">
        <f>IFERROR(__xludf.DUMMYFUNCTION("""COMPUTED_VALUE"""),1.0)</f>
        <v>1</v>
      </c>
    </row>
    <row r="740">
      <c r="A740" s="2" t="str">
        <f>IFERROR(__xludf.DUMMYFUNCTION("""COMPUTED_VALUE"""),"RETRO RED SPOTTY WASHING UP GLOVES")</f>
        <v>RETRO RED SPOTTY WASHING UP GLOVES</v>
      </c>
      <c r="B740" s="2">
        <f>IFERROR(__xludf.DUMMYFUNCTION("""COMPUTED_VALUE"""),2.0)</f>
        <v>2</v>
      </c>
    </row>
    <row r="741">
      <c r="A741" s="2" t="str">
        <f>IFERROR(__xludf.DUMMYFUNCTION("""COMPUTED_VALUE"""),"RETRO BLUE SPOTTY WASHING UP GLOVES")</f>
        <v>RETRO BLUE SPOTTY WASHING UP GLOVES</v>
      </c>
      <c r="B741" s="2">
        <f>IFERROR(__xludf.DUMMYFUNCTION("""COMPUTED_VALUE"""),3.0)</f>
        <v>3</v>
      </c>
    </row>
    <row r="742">
      <c r="A742" s="2" t="str">
        <f>IFERROR(__xludf.DUMMYFUNCTION("""COMPUTED_VALUE"""),"BLUE WHITE SCARF HOT WATER BOTTLE")</f>
        <v>BLUE WHITE SCARF HOT WATER BOTTLE</v>
      </c>
      <c r="B742" s="2">
        <f>IFERROR(__xludf.DUMMYFUNCTION("""COMPUTED_VALUE"""),1.0)</f>
        <v>1</v>
      </c>
    </row>
    <row r="743">
      <c r="A743" s="2" t="str">
        <f>IFERROR(__xludf.DUMMYFUNCTION("""COMPUTED_VALUE"""),"RED WHITE SCARF HOT WATER BOTTLE")</f>
        <v>RED WHITE SCARF HOT WATER BOTTLE</v>
      </c>
      <c r="B743" s="2">
        <f>IFERROR(__xludf.DUMMYFUNCTION("""COMPUTED_VALUE"""),1.0)</f>
        <v>1</v>
      </c>
    </row>
    <row r="744">
      <c r="A744" s="2" t="str">
        <f>IFERROR(__xludf.DUMMYFUNCTION("""COMPUTED_VALUE"""),"GLASS CHALICE GREEN LARGE")</f>
        <v>GLASS CHALICE GREEN LARGE</v>
      </c>
      <c r="B744" s="2">
        <f>IFERROR(__xludf.DUMMYFUNCTION("""COMPUTED_VALUE"""),6.0)</f>
        <v>6</v>
      </c>
    </row>
    <row r="745">
      <c r="A745" s="2" t="str">
        <f>IFERROR(__xludf.DUMMYFUNCTION("""COMPUTED_VALUE"""),"COFFEE MUG PEARS DESIGN")</f>
        <v>COFFEE MUG PEARS DESIGN</v>
      </c>
      <c r="B745" s="2">
        <f>IFERROR(__xludf.DUMMYFUNCTION("""COMPUTED_VALUE"""),6.0)</f>
        <v>6</v>
      </c>
    </row>
    <row r="746">
      <c r="A746" s="2" t="str">
        <f>IFERROR(__xludf.DUMMYFUNCTION("""COMPUTED_VALUE"""),"COFFEE MUG APPLES DESIGN")</f>
        <v>COFFEE MUG APPLES DESIGN</v>
      </c>
      <c r="B746" s="2">
        <f>IFERROR(__xludf.DUMMYFUNCTION("""COMPUTED_VALUE"""),6.0)</f>
        <v>6</v>
      </c>
    </row>
    <row r="747">
      <c r="A747" s="2" t="str">
        <f>IFERROR(__xludf.DUMMYFUNCTION("""COMPUTED_VALUE"""),"WHITE BELL HONEYCOMB PAPER GARLAND")</f>
        <v>WHITE BELL HONEYCOMB PAPER GARLAND</v>
      </c>
      <c r="B747" s="2">
        <f>IFERROR(__xludf.DUMMYFUNCTION("""COMPUTED_VALUE"""),2.0)</f>
        <v>2</v>
      </c>
    </row>
    <row r="748">
      <c r="A748" s="2" t="str">
        <f>IFERROR(__xludf.DUMMYFUNCTION("""COMPUTED_VALUE"""),"WHITE DOVE HONEYCOMB PAPER GARLAND")</f>
        <v>WHITE DOVE HONEYCOMB PAPER GARLAND</v>
      </c>
      <c r="B748" s="2">
        <f>IFERROR(__xludf.DUMMYFUNCTION("""COMPUTED_VALUE"""),6.0)</f>
        <v>6</v>
      </c>
    </row>
    <row r="749">
      <c r="A749" s="2" t="str">
        <f>IFERROR(__xludf.DUMMYFUNCTION("""COMPUTED_VALUE"""),"PAPER CHAIN KIT RETRO SPOT")</f>
        <v>PAPER CHAIN KIT RETRO SPOT</v>
      </c>
      <c r="B749" s="2">
        <f>IFERROR(__xludf.DUMMYFUNCTION("""COMPUTED_VALUE"""),3.0)</f>
        <v>3</v>
      </c>
    </row>
    <row r="750">
      <c r="A750" s="2" t="str">
        <f>IFERROR(__xludf.DUMMYFUNCTION("""COMPUTED_VALUE"""),"RIBBON REEL SPOTS DESIGN")</f>
        <v>RIBBON REEL SPOTS DESIGN</v>
      </c>
      <c r="B750" s="2">
        <f>IFERROR(__xludf.DUMMYFUNCTION("""COMPUTED_VALUE"""),5.0)</f>
        <v>5</v>
      </c>
    </row>
    <row r="751">
      <c r="A751" s="2" t="str">
        <f>IFERROR(__xludf.DUMMYFUNCTION("""COMPUTED_VALUE"""),"FELTCRAFT DOLL EMILY")</f>
        <v>FELTCRAFT DOLL EMILY</v>
      </c>
      <c r="B751" s="2">
        <f>IFERROR(__xludf.DUMMYFUNCTION("""COMPUTED_VALUE"""),1.0)</f>
        <v>1</v>
      </c>
    </row>
    <row r="752">
      <c r="A752" s="2" t="str">
        <f>IFERROR(__xludf.DUMMYFUNCTION("""COMPUTED_VALUE"""),"WASH BAG VINTAGE ROSE PAISLEY")</f>
        <v>WASH BAG VINTAGE ROSE PAISLEY</v>
      </c>
      <c r="B752" s="2">
        <f>IFERROR(__xludf.DUMMYFUNCTION("""COMPUTED_VALUE"""),6.0)</f>
        <v>6</v>
      </c>
    </row>
    <row r="753">
      <c r="A753" s="2" t="str">
        <f>IFERROR(__xludf.DUMMYFUNCTION("""COMPUTED_VALUE"""),"4 WILDFLOWER BOTANICAL CANDLES")</f>
        <v>4 WILDFLOWER BOTANICAL CANDLES</v>
      </c>
      <c r="B753" s="2">
        <f>IFERROR(__xludf.DUMMYFUNCTION("""COMPUTED_VALUE"""),6.0)</f>
        <v>6</v>
      </c>
    </row>
    <row r="754">
      <c r="A754" s="2" t="str">
        <f>IFERROR(__xludf.DUMMYFUNCTION("""COMPUTED_VALUE"""),"4 LAVENDER BOTANICAL DINNER CANDLES")</f>
        <v>4 LAVENDER BOTANICAL DINNER CANDLES</v>
      </c>
      <c r="B754" s="2">
        <f>IFERROR(__xludf.DUMMYFUNCTION("""COMPUTED_VALUE"""),6.0)</f>
        <v>6</v>
      </c>
    </row>
    <row r="755">
      <c r="A755" s="2" t="str">
        <f>IFERROR(__xludf.DUMMYFUNCTION("""COMPUTED_VALUE"""),"4 VANILLA BOTANICAL CANDLES")</f>
        <v>4 VANILLA BOTANICAL CANDLES</v>
      </c>
      <c r="B755" s="2">
        <f>IFERROR(__xludf.DUMMYFUNCTION("""COMPUTED_VALUE"""),6.0)</f>
        <v>6</v>
      </c>
    </row>
    <row r="756">
      <c r="A756" s="2" t="str">
        <f>IFERROR(__xludf.DUMMYFUNCTION("""COMPUTED_VALUE"""),"SET 12 WILDFLOWER BOTANICAL T-LIGHT")</f>
        <v>SET 12 WILDFLOWER BOTANICAL T-LIGHT</v>
      </c>
      <c r="B756" s="2">
        <f>IFERROR(__xludf.DUMMYFUNCTION("""COMPUTED_VALUE"""),6.0)</f>
        <v>6</v>
      </c>
    </row>
    <row r="757">
      <c r="A757" s="2" t="str">
        <f>IFERROR(__xludf.DUMMYFUNCTION("""COMPUTED_VALUE"""),"TRADITIONAL CHRISTMAS RIBBONS")</f>
        <v>TRADITIONAL CHRISTMAS RIBBONS</v>
      </c>
      <c r="B757" s="2">
        <f>IFERROR(__xludf.DUMMYFUNCTION("""COMPUTED_VALUE"""),12.0)</f>
        <v>12</v>
      </c>
    </row>
    <row r="758">
      <c r="A758" s="2" t="str">
        <f>IFERROR(__xludf.DUMMYFUNCTION("""COMPUTED_VALUE"""),"LUSH GREENS RIBBONS")</f>
        <v>LUSH GREENS RIBBONS</v>
      </c>
      <c r="B758" s="2">
        <f>IFERROR(__xludf.DUMMYFUNCTION("""COMPUTED_VALUE"""),12.0)</f>
        <v>12</v>
      </c>
    </row>
    <row r="759">
      <c r="A759" s="2" t="str">
        <f>IFERROR(__xludf.DUMMYFUNCTION("""COMPUTED_VALUE"""),"CHOCOLATE BOX RIBBONS")</f>
        <v>CHOCOLATE BOX RIBBONS</v>
      </c>
      <c r="B759" s="2">
        <f>IFERROR(__xludf.DUMMYFUNCTION("""COMPUTED_VALUE"""),12.0)</f>
        <v>12</v>
      </c>
    </row>
    <row r="760">
      <c r="A760" s="2" t="str">
        <f>IFERROR(__xludf.DUMMYFUNCTION("""COMPUTED_VALUE"""),"GIN + TONIC DIET METAL SIGN")</f>
        <v>GIN + TONIC DIET METAL SIGN</v>
      </c>
      <c r="B760" s="2">
        <f>IFERROR(__xludf.DUMMYFUNCTION("""COMPUTED_VALUE"""),6.0)</f>
        <v>6</v>
      </c>
    </row>
    <row r="761">
      <c r="A761" s="2" t="str">
        <f>IFERROR(__xludf.DUMMYFUNCTION("""COMPUTED_VALUE"""),"OPEN CLOSED METAL SIGN")</f>
        <v>OPEN CLOSED METAL SIGN</v>
      </c>
      <c r="B761" s="2">
        <f>IFERROR(__xludf.DUMMYFUNCTION("""COMPUTED_VALUE"""),2.0)</f>
        <v>2</v>
      </c>
    </row>
    <row r="762">
      <c r="A762" s="2" t="str">
        <f>IFERROR(__xludf.DUMMYFUNCTION("""COMPUTED_VALUE"""),"ASSORTED SANSKRIT MINI NOTEBOOK")</f>
        <v>ASSORTED SANSKRIT MINI NOTEBOOK</v>
      </c>
      <c r="B762" s="2">
        <f>IFERROR(__xludf.DUMMYFUNCTION("""COMPUTED_VALUE"""),18.0)</f>
        <v>18</v>
      </c>
    </row>
    <row r="763">
      <c r="A763" s="2" t="str">
        <f>IFERROR(__xludf.DUMMYFUNCTION("""COMPUTED_VALUE"""),"RIBBON REEL HEARTS DESIGN")</f>
        <v>RIBBON REEL HEARTS DESIGN</v>
      </c>
      <c r="B763" s="2">
        <f>IFERROR(__xludf.DUMMYFUNCTION("""COMPUTED_VALUE"""),2.0)</f>
        <v>2</v>
      </c>
    </row>
    <row r="764">
      <c r="A764" s="2" t="str">
        <f>IFERROR(__xludf.DUMMYFUNCTION("""COMPUTED_VALUE"""),"SET/4 BADGES WOODLAND ANIMAL")</f>
        <v>SET/4 BADGES WOODLAND ANIMAL</v>
      </c>
      <c r="B764" s="2">
        <f>IFERROR(__xludf.DUMMYFUNCTION("""COMPUTED_VALUE"""),2.0)</f>
        <v>2</v>
      </c>
    </row>
    <row r="765">
      <c r="A765" s="2" t="str">
        <f>IFERROR(__xludf.DUMMYFUNCTION("""COMPUTED_VALUE"""),"TOXIC AREA DOOR HANGER")</f>
        <v>TOXIC AREA DOOR HANGER</v>
      </c>
      <c r="B765" s="2">
        <f>IFERROR(__xludf.DUMMYFUNCTION("""COMPUTED_VALUE"""),4.0)</f>
        <v>4</v>
      </c>
    </row>
    <row r="766">
      <c r="A766" s="2" t="str">
        <f>IFERROR(__xludf.DUMMYFUNCTION("""COMPUTED_VALUE"""),"BRIGHT BLUES RIBBONS")</f>
        <v>BRIGHT BLUES RIBBONS</v>
      </c>
      <c r="B766" s="2">
        <f>IFERROR(__xludf.DUMMYFUNCTION("""COMPUTED_VALUE"""),2.0)</f>
        <v>2</v>
      </c>
    </row>
    <row r="767">
      <c r="A767" s="2" t="str">
        <f>IFERROR(__xludf.DUMMYFUNCTION("""COMPUTED_VALUE"""),"URBAN BLACK RIBBONS")</f>
        <v>URBAN BLACK RIBBONS</v>
      </c>
      <c r="B767" s="2">
        <f>IFERROR(__xludf.DUMMYFUNCTION("""COMPUTED_VALUE"""),1.0)</f>
        <v>1</v>
      </c>
    </row>
    <row r="768">
      <c r="A768" s="2" t="str">
        <f>IFERROR(__xludf.DUMMYFUNCTION("""COMPUTED_VALUE"""),"CHOCOLATE BOX RIBBONS")</f>
        <v>CHOCOLATE BOX RIBBONS</v>
      </c>
      <c r="B768" s="2">
        <f>IFERROR(__xludf.DUMMYFUNCTION("""COMPUTED_VALUE"""),3.0)</f>
        <v>3</v>
      </c>
    </row>
    <row r="769">
      <c r="A769" s="2" t="str">
        <f>IFERROR(__xludf.DUMMYFUNCTION("""COMPUTED_VALUE"""),"PAPER CHAIN KIT 50'S CHRISTMAS")</f>
        <v>PAPER CHAIN KIT 50'S CHRISTMAS</v>
      </c>
      <c r="B769" s="2">
        <f>IFERROR(__xludf.DUMMYFUNCTION("""COMPUTED_VALUE"""),2.0)</f>
        <v>2</v>
      </c>
    </row>
    <row r="770">
      <c r="A770" s="2" t="str">
        <f>IFERROR(__xludf.DUMMYFUNCTION("""COMPUTED_VALUE"""),"FAIRY CAKE CANDLES")</f>
        <v>FAIRY CAKE CANDLES</v>
      </c>
      <c r="B770" s="2">
        <f>IFERROR(__xludf.DUMMYFUNCTION("""COMPUTED_VALUE"""),9.0)</f>
        <v>9</v>
      </c>
    </row>
    <row r="771">
      <c r="A771" s="2" t="str">
        <f>IFERROR(__xludf.DUMMYFUNCTION("""COMPUTED_VALUE"""),"GREEN 3 PIECE MINI DOTS CUTLERY SET")</f>
        <v>GREEN 3 PIECE MINI DOTS CUTLERY SET</v>
      </c>
      <c r="B771" s="2">
        <f>IFERROR(__xludf.DUMMYFUNCTION("""COMPUTED_VALUE"""),6.0)</f>
        <v>6</v>
      </c>
    </row>
    <row r="772">
      <c r="A772" s="2" t="str">
        <f>IFERROR(__xludf.DUMMYFUNCTION("""COMPUTED_VALUE"""),"PINK 3 PIECE MINI DOTS CUTLERY SET")</f>
        <v>PINK 3 PIECE MINI DOTS CUTLERY SET</v>
      </c>
      <c r="B772" s="2">
        <f>IFERROR(__xludf.DUMMYFUNCTION("""COMPUTED_VALUE"""),6.0)</f>
        <v>6</v>
      </c>
    </row>
    <row r="773">
      <c r="A773" s="2" t="str">
        <f>IFERROR(__xludf.DUMMYFUNCTION("""COMPUTED_VALUE"""),"RED 3 PIECE MINI DOTS CUTLERY SET")</f>
        <v>RED 3 PIECE MINI DOTS CUTLERY SET</v>
      </c>
      <c r="B773" s="2">
        <f>IFERROR(__xludf.DUMMYFUNCTION("""COMPUTED_VALUE"""),6.0)</f>
        <v>6</v>
      </c>
    </row>
    <row r="774">
      <c r="A774" s="2" t="str">
        <f>IFERROR(__xludf.DUMMYFUNCTION("""COMPUTED_VALUE"""),"BLUE 3 PIECE MINI DOTS CUTLERY SET")</f>
        <v>BLUE 3 PIECE MINI DOTS CUTLERY SET</v>
      </c>
      <c r="B774" s="2">
        <f>IFERROR(__xludf.DUMMYFUNCTION("""COMPUTED_VALUE"""),6.0)</f>
        <v>6</v>
      </c>
    </row>
    <row r="775">
      <c r="A775" s="2" t="str">
        <f>IFERROR(__xludf.DUMMYFUNCTION("""COMPUTED_VALUE"""),"LETS GO SHOPPING COTTON TOTE BAG")</f>
        <v>LETS GO SHOPPING COTTON TOTE BAG</v>
      </c>
      <c r="B775" s="2">
        <f>IFERROR(__xludf.DUMMYFUNCTION("""COMPUTED_VALUE"""),1.0)</f>
        <v>1</v>
      </c>
    </row>
    <row r="776">
      <c r="A776" s="2" t="str">
        <f>IFERROR(__xludf.DUMMYFUNCTION("""COMPUTED_VALUE"""),"RABBIT DESIGN COTTON TOTE BAG")</f>
        <v>RABBIT DESIGN COTTON TOTE BAG</v>
      </c>
      <c r="B776" s="2">
        <f>IFERROR(__xludf.DUMMYFUNCTION("""COMPUTED_VALUE"""),1.0)</f>
        <v>1</v>
      </c>
    </row>
    <row r="777">
      <c r="A777" s="2" t="str">
        <f>IFERROR(__xludf.DUMMYFUNCTION("""COMPUTED_VALUE"""),"SCOTTIE DOG HOT WATER BOTTLE")</f>
        <v>SCOTTIE DOG HOT WATER BOTTLE</v>
      </c>
      <c r="B777" s="2">
        <f>IFERROR(__xludf.DUMMYFUNCTION("""COMPUTED_VALUE"""),8.0)</f>
        <v>8</v>
      </c>
    </row>
    <row r="778">
      <c r="A778" s="2" t="str">
        <f>IFERROR(__xludf.DUMMYFUNCTION("""COMPUTED_VALUE"""),"WHITE SKULL HOT WATER BOTTLE")</f>
        <v>WHITE SKULL HOT WATER BOTTLE</v>
      </c>
      <c r="B778" s="2">
        <f>IFERROR(__xludf.DUMMYFUNCTION("""COMPUTED_VALUE"""),10.0)</f>
        <v>10</v>
      </c>
    </row>
    <row r="779">
      <c r="A779" s="2" t="str">
        <f>IFERROR(__xludf.DUMMYFUNCTION("""COMPUTED_VALUE"""),"SET OF THREE 50'S GIFT WRAPS")</f>
        <v>SET OF THREE 50'S GIFT WRAPS</v>
      </c>
      <c r="B779" s="2">
        <f>IFERROR(__xludf.DUMMYFUNCTION("""COMPUTED_VALUE"""),3.0)</f>
        <v>3</v>
      </c>
    </row>
    <row r="780">
      <c r="A780" s="2" t="str">
        <f>IFERROR(__xludf.DUMMYFUNCTION("""COMPUTED_VALUE"""),"FELTCRAFT DOLL ROSIE")</f>
        <v>FELTCRAFT DOLL ROSIE</v>
      </c>
      <c r="B780" s="2">
        <f>IFERROR(__xludf.DUMMYFUNCTION("""COMPUTED_VALUE"""),2.0)</f>
        <v>2</v>
      </c>
    </row>
    <row r="781">
      <c r="A781" s="2" t="str">
        <f>IFERROR(__xludf.DUMMYFUNCTION("""COMPUTED_VALUE"""),"FELTCRAFT DOLL MOLLY")</f>
        <v>FELTCRAFT DOLL MOLLY</v>
      </c>
      <c r="B781" s="2">
        <f>IFERROR(__xludf.DUMMYFUNCTION("""COMPUTED_VALUE"""),2.0)</f>
        <v>2</v>
      </c>
    </row>
    <row r="782">
      <c r="A782" s="2" t="str">
        <f>IFERROR(__xludf.DUMMYFUNCTION("""COMPUTED_VALUE"""),"FELTCRAFT DOLL MARIA")</f>
        <v>FELTCRAFT DOLL MARIA</v>
      </c>
      <c r="B782" s="2">
        <f>IFERROR(__xludf.DUMMYFUNCTION("""COMPUTED_VALUE"""),2.0)</f>
        <v>2</v>
      </c>
    </row>
    <row r="783">
      <c r="A783" s="2" t="str">
        <f>IFERROR(__xludf.DUMMYFUNCTION("""COMPUTED_VALUE"""),"HAND OPEN SHAPE DECO.WHITE")</f>
        <v>HAND OPEN SHAPE DECO.WHITE</v>
      </c>
      <c r="B783" s="2">
        <f>IFERROR(__xludf.DUMMYFUNCTION("""COMPUTED_VALUE"""),-6.0)</f>
        <v>-6</v>
      </c>
    </row>
    <row r="784">
      <c r="A784" s="2" t="str">
        <f>IFERROR(__xludf.DUMMYFUNCTION("""COMPUTED_VALUE"""),"ANTIQUE LILY FAIRY LIGHTS")</f>
        <v>ANTIQUE LILY FAIRY LIGHTS</v>
      </c>
      <c r="B784" s="2">
        <f>IFERROR(__xludf.DUMMYFUNCTION("""COMPUTED_VALUE"""),-3.0)</f>
        <v>-3</v>
      </c>
    </row>
    <row r="785">
      <c r="A785" s="2" t="str">
        <f>IFERROR(__xludf.DUMMYFUNCTION("""COMPUTED_VALUE"""),"HAND OPEN SHAPE BLACK")</f>
        <v>HAND OPEN SHAPE BLACK</v>
      </c>
      <c r="B785" s="2">
        <f>IFERROR(__xludf.DUMMYFUNCTION("""COMPUTED_VALUE"""),-2.0)</f>
        <v>-2</v>
      </c>
    </row>
    <row r="786">
      <c r="A786" s="2" t="str">
        <f>IFERROR(__xludf.DUMMYFUNCTION("""COMPUTED_VALUE"""),"FIRST AID TIN")</f>
        <v>FIRST AID TIN</v>
      </c>
      <c r="B786" s="2">
        <f>IFERROR(__xludf.DUMMYFUNCTION("""COMPUTED_VALUE"""),-6.0)</f>
        <v>-6</v>
      </c>
    </row>
    <row r="787">
      <c r="A787" s="2" t="str">
        <f>IFERROR(__xludf.DUMMYFUNCTION("""COMPUTED_VALUE"""),"BLUE ROSE FABRIC MIRROR")</f>
        <v>BLUE ROSE FABRIC MIRROR</v>
      </c>
      <c r="B787" s="2">
        <f>IFERROR(__xludf.DUMMYFUNCTION("""COMPUTED_VALUE"""),2.0)</f>
        <v>2</v>
      </c>
    </row>
    <row r="788">
      <c r="A788" s="2" t="str">
        <f>IFERROR(__xludf.DUMMYFUNCTION("""COMPUTED_VALUE"""),"PINK ROSE FABRIC MIRROR")</f>
        <v>PINK ROSE FABRIC MIRROR</v>
      </c>
      <c r="B788" s="2">
        <f>IFERROR(__xludf.DUMMYFUNCTION("""COMPUTED_VALUE"""),2.0)</f>
        <v>2</v>
      </c>
    </row>
    <row r="789">
      <c r="A789" s="2" t="str">
        <f>IFERROR(__xludf.DUMMYFUNCTION("""COMPUTED_VALUE"""),"36 PENCILS TUBE RED SPOTTY")</f>
        <v>36 PENCILS TUBE RED SPOTTY</v>
      </c>
      <c r="B789" s="2">
        <f>IFERROR(__xludf.DUMMYFUNCTION("""COMPUTED_VALUE"""),4.0)</f>
        <v>4</v>
      </c>
    </row>
    <row r="790">
      <c r="A790" s="2" t="str">
        <f>IFERROR(__xludf.DUMMYFUNCTION("""COMPUTED_VALUE"""),"COLOURING PENCILS BROWN TUBE")</f>
        <v>COLOURING PENCILS BROWN TUBE</v>
      </c>
      <c r="B790" s="2">
        <f>IFERROR(__xludf.DUMMYFUNCTION("""COMPUTED_VALUE"""),1.0)</f>
        <v>1</v>
      </c>
    </row>
    <row r="791">
      <c r="A791" s="2" t="str">
        <f>IFERROR(__xludf.DUMMYFUNCTION("""COMPUTED_VALUE"""),"36 PENCILS TUBE WOODLAND")</f>
        <v>36 PENCILS TUBE WOODLAND</v>
      </c>
      <c r="B791" s="2">
        <f>IFERROR(__xludf.DUMMYFUNCTION("""COMPUTED_VALUE"""),2.0)</f>
        <v>2</v>
      </c>
    </row>
    <row r="792">
      <c r="A792" s="2" t="str">
        <f>IFERROR(__xludf.DUMMYFUNCTION("""COMPUTED_VALUE"""),"LAVENDER SCENTED FABRIC HEART")</f>
        <v>LAVENDER SCENTED FABRIC HEART</v>
      </c>
      <c r="B792" s="2">
        <f>IFERROR(__xludf.DUMMYFUNCTION("""COMPUTED_VALUE"""),15.0)</f>
        <v>15</v>
      </c>
    </row>
    <row r="793">
      <c r="A793" s="2" t="str">
        <f>IFERROR(__xludf.DUMMYFUNCTION("""COMPUTED_VALUE"""),"WHITE HANGING HEART T-LIGHT HOLDER")</f>
        <v>WHITE HANGING HEART T-LIGHT HOLDER</v>
      </c>
      <c r="B793" s="2">
        <f>IFERROR(__xludf.DUMMYFUNCTION("""COMPUTED_VALUE"""),3.0)</f>
        <v>3</v>
      </c>
    </row>
    <row r="794">
      <c r="A794" s="2" t="str">
        <f>IFERROR(__xludf.DUMMYFUNCTION("""COMPUTED_VALUE"""),"SET/3 POLKA DOT STACKING TINS")</f>
        <v>SET/3 POLKA DOT STACKING TINS</v>
      </c>
      <c r="B794" s="2">
        <f>IFERROR(__xludf.DUMMYFUNCTION("""COMPUTED_VALUE"""),1.0)</f>
        <v>1</v>
      </c>
    </row>
    <row r="795">
      <c r="A795" s="2" t="str">
        <f>IFERROR(__xludf.DUMMYFUNCTION("""COMPUTED_VALUE"""),"POTTERING MUG")</f>
        <v>POTTERING MUG</v>
      </c>
      <c r="B795" s="2">
        <f>IFERROR(__xludf.DUMMYFUNCTION("""COMPUTED_VALUE"""),6.0)</f>
        <v>6</v>
      </c>
    </row>
    <row r="796">
      <c r="A796" s="2" t="str">
        <f>IFERROR(__xludf.DUMMYFUNCTION("""COMPUTED_VALUE"""),"CREAM HEART CARD HOLDER")</f>
        <v>CREAM HEART CARD HOLDER</v>
      </c>
      <c r="B796" s="2">
        <f>IFERROR(__xludf.DUMMYFUNCTION("""COMPUTED_VALUE"""),2.0)</f>
        <v>2</v>
      </c>
    </row>
    <row r="797">
      <c r="A797" s="2" t="str">
        <f>IFERROR(__xludf.DUMMYFUNCTION("""COMPUTED_VALUE"""),"KINGS CHOICE MUG")</f>
        <v>KINGS CHOICE MUG</v>
      </c>
      <c r="B797" s="2">
        <f>IFERROR(__xludf.DUMMYFUNCTION("""COMPUTED_VALUE"""),2.0)</f>
        <v>2</v>
      </c>
    </row>
    <row r="798">
      <c r="A798" s="2" t="str">
        <f>IFERROR(__xludf.DUMMYFUNCTION("""COMPUTED_VALUE"""),"PINK CREAM FELT CRAFT TRINKET BOX")</f>
        <v>PINK CREAM FELT CRAFT TRINKET BOX</v>
      </c>
      <c r="B798" s="2">
        <f>IFERROR(__xludf.DUMMYFUNCTION("""COMPUTED_VALUE"""),1.0)</f>
        <v>1</v>
      </c>
    </row>
    <row r="799">
      <c r="A799" s="2" t="str">
        <f>IFERROR(__xludf.DUMMYFUNCTION("""COMPUTED_VALUE"""),"ROSE FOLKART HEART DECORATIONS")</f>
        <v>ROSE FOLKART HEART DECORATIONS</v>
      </c>
      <c r="B799" s="2">
        <f>IFERROR(__xludf.DUMMYFUNCTION("""COMPUTED_VALUE"""),2.0)</f>
        <v>2</v>
      </c>
    </row>
    <row r="800">
      <c r="A800" s="2" t="str">
        <f>IFERROR(__xludf.DUMMYFUNCTION("""COMPUTED_VALUE"""),"BAKING SET 9 PIECE RETROSPOT")</f>
        <v>BAKING SET 9 PIECE RETROSPOT</v>
      </c>
      <c r="B800" s="2">
        <f>IFERROR(__xludf.DUMMYFUNCTION("""COMPUTED_VALUE"""),1.0)</f>
        <v>1</v>
      </c>
    </row>
    <row r="801">
      <c r="A801" s="2" t="str">
        <f>IFERROR(__xludf.DUMMYFUNCTION("""COMPUTED_VALUE"""),"CHRISTMAS CRAFT HEART DECORATIONS")</f>
        <v>CHRISTMAS CRAFT HEART DECORATIONS</v>
      </c>
      <c r="B801" s="2">
        <f>IFERROR(__xludf.DUMMYFUNCTION("""COMPUTED_VALUE"""),2.0)</f>
        <v>2</v>
      </c>
    </row>
    <row r="802">
      <c r="A802" s="2" t="str">
        <f>IFERROR(__xludf.DUMMYFUNCTION("""COMPUTED_VALUE"""),"PINK HEART DOTS HOT WATER BOTTLE")</f>
        <v>PINK HEART DOTS HOT WATER BOTTLE</v>
      </c>
      <c r="B802" s="2">
        <f>IFERROR(__xludf.DUMMYFUNCTION("""COMPUTED_VALUE"""),1.0)</f>
        <v>1</v>
      </c>
    </row>
    <row r="803">
      <c r="A803" s="2" t="str">
        <f>IFERROR(__xludf.DUMMYFUNCTION("""COMPUTED_VALUE"""),"RED SPOT HEART HOT WATER BOTTLE")</f>
        <v>RED SPOT HEART HOT WATER BOTTLE</v>
      </c>
      <c r="B803" s="2">
        <f>IFERROR(__xludf.DUMMYFUNCTION("""COMPUTED_VALUE"""),1.0)</f>
        <v>1</v>
      </c>
    </row>
    <row r="804">
      <c r="A804" s="2" t="str">
        <f>IFERROR(__xludf.DUMMYFUNCTION("""COMPUTED_VALUE"""),"WHITE SKULL HOT WATER BOTTLE")</f>
        <v>WHITE SKULL HOT WATER BOTTLE</v>
      </c>
      <c r="B804" s="2">
        <f>IFERROR(__xludf.DUMMYFUNCTION("""COMPUTED_VALUE"""),1.0)</f>
        <v>1</v>
      </c>
    </row>
    <row r="805">
      <c r="A805" s="2" t="str">
        <f>IFERROR(__xludf.DUMMYFUNCTION("""COMPUTED_VALUE"""),"COSY SLIPPER SHOES LARGE RED")</f>
        <v>COSY SLIPPER SHOES LARGE RED</v>
      </c>
      <c r="B805" s="2">
        <f>IFERROR(__xludf.DUMMYFUNCTION("""COMPUTED_VALUE"""),2.0)</f>
        <v>2</v>
      </c>
    </row>
    <row r="806">
      <c r="A806" s="2" t="str">
        <f>IFERROR(__xludf.DUMMYFUNCTION("""COMPUTED_VALUE"""),"RIBBON REEL STRIPES DESIGN")</f>
        <v>RIBBON REEL STRIPES DESIGN</v>
      </c>
      <c r="B806" s="2">
        <f>IFERROR(__xludf.DUMMYFUNCTION("""COMPUTED_VALUE"""),5.0)</f>
        <v>5</v>
      </c>
    </row>
    <row r="807">
      <c r="A807" s="2" t="str">
        <f>IFERROR(__xludf.DUMMYFUNCTION("""COMPUTED_VALUE"""),"LARGE HEART MEASURING SPOONS")</f>
        <v>LARGE HEART MEASURING SPOONS</v>
      </c>
      <c r="B807" s="2">
        <f>IFERROR(__xludf.DUMMYFUNCTION("""COMPUTED_VALUE"""),2.0)</f>
        <v>2</v>
      </c>
    </row>
    <row r="808">
      <c r="A808" s="2" t="str">
        <f>IFERROR(__xludf.DUMMYFUNCTION("""COMPUTED_VALUE"""),"COSY SLIPPER SHOES SMALL RED")</f>
        <v>COSY SLIPPER SHOES SMALL RED</v>
      </c>
      <c r="B808" s="2">
        <f>IFERROR(__xludf.DUMMYFUNCTION("""COMPUTED_VALUE"""),2.0)</f>
        <v>2</v>
      </c>
    </row>
    <row r="809">
      <c r="A809" s="2" t="str">
        <f>IFERROR(__xludf.DUMMYFUNCTION("""COMPUTED_VALUE"""),"POCKET BAG PINK PAISELY BROWN SPOT")</f>
        <v>POCKET BAG PINK PAISELY BROWN SPOT</v>
      </c>
      <c r="B809" s="2">
        <f>IFERROR(__xludf.DUMMYFUNCTION("""COMPUTED_VALUE"""),2.0)</f>
        <v>2</v>
      </c>
    </row>
    <row r="810">
      <c r="A810" s="2" t="str">
        <f>IFERROR(__xludf.DUMMYFUNCTION("""COMPUTED_VALUE"""),"BABY MOUSE RED GINGHAM DRESS")</f>
        <v>BABY MOUSE RED GINGHAM DRESS</v>
      </c>
      <c r="B810" s="2">
        <f>IFERROR(__xludf.DUMMYFUNCTION("""COMPUTED_VALUE"""),2.0)</f>
        <v>2</v>
      </c>
    </row>
    <row r="811">
      <c r="A811" s="2" t="str">
        <f>IFERROR(__xludf.DUMMYFUNCTION("""COMPUTED_VALUE"""),"PINK CROCHET CAT WITH SCARF")</f>
        <v>PINK CROCHET CAT WITH SCARF</v>
      </c>
      <c r="B811" s="2">
        <f>IFERROR(__xludf.DUMMYFUNCTION("""COMPUTED_VALUE"""),1.0)</f>
        <v>1</v>
      </c>
    </row>
    <row r="812">
      <c r="A812" s="2" t="str">
        <f>IFERROR(__xludf.DUMMYFUNCTION("""COMPUTED_VALUE"""),"VINTAGE UNION JACK CUSHION COVER")</f>
        <v>VINTAGE UNION JACK CUSHION COVER</v>
      </c>
      <c r="B812" s="2">
        <f>IFERROR(__xludf.DUMMYFUNCTION("""COMPUTED_VALUE"""),1.0)</f>
        <v>1</v>
      </c>
    </row>
    <row r="813">
      <c r="A813" s="2" t="str">
        <f>IFERROR(__xludf.DUMMYFUNCTION("""COMPUTED_VALUE"""),"ROSE DU SUD CHILDS APRON")</f>
        <v>ROSE DU SUD CHILDS APRON</v>
      </c>
      <c r="B813" s="2">
        <f>IFERROR(__xludf.DUMMYFUNCTION("""COMPUTED_VALUE"""),2.0)</f>
        <v>2</v>
      </c>
    </row>
    <row r="814">
      <c r="A814" s="2" t="str">
        <f>IFERROR(__xludf.DUMMYFUNCTION("""COMPUTED_VALUE"""),"RED SPOTTY SHOPPER BAG")</f>
        <v>RED SPOTTY SHOPPER BAG</v>
      </c>
      <c r="B814" s="2">
        <f>IFERROR(__xludf.DUMMYFUNCTION("""COMPUTED_VALUE"""),3.0)</f>
        <v>3</v>
      </c>
    </row>
    <row r="815">
      <c r="A815" s="2" t="str">
        <f>IFERROR(__xludf.DUMMYFUNCTION("""COMPUTED_VALUE"""),"SET OF MEADOW FLOWER STICKERS")</f>
        <v>SET OF MEADOW FLOWER STICKERS</v>
      </c>
      <c r="B815" s="2">
        <f>IFERROR(__xludf.DUMMYFUNCTION("""COMPUTED_VALUE"""),2.0)</f>
        <v>2</v>
      </c>
    </row>
    <row r="816">
      <c r="A816" s="2" t="str">
        <f>IFERROR(__xludf.DUMMYFUNCTION("""COMPUTED_VALUE"""),"ANTIQUE SILVER TEA GLASS ETCHED")</f>
        <v>ANTIQUE SILVER TEA GLASS ETCHED</v>
      </c>
      <c r="B816" s="2">
        <f>IFERROR(__xludf.DUMMYFUNCTION("""COMPUTED_VALUE"""),6.0)</f>
        <v>6</v>
      </c>
    </row>
    <row r="817">
      <c r="A817" s="2" t="str">
        <f>IFERROR(__xludf.DUMMYFUNCTION("""COMPUTED_VALUE"""),"WOODEN PICTURE FRAME WHITE FINISH")</f>
        <v>WOODEN PICTURE FRAME WHITE FINISH</v>
      </c>
      <c r="B817" s="2">
        <f>IFERROR(__xludf.DUMMYFUNCTION("""COMPUTED_VALUE"""),4.0)</f>
        <v>4</v>
      </c>
    </row>
    <row r="818">
      <c r="A818" s="2" t="str">
        <f>IFERROR(__xludf.DUMMYFUNCTION("""COMPUTED_VALUE"""),"HAND OVER THE CHOCOLATE SIGN")</f>
        <v>HAND OVER THE CHOCOLATE SIGN</v>
      </c>
      <c r="B818" s="2">
        <f>IFERROR(__xludf.DUMMYFUNCTION("""COMPUTED_VALUE"""),4.0)</f>
        <v>4</v>
      </c>
    </row>
    <row r="819">
      <c r="A819" s="2" t="str">
        <f>IFERROR(__xludf.DUMMYFUNCTION("""COMPUTED_VALUE"""),"POTTERING IN THE SHED METAL SIGN")</f>
        <v>POTTERING IN THE SHED METAL SIGN</v>
      </c>
      <c r="B819" s="2">
        <f>IFERROR(__xludf.DUMMYFUNCTION("""COMPUTED_VALUE"""),2.0)</f>
        <v>2</v>
      </c>
    </row>
    <row r="820">
      <c r="A820" s="2" t="str">
        <f>IFERROR(__xludf.DUMMYFUNCTION("""COMPUTED_VALUE"""),"RED SPOTTY PURSE")</f>
        <v>RED SPOTTY PURSE</v>
      </c>
      <c r="B820" s="2">
        <f>IFERROR(__xludf.DUMMYFUNCTION("""COMPUTED_VALUE"""),1.0)</f>
        <v>1</v>
      </c>
    </row>
    <row r="821">
      <c r="A821" s="2" t="str">
        <f>IFERROR(__xludf.DUMMYFUNCTION("""COMPUTED_VALUE"""),"SET OF THREE 50'S GIFT WRAPS")</f>
        <v>SET OF THREE 50'S GIFT WRAPS</v>
      </c>
      <c r="B821" s="2">
        <f>IFERROR(__xludf.DUMMYFUNCTION("""COMPUTED_VALUE"""),3.0)</f>
        <v>3</v>
      </c>
    </row>
    <row r="822">
      <c r="A822" s="2" t="str">
        <f>IFERROR(__xludf.DUMMYFUNCTION("""COMPUTED_VALUE"""),"SET OF THREE VINTAGE GIFT WRAPS")</f>
        <v>SET OF THREE VINTAGE GIFT WRAPS</v>
      </c>
      <c r="B822" s="2">
        <f>IFERROR(__xludf.DUMMYFUNCTION("""COMPUTED_VALUE"""),6.0)</f>
        <v>6</v>
      </c>
    </row>
    <row r="823">
      <c r="A823" s="2" t="str">
        <f>IFERROR(__xludf.DUMMYFUNCTION("""COMPUTED_VALUE"""),"PINK STRIPE HOT WATER BOTTLE")</f>
        <v>PINK STRIPE HOT WATER BOTTLE</v>
      </c>
      <c r="B823" s="2">
        <f>IFERROR(__xludf.DUMMYFUNCTION("""COMPUTED_VALUE"""),4.0)</f>
        <v>4</v>
      </c>
    </row>
    <row r="824">
      <c r="A824" s="2" t="str">
        <f>IFERROR(__xludf.DUMMYFUNCTION("""COMPUTED_VALUE"""),"FAWN BLUE HOT WATER BOTTLE")</f>
        <v>FAWN BLUE HOT WATER BOTTLE</v>
      </c>
      <c r="B824" s="2">
        <f>IFERROR(__xludf.DUMMYFUNCTION("""COMPUTED_VALUE"""),2.0)</f>
        <v>2</v>
      </c>
    </row>
    <row r="825">
      <c r="A825" s="2" t="str">
        <f>IFERROR(__xludf.DUMMYFUNCTION("""COMPUTED_VALUE"""),"ROSE FOLKART HEART DECORATIONS")</f>
        <v>ROSE FOLKART HEART DECORATIONS</v>
      </c>
      <c r="B825" s="2">
        <f>IFERROR(__xludf.DUMMYFUNCTION("""COMPUTED_VALUE"""),4.0)</f>
        <v>4</v>
      </c>
    </row>
    <row r="826">
      <c r="A826" s="2" t="str">
        <f>IFERROR(__xludf.DUMMYFUNCTION("""COMPUTED_VALUE"""),"BASKET OF TOADSTOOLS")</f>
        <v>BASKET OF TOADSTOOLS</v>
      </c>
      <c r="B826" s="2">
        <f>IFERROR(__xludf.DUMMYFUNCTION("""COMPUTED_VALUE"""),12.0)</f>
        <v>12</v>
      </c>
    </row>
    <row r="827">
      <c r="A827" s="2" t="str">
        <f>IFERROR(__xludf.DUMMYFUNCTION("""COMPUTED_VALUE"""),"RED TOADSTOOL LED NIGHT LIGHT")</f>
        <v>RED TOADSTOOL LED NIGHT LIGHT</v>
      </c>
      <c r="B827" s="2">
        <f>IFERROR(__xludf.DUMMYFUNCTION("""COMPUTED_VALUE"""),24.0)</f>
        <v>24</v>
      </c>
    </row>
    <row r="828">
      <c r="A828" s="2" t="str">
        <f>IFERROR(__xludf.DUMMYFUNCTION("""COMPUTED_VALUE"""),"LUNCHBOX WITH CUTLERY RETROSPOT")</f>
        <v>LUNCHBOX WITH CUTLERY RETROSPOT</v>
      </c>
      <c r="B828" s="2">
        <f>IFERROR(__xludf.DUMMYFUNCTION("""COMPUTED_VALUE"""),12.0)</f>
        <v>12</v>
      </c>
    </row>
    <row r="829">
      <c r="A829" s="2" t="str">
        <f>IFERROR(__xludf.DUMMYFUNCTION("""COMPUTED_VALUE"""),"LUNCHBOX WITH CUTLERY FAIRY CAKES")</f>
        <v>LUNCHBOX WITH CUTLERY FAIRY CAKES</v>
      </c>
      <c r="B829" s="2">
        <f>IFERROR(__xludf.DUMMYFUNCTION("""COMPUTED_VALUE"""),6.0)</f>
        <v>6</v>
      </c>
    </row>
    <row r="830">
      <c r="A830" s="2" t="str">
        <f>IFERROR(__xludf.DUMMYFUNCTION("""COMPUTED_VALUE"""),"SET OF 72 RETRO SPOT PAPER DOILIES")</f>
        <v>SET OF 72 RETRO SPOT PAPER DOILIES</v>
      </c>
      <c r="B830" s="2">
        <f>IFERROR(__xludf.DUMMYFUNCTION("""COMPUTED_VALUE"""),12.0)</f>
        <v>12</v>
      </c>
    </row>
    <row r="831">
      <c r="A831" s="2" t="str">
        <f>IFERROR(__xludf.DUMMYFUNCTION("""COMPUTED_VALUE"""),"JUMBO BAG RED WHITE SPOTTY")</f>
        <v>JUMBO BAG RED WHITE SPOTTY</v>
      </c>
      <c r="B831" s="2">
        <f>IFERROR(__xludf.DUMMYFUNCTION("""COMPUTED_VALUE"""),20.0)</f>
        <v>20</v>
      </c>
    </row>
    <row r="832">
      <c r="A832" s="2" t="str">
        <f>IFERROR(__xludf.DUMMYFUNCTION("""COMPUTED_VALUE"""),"RED SPOTTY SHOPPING BAG")</f>
        <v>RED SPOTTY SHOPPING BAG</v>
      </c>
      <c r="B832" s="2">
        <f>IFERROR(__xludf.DUMMYFUNCTION("""COMPUTED_VALUE"""),12.0)</f>
        <v>12</v>
      </c>
    </row>
    <row r="833">
      <c r="A833" s="2" t="str">
        <f>IFERROR(__xludf.DUMMYFUNCTION("""COMPUTED_VALUE"""),"JUMBO BAG WOODLAND ANIMALS")</f>
        <v>JUMBO BAG WOODLAND ANIMALS</v>
      </c>
      <c r="B833" s="2">
        <f>IFERROR(__xludf.DUMMYFUNCTION("""COMPUTED_VALUE"""),10.0)</f>
        <v>10</v>
      </c>
    </row>
    <row r="834">
      <c r="A834" s="2" t="str">
        <f>IFERROR(__xludf.DUMMYFUNCTION("""COMPUTED_VALUE"""),"JUMBO BAG TOYS")</f>
        <v>JUMBO BAG TOYS</v>
      </c>
      <c r="B834" s="2">
        <f>IFERROR(__xludf.DUMMYFUNCTION("""COMPUTED_VALUE"""),10.0)</f>
        <v>10</v>
      </c>
    </row>
    <row r="835">
      <c r="A835" s="2" t="str">
        <f>IFERROR(__xludf.DUMMYFUNCTION("""COMPUTED_VALUE"""),"WOODLAND STORAGE BOX LARGE")</f>
        <v>WOODLAND STORAGE BOX LARGE</v>
      </c>
      <c r="B835" s="2">
        <f>IFERROR(__xludf.DUMMYFUNCTION("""COMPUTED_VALUE"""),6.0)</f>
        <v>6</v>
      </c>
    </row>
    <row r="836">
      <c r="A836" s="2" t="str">
        <f>IFERROR(__xludf.DUMMYFUNCTION("""COMPUTED_VALUE"""),"WOODLAND STORAGE BOX SMALL")</f>
        <v>WOODLAND STORAGE BOX SMALL</v>
      </c>
      <c r="B836" s="2">
        <f>IFERROR(__xludf.DUMMYFUNCTION("""COMPUTED_VALUE"""),6.0)</f>
        <v>6</v>
      </c>
    </row>
    <row r="837">
      <c r="A837" s="2" t="str">
        <f>IFERROR(__xludf.DUMMYFUNCTION("""COMPUTED_VALUE"""),"RED SPOTTY CHILDS UMBRELLA")</f>
        <v>RED SPOTTY CHILDS UMBRELLA</v>
      </c>
      <c r="B837" s="2">
        <f>IFERROR(__xludf.DUMMYFUNCTION("""COMPUTED_VALUE"""),6.0)</f>
        <v>6</v>
      </c>
    </row>
    <row r="838">
      <c r="A838" s="2" t="str">
        <f>IFERROR(__xludf.DUMMYFUNCTION("""COMPUTED_VALUE"""),"ANTIQUE SILVER TEA GLASS ETCHED")</f>
        <v>ANTIQUE SILVER TEA GLASS ETCHED</v>
      </c>
      <c r="B838" s="2">
        <f>IFERROR(__xludf.DUMMYFUNCTION("""COMPUTED_VALUE"""),72.0)</f>
        <v>72</v>
      </c>
    </row>
    <row r="839">
      <c r="A839" s="2" t="str">
        <f>IFERROR(__xludf.DUMMYFUNCTION("""COMPUTED_VALUE"""),"ASSORTED COLOUR BIRD ORNAMENT")</f>
        <v>ASSORTED COLOUR BIRD ORNAMENT</v>
      </c>
      <c r="B839" s="2">
        <f>IFERROR(__xludf.DUMMYFUNCTION("""COMPUTED_VALUE"""),64.0)</f>
        <v>64</v>
      </c>
    </row>
    <row r="840">
      <c r="A840" s="2" t="str">
        <f>IFERROR(__xludf.DUMMYFUNCTION("""COMPUTED_VALUE"""),"SCOTTIE DOG HOT WATER BOTTLE")</f>
        <v>SCOTTIE DOG HOT WATER BOTTLE</v>
      </c>
      <c r="B840" s="2">
        <f>IFERROR(__xludf.DUMMYFUNCTION("""COMPUTED_VALUE"""),2.0)</f>
        <v>2</v>
      </c>
    </row>
    <row r="841">
      <c r="A841" s="2" t="str">
        <f>IFERROR(__xludf.DUMMYFUNCTION("""COMPUTED_VALUE"""),"HOT WATER BOTTLE TEA AND SYMPATHY")</f>
        <v>HOT WATER BOTTLE TEA AND SYMPATHY</v>
      </c>
      <c r="B841" s="2">
        <f>IFERROR(__xludf.DUMMYFUNCTION("""COMPUTED_VALUE"""),1.0)</f>
        <v>1</v>
      </c>
    </row>
    <row r="842">
      <c r="A842" s="2" t="str">
        <f>IFERROR(__xludf.DUMMYFUNCTION("""COMPUTED_VALUE"""),"DOG BOWL , CHASING BALL DESIGN")</f>
        <v>DOG BOWL , CHASING BALL DESIGN</v>
      </c>
      <c r="B842" s="2">
        <f>IFERROR(__xludf.DUMMYFUNCTION("""COMPUTED_VALUE"""),1.0)</f>
        <v>1</v>
      </c>
    </row>
    <row r="843">
      <c r="A843" s="2" t="str">
        <f>IFERROR(__xludf.DUMMYFUNCTION("""COMPUTED_VALUE"""),"S/6 WOODEN SKITTLES IN COTTON BAG")</f>
        <v>S/6 WOODEN SKITTLES IN COTTON BAG</v>
      </c>
      <c r="B843" s="2">
        <f>IFERROR(__xludf.DUMMYFUNCTION("""COMPUTED_VALUE"""),1.0)</f>
        <v>1</v>
      </c>
    </row>
    <row r="844">
      <c r="A844" s="2" t="str">
        <f>IFERROR(__xludf.DUMMYFUNCTION("""COMPUTED_VALUE"""),"TRADITIONAL WOODEN SKIPPING ROPE")</f>
        <v>TRADITIONAL WOODEN SKIPPING ROPE</v>
      </c>
      <c r="B844" s="2">
        <f>IFERROR(__xludf.DUMMYFUNCTION("""COMPUTED_VALUE"""),1.0)</f>
        <v>1</v>
      </c>
    </row>
    <row r="845">
      <c r="A845" s="2" t="str">
        <f>IFERROR(__xludf.DUMMYFUNCTION("""COMPUTED_VALUE"""),"CHRISTMAS TOILET ROLL")</f>
        <v>CHRISTMAS TOILET ROLL</v>
      </c>
      <c r="B845" s="2">
        <f>IFERROR(__xludf.DUMMYFUNCTION("""COMPUTED_VALUE"""),6.0)</f>
        <v>6</v>
      </c>
    </row>
    <row r="846">
      <c r="A846" s="2" t="str">
        <f>IFERROR(__xludf.DUMMYFUNCTION("""COMPUTED_VALUE"""),"SET/12 FUNKY FELT FLOWER PEG IN BAG")</f>
        <v>SET/12 FUNKY FELT FLOWER PEG IN BAG</v>
      </c>
      <c r="B846" s="2">
        <f>IFERROR(__xludf.DUMMYFUNCTION("""COMPUTED_VALUE"""),1.0)</f>
        <v>1</v>
      </c>
    </row>
    <row r="847">
      <c r="A847" s="2" t="str">
        <f>IFERROR(__xludf.DUMMYFUNCTION("""COMPUTED_VALUE"""),"PINK BERTIE GLASS BEAD BAG CHARM")</f>
        <v>PINK BERTIE GLASS BEAD BAG CHARM</v>
      </c>
      <c r="B847" s="2">
        <f>IFERROR(__xludf.DUMMYFUNCTION("""COMPUTED_VALUE"""),12.0)</f>
        <v>12</v>
      </c>
    </row>
    <row r="848">
      <c r="A848" s="2" t="str">
        <f>IFERROR(__xludf.DUMMYFUNCTION("""COMPUTED_VALUE"""),"ELEPHANT TOY WITH BLUE T-SHIRT")</f>
        <v>ELEPHANT TOY WITH BLUE T-SHIRT</v>
      </c>
      <c r="B848" s="2">
        <f>IFERROR(__xludf.DUMMYFUNCTION("""COMPUTED_VALUE"""),1.0)</f>
        <v>1</v>
      </c>
    </row>
    <row r="849">
      <c r="A849" s="2" t="str">
        <f>IFERROR(__xludf.DUMMYFUNCTION("""COMPUTED_VALUE"""),"BLACK FACE LAMB WITH PANTS")</f>
        <v>BLACK FACE LAMB WITH PANTS</v>
      </c>
      <c r="B849" s="2">
        <f>IFERROR(__xludf.DUMMYFUNCTION("""COMPUTED_VALUE"""),1.0)</f>
        <v>1</v>
      </c>
    </row>
    <row r="850">
      <c r="A850" s="2" t="str">
        <f>IFERROR(__xludf.DUMMYFUNCTION("""COMPUTED_VALUE"""),"PINK JUMPER LARRY THE LAMB")</f>
        <v>PINK JUMPER LARRY THE LAMB</v>
      </c>
      <c r="B850" s="2">
        <f>IFERROR(__xludf.DUMMYFUNCTION("""COMPUTED_VALUE"""),3.0)</f>
        <v>3</v>
      </c>
    </row>
    <row r="851">
      <c r="A851" s="2" t="str">
        <f>IFERROR(__xludf.DUMMYFUNCTION("""COMPUTED_VALUE"""),"HEART FILIGREE DOVE SMALL")</f>
        <v>HEART FILIGREE DOVE SMALL</v>
      </c>
      <c r="B851" s="2">
        <f>IFERROR(__xludf.DUMMYFUNCTION("""COMPUTED_VALUE"""),6.0)</f>
        <v>6</v>
      </c>
    </row>
    <row r="852">
      <c r="A852" s="2" t="str">
        <f>IFERROR(__xludf.DUMMYFUNCTION("""COMPUTED_VALUE"""),"STAR T-LIGHT HOLDER")</f>
        <v>STAR T-LIGHT HOLDER</v>
      </c>
      <c r="B852" s="2">
        <f>IFERROR(__xludf.DUMMYFUNCTION("""COMPUTED_VALUE"""),6.0)</f>
        <v>6</v>
      </c>
    </row>
    <row r="853">
      <c r="A853" s="2" t="str">
        <f>IFERROR(__xludf.DUMMYFUNCTION("""COMPUTED_VALUE"""),"CHRISTMAS TREE T-LIGHT HOLDER")</f>
        <v>CHRISTMAS TREE T-LIGHT HOLDER</v>
      </c>
      <c r="B853" s="2">
        <f>IFERROR(__xludf.DUMMYFUNCTION("""COMPUTED_VALUE"""),6.0)</f>
        <v>6</v>
      </c>
    </row>
    <row r="854">
      <c r="A854" s="2" t="str">
        <f>IFERROR(__xludf.DUMMYFUNCTION("""COMPUTED_VALUE"""),"SET/6 GINGERBREAD STAR T-LIGHTS")</f>
        <v>SET/6 GINGERBREAD STAR T-LIGHTS</v>
      </c>
      <c r="B854" s="2">
        <f>IFERROR(__xludf.DUMMYFUNCTION("""COMPUTED_VALUE"""),6.0)</f>
        <v>6</v>
      </c>
    </row>
    <row r="855">
      <c r="A855" s="2" t="str">
        <f>IFERROR(__xludf.DUMMYFUNCTION("""COMPUTED_VALUE"""),"SET/3 CHRISTMAS DECOUPAGE CANDLES")</f>
        <v>SET/3 CHRISTMAS DECOUPAGE CANDLES</v>
      </c>
      <c r="B855" s="2">
        <f>IFERROR(__xludf.DUMMYFUNCTION("""COMPUTED_VALUE"""),6.0)</f>
        <v>6</v>
      </c>
    </row>
    <row r="856">
      <c r="A856" s="2" t="str">
        <f>IFERROR(__xludf.DUMMYFUNCTION("""COMPUTED_VALUE"""),"6 CHOCOLATE LOVE HEART T-LIGHTS")</f>
        <v>6 CHOCOLATE LOVE HEART T-LIGHTS</v>
      </c>
      <c r="B856" s="2">
        <f>IFERROR(__xludf.DUMMYFUNCTION("""COMPUTED_VALUE"""),6.0)</f>
        <v>6</v>
      </c>
    </row>
    <row r="857">
      <c r="A857" s="2" t="str">
        <f>IFERROR(__xludf.DUMMYFUNCTION("""COMPUTED_VALUE"""),"36 PENCILS TUBE RED SPOTTY")</f>
        <v>36 PENCILS TUBE RED SPOTTY</v>
      </c>
      <c r="B857" s="2">
        <f>IFERROR(__xludf.DUMMYFUNCTION("""COMPUTED_VALUE"""),16.0)</f>
        <v>16</v>
      </c>
    </row>
    <row r="858">
      <c r="A858" s="2" t="str">
        <f>IFERROR(__xludf.DUMMYFUNCTION("""COMPUTED_VALUE"""),"36 PENCILS TUBE SKULLS")</f>
        <v>36 PENCILS TUBE SKULLS</v>
      </c>
      <c r="B858" s="2">
        <f>IFERROR(__xludf.DUMMYFUNCTION("""COMPUTED_VALUE"""),16.0)</f>
        <v>16</v>
      </c>
    </row>
    <row r="859">
      <c r="A859" s="2" t="str">
        <f>IFERROR(__xludf.DUMMYFUNCTION("""COMPUTED_VALUE"""),"SET/6 GINGERBREAD TREE T-LIGHTS")</f>
        <v>SET/6 GINGERBREAD TREE T-LIGHTS</v>
      </c>
      <c r="B859" s="2">
        <f>IFERROR(__xludf.DUMMYFUNCTION("""COMPUTED_VALUE"""),1.0)</f>
        <v>1</v>
      </c>
    </row>
    <row r="860">
      <c r="A860" s="2" t="str">
        <f>IFERROR(__xludf.DUMMYFUNCTION("""COMPUTED_VALUE"""),"TOP SECRET PEN SET")</f>
        <v>TOP SECRET PEN SET</v>
      </c>
      <c r="B860" s="2">
        <f>IFERROR(__xludf.DUMMYFUNCTION("""COMPUTED_VALUE"""),6.0)</f>
        <v>6</v>
      </c>
    </row>
    <row r="861">
      <c r="A861" s="2" t="str">
        <f>IFERROR(__xludf.DUMMYFUNCTION("""COMPUTED_VALUE"""),"LOVE HEART POCKET WARMER")</f>
        <v>LOVE HEART POCKET WARMER</v>
      </c>
      <c r="B861" s="2">
        <f>IFERROR(__xludf.DUMMYFUNCTION("""COMPUTED_VALUE"""),6.0)</f>
        <v>6</v>
      </c>
    </row>
    <row r="862">
      <c r="A862" s="2" t="str">
        <f>IFERROR(__xludf.DUMMYFUNCTION("""COMPUTED_VALUE"""),"HI TEC ALPINE HAND WARMER")</f>
        <v>HI TEC ALPINE HAND WARMER</v>
      </c>
      <c r="B862" s="2">
        <f>IFERROR(__xludf.DUMMYFUNCTION("""COMPUTED_VALUE"""),6.0)</f>
        <v>6</v>
      </c>
    </row>
    <row r="863">
      <c r="A863" s="2" t="str">
        <f>IFERROR(__xludf.DUMMYFUNCTION("""COMPUTED_VALUE"""),"BROWN FURRY HOT WATER BOTTLE")</f>
        <v>BROWN FURRY HOT WATER BOTTLE</v>
      </c>
      <c r="B863" s="2">
        <f>IFERROR(__xludf.DUMMYFUNCTION("""COMPUTED_VALUE"""),7.0)</f>
        <v>7</v>
      </c>
    </row>
    <row r="864">
      <c r="A864" s="2" t="str">
        <f>IFERROR(__xludf.DUMMYFUNCTION("""COMPUTED_VALUE"""),"SCOTTIE DOG HOT WATER BOTTLE")</f>
        <v>SCOTTIE DOG HOT WATER BOTTLE</v>
      </c>
      <c r="B864" s="2">
        <f>IFERROR(__xludf.DUMMYFUNCTION("""COMPUTED_VALUE"""),1.0)</f>
        <v>1</v>
      </c>
    </row>
    <row r="865">
      <c r="A865" s="2" t="str">
        <f>IFERROR(__xludf.DUMMYFUNCTION("""COMPUTED_VALUE"""),"GREY HEART HOT WATER BOTTLE")</f>
        <v>GREY HEART HOT WATER BOTTLE</v>
      </c>
      <c r="B865" s="2">
        <f>IFERROR(__xludf.DUMMYFUNCTION("""COMPUTED_VALUE"""),8.0)</f>
        <v>8</v>
      </c>
    </row>
    <row r="866">
      <c r="A866" s="2" t="str">
        <f>IFERROR(__xludf.DUMMYFUNCTION("""COMPUTED_VALUE"""),"PAINTED METAL TREE WITH HOLLY BELLS")</f>
        <v>PAINTED METAL TREE WITH HOLLY BELLS</v>
      </c>
      <c r="B866" s="2">
        <f>IFERROR(__xludf.DUMMYFUNCTION("""COMPUTED_VALUE"""),1.0)</f>
        <v>1</v>
      </c>
    </row>
    <row r="867">
      <c r="A867" s="2" t="str">
        <f>IFERROR(__xludf.DUMMYFUNCTION("""COMPUTED_VALUE"""),"GLITTER CHRISTMAS TREE WITH BELLS")</f>
        <v>GLITTER CHRISTMAS TREE WITH BELLS</v>
      </c>
      <c r="B867" s="2">
        <f>IFERROR(__xludf.DUMMYFUNCTION("""COMPUTED_VALUE"""),1.0)</f>
        <v>1</v>
      </c>
    </row>
    <row r="868">
      <c r="A868" s="2" t="str">
        <f>IFERROR(__xludf.DUMMYFUNCTION("""COMPUTED_VALUE"""),"WASH BAG VINTAGE ROSE PAISLEY")</f>
        <v>WASH BAG VINTAGE ROSE PAISLEY</v>
      </c>
      <c r="B868" s="2">
        <f>IFERROR(__xludf.DUMMYFUNCTION("""COMPUTED_VALUE"""),1.0)</f>
        <v>1</v>
      </c>
    </row>
    <row r="869">
      <c r="A869" s="2" t="str">
        <f>IFERROR(__xludf.DUMMYFUNCTION("""COMPUTED_VALUE"""),"COSMETIC BAG VINTAGE ROSE PAISLEY")</f>
        <v>COSMETIC BAG VINTAGE ROSE PAISLEY</v>
      </c>
      <c r="B869" s="2">
        <f>IFERROR(__xludf.DUMMYFUNCTION("""COMPUTED_VALUE"""),1.0)</f>
        <v>1</v>
      </c>
    </row>
    <row r="870">
      <c r="A870" s="2" t="str">
        <f>IFERROR(__xludf.DUMMYFUNCTION("""COMPUTED_VALUE"""),"SIX STRING SCANDINAVIAN HEART DECS")</f>
        <v>SIX STRING SCANDINAVIAN HEART DECS</v>
      </c>
      <c r="B870" s="2">
        <f>IFERROR(__xludf.DUMMYFUNCTION("""COMPUTED_VALUE"""),1.0)</f>
        <v>1</v>
      </c>
    </row>
    <row r="871">
      <c r="A871" s="2" t="str">
        <f>IFERROR(__xludf.DUMMYFUNCTION("""COMPUTED_VALUE"""),"S/6 WOODEN SKITTLES IN COTTON BAG")</f>
        <v>S/6 WOODEN SKITTLES IN COTTON BAG</v>
      </c>
      <c r="B871" s="2">
        <f>IFERROR(__xludf.DUMMYFUNCTION("""COMPUTED_VALUE"""),2.0)</f>
        <v>2</v>
      </c>
    </row>
    <row r="872">
      <c r="A872" s="2" t="str">
        <f>IFERROR(__xludf.DUMMYFUNCTION("""COMPUTED_VALUE"""),"TRADITIONAL WOODEN SKIPPING ROPE")</f>
        <v>TRADITIONAL WOODEN SKIPPING ROPE</v>
      </c>
      <c r="B872" s="2">
        <f>IFERROR(__xludf.DUMMYFUNCTION("""COMPUTED_VALUE"""),2.0)</f>
        <v>2</v>
      </c>
    </row>
    <row r="873">
      <c r="A873" s="2" t="str">
        <f>IFERROR(__xludf.DUMMYFUNCTION("""COMPUTED_VALUE"""),"PARTY BUNTING")</f>
        <v>PARTY BUNTING</v>
      </c>
      <c r="B873" s="2">
        <f>IFERROR(__xludf.DUMMYFUNCTION("""COMPUTED_VALUE"""),1.0)</f>
        <v>1</v>
      </c>
    </row>
    <row r="874">
      <c r="A874" s="2" t="str">
        <f>IFERROR(__xludf.DUMMYFUNCTION("""COMPUTED_VALUE"""),"CHRISTMAS CRAFT HEART DECORATIONS")</f>
        <v>CHRISTMAS CRAFT HEART DECORATIONS</v>
      </c>
      <c r="B874" s="2">
        <f>IFERROR(__xludf.DUMMYFUNCTION("""COMPUTED_VALUE"""),1.0)</f>
        <v>1</v>
      </c>
    </row>
    <row r="875">
      <c r="A875" s="2" t="str">
        <f>IFERROR(__xludf.DUMMYFUNCTION("""COMPUTED_VALUE"""),"CHRISTMAS CRAFT WHITE FAIRY")</f>
        <v>CHRISTMAS CRAFT WHITE FAIRY</v>
      </c>
      <c r="B875" s="2">
        <f>IFERROR(__xludf.DUMMYFUNCTION("""COMPUTED_VALUE"""),1.0)</f>
        <v>1</v>
      </c>
    </row>
    <row r="876">
      <c r="A876" s="2" t="str">
        <f>IFERROR(__xludf.DUMMYFUNCTION("""COMPUTED_VALUE"""),"JUMBO BAG RED WHITE SPOTTY")</f>
        <v>JUMBO BAG RED WHITE SPOTTY</v>
      </c>
      <c r="B876" s="2">
        <f>IFERROR(__xludf.DUMMYFUNCTION("""COMPUTED_VALUE"""),2.0)</f>
        <v>2</v>
      </c>
    </row>
    <row r="877">
      <c r="A877" s="2" t="str">
        <f>IFERROR(__xludf.DUMMYFUNCTION("""COMPUTED_VALUE"""),"JUMBO BAG PINK VINTAGE PAISLEY")</f>
        <v>JUMBO BAG PINK VINTAGE PAISLEY</v>
      </c>
      <c r="B877" s="2">
        <f>IFERROR(__xludf.DUMMYFUNCTION("""COMPUTED_VALUE"""),2.0)</f>
        <v>2</v>
      </c>
    </row>
    <row r="878">
      <c r="A878" s="2" t="str">
        <f>IFERROR(__xludf.DUMMYFUNCTION("""COMPUTED_VALUE"""),"RETRO SPOT TEA SET CERAMIC 11 PC")</f>
        <v>RETRO SPOT TEA SET CERAMIC 11 PC</v>
      </c>
      <c r="B878" s="2">
        <f>IFERROR(__xludf.DUMMYFUNCTION("""COMPUTED_VALUE"""),1.0)</f>
        <v>1</v>
      </c>
    </row>
    <row r="879">
      <c r="A879" s="2" t="str">
        <f>IFERROR(__xludf.DUMMYFUNCTION("""COMPUTED_VALUE"""),"PINK SPOTTY CHILDS UMBRELLA")</f>
        <v>PINK SPOTTY CHILDS UMBRELLA</v>
      </c>
      <c r="B879" s="2">
        <f>IFERROR(__xludf.DUMMYFUNCTION("""COMPUTED_VALUE"""),1.0)</f>
        <v>1</v>
      </c>
    </row>
    <row r="880">
      <c r="A880" s="2" t="str">
        <f>IFERROR(__xludf.DUMMYFUNCTION("""COMPUTED_VALUE"""),"ANT WHITE WIRE HEART SPIRAL")</f>
        <v>ANT WHITE WIRE HEART SPIRAL</v>
      </c>
      <c r="B880" s="2">
        <f>IFERROR(__xludf.DUMMYFUNCTION("""COMPUTED_VALUE"""),1.0)</f>
        <v>1</v>
      </c>
    </row>
    <row r="881">
      <c r="A881" s="2" t="str">
        <f>IFERROR(__xludf.DUMMYFUNCTION("""COMPUTED_VALUE"""),"MOUSE TOY WITH PINK T-SHIRT")</f>
        <v>MOUSE TOY WITH PINK T-SHIRT</v>
      </c>
      <c r="B881" s="2">
        <f>IFERROR(__xludf.DUMMYFUNCTION("""COMPUTED_VALUE"""),1.0)</f>
        <v>1</v>
      </c>
    </row>
    <row r="882">
      <c r="A882" s="2" t="str">
        <f>IFERROR(__xludf.DUMMYFUNCTION("""COMPUTED_VALUE"""),"12 ASS ZINC CHRISTMAS DECORATIONS")</f>
        <v>12 ASS ZINC CHRISTMAS DECORATIONS</v>
      </c>
      <c r="B882" s="2">
        <f>IFERROR(__xludf.DUMMYFUNCTION("""COMPUTED_VALUE"""),1.0)</f>
        <v>1</v>
      </c>
    </row>
    <row r="883">
      <c r="A883" s="2" t="str">
        <f>IFERROR(__xludf.DUMMYFUNCTION("""COMPUTED_VALUE"""),"TURQUOISE BERTIE GLASS BEAD CHARM")</f>
        <v>TURQUOISE BERTIE GLASS BEAD CHARM</v>
      </c>
      <c r="B883" s="2">
        <f>IFERROR(__xludf.DUMMYFUNCTION("""COMPUTED_VALUE"""),12.0)</f>
        <v>12</v>
      </c>
    </row>
    <row r="884">
      <c r="A884" s="2" t="str">
        <f>IFERROR(__xludf.DUMMYFUNCTION("""COMPUTED_VALUE"""),"PURPLE BERTIE GLASS BEAD BAG CHARM")</f>
        <v>PURPLE BERTIE GLASS BEAD BAG CHARM</v>
      </c>
      <c r="B884" s="2">
        <f>IFERROR(__xludf.DUMMYFUNCTION("""COMPUTED_VALUE"""),12.0)</f>
        <v>12</v>
      </c>
    </row>
    <row r="885">
      <c r="A885" s="2" t="str">
        <f>IFERROR(__xludf.DUMMYFUNCTION("""COMPUTED_VALUE"""),"LETTER ""H"" BLING KEY RING")</f>
        <v>LETTER "H" BLING KEY RING</v>
      </c>
      <c r="B885" s="2">
        <f>IFERROR(__xludf.DUMMYFUNCTION("""COMPUTED_VALUE"""),2.0)</f>
        <v>2</v>
      </c>
    </row>
    <row r="886">
      <c r="A886" s="2" t="str">
        <f>IFERROR(__xludf.DUMMYFUNCTION("""COMPUTED_VALUE"""),"PINK BERTIE GLASS BEAD BAG CHARM")</f>
        <v>PINK BERTIE GLASS BEAD BAG CHARM</v>
      </c>
      <c r="B886" s="2">
        <f>IFERROR(__xludf.DUMMYFUNCTION("""COMPUTED_VALUE"""),12.0)</f>
        <v>12</v>
      </c>
    </row>
    <row r="887">
      <c r="A887" s="2" t="str">
        <f>IFERROR(__xludf.DUMMYFUNCTION("""COMPUTED_VALUE"""),"PINK BERTIE GLASS BEAD BAG CHARM")</f>
        <v>PINK BERTIE GLASS BEAD BAG CHARM</v>
      </c>
      <c r="B887" s="2">
        <f>IFERROR(__xludf.DUMMYFUNCTION("""COMPUTED_VALUE"""),-12.0)</f>
        <v>-12</v>
      </c>
    </row>
    <row r="888">
      <c r="A888" s="2" t="str">
        <f>IFERROR(__xludf.DUMMYFUNCTION("""COMPUTED_VALUE"""),"RED SPOTTY CHILDS APRON")</f>
        <v>RED SPOTTY CHILDS APRON</v>
      </c>
      <c r="B888" s="2">
        <f>IFERROR(__xludf.DUMMYFUNCTION("""COMPUTED_VALUE"""),8.0)</f>
        <v>8</v>
      </c>
    </row>
    <row r="889">
      <c r="A889" s="2" t="str">
        <f>IFERROR(__xludf.DUMMYFUNCTION("""COMPUTED_VALUE"""),"PINK FAIRY CAKE CHILD'S APRON")</f>
        <v>PINK FAIRY CAKE CHILD'S APRON</v>
      </c>
      <c r="B889" s="2">
        <f>IFERROR(__xludf.DUMMYFUNCTION("""COMPUTED_VALUE"""),8.0)</f>
        <v>8</v>
      </c>
    </row>
    <row r="890">
      <c r="A890" s="2" t="str">
        <f>IFERROR(__xludf.DUMMYFUNCTION("""COMPUTED_VALUE"""),"GREY HEART HOT WATER BOTTLE")</f>
        <v>GREY HEART HOT WATER BOTTLE</v>
      </c>
      <c r="B890" s="2">
        <f>IFERROR(__xludf.DUMMYFUNCTION("""COMPUTED_VALUE"""),4.0)</f>
        <v>4</v>
      </c>
    </row>
    <row r="891">
      <c r="A891" s="2" t="str">
        <f>IFERROR(__xludf.DUMMYFUNCTION("""COMPUTED_VALUE"""),"LADIES &amp; GENTLEMEN METAL SIGN")</f>
        <v>LADIES &amp; GENTLEMEN METAL SIGN</v>
      </c>
      <c r="B891" s="2">
        <f>IFERROR(__xludf.DUMMYFUNCTION("""COMPUTED_VALUE"""),6.0)</f>
        <v>6</v>
      </c>
    </row>
    <row r="892">
      <c r="A892" s="2" t="str">
        <f>IFERROR(__xludf.DUMMYFUNCTION("""COMPUTED_VALUE"""),"CHOCOLATE THIS WAY METAL SIGN")</f>
        <v>CHOCOLATE THIS WAY METAL SIGN</v>
      </c>
      <c r="B892" s="2">
        <f>IFERROR(__xludf.DUMMYFUNCTION("""COMPUTED_VALUE"""),6.0)</f>
        <v>6</v>
      </c>
    </row>
    <row r="893">
      <c r="A893" s="2" t="str">
        <f>IFERROR(__xludf.DUMMYFUNCTION("""COMPUTED_VALUE"""),"PINK STRIPE HOT WATER BOTTLE")</f>
        <v>PINK STRIPE HOT WATER BOTTLE</v>
      </c>
      <c r="B893" s="2">
        <f>IFERROR(__xludf.DUMMYFUNCTION("""COMPUTED_VALUE"""),6.0)</f>
        <v>6</v>
      </c>
    </row>
    <row r="894">
      <c r="A894" s="2" t="str">
        <f>IFERROR(__xludf.DUMMYFUNCTION("""COMPUTED_VALUE"""),"RED WOOLLY HOTTIE WHITE HEART.")</f>
        <v>RED WOOLLY HOTTIE WHITE HEART.</v>
      </c>
      <c r="B894" s="2">
        <f>IFERROR(__xludf.DUMMYFUNCTION("""COMPUTED_VALUE"""),4.0)</f>
        <v>4</v>
      </c>
    </row>
    <row r="895">
      <c r="A895" s="2" t="str">
        <f>IFERROR(__xludf.DUMMYFUNCTION("""COMPUTED_VALUE"""),"PARTY METAL SIGN")</f>
        <v>PARTY METAL SIGN</v>
      </c>
      <c r="B895" s="2">
        <f>IFERROR(__xludf.DUMMYFUNCTION("""COMPUTED_VALUE"""),12.0)</f>
        <v>12</v>
      </c>
    </row>
    <row r="896">
      <c r="A896" s="2" t="str">
        <f>IFERROR(__xludf.DUMMYFUNCTION("""COMPUTED_VALUE"""),"COLUMBIAN CANDLE ROUND")</f>
        <v>COLUMBIAN CANDLE ROUND</v>
      </c>
      <c r="B896" s="2">
        <f>IFERROR(__xludf.DUMMYFUNCTION("""COMPUTED_VALUE"""),6.0)</f>
        <v>6</v>
      </c>
    </row>
    <row r="897">
      <c r="A897" s="2" t="str">
        <f>IFERROR(__xludf.DUMMYFUNCTION("""COMPUTED_VALUE"""),"ASSORTED TUTTI FRUTTI PHOTO FRAME")</f>
        <v>ASSORTED TUTTI FRUTTI PHOTO FRAME</v>
      </c>
      <c r="B897" s="2">
        <f>IFERROR(__xludf.DUMMYFUNCTION("""COMPUTED_VALUE"""),6.0)</f>
        <v>6</v>
      </c>
    </row>
    <row r="898">
      <c r="A898" s="2" t="str">
        <f>IFERROR(__xludf.DUMMYFUNCTION("""COMPUTED_VALUE"""),"ANTIQUE LILY FAIRY LIGHTS")</f>
        <v>ANTIQUE LILY FAIRY LIGHTS</v>
      </c>
      <c r="B898" s="2">
        <f>IFERROR(__xludf.DUMMYFUNCTION("""COMPUTED_VALUE"""),4.0)</f>
        <v>4</v>
      </c>
    </row>
    <row r="899">
      <c r="A899" s="2" t="str">
        <f>IFERROR(__xludf.DUMMYFUNCTION("""COMPUTED_VALUE"""),"S/4 FESTIVE RED DINNER CANDLES")</f>
        <v>S/4 FESTIVE RED DINNER CANDLES</v>
      </c>
      <c r="B899" s="2">
        <f>IFERROR(__xludf.DUMMYFUNCTION("""COMPUTED_VALUE"""),6.0)</f>
        <v>6</v>
      </c>
    </row>
    <row r="900">
      <c r="A900" s="2" t="str">
        <f>IFERROR(__xludf.DUMMYFUNCTION("""COMPUTED_VALUE"""),"HEART FILIGREE DOVE SMALL")</f>
        <v>HEART FILIGREE DOVE SMALL</v>
      </c>
      <c r="B900" s="2">
        <f>IFERROR(__xludf.DUMMYFUNCTION("""COMPUTED_VALUE"""),24.0)</f>
        <v>24</v>
      </c>
    </row>
    <row r="901">
      <c r="A901" s="2" t="str">
        <f>IFERROR(__xludf.DUMMYFUNCTION("""COMPUTED_VALUE"""),"PAPER CHAIN KIT 50'S CHRISTMAS")</f>
        <v>PAPER CHAIN KIT 50'S CHRISTMAS</v>
      </c>
      <c r="B901" s="2">
        <f>IFERROR(__xludf.DUMMYFUNCTION("""COMPUTED_VALUE"""),5.0)</f>
        <v>5</v>
      </c>
    </row>
    <row r="902">
      <c r="A902" s="2" t="str">
        <f>IFERROR(__xludf.DUMMYFUNCTION("""COMPUTED_VALUE"""),"VICTORIAN GLASS HANGING T-LIGHT")</f>
        <v>VICTORIAN GLASS HANGING T-LIGHT</v>
      </c>
      <c r="B902" s="2">
        <f>IFERROR(__xludf.DUMMYFUNCTION("""COMPUTED_VALUE"""),12.0)</f>
        <v>12</v>
      </c>
    </row>
    <row r="903">
      <c r="A903" s="2" t="str">
        <f>IFERROR(__xludf.DUMMYFUNCTION("""COMPUTED_VALUE"""),"POTTING SHED TEA MUG")</f>
        <v>POTTING SHED TEA MUG</v>
      </c>
      <c r="B903" s="2">
        <f>IFERROR(__xludf.DUMMYFUNCTION("""COMPUTED_VALUE"""),6.0)</f>
        <v>6</v>
      </c>
    </row>
    <row r="904">
      <c r="A904" s="2" t="str">
        <f>IFERROR(__xludf.DUMMYFUNCTION("""COMPUTED_VALUE"""),"WHITE CHRISTMAS GARLAND STARS TREES")</f>
        <v>WHITE CHRISTMAS GARLAND STARS TREES</v>
      </c>
      <c r="B904" s="2">
        <f>IFERROR(__xludf.DUMMYFUNCTION("""COMPUTED_VALUE"""),12.0)</f>
        <v>12</v>
      </c>
    </row>
    <row r="905">
      <c r="A905" s="2" t="str">
        <f>IFERROR(__xludf.DUMMYFUNCTION("""COMPUTED_VALUE"""),"FOLDING UMBRELLA , BLACK/BLUE SPOT")</f>
        <v>FOLDING UMBRELLA , BLACK/BLUE SPOT</v>
      </c>
      <c r="B905" s="2">
        <f>IFERROR(__xludf.DUMMYFUNCTION("""COMPUTED_VALUE"""),1.0)</f>
        <v>1</v>
      </c>
    </row>
    <row r="906">
      <c r="A906" s="2" t="str">
        <f>IFERROR(__xludf.DUMMYFUNCTION("""COMPUTED_VALUE"""),"PIZZA PLATE IN BOX")</f>
        <v>PIZZA PLATE IN BOX</v>
      </c>
      <c r="B906" s="2">
        <f>IFERROR(__xludf.DUMMYFUNCTION("""COMPUTED_VALUE"""),-1.0)</f>
        <v>-1</v>
      </c>
    </row>
    <row r="907">
      <c r="A907" s="2" t="str">
        <f>IFERROR(__xludf.DUMMYFUNCTION("""COMPUTED_VALUE"""),"BAKING SET 9 PIECE RETROSPOT")</f>
        <v>BAKING SET 9 PIECE RETROSPOT</v>
      </c>
      <c r="B907" s="2">
        <f>IFERROR(__xludf.DUMMYFUNCTION("""COMPUTED_VALUE"""),-1.0)</f>
        <v>-1</v>
      </c>
    </row>
    <row r="908">
      <c r="A908" s="2" t="str">
        <f>IFERROR(__xludf.DUMMYFUNCTION("""COMPUTED_VALUE"""),"RED SPOTTY BISCUIT TIN")</f>
        <v>RED SPOTTY BISCUIT TIN</v>
      </c>
      <c r="B908" s="2">
        <f>IFERROR(__xludf.DUMMYFUNCTION("""COMPUTED_VALUE"""),-1.0)</f>
        <v>-1</v>
      </c>
    </row>
    <row r="909">
      <c r="A909" s="2" t="str">
        <f>IFERROR(__xludf.DUMMYFUNCTION("""COMPUTED_VALUE"""),"HANGING BAUBLE T-LIGHT HOLDER LARGE")</f>
        <v>HANGING BAUBLE T-LIGHT HOLDER LARGE</v>
      </c>
      <c r="B909" s="2">
        <f>IFERROR(__xludf.DUMMYFUNCTION("""COMPUTED_VALUE"""),-1.0)</f>
        <v>-1</v>
      </c>
    </row>
    <row r="910">
      <c r="A910" s="2" t="str">
        <f>IFERROR(__xludf.DUMMYFUNCTION("""COMPUTED_VALUE"""),"CREAM HEART CARD HOLDER")</f>
        <v>CREAM HEART CARD HOLDER</v>
      </c>
      <c r="B910" s="2">
        <f>IFERROR(__xludf.DUMMYFUNCTION("""COMPUTED_VALUE"""),2.0)</f>
        <v>2</v>
      </c>
    </row>
    <row r="911">
      <c r="A911" s="2" t="str">
        <f>IFERROR(__xludf.DUMMYFUNCTION("""COMPUTED_VALUE"""),"ROSE 1 WICK MORRIS BOXED CANDLE")</f>
        <v>ROSE 1 WICK MORRIS BOXED CANDLE</v>
      </c>
      <c r="B911" s="2">
        <f>IFERROR(__xludf.DUMMYFUNCTION("""COMPUTED_VALUE"""),1.0)</f>
        <v>1</v>
      </c>
    </row>
    <row r="912">
      <c r="A912" s="2" t="str">
        <f>IFERROR(__xludf.DUMMYFUNCTION("""COMPUTED_VALUE"""),"GREY FLORAL FELTCRAFT SHOULDER BAG")</f>
        <v>GREY FLORAL FELTCRAFT SHOULDER BAG</v>
      </c>
      <c r="B912" s="2">
        <f>IFERROR(__xludf.DUMMYFUNCTION("""COMPUTED_VALUE"""),1.0)</f>
        <v>1</v>
      </c>
    </row>
    <row r="913">
      <c r="A913" s="2" t="str">
        <f>IFERROR(__xludf.DUMMYFUNCTION("""COMPUTED_VALUE"""),"JUMBO BAG BAROQUE BLACK WHITE")</f>
        <v>JUMBO BAG BAROQUE BLACK WHITE</v>
      </c>
      <c r="B913" s="2">
        <f>IFERROR(__xludf.DUMMYFUNCTION("""COMPUTED_VALUE"""),2.0)</f>
        <v>2</v>
      </c>
    </row>
    <row r="914">
      <c r="A914" s="2" t="str">
        <f>IFERROR(__xludf.DUMMYFUNCTION("""COMPUTED_VALUE"""),"HEART GARLAND RUSTIC PADDED")</f>
        <v>HEART GARLAND RUSTIC PADDED</v>
      </c>
      <c r="B914" s="2">
        <f>IFERROR(__xludf.DUMMYFUNCTION("""COMPUTED_VALUE"""),5.0)</f>
        <v>5</v>
      </c>
    </row>
    <row r="915">
      <c r="A915" s="2" t="str">
        <f>IFERROR(__xludf.DUMMYFUNCTION("""COMPUTED_VALUE"""),"HEART IVORY TRELLIS LARGE")</f>
        <v>HEART IVORY TRELLIS LARGE</v>
      </c>
      <c r="B915" s="2">
        <f>IFERROR(__xludf.DUMMYFUNCTION("""COMPUTED_VALUE"""),4.0)</f>
        <v>4</v>
      </c>
    </row>
    <row r="916">
      <c r="A916" s="2" t="str">
        <f>IFERROR(__xludf.DUMMYFUNCTION("""COMPUTED_VALUE"""),"HEART IVORY TRELLIS SMALL")</f>
        <v>HEART IVORY TRELLIS SMALL</v>
      </c>
      <c r="B916" s="2">
        <f>IFERROR(__xludf.DUMMYFUNCTION("""COMPUTED_VALUE"""),8.0)</f>
        <v>8</v>
      </c>
    </row>
    <row r="917">
      <c r="A917" s="2" t="str">
        <f>IFERROR(__xludf.DUMMYFUNCTION("""COMPUTED_VALUE"""),"ZINC METAL HEART DECORATION")</f>
        <v>ZINC METAL HEART DECORATION</v>
      </c>
      <c r="B917" s="2">
        <f>IFERROR(__xludf.DUMMYFUNCTION("""COMPUTED_VALUE"""),2.0)</f>
        <v>2</v>
      </c>
    </row>
    <row r="918">
      <c r="A918" s="2" t="str">
        <f>IFERROR(__xludf.DUMMYFUNCTION("""COMPUTED_VALUE"""),"SILVER GLASS T-LIGHT SET")</f>
        <v>SILVER GLASS T-LIGHT SET</v>
      </c>
      <c r="B918" s="2">
        <f>IFERROR(__xludf.DUMMYFUNCTION("""COMPUTED_VALUE"""),1.0)</f>
        <v>1</v>
      </c>
    </row>
    <row r="919">
      <c r="A919" s="2" t="str">
        <f>IFERROR(__xludf.DUMMYFUNCTION("""COMPUTED_VALUE"""),"FELTCRAFT DOLL MOLLY")</f>
        <v>FELTCRAFT DOLL MOLLY</v>
      </c>
      <c r="B919" s="2">
        <f>IFERROR(__xludf.DUMMYFUNCTION("""COMPUTED_VALUE"""),1.0)</f>
        <v>1</v>
      </c>
    </row>
    <row r="920">
      <c r="A920" s="2" t="str">
        <f>IFERROR(__xludf.DUMMYFUNCTION("""COMPUTED_VALUE"""),"FELTCRAFT DOLL MARIA")</f>
        <v>FELTCRAFT DOLL MARIA</v>
      </c>
      <c r="B920" s="2">
        <f>IFERROR(__xludf.DUMMYFUNCTION("""COMPUTED_VALUE"""),1.0)</f>
        <v>1</v>
      </c>
    </row>
    <row r="921">
      <c r="A921" s="2" t="str">
        <f>IFERROR(__xludf.DUMMYFUNCTION("""COMPUTED_VALUE"""),"FELTCRAFT DOLL ROSIE")</f>
        <v>FELTCRAFT DOLL ROSIE</v>
      </c>
      <c r="B921" s="2">
        <f>IFERROR(__xludf.DUMMYFUNCTION("""COMPUTED_VALUE"""),1.0)</f>
        <v>1</v>
      </c>
    </row>
    <row r="922">
      <c r="A922" s="2" t="str">
        <f>IFERROR(__xludf.DUMMYFUNCTION("""COMPUTED_VALUE"""),"PLEASE ONE PERSON METAL SIGN")</f>
        <v>PLEASE ONE PERSON METAL SIGN</v>
      </c>
      <c r="B922" s="2">
        <f>IFERROR(__xludf.DUMMYFUNCTION("""COMPUTED_VALUE"""),1.0)</f>
        <v>1</v>
      </c>
    </row>
    <row r="923">
      <c r="A923" s="2" t="str">
        <f>IFERROR(__xludf.DUMMYFUNCTION("""COMPUTED_VALUE"""),"CHICK GREY HOT WATER BOTTLE")</f>
        <v>CHICK GREY HOT WATER BOTTLE</v>
      </c>
      <c r="B923" s="2">
        <f>IFERROR(__xludf.DUMMYFUNCTION("""COMPUTED_VALUE"""),1.0)</f>
        <v>1</v>
      </c>
    </row>
    <row r="924">
      <c r="A924" s="2" t="str">
        <f>IFERROR(__xludf.DUMMYFUNCTION("""COMPUTED_VALUE"""),"WHITE SKULL HOT WATER BOTTLE")</f>
        <v>WHITE SKULL HOT WATER BOTTLE</v>
      </c>
      <c r="B924" s="2">
        <f>IFERROR(__xludf.DUMMYFUNCTION("""COMPUTED_VALUE"""),1.0)</f>
        <v>1</v>
      </c>
    </row>
    <row r="925">
      <c r="A925" s="2" t="str">
        <f>IFERROR(__xludf.DUMMYFUNCTION("""COMPUTED_VALUE"""),"KINGS CHOICE CIGAR BOX MATCHES")</f>
        <v>KINGS CHOICE CIGAR BOX MATCHES</v>
      </c>
      <c r="B925" s="2">
        <f>IFERROR(__xludf.DUMMYFUNCTION("""COMPUTED_VALUE"""),1.0)</f>
        <v>1</v>
      </c>
    </row>
    <row r="926">
      <c r="A926" s="2" t="str">
        <f>IFERROR(__xludf.DUMMYFUNCTION("""COMPUTED_VALUE"""),"COSY HOUR GIANT TUBE MATCHES")</f>
        <v>COSY HOUR GIANT TUBE MATCHES</v>
      </c>
      <c r="B926" s="2">
        <f>IFERROR(__xludf.DUMMYFUNCTION("""COMPUTED_VALUE"""),1.0)</f>
        <v>1</v>
      </c>
    </row>
    <row r="927">
      <c r="A927" s="2" t="str">
        <f>IFERROR(__xludf.DUMMYFUNCTION("""COMPUTED_VALUE"""),"GLASS STAR FROSTED T-LIGHT HOLDER")</f>
        <v>GLASS STAR FROSTED T-LIGHT HOLDER</v>
      </c>
      <c r="B927" s="2">
        <f>IFERROR(__xludf.DUMMYFUNCTION("""COMPUTED_VALUE"""),1.0)</f>
        <v>1</v>
      </c>
    </row>
    <row r="928">
      <c r="A928" s="2" t="str">
        <f>IFERROR(__xludf.DUMMYFUNCTION("""COMPUTED_VALUE"""),"BAKING SET 9 PIECE RETROSPOT")</f>
        <v>BAKING SET 9 PIECE RETROSPOT</v>
      </c>
      <c r="B928" s="2">
        <f>IFERROR(__xludf.DUMMYFUNCTION("""COMPUTED_VALUE"""),1.0)</f>
        <v>1</v>
      </c>
    </row>
    <row r="929">
      <c r="A929" s="2" t="str">
        <f>IFERROR(__xludf.DUMMYFUNCTION("""COMPUTED_VALUE"""),"HANGING BAUBLE T-LIGHT HOLDER LARGE")</f>
        <v>HANGING BAUBLE T-LIGHT HOLDER LARGE</v>
      </c>
      <c r="B929" s="2">
        <f>IFERROR(__xludf.DUMMYFUNCTION("""COMPUTED_VALUE"""),1.0)</f>
        <v>1</v>
      </c>
    </row>
    <row r="930">
      <c r="A930" s="2" t="str">
        <f>IFERROR(__xludf.DUMMYFUNCTION("""COMPUTED_VALUE"""),"BLUE PILLAR CANDLE SILVER FLOCK")</f>
        <v>BLUE PILLAR CANDLE SILVER FLOCK</v>
      </c>
      <c r="B930" s="2">
        <f>IFERROR(__xludf.DUMMYFUNCTION("""COMPUTED_VALUE"""),2.0)</f>
        <v>2</v>
      </c>
    </row>
    <row r="931">
      <c r="A931" s="2" t="str">
        <f>IFERROR(__xludf.DUMMYFUNCTION("""COMPUTED_VALUE"""),"COSY SLIPPER SHOES LARGE GREEN")</f>
        <v>COSY SLIPPER SHOES LARGE GREEN</v>
      </c>
      <c r="B931" s="2">
        <f>IFERROR(__xludf.DUMMYFUNCTION("""COMPUTED_VALUE"""),1.0)</f>
        <v>1</v>
      </c>
    </row>
    <row r="932">
      <c r="A932" s="2" t="str">
        <f>IFERROR(__xludf.DUMMYFUNCTION("""COMPUTED_VALUE"""),"COSY SLIPPER SHOES LARGE RED")</f>
        <v>COSY SLIPPER SHOES LARGE RED</v>
      </c>
      <c r="B932" s="2">
        <f>IFERROR(__xludf.DUMMYFUNCTION("""COMPUTED_VALUE"""),1.0)</f>
        <v>1</v>
      </c>
    </row>
    <row r="933">
      <c r="A933" s="2" t="str">
        <f>IFERROR(__xludf.DUMMYFUNCTION("""COMPUTED_VALUE"""),"CHARLIE+LOLA MY ROOM DOOR SIGN")</f>
        <v>CHARLIE+LOLA MY ROOM DOOR SIGN</v>
      </c>
      <c r="B933" s="2">
        <f>IFERROR(__xludf.DUMMYFUNCTION("""COMPUTED_VALUE"""),1.0)</f>
        <v>1</v>
      </c>
    </row>
    <row r="934">
      <c r="A934" s="2" t="str">
        <f>IFERROR(__xludf.DUMMYFUNCTION("""COMPUTED_VALUE"""),"RIBBON REEL FLORA + FAUNA")</f>
        <v>RIBBON REEL FLORA + FAUNA</v>
      </c>
      <c r="B934" s="2">
        <f>IFERROR(__xludf.DUMMYFUNCTION("""COMPUTED_VALUE"""),5.0)</f>
        <v>5</v>
      </c>
    </row>
    <row r="935">
      <c r="A935" s="2" t="str">
        <f>IFERROR(__xludf.DUMMYFUNCTION("""COMPUTED_VALUE"""),"BEACH HUT PHOTO FRAME")</f>
        <v>BEACH HUT PHOTO FRAME</v>
      </c>
      <c r="B935" s="2">
        <f>IFERROR(__xludf.DUMMYFUNCTION("""COMPUTED_VALUE"""),2.0)</f>
        <v>2</v>
      </c>
    </row>
    <row r="936">
      <c r="A936" s="2" t="str">
        <f>IFERROR(__xludf.DUMMYFUNCTION("""COMPUTED_VALUE"""),"EMBOSSED FLOWER TRELLIS PHOTO FRAME")</f>
        <v>EMBOSSED FLOWER TRELLIS PHOTO FRAME</v>
      </c>
      <c r="B936" s="2">
        <f>IFERROR(__xludf.DUMMYFUNCTION("""COMPUTED_VALUE"""),2.0)</f>
        <v>2</v>
      </c>
    </row>
    <row r="937">
      <c r="A937" s="2" t="str">
        <f>IFERROR(__xludf.DUMMYFUNCTION("""COMPUTED_VALUE"""),"WOODEN FRAME ANTIQUE WHITE")</f>
        <v>WOODEN FRAME ANTIQUE WHITE</v>
      </c>
      <c r="B937" s="2">
        <f>IFERROR(__xludf.DUMMYFUNCTION("""COMPUTED_VALUE"""),2.0)</f>
        <v>2</v>
      </c>
    </row>
    <row r="938">
      <c r="A938" s="2" t="str">
        <f>IFERROR(__xludf.DUMMYFUNCTION("""COMPUTED_VALUE"""),"WOODEN PICTURE FRAME WHITE FINISH")</f>
        <v>WOODEN PICTURE FRAME WHITE FINISH</v>
      </c>
      <c r="B938" s="2">
        <f>IFERROR(__xludf.DUMMYFUNCTION("""COMPUTED_VALUE"""),2.0)</f>
        <v>2</v>
      </c>
    </row>
    <row r="939">
      <c r="A939" s="2" t="str">
        <f>IFERROR(__xludf.DUMMYFUNCTION("""COMPUTED_VALUE"""),"CLASSIC WHITE FRAME")</f>
        <v>CLASSIC WHITE FRAME</v>
      </c>
      <c r="B939" s="2">
        <f>IFERROR(__xludf.DUMMYFUNCTION("""COMPUTED_VALUE"""),2.0)</f>
        <v>2</v>
      </c>
    </row>
    <row r="940">
      <c r="A940" s="2" t="str">
        <f>IFERROR(__xludf.DUMMYFUNCTION("""COMPUTED_VALUE"""),"HEART IVORY TRELLIS SMALL")</f>
        <v>HEART IVORY TRELLIS SMALL</v>
      </c>
      <c r="B940" s="2">
        <f>IFERROR(__xludf.DUMMYFUNCTION("""COMPUTED_VALUE"""),5.0)</f>
        <v>5</v>
      </c>
    </row>
    <row r="941">
      <c r="A941" s="2" t="str">
        <f>IFERROR(__xludf.DUMMYFUNCTION("""COMPUTED_VALUE"""),"FRENCH ENAMEL WATER BASIN")</f>
        <v>FRENCH ENAMEL WATER BASIN</v>
      </c>
      <c r="B941" s="2">
        <f>IFERROR(__xludf.DUMMYFUNCTION("""COMPUTED_VALUE"""),2.0)</f>
        <v>2</v>
      </c>
    </row>
    <row r="942">
      <c r="A942" s="2" t="str">
        <f>IFERROR(__xludf.DUMMYFUNCTION("""COMPUTED_VALUE"""),"JUMBO BAG SCANDINAVIAN PAISLEY")</f>
        <v>JUMBO BAG SCANDINAVIAN PAISLEY</v>
      </c>
      <c r="B942" s="2">
        <f>IFERROR(__xludf.DUMMYFUNCTION("""COMPUTED_VALUE"""),2.0)</f>
        <v>2</v>
      </c>
    </row>
    <row r="943">
      <c r="A943" s="2" t="str">
        <f>IFERROR(__xludf.DUMMYFUNCTION("""COMPUTED_VALUE"""),"JUMBO BAG BAROQUE BLACK WHITE")</f>
        <v>JUMBO BAG BAROQUE BLACK WHITE</v>
      </c>
      <c r="B943" s="2">
        <f>IFERROR(__xludf.DUMMYFUNCTION("""COMPUTED_VALUE"""),2.0)</f>
        <v>2</v>
      </c>
    </row>
    <row r="944">
      <c r="A944" s="2" t="str">
        <f>IFERROR(__xludf.DUMMYFUNCTION("""COMPUTED_VALUE"""),"PINK FLOWER CROCHET FOOD COVER")</f>
        <v>PINK FLOWER CROCHET FOOD COVER</v>
      </c>
      <c r="B944" s="2">
        <f>IFERROR(__xludf.DUMMYFUNCTION("""COMPUTED_VALUE"""),1.0)</f>
        <v>1</v>
      </c>
    </row>
    <row r="945">
      <c r="A945" s="2" t="str">
        <f>IFERROR(__xludf.DUMMYFUNCTION("""COMPUTED_VALUE"""),"RED FLOWER CROCHET FOOD COVER")</f>
        <v>RED FLOWER CROCHET FOOD COVER</v>
      </c>
      <c r="B945" s="2">
        <f>IFERROR(__xludf.DUMMYFUNCTION("""COMPUTED_VALUE"""),1.0)</f>
        <v>1</v>
      </c>
    </row>
    <row r="946">
      <c r="A946" s="2" t="str">
        <f>IFERROR(__xludf.DUMMYFUNCTION("""COMPUTED_VALUE"""),"CHERRY CROCHET FOOD COVER")</f>
        <v>CHERRY CROCHET FOOD COVER</v>
      </c>
      <c r="B946" s="2">
        <f>IFERROR(__xludf.DUMMYFUNCTION("""COMPUTED_VALUE"""),1.0)</f>
        <v>1</v>
      </c>
    </row>
    <row r="947">
      <c r="A947" s="2" t="str">
        <f>IFERROR(__xludf.DUMMYFUNCTION("""COMPUTED_VALUE"""),"FLOWER VINE RAFFIA FOOD COVER")</f>
        <v>FLOWER VINE RAFFIA FOOD COVER</v>
      </c>
      <c r="B947" s="2">
        <f>IFERROR(__xludf.DUMMYFUNCTION("""COMPUTED_VALUE"""),1.0)</f>
        <v>1</v>
      </c>
    </row>
    <row r="948">
      <c r="A948" s="2" t="str">
        <f>IFERROR(__xludf.DUMMYFUNCTION("""COMPUTED_VALUE"""),"LADYBIRD + BEE RAFFIA FOOD COVER")</f>
        <v>LADYBIRD + BEE RAFFIA FOOD COVER</v>
      </c>
      <c r="B948" s="2">
        <f>IFERROR(__xludf.DUMMYFUNCTION("""COMPUTED_VALUE"""),1.0)</f>
        <v>1</v>
      </c>
    </row>
    <row r="949">
      <c r="A949" s="2" t="str">
        <f>IFERROR(__xludf.DUMMYFUNCTION("""COMPUTED_VALUE"""),"STRAWBERRY RAFFIA FOOD COVER")</f>
        <v>STRAWBERRY RAFFIA FOOD COVER</v>
      </c>
      <c r="B949" s="2">
        <f>IFERROR(__xludf.DUMMYFUNCTION("""COMPUTED_VALUE"""),1.0)</f>
        <v>1</v>
      </c>
    </row>
    <row r="950">
      <c r="A950" s="2" t="str">
        <f>IFERROR(__xludf.DUMMYFUNCTION("""COMPUTED_VALUE"""),"COFFEE MUG DOG + BALL DESIGN")</f>
        <v>COFFEE MUG DOG + BALL DESIGN</v>
      </c>
      <c r="B950" s="2">
        <f>IFERROR(__xludf.DUMMYFUNCTION("""COMPUTED_VALUE"""),6.0)</f>
        <v>6</v>
      </c>
    </row>
    <row r="951">
      <c r="A951" s="2" t="str">
        <f>IFERROR(__xludf.DUMMYFUNCTION("""COMPUTED_VALUE"""),"ANTIQUE SILVER TEA GLASS ETCHED")</f>
        <v>ANTIQUE SILVER TEA GLASS ETCHED</v>
      </c>
      <c r="B951" s="2">
        <f>IFERROR(__xludf.DUMMYFUNCTION("""COMPUTED_VALUE"""),6.0)</f>
        <v>6</v>
      </c>
    </row>
    <row r="952">
      <c r="A952" s="2" t="str">
        <f>IFERROR(__xludf.DUMMYFUNCTION("""COMPUTED_VALUE"""),"WIRE FLOWER T-LIGHT HOLDER")</f>
        <v>WIRE FLOWER T-LIGHT HOLDER</v>
      </c>
      <c r="B952" s="2">
        <f>IFERROR(__xludf.DUMMYFUNCTION("""COMPUTED_VALUE"""),6.0)</f>
        <v>6</v>
      </c>
    </row>
    <row r="953">
      <c r="A953" s="2" t="str">
        <f>IFERROR(__xludf.DUMMYFUNCTION("""COMPUTED_VALUE"""),"VICTORIAN GLASS HANGING T-LIGHT")</f>
        <v>VICTORIAN GLASS HANGING T-LIGHT</v>
      </c>
      <c r="B953" s="2">
        <f>IFERROR(__xludf.DUMMYFUNCTION("""COMPUTED_VALUE"""),6.0)</f>
        <v>6</v>
      </c>
    </row>
    <row r="954">
      <c r="A954" s="2" t="str">
        <f>IFERROR(__xludf.DUMMYFUNCTION("""COMPUTED_VALUE"""),"SMALL GLASS HEART TRINKET POT")</f>
        <v>SMALL GLASS HEART TRINKET POT</v>
      </c>
      <c r="B954" s="2">
        <f>IFERROR(__xludf.DUMMYFUNCTION("""COMPUTED_VALUE"""),4.0)</f>
        <v>4</v>
      </c>
    </row>
    <row r="955">
      <c r="A955" s="2" t="str">
        <f>IFERROR(__xludf.DUMMYFUNCTION("""COMPUTED_VALUE"""),"HEART SHAPED MIRROR")</f>
        <v>HEART SHAPED MIRROR</v>
      </c>
      <c r="B955" s="2">
        <f>IFERROR(__xludf.DUMMYFUNCTION("""COMPUTED_VALUE"""),6.0)</f>
        <v>6</v>
      </c>
    </row>
    <row r="956">
      <c r="A956" s="2" t="str">
        <f>IFERROR(__xludf.DUMMYFUNCTION("""COMPUTED_VALUE"""),"SET OF 6 STRAWBERRY CHOPSTICKS")</f>
        <v>SET OF 6 STRAWBERRY CHOPSTICKS</v>
      </c>
      <c r="B956" s="2">
        <f>IFERROR(__xludf.DUMMYFUNCTION("""COMPUTED_VALUE"""),1.0)</f>
        <v>1</v>
      </c>
    </row>
    <row r="957">
      <c r="A957" s="2" t="str">
        <f>IFERROR(__xludf.DUMMYFUNCTION("""COMPUTED_VALUE"""),"SET OF 6 CAKE CHOPSTICKS")</f>
        <v>SET OF 6 CAKE CHOPSTICKS</v>
      </c>
      <c r="B957" s="2">
        <f>IFERROR(__xludf.DUMMYFUNCTION("""COMPUTED_VALUE"""),5.0)</f>
        <v>5</v>
      </c>
    </row>
    <row r="958">
      <c r="A958" s="2" t="str">
        <f>IFERROR(__xludf.DUMMYFUNCTION("""COMPUTED_VALUE"""),"SET OF 6 HEART CHOPSTICKS")</f>
        <v>SET OF 6 HEART CHOPSTICKS</v>
      </c>
      <c r="B958" s="2">
        <f>IFERROR(__xludf.DUMMYFUNCTION("""COMPUTED_VALUE"""),3.0)</f>
        <v>3</v>
      </c>
    </row>
    <row r="959">
      <c r="A959" s="2" t="str">
        <f>IFERROR(__xludf.DUMMYFUNCTION("""COMPUTED_VALUE"""),"RIBBON REEL HEARTS DESIGN")</f>
        <v>RIBBON REEL HEARTS DESIGN</v>
      </c>
      <c r="B959" s="2">
        <f>IFERROR(__xludf.DUMMYFUNCTION("""COMPUTED_VALUE"""),5.0)</f>
        <v>5</v>
      </c>
    </row>
    <row r="960">
      <c r="A960" s="2" t="str">
        <f>IFERROR(__xludf.DUMMYFUNCTION("""COMPUTED_VALUE"""),"RIBBON REEL SPOTS DESIGN")</f>
        <v>RIBBON REEL SPOTS DESIGN</v>
      </c>
      <c r="B960" s="2">
        <f>IFERROR(__xludf.DUMMYFUNCTION("""COMPUTED_VALUE"""),5.0)</f>
        <v>5</v>
      </c>
    </row>
    <row r="961">
      <c r="A961" s="2" t="str">
        <f>IFERROR(__xludf.DUMMYFUNCTION("""COMPUTED_VALUE"""),"RIBBON REEL STRIPES DESIGN")</f>
        <v>RIBBON REEL STRIPES DESIGN</v>
      </c>
      <c r="B961" s="2">
        <f>IFERROR(__xludf.DUMMYFUNCTION("""COMPUTED_VALUE"""),5.0)</f>
        <v>5</v>
      </c>
    </row>
    <row r="962">
      <c r="A962" s="2" t="str">
        <f>IFERROR(__xludf.DUMMYFUNCTION("""COMPUTED_VALUE"""),"DAIRY MAID PUDDING BOWL")</f>
        <v>DAIRY MAID PUDDING BOWL</v>
      </c>
      <c r="B962" s="2">
        <f>IFERROR(__xludf.DUMMYFUNCTION("""COMPUTED_VALUE"""),2.0)</f>
        <v>2</v>
      </c>
    </row>
    <row r="963">
      <c r="A963" s="2" t="str">
        <f>IFERROR(__xludf.DUMMYFUNCTION("""COMPUTED_VALUE"""),"DAIRY MAID LARGE MILK JUG")</f>
        <v>DAIRY MAID LARGE MILK JUG</v>
      </c>
      <c r="B963" s="2">
        <f>IFERROR(__xludf.DUMMYFUNCTION("""COMPUTED_VALUE"""),2.0)</f>
        <v>2</v>
      </c>
    </row>
    <row r="964">
      <c r="A964" s="2" t="str">
        <f>IFERROR(__xludf.DUMMYFUNCTION("""COMPUTED_VALUE"""),"CERAMIC BIRDHOUSE FINCH BLUE ROOF")</f>
        <v>CERAMIC BIRDHOUSE FINCH BLUE ROOF</v>
      </c>
      <c r="B964" s="2">
        <f>IFERROR(__xludf.DUMMYFUNCTION("""COMPUTED_VALUE"""),1.0)</f>
        <v>1</v>
      </c>
    </row>
    <row r="965">
      <c r="A965" s="2" t="str">
        <f>IFERROR(__xludf.DUMMYFUNCTION("""COMPUTED_VALUE"""),"CERAMIC BIRDHOUSE RED ROOF SMALL")</f>
        <v>CERAMIC BIRDHOUSE RED ROOF SMALL</v>
      </c>
      <c r="B965" s="2">
        <f>IFERROR(__xludf.DUMMYFUNCTION("""COMPUTED_VALUE"""),1.0)</f>
        <v>1</v>
      </c>
    </row>
    <row r="966">
      <c r="A966" s="2" t="str">
        <f>IFERROR(__xludf.DUMMYFUNCTION("""COMPUTED_VALUE"""),"CERAMIC BIRDHOUSE BUTTERFLY SMALL")</f>
        <v>CERAMIC BIRDHOUSE BUTTERFLY SMALL</v>
      </c>
      <c r="B966" s="2">
        <f>IFERROR(__xludf.DUMMYFUNCTION("""COMPUTED_VALUE"""),1.0)</f>
        <v>1</v>
      </c>
    </row>
    <row r="967">
      <c r="A967" s="2" t="str">
        <f>IFERROR(__xludf.DUMMYFUNCTION("""COMPUTED_VALUE"""),"CERAMIC BIRDHOUSE CRESTED TIT SMALL")</f>
        <v>CERAMIC BIRDHOUSE CRESTED TIT SMALL</v>
      </c>
      <c r="B967" s="2">
        <f>IFERROR(__xludf.DUMMYFUNCTION("""COMPUTED_VALUE"""),1.0)</f>
        <v>1</v>
      </c>
    </row>
    <row r="968">
      <c r="A968" s="2" t="str">
        <f>IFERROR(__xludf.DUMMYFUNCTION("""COMPUTED_VALUE"""),"DAIRY MAID CERAMIC BUTTER DISH")</f>
        <v>DAIRY MAID CERAMIC BUTTER DISH</v>
      </c>
      <c r="B968" s="2">
        <f>IFERROR(__xludf.DUMMYFUNCTION("""COMPUTED_VALUE"""),2.0)</f>
        <v>2</v>
      </c>
    </row>
    <row r="969">
      <c r="A969" s="2" t="str">
        <f>IFERROR(__xludf.DUMMYFUNCTION("""COMPUTED_VALUE"""),"FRENCH ENAMEL POT W LID")</f>
        <v>FRENCH ENAMEL POT W LID</v>
      </c>
      <c r="B969" s="2">
        <f>IFERROR(__xludf.DUMMYFUNCTION("""COMPUTED_VALUE"""),2.0)</f>
        <v>2</v>
      </c>
    </row>
    <row r="970">
      <c r="A970" s="2" t="str">
        <f>IFERROR(__xludf.DUMMYFUNCTION("""COMPUTED_VALUE"""),"FRENCH ENAMEL CANDLEHOLDER")</f>
        <v>FRENCH ENAMEL CANDLEHOLDER</v>
      </c>
      <c r="B970" s="2">
        <f>IFERROR(__xludf.DUMMYFUNCTION("""COMPUTED_VALUE"""),2.0)</f>
        <v>2</v>
      </c>
    </row>
    <row r="971">
      <c r="A971" s="2" t="str">
        <f>IFERROR(__xludf.DUMMYFUNCTION("""COMPUTED_VALUE"""),"DAIRY MAID SUGAR JAM BOWL")</f>
        <v>DAIRY MAID SUGAR JAM BOWL</v>
      </c>
      <c r="B971" s="2">
        <f>IFERROR(__xludf.DUMMYFUNCTION("""COMPUTED_VALUE"""),2.0)</f>
        <v>2</v>
      </c>
    </row>
    <row r="972">
      <c r="A972" s="2" t="str">
        <f>IFERROR(__xludf.DUMMYFUNCTION("""COMPUTED_VALUE"""),"DAIRY MAID CERAMIC TOASTRACK")</f>
        <v>DAIRY MAID CERAMIC TOASTRACK</v>
      </c>
      <c r="B972" s="2">
        <f>IFERROR(__xludf.DUMMYFUNCTION("""COMPUTED_VALUE"""),2.0)</f>
        <v>2</v>
      </c>
    </row>
    <row r="973">
      <c r="A973" s="2" t="str">
        <f>IFERROR(__xludf.DUMMYFUNCTION("""COMPUTED_VALUE"""),"YELLOW BREAKFAST CUP AND SAUCER")</f>
        <v>YELLOW BREAKFAST CUP AND SAUCER</v>
      </c>
      <c r="B973" s="2">
        <f>IFERROR(__xludf.DUMMYFUNCTION("""COMPUTED_VALUE"""),2.0)</f>
        <v>2</v>
      </c>
    </row>
    <row r="974">
      <c r="A974" s="2" t="str">
        <f>IFERROR(__xludf.DUMMYFUNCTION("""COMPUTED_VALUE"""),"BLUE BREAKFAST CUP AND SAUCER")</f>
        <v>BLUE BREAKFAST CUP AND SAUCER</v>
      </c>
      <c r="B974" s="2">
        <f>IFERROR(__xludf.DUMMYFUNCTION("""COMPUTED_VALUE"""),2.0)</f>
        <v>2</v>
      </c>
    </row>
    <row r="975">
      <c r="A975" s="2" t="str">
        <f>IFERROR(__xludf.DUMMYFUNCTION("""COMPUTED_VALUE"""),"HEART FILIGREE DOVE SMALL")</f>
        <v>HEART FILIGREE DOVE SMALL</v>
      </c>
      <c r="B975" s="2">
        <f>IFERROR(__xludf.DUMMYFUNCTION("""COMPUTED_VALUE"""),24.0)</f>
        <v>24</v>
      </c>
    </row>
    <row r="976">
      <c r="A976" s="2" t="str">
        <f>IFERROR(__xludf.DUMMYFUNCTION("""COMPUTED_VALUE"""),"PACK/12 BLUE REINDEER CARD")</f>
        <v>PACK/12 BLUE REINDEER CARD</v>
      </c>
      <c r="B976" s="2">
        <f>IFERROR(__xludf.DUMMYFUNCTION("""COMPUTED_VALUE"""),1.0)</f>
        <v>1</v>
      </c>
    </row>
    <row r="977">
      <c r="A977" s="2" t="str">
        <f>IFERROR(__xludf.DUMMYFUNCTION("""COMPUTED_VALUE"""),"S/15 SILVER GLASS BAUBLES IN BAG")</f>
        <v>S/15 SILVER GLASS BAUBLES IN BAG</v>
      </c>
      <c r="B977" s="2">
        <f>IFERROR(__xludf.DUMMYFUNCTION("""COMPUTED_VALUE"""),12.0)</f>
        <v>12</v>
      </c>
    </row>
    <row r="978">
      <c r="A978" s="2" t="str">
        <f>IFERROR(__xludf.DUMMYFUNCTION("""COMPUTED_VALUE"""),"SILVER HANGING T-LIGHT HOLDER")</f>
        <v>SILVER HANGING T-LIGHT HOLDER</v>
      </c>
      <c r="B978" s="2">
        <f>IFERROR(__xludf.DUMMYFUNCTION("""COMPUTED_VALUE"""),6.0)</f>
        <v>6</v>
      </c>
    </row>
    <row r="979">
      <c r="A979" s="2" t="str">
        <f>IFERROR(__xludf.DUMMYFUNCTION("""COMPUTED_VALUE"""),"HEART FILIGREE DOVE LARGE")</f>
        <v>HEART FILIGREE DOVE LARGE</v>
      </c>
      <c r="B979" s="2">
        <f>IFERROR(__xludf.DUMMYFUNCTION("""COMPUTED_VALUE"""),24.0)</f>
        <v>24</v>
      </c>
    </row>
    <row r="980">
      <c r="A980" s="2" t="str">
        <f>IFERROR(__xludf.DUMMYFUNCTION("""COMPUTED_VALUE"""),"VINTAGE SNAKES &amp; LADDERS")</f>
        <v>VINTAGE SNAKES &amp; LADDERS</v>
      </c>
      <c r="B980" s="2">
        <f>IFERROR(__xludf.DUMMYFUNCTION("""COMPUTED_VALUE"""),3.0)</f>
        <v>3</v>
      </c>
    </row>
    <row r="981">
      <c r="A981" s="2" t="str">
        <f>IFERROR(__xludf.DUMMYFUNCTION("""COMPUTED_VALUE"""),"BINGO SET")</f>
        <v>BINGO SET</v>
      </c>
      <c r="B981" s="2">
        <f>IFERROR(__xludf.DUMMYFUNCTION("""COMPUTED_VALUE"""),4.0)</f>
        <v>4</v>
      </c>
    </row>
    <row r="982">
      <c r="A982" s="2" t="str">
        <f>IFERROR(__xludf.DUMMYFUNCTION("""COMPUTED_VALUE"""),"ENGLISH ROSE PLACEMATS")</f>
        <v>ENGLISH ROSE PLACEMATS</v>
      </c>
      <c r="B982" s="2">
        <f>IFERROR(__xludf.DUMMYFUNCTION("""COMPUTED_VALUE"""),1.0)</f>
        <v>1</v>
      </c>
    </row>
    <row r="983">
      <c r="A983" s="2" t="str">
        <f>IFERROR(__xludf.DUMMYFUNCTION("""COMPUTED_VALUE"""),"ANTIQUE SILVER TEA GLASS ETCHED")</f>
        <v>ANTIQUE SILVER TEA GLASS ETCHED</v>
      </c>
      <c r="B983" s="2">
        <f>IFERROR(__xludf.DUMMYFUNCTION("""COMPUTED_VALUE"""),30.0)</f>
        <v>30</v>
      </c>
    </row>
    <row r="984">
      <c r="A984" s="2" t="str">
        <f>IFERROR(__xludf.DUMMYFUNCTION("""COMPUTED_VALUE"""),"SET OF 4 ENGLISH ROSE COASTERS")</f>
        <v>SET OF 4 ENGLISH ROSE COASTERS</v>
      </c>
      <c r="B984" s="2">
        <f>IFERROR(__xludf.DUMMYFUNCTION("""COMPUTED_VALUE"""),1.0)</f>
        <v>1</v>
      </c>
    </row>
    <row r="985">
      <c r="A985" s="2" t="str">
        <f>IFERROR(__xludf.DUMMYFUNCTION("""COMPUTED_VALUE"""),"COSY HOUR GIANT TUBE MATCHES")</f>
        <v>COSY HOUR GIANT TUBE MATCHES</v>
      </c>
      <c r="B985" s="2">
        <f>IFERROR(__xludf.DUMMYFUNCTION("""COMPUTED_VALUE"""),12.0)</f>
        <v>12</v>
      </c>
    </row>
    <row r="986">
      <c r="A986" s="2" t="str">
        <f>IFERROR(__xludf.DUMMYFUNCTION("""COMPUTED_VALUE"""),"SMALL RETRO SPOT MUG IN BOX WHITE")</f>
        <v>SMALL RETRO SPOT MUG IN BOX WHITE</v>
      </c>
      <c r="B986" s="2">
        <f>IFERROR(__xludf.DUMMYFUNCTION("""COMPUTED_VALUE"""),4.0)</f>
        <v>4</v>
      </c>
    </row>
    <row r="987">
      <c r="A987" s="2" t="str">
        <f>IFERROR(__xludf.DUMMYFUNCTION("""COMPUTED_VALUE"""),"LARGE FIBRE OPTIC CHRISTMAS TREE")</f>
        <v>LARGE FIBRE OPTIC CHRISTMAS TREE</v>
      </c>
      <c r="B987" s="2">
        <f>IFERROR(__xludf.DUMMYFUNCTION("""COMPUTED_VALUE"""),1.0)</f>
        <v>1</v>
      </c>
    </row>
    <row r="988">
      <c r="A988" s="2" t="str">
        <f>IFERROR(__xludf.DUMMYFUNCTION("""COMPUTED_VALUE"""),"SMALL RETRO SPOT MUG IN BOX RED")</f>
        <v>SMALL RETRO SPOT MUG IN BOX RED</v>
      </c>
      <c r="B988" s="2">
        <f>IFERROR(__xludf.DUMMYFUNCTION("""COMPUTED_VALUE"""),4.0)</f>
        <v>4</v>
      </c>
    </row>
    <row r="989">
      <c r="A989" s="2" t="str">
        <f>IFERROR(__xludf.DUMMYFUNCTION("""COMPUTED_VALUE"""),"RED 3 PIECE MINI DOTS CUTLERY SET")</f>
        <v>RED 3 PIECE MINI DOTS CUTLERY SET</v>
      </c>
      <c r="B989" s="2">
        <f>IFERROR(__xludf.DUMMYFUNCTION("""COMPUTED_VALUE"""),4.0)</f>
        <v>4</v>
      </c>
    </row>
    <row r="990">
      <c r="A990" s="2" t="str">
        <f>IFERROR(__xludf.DUMMYFUNCTION("""COMPUTED_VALUE"""),"BLUE 3 PIECE MINI DOTS CUTLERY SET")</f>
        <v>BLUE 3 PIECE MINI DOTS CUTLERY SET</v>
      </c>
      <c r="B990" s="2">
        <f>IFERROR(__xludf.DUMMYFUNCTION("""COMPUTED_VALUE"""),4.0)</f>
        <v>4</v>
      </c>
    </row>
    <row r="991">
      <c r="A991" s="2" t="str">
        <f>IFERROR(__xludf.DUMMYFUNCTION("""COMPUTED_VALUE"""),"RED STAR CARD HOLDER")</f>
        <v>RED STAR CARD HOLDER</v>
      </c>
      <c r="B991" s="2">
        <f>IFERROR(__xludf.DUMMYFUNCTION("""COMPUTED_VALUE"""),11.0)</f>
        <v>11</v>
      </c>
    </row>
    <row r="992">
      <c r="A992" s="2" t="str">
        <f>IFERROR(__xludf.DUMMYFUNCTION("""COMPUTED_VALUE"""),"RETRO SPOT TEA SET CERAMIC 11 PC")</f>
        <v>RETRO SPOT TEA SET CERAMIC 11 PC</v>
      </c>
      <c r="B992" s="2">
        <f>IFERROR(__xludf.DUMMYFUNCTION("""COMPUTED_VALUE"""),3.0)</f>
        <v>3</v>
      </c>
    </row>
    <row r="993">
      <c r="A993" s="2" t="str">
        <f>IFERROR(__xludf.DUMMYFUNCTION("""COMPUTED_VALUE"""),"WHITE ROUND PORCELAIN TLIGHT HOLDER")</f>
        <v>WHITE ROUND PORCELAIN TLIGHT HOLDER</v>
      </c>
      <c r="B993" s="2">
        <f>IFERROR(__xludf.DUMMYFUNCTION("""COMPUTED_VALUE"""),6.0)</f>
        <v>6</v>
      </c>
    </row>
    <row r="994">
      <c r="A994" s="2" t="str">
        <f>IFERROR(__xludf.DUMMYFUNCTION("""COMPUTED_VALUE"""),"WHITE TALL PORCELAIN T-LIGHT HOLDER")</f>
        <v>WHITE TALL PORCELAIN T-LIGHT HOLDER</v>
      </c>
      <c r="B994" s="2">
        <f>IFERROR(__xludf.DUMMYFUNCTION("""COMPUTED_VALUE"""),6.0)</f>
        <v>6</v>
      </c>
    </row>
    <row r="995">
      <c r="A995" s="2" t="str">
        <f>IFERROR(__xludf.DUMMYFUNCTION("""COMPUTED_VALUE"""),"GREY HEART HOT WATER BOTTLE")</f>
        <v>GREY HEART HOT WATER BOTTLE</v>
      </c>
      <c r="B995" s="2">
        <f>IFERROR(__xludf.DUMMYFUNCTION("""COMPUTED_VALUE"""),12.0)</f>
        <v>12</v>
      </c>
    </row>
    <row r="996">
      <c r="A996" s="2" t="str">
        <f>IFERROR(__xludf.DUMMYFUNCTION("""COMPUTED_VALUE"""),"JARDIN ETCHED GLASS CANDLEHLDR LONG")</f>
        <v>JARDIN ETCHED GLASS CANDLEHLDR LONG</v>
      </c>
      <c r="B996" s="2">
        <f>IFERROR(__xludf.DUMMYFUNCTION("""COMPUTED_VALUE"""),4.0)</f>
        <v>4</v>
      </c>
    </row>
    <row r="997">
      <c r="A997" s="2" t="str">
        <f>IFERROR(__xludf.DUMMYFUNCTION("""COMPUTED_VALUE"""),"POTTING SHED TEA MUG")</f>
        <v>POTTING SHED TEA MUG</v>
      </c>
      <c r="B997" s="2">
        <f>IFERROR(__xludf.DUMMYFUNCTION("""COMPUTED_VALUE"""),3.0)</f>
        <v>3</v>
      </c>
    </row>
    <row r="998">
      <c r="A998" s="2" t="str">
        <f>IFERROR(__xludf.DUMMYFUNCTION("""COMPUTED_VALUE"""),"BAKING SET 9 PIECE RETROSPOT")</f>
        <v>BAKING SET 9 PIECE RETROSPOT</v>
      </c>
      <c r="B998" s="2">
        <f>IFERROR(__xludf.DUMMYFUNCTION("""COMPUTED_VALUE"""),3.0)</f>
        <v>3</v>
      </c>
    </row>
    <row r="999">
      <c r="A999" s="2" t="str">
        <f>IFERROR(__xludf.DUMMYFUNCTION("""COMPUTED_VALUE"""),"PINK BREAKFAST CUP AND SAUCER")</f>
        <v>PINK BREAKFAST CUP AND SAUCER</v>
      </c>
      <c r="B999" s="2">
        <f>IFERROR(__xludf.DUMMYFUNCTION("""COMPUTED_VALUE"""),2.0)</f>
        <v>2</v>
      </c>
    </row>
    <row r="1000">
      <c r="A1000" s="2" t="str">
        <f>IFERROR(__xludf.DUMMYFUNCTION("""COMPUTED_VALUE"""),"FRENCH ENAMEL UTENSIL HOLDER")</f>
        <v>FRENCH ENAMEL UTENSIL HOLDER</v>
      </c>
      <c r="B1000" s="2">
        <f>IFERROR(__xludf.DUMMYFUNCTION("""COMPUTED_VALUE"""),2.0)</f>
        <v>2</v>
      </c>
    </row>
    <row r="1001">
      <c r="A1001" s="2" t="str">
        <f>IFERROR(__xludf.DUMMYFUNCTION("""COMPUTED_VALUE"""),"FRENCH CHATEAU SMALL FRUITBOWL")</f>
        <v>FRENCH CHATEAU SMALL FRUITBOWL</v>
      </c>
      <c r="B1001" s="2">
        <f>IFERROR(__xludf.DUMMYFUNCTION("""COMPUTED_VALUE"""),2.0)</f>
        <v>2</v>
      </c>
    </row>
    <row r="1002">
      <c r="A1002" s="2" t="str">
        <f>IFERROR(__xludf.DUMMYFUNCTION("""COMPUTED_VALUE"""),"CHRISTMAS CRAFT HEART STOCKING")</f>
        <v>CHRISTMAS CRAFT HEART STOCKING</v>
      </c>
      <c r="B1002" s="2">
        <f>IFERROR(__xludf.DUMMYFUNCTION("""COMPUTED_VALUE"""),2.0)</f>
        <v>2</v>
      </c>
    </row>
    <row r="1003">
      <c r="A1003" s="2" t="str">
        <f>IFERROR(__xludf.DUMMYFUNCTION("""COMPUTED_VALUE"""),"CHRISTMAS CRAFT WHITE FAIRY")</f>
        <v>CHRISTMAS CRAFT WHITE FAIRY</v>
      </c>
      <c r="B1003" s="2">
        <f>IFERROR(__xludf.DUMMYFUNCTION("""COMPUTED_VALUE"""),2.0)</f>
        <v>2</v>
      </c>
    </row>
    <row r="1004">
      <c r="A1004" s="2" t="str">
        <f>IFERROR(__xludf.DUMMYFUNCTION("""COMPUTED_VALUE"""),"SET OF THREE VINTAGE GIFT WRAPS")</f>
        <v>SET OF THREE VINTAGE GIFT WRAPS</v>
      </c>
      <c r="B1004" s="2">
        <f>IFERROR(__xludf.DUMMYFUNCTION("""COMPUTED_VALUE"""),1.0)</f>
        <v>1</v>
      </c>
    </row>
    <row r="1005">
      <c r="A1005" s="2" t="str">
        <f>IFERROR(__xludf.DUMMYFUNCTION("""COMPUTED_VALUE"""),"SET OF THREE 50'S GIFT WRAPS")</f>
        <v>SET OF THREE 50'S GIFT WRAPS</v>
      </c>
      <c r="B1005" s="2">
        <f>IFERROR(__xludf.DUMMYFUNCTION("""COMPUTED_VALUE"""),2.0)</f>
        <v>2</v>
      </c>
    </row>
    <row r="1006">
      <c r="A1006" s="2" t="str">
        <f>IFERROR(__xludf.DUMMYFUNCTION("""COMPUTED_VALUE"""),"SET OF 72 IVORY PAPER DOILIES")</f>
        <v>SET OF 72 IVORY PAPER DOILIES</v>
      </c>
      <c r="B1006" s="2">
        <f>IFERROR(__xludf.DUMMYFUNCTION("""COMPUTED_VALUE"""),2.0)</f>
        <v>2</v>
      </c>
    </row>
    <row r="1007">
      <c r="A1007" s="2" t="str">
        <f>IFERROR(__xludf.DUMMYFUNCTION("""COMPUTED_VALUE"""),"SET OF 72 BLACK PAPER DOILIES")</f>
        <v>SET OF 72 BLACK PAPER DOILIES</v>
      </c>
      <c r="B1007" s="2">
        <f>IFERROR(__xludf.DUMMYFUNCTION("""COMPUTED_VALUE"""),2.0)</f>
        <v>2</v>
      </c>
    </row>
    <row r="1008">
      <c r="A1008" s="2" t="str">
        <f>IFERROR(__xludf.DUMMYFUNCTION("""COMPUTED_VALUE"""),"SET OF 72 GREEN PAPER DOILIES")</f>
        <v>SET OF 72 GREEN PAPER DOILIES</v>
      </c>
      <c r="B1008" s="2">
        <f>IFERROR(__xludf.DUMMYFUNCTION("""COMPUTED_VALUE"""),2.0)</f>
        <v>2</v>
      </c>
    </row>
    <row r="1009">
      <c r="A1009" s="2" t="str">
        <f>IFERROR(__xludf.DUMMYFUNCTION("""COMPUTED_VALUE"""),"GEISHA GIRL CHOPSTICKS SET/5")</f>
        <v>GEISHA GIRL CHOPSTICKS SET/5</v>
      </c>
      <c r="B1009" s="2">
        <f>IFERROR(__xludf.DUMMYFUNCTION("""COMPUTED_VALUE"""),2.0)</f>
        <v>2</v>
      </c>
    </row>
    <row r="1010">
      <c r="A1010" s="2" t="str">
        <f>IFERROR(__xludf.DUMMYFUNCTION("""COMPUTED_VALUE"""),"URBAN CHIC CHOPSTICKS SET/5")</f>
        <v>URBAN CHIC CHOPSTICKS SET/5</v>
      </c>
      <c r="B1010" s="2">
        <f>IFERROR(__xludf.DUMMYFUNCTION("""COMPUTED_VALUE"""),2.0)</f>
        <v>2</v>
      </c>
    </row>
    <row r="1011">
      <c r="A1011" s="2" t="str">
        <f>IFERROR(__xludf.DUMMYFUNCTION("""COMPUTED_VALUE"""),"SET/6 BEAD COASTERS GAUZE BAG GOLD")</f>
        <v>SET/6 BEAD COASTERS GAUZE BAG GOLD</v>
      </c>
      <c r="B1011" s="2">
        <f>IFERROR(__xludf.DUMMYFUNCTION("""COMPUTED_VALUE"""),4.0)</f>
        <v>4</v>
      </c>
    </row>
    <row r="1012">
      <c r="A1012" s="2" t="str">
        <f>IFERROR(__xludf.DUMMYFUNCTION("""COMPUTED_VALUE"""),"GARDEN METAL SIGN")</f>
        <v>GARDEN METAL SIGN</v>
      </c>
      <c r="B1012" s="2">
        <f>IFERROR(__xludf.DUMMYFUNCTION("""COMPUTED_VALUE"""),4.0)</f>
        <v>4</v>
      </c>
    </row>
    <row r="1013">
      <c r="A1013" s="2" t="str">
        <f>IFERROR(__xludf.DUMMYFUNCTION("""COMPUTED_VALUE"""),"VINTAGE BILLBOARD MUG")</f>
        <v>VINTAGE BILLBOARD MUG</v>
      </c>
      <c r="B1013" s="2">
        <f>IFERROR(__xludf.DUMMYFUNCTION("""COMPUTED_VALUE"""),2.0)</f>
        <v>2</v>
      </c>
    </row>
    <row r="1014">
      <c r="A1014" s="2" t="str">
        <f>IFERROR(__xludf.DUMMYFUNCTION("""COMPUTED_VALUE"""),"VINTAGE RED MUG")</f>
        <v>VINTAGE RED MUG</v>
      </c>
      <c r="B1014" s="2">
        <f>IFERROR(__xludf.DUMMYFUNCTION("""COMPUTED_VALUE"""),2.0)</f>
        <v>2</v>
      </c>
    </row>
    <row r="1015">
      <c r="A1015" s="2" t="str">
        <f>IFERROR(__xludf.DUMMYFUNCTION("""COMPUTED_VALUE"""),"VINTAGE RED TEATIME MUG")</f>
        <v>VINTAGE RED TEATIME MUG</v>
      </c>
      <c r="B1015" s="2">
        <f>IFERROR(__xludf.DUMMYFUNCTION("""COMPUTED_VALUE"""),2.0)</f>
        <v>2</v>
      </c>
    </row>
    <row r="1016">
      <c r="A1016" s="2" t="str">
        <f>IFERROR(__xludf.DUMMYFUNCTION("""COMPUTED_VALUE"""),"VINTAGE BILLBOARD TEA MUG")</f>
        <v>VINTAGE BILLBOARD TEA MUG</v>
      </c>
      <c r="B1016" s="2">
        <f>IFERROR(__xludf.DUMMYFUNCTION("""COMPUTED_VALUE"""),2.0)</f>
        <v>2</v>
      </c>
    </row>
    <row r="1017">
      <c r="A1017" s="2" t="str">
        <f>IFERROR(__xludf.DUMMYFUNCTION("""COMPUTED_VALUE"""),"MOBILE VINTAGE HEARTS")</f>
        <v>MOBILE VINTAGE HEARTS</v>
      </c>
      <c r="B1017" s="2">
        <f>IFERROR(__xludf.DUMMYFUNCTION("""COMPUTED_VALUE"""),3.0)</f>
        <v>3</v>
      </c>
    </row>
    <row r="1018">
      <c r="A1018" s="2" t="str">
        <f>IFERROR(__xludf.DUMMYFUNCTION("""COMPUTED_VALUE"""),"SET/6 GARDEN GNOME T-LIGHT CANDLES")</f>
        <v>SET/6 GARDEN GNOME T-LIGHT CANDLES</v>
      </c>
      <c r="B1018" s="2">
        <f>IFERROR(__xludf.DUMMYFUNCTION("""COMPUTED_VALUE"""),1.0)</f>
        <v>1</v>
      </c>
    </row>
    <row r="1019">
      <c r="A1019" s="2" t="str">
        <f>IFERROR(__xludf.DUMMYFUNCTION("""COMPUTED_VALUE"""),"SET/4 GARDEN ROSE DINNER CANDLE")</f>
        <v>SET/4 GARDEN ROSE DINNER CANDLE</v>
      </c>
      <c r="B1019" s="2">
        <f>IFERROR(__xludf.DUMMYFUNCTION("""COMPUTED_VALUE"""),1.0)</f>
        <v>1</v>
      </c>
    </row>
    <row r="1020">
      <c r="A1020" s="2" t="str">
        <f>IFERROR(__xludf.DUMMYFUNCTION("""COMPUTED_VALUE"""),"CHERRY DESIGN PAPERLANTERNS")</f>
        <v>CHERRY DESIGN PAPERLANTERNS</v>
      </c>
      <c r="B1020" s="2">
        <f>IFERROR(__xludf.DUMMYFUNCTION("""COMPUTED_VALUE"""),10.0)</f>
        <v>10</v>
      </c>
    </row>
    <row r="1021">
      <c r="A1021" s="2" t="str">
        <f>IFERROR(__xludf.DUMMYFUNCTION("""COMPUTED_VALUE"""),"TEA TIME PAPER LANTERNS")</f>
        <v>TEA TIME PAPER LANTERNS</v>
      </c>
      <c r="B1021" s="2">
        <f>IFERROR(__xludf.DUMMYFUNCTION("""COMPUTED_VALUE"""),10.0)</f>
        <v>10</v>
      </c>
    </row>
    <row r="1022">
      <c r="A1022" s="2" t="str">
        <f>IFERROR(__xludf.DUMMYFUNCTION("""COMPUTED_VALUE"""),"VICTORIAN SEWING KIT")</f>
        <v>VICTORIAN SEWING KIT</v>
      </c>
      <c r="B1022" s="2">
        <f>IFERROR(__xludf.DUMMYFUNCTION("""COMPUTED_VALUE"""),10.0)</f>
        <v>10</v>
      </c>
    </row>
    <row r="1023">
      <c r="A1023" s="2" t="str">
        <f>IFERROR(__xludf.DUMMYFUNCTION("""COMPUTED_VALUE"""),"POTTING SHED SEED TIN")</f>
        <v>POTTING SHED SEED TIN</v>
      </c>
      <c r="B1023" s="2">
        <f>IFERROR(__xludf.DUMMYFUNCTION("""COMPUTED_VALUE"""),3.0)</f>
        <v>3</v>
      </c>
    </row>
    <row r="1024">
      <c r="A1024" s="2" t="str">
        <f>IFERROR(__xludf.DUMMYFUNCTION("""COMPUTED_VALUE"""),"GAOLERS KEYS DECORATIVE GARDEN")</f>
        <v>GAOLERS KEYS DECORATIVE GARDEN</v>
      </c>
      <c r="B1024" s="2">
        <f>IFERROR(__xludf.DUMMYFUNCTION("""COMPUTED_VALUE"""),4.0)</f>
        <v>4</v>
      </c>
    </row>
    <row r="1025">
      <c r="A1025" s="2" t="str">
        <f>IFERROR(__xludf.DUMMYFUNCTION("""COMPUTED_VALUE"""),"PINK GLASS CANDLEHOLDER")</f>
        <v>PINK GLASS CANDLEHOLDER</v>
      </c>
      <c r="B1025" s="2">
        <f>IFERROR(__xludf.DUMMYFUNCTION("""COMPUTED_VALUE"""),2.0)</f>
        <v>2</v>
      </c>
    </row>
    <row r="1026">
      <c r="A1026" s="2" t="str">
        <f>IFERROR(__xludf.DUMMYFUNCTION("""COMPUTED_VALUE"""),"COCKLE SHELL DISH")</f>
        <v>COCKLE SHELL DISH</v>
      </c>
      <c r="B1026" s="2">
        <f>IFERROR(__xludf.DUMMYFUNCTION("""COMPUTED_VALUE"""),2.0)</f>
        <v>2</v>
      </c>
    </row>
    <row r="1027">
      <c r="A1027" s="2" t="str">
        <f>IFERROR(__xludf.DUMMYFUNCTION("""COMPUTED_VALUE"""),"PAPER CHAIN KIT RETRO SPOT")</f>
        <v>PAPER CHAIN KIT RETRO SPOT</v>
      </c>
      <c r="B1027" s="2">
        <f>IFERROR(__xludf.DUMMYFUNCTION("""COMPUTED_VALUE"""),5.0)</f>
        <v>5</v>
      </c>
    </row>
    <row r="1028">
      <c r="A1028" s="2" t="str">
        <f>IFERROR(__xludf.DUMMYFUNCTION("""COMPUTED_VALUE"""),"PAPER BUNTING COLOURED LACE")</f>
        <v>PAPER BUNTING COLOURED LACE</v>
      </c>
      <c r="B1028" s="2">
        <f>IFERROR(__xludf.DUMMYFUNCTION("""COMPUTED_VALUE"""),1.0)</f>
        <v>1</v>
      </c>
    </row>
    <row r="1029">
      <c r="A1029" s="2" t="str">
        <f>IFERROR(__xludf.DUMMYFUNCTION("""COMPUTED_VALUE"""),"MOTORING TISSUE BOX")</f>
        <v>MOTORING TISSUE BOX</v>
      </c>
      <c r="B1029" s="2">
        <f>IFERROR(__xludf.DUMMYFUNCTION("""COMPUTED_VALUE"""),3.0)</f>
        <v>3</v>
      </c>
    </row>
    <row r="1030">
      <c r="A1030" s="2" t="str">
        <f>IFERROR(__xludf.DUMMYFUNCTION("""COMPUTED_VALUE"""),"SET/2 BLUE NOODLE BASKETS")</f>
        <v>SET/2 BLUE NOODLE BASKETS</v>
      </c>
      <c r="B1030" s="2">
        <f>IFERROR(__xludf.DUMMYFUNCTION("""COMPUTED_VALUE"""),1.0)</f>
        <v>1</v>
      </c>
    </row>
    <row r="1031">
      <c r="A1031" s="2" t="str">
        <f>IFERROR(__xludf.DUMMYFUNCTION("""COMPUTED_VALUE"""),"COSY SLIPPER SHOES LARGE GREEN")</f>
        <v>COSY SLIPPER SHOES LARGE GREEN</v>
      </c>
      <c r="B1031" s="2">
        <f>IFERROR(__xludf.DUMMYFUNCTION("""COMPUTED_VALUE"""),3.0)</f>
        <v>3</v>
      </c>
    </row>
    <row r="1032">
      <c r="A1032" s="2" t="str">
        <f>IFERROR(__xludf.DUMMYFUNCTION("""COMPUTED_VALUE"""),"COSY SLIPPER SHOES LARGE RED")</f>
        <v>COSY SLIPPER SHOES LARGE RED</v>
      </c>
      <c r="B1032" s="2">
        <f>IFERROR(__xludf.DUMMYFUNCTION("""COMPUTED_VALUE"""),3.0)</f>
        <v>3</v>
      </c>
    </row>
    <row r="1033">
      <c r="A1033" s="2" t="str">
        <f>IFERROR(__xludf.DUMMYFUNCTION("""COMPUTED_VALUE"""),"HANGING FAIRY CAKE DECORATION")</f>
        <v>HANGING FAIRY CAKE DECORATION</v>
      </c>
      <c r="B1033" s="2">
        <f>IFERROR(__xludf.DUMMYFUNCTION("""COMPUTED_VALUE"""),3.0)</f>
        <v>3</v>
      </c>
    </row>
    <row r="1034">
      <c r="A1034" s="2" t="str">
        <f>IFERROR(__xludf.DUMMYFUNCTION("""COMPUTED_VALUE"""),"FROG CANDLE")</f>
        <v>FROG CANDLE</v>
      </c>
      <c r="B1034" s="2">
        <f>IFERROR(__xludf.DUMMYFUNCTION("""COMPUTED_VALUE"""),4.0)</f>
        <v>4</v>
      </c>
    </row>
    <row r="1035">
      <c r="A1035" s="2" t="str">
        <f>IFERROR(__xludf.DUMMYFUNCTION("""COMPUTED_VALUE"""),"BAKING SET 9 PIECE RETROSPOT")</f>
        <v>BAKING SET 9 PIECE RETROSPOT</v>
      </c>
      <c r="B1035" s="2">
        <f>IFERROR(__xludf.DUMMYFUNCTION("""COMPUTED_VALUE"""),4.0)</f>
        <v>4</v>
      </c>
    </row>
    <row r="1036">
      <c r="A1036" s="2" t="str">
        <f>IFERROR(__xludf.DUMMYFUNCTION("""COMPUTED_VALUE"""),"POTTING SHED TEA MUG")</f>
        <v>POTTING SHED TEA MUG</v>
      </c>
      <c r="B1036" s="2">
        <f>IFERROR(__xludf.DUMMYFUNCTION("""COMPUTED_VALUE"""),6.0)</f>
        <v>6</v>
      </c>
    </row>
    <row r="1037">
      <c r="A1037" s="2" t="str">
        <f>IFERROR(__xludf.DUMMYFUNCTION("""COMPUTED_VALUE"""),"AIRLINE LOUNGE,METAL SIGN")</f>
        <v>AIRLINE LOUNGE,METAL SIGN</v>
      </c>
      <c r="B1037" s="2">
        <f>IFERROR(__xludf.DUMMYFUNCTION("""COMPUTED_VALUE"""),2.0)</f>
        <v>2</v>
      </c>
    </row>
    <row r="1038">
      <c r="A1038" s="2" t="str">
        <f>IFERROR(__xludf.DUMMYFUNCTION("""COMPUTED_VALUE"""),"PAPER BUNTING COLOURED LACE")</f>
        <v>PAPER BUNTING COLOURED LACE</v>
      </c>
      <c r="B1038" s="2">
        <f>IFERROR(__xludf.DUMMYFUNCTION("""COMPUTED_VALUE"""),2.0)</f>
        <v>2</v>
      </c>
    </row>
    <row r="1039">
      <c r="A1039" s="2" t="str">
        <f>IFERROR(__xludf.DUMMYFUNCTION("""COMPUTED_VALUE"""),"CAKE PLATE LOVEBIRD WHITE")</f>
        <v>CAKE PLATE LOVEBIRD WHITE</v>
      </c>
      <c r="B1039" s="2">
        <f>IFERROR(__xludf.DUMMYFUNCTION("""COMPUTED_VALUE"""),2.0)</f>
        <v>2</v>
      </c>
    </row>
    <row r="1040">
      <c r="A1040" s="2" t="str">
        <f>IFERROR(__xludf.DUMMYFUNCTION("""COMPUTED_VALUE"""),"SET/3 POLKA DOT STACKING TINS")</f>
        <v>SET/3 POLKA DOT STACKING TINS</v>
      </c>
      <c r="B1040" s="2">
        <f>IFERROR(__xludf.DUMMYFUNCTION("""COMPUTED_VALUE"""),1.0)</f>
        <v>1</v>
      </c>
    </row>
    <row r="1041">
      <c r="A1041" s="2" t="str">
        <f>IFERROR(__xludf.DUMMYFUNCTION("""COMPUTED_VALUE"""),"CERAMIC BIRDHOUSE FINCH BLUE ROOF")</f>
        <v>CERAMIC BIRDHOUSE FINCH BLUE ROOF</v>
      </c>
      <c r="B1041" s="2">
        <f>IFERROR(__xludf.DUMMYFUNCTION("""COMPUTED_VALUE"""),1.0)</f>
        <v>1</v>
      </c>
    </row>
    <row r="1042">
      <c r="A1042" s="2" t="str">
        <f>IFERROR(__xludf.DUMMYFUNCTION("""COMPUTED_VALUE"""),"CERAMIC BIRDHOUSE CRESTED TIT SMALL")</f>
        <v>CERAMIC BIRDHOUSE CRESTED TIT SMALL</v>
      </c>
      <c r="B1042" s="2">
        <f>IFERROR(__xludf.DUMMYFUNCTION("""COMPUTED_VALUE"""),1.0)</f>
        <v>1</v>
      </c>
    </row>
    <row r="1043">
      <c r="A1043" s="2" t="str">
        <f>IFERROR(__xludf.DUMMYFUNCTION("""COMPUTED_VALUE"""),"DAIRY MAID LARGE MILK JUG")</f>
        <v>DAIRY MAID LARGE MILK JUG</v>
      </c>
      <c r="B1043" s="2">
        <f>IFERROR(__xludf.DUMMYFUNCTION("""COMPUTED_VALUE"""),3.0)</f>
        <v>3</v>
      </c>
    </row>
    <row r="1044">
      <c r="A1044" s="2" t="str">
        <f>IFERROR(__xludf.DUMMYFUNCTION("""COMPUTED_VALUE"""),"FAWN BLUE HOT WATER BOTTLE")</f>
        <v>FAWN BLUE HOT WATER BOTTLE</v>
      </c>
      <c r="B1044" s="2">
        <f>IFERROR(__xludf.DUMMYFUNCTION("""COMPUTED_VALUE"""),2.0)</f>
        <v>2</v>
      </c>
    </row>
    <row r="1045">
      <c r="A1045" s="2" t="str">
        <f>IFERROR(__xludf.DUMMYFUNCTION("""COMPUTED_VALUE"""),"MUSHROOM BLUE HOT WATER BOTTLE")</f>
        <v>MUSHROOM BLUE HOT WATER BOTTLE</v>
      </c>
      <c r="B1045" s="2">
        <f>IFERROR(__xludf.DUMMYFUNCTION("""COMPUTED_VALUE"""),3.0)</f>
        <v>3</v>
      </c>
    </row>
    <row r="1046">
      <c r="A1046" s="2" t="str">
        <f>IFERROR(__xludf.DUMMYFUNCTION("""COMPUTED_VALUE"""),"SET/3 DECOUPAGE STACKING TINS")</f>
        <v>SET/3 DECOUPAGE STACKING TINS</v>
      </c>
      <c r="B1046" s="2">
        <f>IFERROR(__xludf.DUMMYFUNCTION("""COMPUTED_VALUE"""),2.0)</f>
        <v>2</v>
      </c>
    </row>
    <row r="1047">
      <c r="A1047" s="2" t="str">
        <f>IFERROR(__xludf.DUMMYFUNCTION("""COMPUTED_VALUE"""),"GLASS CHICKEN BUTTER DISH")</f>
        <v>GLASS CHICKEN BUTTER DISH</v>
      </c>
      <c r="B1047" s="2">
        <f>IFERROR(__xludf.DUMMYFUNCTION("""COMPUTED_VALUE"""),4.0)</f>
        <v>4</v>
      </c>
    </row>
    <row r="1048">
      <c r="A1048" s="2" t="str">
        <f>IFERROR(__xludf.DUMMYFUNCTION("""COMPUTED_VALUE"""),"FIRST AID TIN")</f>
        <v>FIRST AID TIN</v>
      </c>
      <c r="B1048" s="2">
        <f>IFERROR(__xludf.DUMMYFUNCTION("""COMPUTED_VALUE"""),6.0)</f>
        <v>6</v>
      </c>
    </row>
    <row r="1049">
      <c r="A1049" s="2" t="str">
        <f>IFERROR(__xludf.DUMMYFUNCTION("""COMPUTED_VALUE"""),"KINGS CHOICE MUG")</f>
        <v>KINGS CHOICE MUG</v>
      </c>
      <c r="B1049" s="2">
        <f>IFERROR(__xludf.DUMMYFUNCTION("""COMPUTED_VALUE"""),6.0)</f>
        <v>6</v>
      </c>
    </row>
    <row r="1050">
      <c r="A1050" s="2" t="str">
        <f>IFERROR(__xludf.DUMMYFUNCTION("""COMPUTED_VALUE"""),"VINTAGE HEADS AND TAILS CARD GAME")</f>
        <v>VINTAGE HEADS AND TAILS CARD GAME</v>
      </c>
      <c r="B1050" s="2">
        <f>IFERROR(__xludf.DUMMYFUNCTION("""COMPUTED_VALUE"""),10.0)</f>
        <v>10</v>
      </c>
    </row>
    <row r="1051">
      <c r="A1051" s="2" t="str">
        <f>IFERROR(__xludf.DUMMYFUNCTION("""COMPUTED_VALUE"""),"WOODEN BOX OF DOMINOES")</f>
        <v>WOODEN BOX OF DOMINOES</v>
      </c>
      <c r="B1051" s="2">
        <f>IFERROR(__xludf.DUMMYFUNCTION("""COMPUTED_VALUE"""),12.0)</f>
        <v>12</v>
      </c>
    </row>
    <row r="1052">
      <c r="A1052" s="2" t="str">
        <f>IFERROR(__xludf.DUMMYFUNCTION("""COMPUTED_VALUE"""),"CHRISTMAS TOILET ROLL")</f>
        <v>CHRISTMAS TOILET ROLL</v>
      </c>
      <c r="B1052" s="2">
        <f>IFERROR(__xludf.DUMMYFUNCTION("""COMPUTED_VALUE"""),3.0)</f>
        <v>3</v>
      </c>
    </row>
    <row r="1053">
      <c r="A1053" s="2" t="str">
        <f>IFERROR(__xludf.DUMMYFUNCTION("""COMPUTED_VALUE"""),"SWEETHEART CERAMIC TRINKET BOX")</f>
        <v>SWEETHEART CERAMIC TRINKET BOX</v>
      </c>
      <c r="B1053" s="2">
        <f>IFERROR(__xludf.DUMMYFUNCTION("""COMPUTED_VALUE"""),1.0)</f>
        <v>1</v>
      </c>
    </row>
    <row r="1054">
      <c r="A1054" s="2" t="str">
        <f>IFERROR(__xludf.DUMMYFUNCTION("""COMPUTED_VALUE"""),"STRAWBERRY CERAMIC TRINKET BOX")</f>
        <v>STRAWBERRY CERAMIC TRINKET BOX</v>
      </c>
      <c r="B1054" s="2">
        <f>IFERROR(__xludf.DUMMYFUNCTION("""COMPUTED_VALUE"""),4.0)</f>
        <v>4</v>
      </c>
    </row>
    <row r="1055">
      <c r="A1055" s="2" t="str">
        <f>IFERROR(__xludf.DUMMYFUNCTION("""COMPUTED_VALUE"""),"COLOURING PENCILS BROWN TUBE")</f>
        <v>COLOURING PENCILS BROWN TUBE</v>
      </c>
      <c r="B1055" s="2">
        <f>IFERROR(__xludf.DUMMYFUNCTION("""COMPUTED_VALUE"""),10.0)</f>
        <v>10</v>
      </c>
    </row>
    <row r="1056">
      <c r="A1056" s="2" t="str">
        <f>IFERROR(__xludf.DUMMYFUNCTION("""COMPUTED_VALUE"""),"SET OF THREE VINTAGE GIFT WRAPS")</f>
        <v>SET OF THREE VINTAGE GIFT WRAPS</v>
      </c>
      <c r="B1056" s="2">
        <f>IFERROR(__xludf.DUMMYFUNCTION("""COMPUTED_VALUE"""),2.0)</f>
        <v>2</v>
      </c>
    </row>
    <row r="1057">
      <c r="A1057" s="2" t="str">
        <f>IFERROR(__xludf.DUMMYFUNCTION("""COMPUTED_VALUE"""),"BINGO SET")</f>
        <v>BINGO SET</v>
      </c>
      <c r="B1057" s="2">
        <f>IFERROR(__xludf.DUMMYFUNCTION("""COMPUTED_VALUE"""),3.0)</f>
        <v>3</v>
      </c>
    </row>
    <row r="1058">
      <c r="A1058" s="2" t="str">
        <f>IFERROR(__xludf.DUMMYFUNCTION("""COMPUTED_VALUE"""),"VINTAGE SEASIDE JIGSAW PUZZLES")</f>
        <v>VINTAGE SEASIDE JIGSAW PUZZLES</v>
      </c>
      <c r="B1058" s="2">
        <f>IFERROR(__xludf.DUMMYFUNCTION("""COMPUTED_VALUE"""),3.0)</f>
        <v>3</v>
      </c>
    </row>
    <row r="1059">
      <c r="A1059" s="2" t="str">
        <f>IFERROR(__xludf.DUMMYFUNCTION("""COMPUTED_VALUE"""),"VINTAGE SNAKES &amp; LADDERS")</f>
        <v>VINTAGE SNAKES &amp; LADDERS</v>
      </c>
      <c r="B1059" s="2">
        <f>IFERROR(__xludf.DUMMYFUNCTION("""COMPUTED_VALUE"""),3.0)</f>
        <v>3</v>
      </c>
    </row>
    <row r="1060">
      <c r="A1060" s="2" t="str">
        <f>IFERROR(__xludf.DUMMYFUNCTION("""COMPUTED_VALUE"""),"BAKING SET 9 PIECE RETROSPOT")</f>
        <v>BAKING SET 9 PIECE RETROSPOT</v>
      </c>
      <c r="B1060" s="2">
        <f>IFERROR(__xludf.DUMMYFUNCTION("""COMPUTED_VALUE"""),3.0)</f>
        <v>3</v>
      </c>
    </row>
    <row r="1061">
      <c r="A1061" s="2" t="str">
        <f>IFERROR(__xludf.DUMMYFUNCTION("""COMPUTED_VALUE"""),"LADIES &amp; GENTLEMEN METAL SIGN")</f>
        <v>LADIES &amp; GENTLEMEN METAL SIGN</v>
      </c>
      <c r="B1061" s="2">
        <f>IFERROR(__xludf.DUMMYFUNCTION("""COMPUTED_VALUE"""),6.0)</f>
        <v>6</v>
      </c>
    </row>
    <row r="1062">
      <c r="A1062" s="2" t="str">
        <f>IFERROR(__xludf.DUMMYFUNCTION("""COMPUTED_VALUE"""),"STRAWBERRY CERAMIC TRINKET BOX")</f>
        <v>STRAWBERRY CERAMIC TRINKET BOX</v>
      </c>
      <c r="B1062" s="2">
        <f>IFERROR(__xludf.DUMMYFUNCTION("""COMPUTED_VALUE"""),12.0)</f>
        <v>12</v>
      </c>
    </row>
    <row r="1063">
      <c r="A1063" s="2" t="str">
        <f>IFERROR(__xludf.DUMMYFUNCTION("""COMPUTED_VALUE"""),"BROWN PIRATE TREASURE CHEST")</f>
        <v>BROWN PIRATE TREASURE CHEST</v>
      </c>
      <c r="B1063" s="2">
        <f>IFERROR(__xludf.DUMMYFUNCTION("""COMPUTED_VALUE"""),12.0)</f>
        <v>12</v>
      </c>
    </row>
    <row r="1064">
      <c r="A1064" s="2" t="str">
        <f>IFERROR(__xludf.DUMMYFUNCTION("""COMPUTED_VALUE"""),"GREEN 3 PIECE MINI DOTS CUTLERY SET")</f>
        <v>GREEN 3 PIECE MINI DOTS CUTLERY SET</v>
      </c>
      <c r="B1064" s="2">
        <f>IFERROR(__xludf.DUMMYFUNCTION("""COMPUTED_VALUE"""),6.0)</f>
        <v>6</v>
      </c>
    </row>
    <row r="1065">
      <c r="A1065" s="2" t="str">
        <f>IFERROR(__xludf.DUMMYFUNCTION("""COMPUTED_VALUE"""),"RED 3 PIECE MINI DOTS CUTLERY SET")</f>
        <v>RED 3 PIECE MINI DOTS CUTLERY SET</v>
      </c>
      <c r="B1065" s="2">
        <f>IFERROR(__xludf.DUMMYFUNCTION("""COMPUTED_VALUE"""),6.0)</f>
        <v>6</v>
      </c>
    </row>
    <row r="1066">
      <c r="A1066" s="2" t="str">
        <f>IFERROR(__xludf.DUMMYFUNCTION("""COMPUTED_VALUE"""),"PINK FAIRY CAKE CHILD'S APRON")</f>
        <v>PINK FAIRY CAKE CHILD'S APRON</v>
      </c>
      <c r="B1066" s="2">
        <f>IFERROR(__xludf.DUMMYFUNCTION("""COMPUTED_VALUE"""),8.0)</f>
        <v>8</v>
      </c>
    </row>
    <row r="1067">
      <c r="A1067" s="2" t="str">
        <f>IFERROR(__xludf.DUMMYFUNCTION("""COMPUTED_VALUE"""),"BLUE FAIRY CAKE CHILD'S APRON")</f>
        <v>BLUE FAIRY CAKE CHILD'S APRON</v>
      </c>
      <c r="B1067" s="2">
        <f>IFERROR(__xludf.DUMMYFUNCTION("""COMPUTED_VALUE"""),8.0)</f>
        <v>8</v>
      </c>
    </row>
    <row r="1068">
      <c r="A1068" s="2" t="str">
        <f>IFERROR(__xludf.DUMMYFUNCTION("""COMPUTED_VALUE"""),"GIN + TONIC DIET METAL SIGN")</f>
        <v>GIN + TONIC DIET METAL SIGN</v>
      </c>
      <c r="B1068" s="2">
        <f>IFERROR(__xludf.DUMMYFUNCTION("""COMPUTED_VALUE"""),6.0)</f>
        <v>6</v>
      </c>
    </row>
    <row r="1069">
      <c r="A1069" s="2" t="str">
        <f>IFERROR(__xludf.DUMMYFUNCTION("""COMPUTED_VALUE"""),"CHRISTMAS TOILET ROLL")</f>
        <v>CHRISTMAS TOILET ROLL</v>
      </c>
      <c r="B1069" s="2">
        <f>IFERROR(__xludf.DUMMYFUNCTION("""COMPUTED_VALUE"""),12.0)</f>
        <v>12</v>
      </c>
    </row>
    <row r="1070">
      <c r="A1070" s="2" t="str">
        <f>IFERROR(__xludf.DUMMYFUNCTION("""COMPUTED_VALUE"""),"PINK DOUGHNUT TRINKET POT")</f>
        <v>PINK DOUGHNUT TRINKET POT</v>
      </c>
      <c r="B1070" s="2">
        <f>IFERROR(__xludf.DUMMYFUNCTION("""COMPUTED_VALUE"""),12.0)</f>
        <v>12</v>
      </c>
    </row>
    <row r="1071">
      <c r="A1071" s="2" t="str">
        <f>IFERROR(__xludf.DUMMYFUNCTION("""COMPUTED_VALUE"""),"RED TOADSTOOL LED NIGHT LIGHT")</f>
        <v>RED TOADSTOOL LED NIGHT LIGHT</v>
      </c>
      <c r="B1071" s="2">
        <f>IFERROR(__xludf.DUMMYFUNCTION("""COMPUTED_VALUE"""),12.0)</f>
        <v>12</v>
      </c>
    </row>
    <row r="1072">
      <c r="A1072" s="2" t="str">
        <f>IFERROR(__xludf.DUMMYFUNCTION("""COMPUTED_VALUE"""),"STAR PORTABLE TABLE LIGHT")</f>
        <v>STAR PORTABLE TABLE LIGHT</v>
      </c>
      <c r="B1072" s="2">
        <f>IFERROR(__xludf.DUMMYFUNCTION("""COMPUTED_VALUE"""),6.0)</f>
        <v>6</v>
      </c>
    </row>
    <row r="1073">
      <c r="A1073" s="2" t="str">
        <f>IFERROR(__xludf.DUMMYFUNCTION("""COMPUTED_VALUE"""),"SNOWFLAKE PORTABLE TABLE LIGHT")</f>
        <v>SNOWFLAKE PORTABLE TABLE LIGHT</v>
      </c>
      <c r="B1073" s="2">
        <f>IFERROR(__xludf.DUMMYFUNCTION("""COMPUTED_VALUE"""),6.0)</f>
        <v>6</v>
      </c>
    </row>
    <row r="1074">
      <c r="A1074" s="2" t="str">
        <f>IFERROR(__xludf.DUMMYFUNCTION("""COMPUTED_VALUE"""),"MUSHROOM BLUE HOT WATER BOTTLE")</f>
        <v>MUSHROOM BLUE HOT WATER BOTTLE</v>
      </c>
      <c r="B1074" s="2">
        <f>IFERROR(__xludf.DUMMYFUNCTION("""COMPUTED_VALUE"""),6.0)</f>
        <v>6</v>
      </c>
    </row>
    <row r="1075">
      <c r="A1075" s="2" t="str">
        <f>IFERROR(__xludf.DUMMYFUNCTION("""COMPUTED_VALUE"""),"FAWN BLUE HOT WATER BOTTLE")</f>
        <v>FAWN BLUE HOT WATER BOTTLE</v>
      </c>
      <c r="B1075" s="2">
        <f>IFERROR(__xludf.DUMMYFUNCTION("""COMPUTED_VALUE"""),6.0)</f>
        <v>6</v>
      </c>
    </row>
    <row r="1076">
      <c r="A1076" s="2" t="str">
        <f>IFERROR(__xludf.DUMMYFUNCTION("""COMPUTED_VALUE"""),"PARTY CONES CARNIVAL ASSORTED")</f>
        <v>PARTY CONES CARNIVAL ASSORTED</v>
      </c>
      <c r="B1076" s="2">
        <f>IFERROR(__xludf.DUMMYFUNCTION("""COMPUTED_VALUE"""),-48.0)</f>
        <v>-48</v>
      </c>
    </row>
    <row r="1077">
      <c r="A1077" s="2" t="str">
        <f>IFERROR(__xludf.DUMMYFUNCTION("""COMPUTED_VALUE"""),"SCANDINAVIAN REDS RIBBONS")</f>
        <v>SCANDINAVIAN REDS RIBBONS</v>
      </c>
      <c r="B1077" s="2">
        <f>IFERROR(__xludf.DUMMYFUNCTION("""COMPUTED_VALUE"""),5.0)</f>
        <v>5</v>
      </c>
    </row>
    <row r="1078">
      <c r="A1078" s="2" t="str">
        <f>IFERROR(__xludf.DUMMYFUNCTION("""COMPUTED_VALUE"""),"TRADITIONAL CHRISTMAS RIBBONS")</f>
        <v>TRADITIONAL CHRISTMAS RIBBONS</v>
      </c>
      <c r="B1078" s="2">
        <f>IFERROR(__xludf.DUMMYFUNCTION("""COMPUTED_VALUE"""),17.0)</f>
        <v>17</v>
      </c>
    </row>
    <row r="1079">
      <c r="A1079" s="2" t="str">
        <f>IFERROR(__xludf.DUMMYFUNCTION("""COMPUTED_VALUE"""),"PINK HEART CANDY BUTTON CALCULATOR")</f>
        <v>PINK HEART CANDY BUTTON CALCULATOR</v>
      </c>
      <c r="B1079" s="2">
        <f>IFERROR(__xludf.DUMMYFUNCTION("""COMPUTED_VALUE"""),8.0)</f>
        <v>8</v>
      </c>
    </row>
    <row r="1080">
      <c r="A1080" s="2" t="str">
        <f>IFERROR(__xludf.DUMMYFUNCTION("""COMPUTED_VALUE"""),"ZINC METAL HEART DECORATION")</f>
        <v>ZINC METAL HEART DECORATION</v>
      </c>
      <c r="B1080" s="2">
        <f>IFERROR(__xludf.DUMMYFUNCTION("""COMPUTED_VALUE"""),12.0)</f>
        <v>12</v>
      </c>
    </row>
    <row r="1081">
      <c r="A1081" s="2" t="str">
        <f>IFERROR(__xludf.DUMMYFUNCTION("""COMPUTED_VALUE"""),"PAPER CHAIN KIT 50'S CHRISTMAS")</f>
        <v>PAPER CHAIN KIT 50'S CHRISTMAS</v>
      </c>
      <c r="B1081" s="2">
        <f>IFERROR(__xludf.DUMMYFUNCTION("""COMPUTED_VALUE"""),10.0)</f>
        <v>10</v>
      </c>
    </row>
    <row r="1082">
      <c r="A1082" s="2" t="str">
        <f>IFERROR(__xludf.DUMMYFUNCTION("""COMPUTED_VALUE"""),"HEART IVORY TRELLIS LARGE")</f>
        <v>HEART IVORY TRELLIS LARGE</v>
      </c>
      <c r="B1082" s="2">
        <f>IFERROR(__xludf.DUMMYFUNCTION("""COMPUTED_VALUE"""),12.0)</f>
        <v>12</v>
      </c>
    </row>
    <row r="1083">
      <c r="A1083" s="2" t="str">
        <f>IFERROR(__xludf.DUMMYFUNCTION("""COMPUTED_VALUE"""),"JUMBO BAG PINK VINTAGE PAISLEY")</f>
        <v>JUMBO BAG PINK VINTAGE PAISLEY</v>
      </c>
      <c r="B1083" s="2">
        <f>IFERROR(__xludf.DUMMYFUNCTION("""COMPUTED_VALUE"""),3.0)</f>
        <v>3</v>
      </c>
    </row>
    <row r="1084">
      <c r="A1084" s="2" t="str">
        <f>IFERROR(__xludf.DUMMYFUNCTION("""COMPUTED_VALUE"""),"JUMBO BAG STRAWBERRY")</f>
        <v>JUMBO BAG STRAWBERRY</v>
      </c>
      <c r="B1084" s="2">
        <f>IFERROR(__xludf.DUMMYFUNCTION("""COMPUTED_VALUE"""),3.0)</f>
        <v>3</v>
      </c>
    </row>
    <row r="1085">
      <c r="A1085" s="2" t="str">
        <f>IFERROR(__xludf.DUMMYFUNCTION("""COMPUTED_VALUE"""),"JUMBO BAG SCANDINAVIAN PAISLEY")</f>
        <v>JUMBO BAG SCANDINAVIAN PAISLEY</v>
      </c>
      <c r="B1085" s="2">
        <f>IFERROR(__xludf.DUMMYFUNCTION("""COMPUTED_VALUE"""),5.0)</f>
        <v>5</v>
      </c>
    </row>
    <row r="1086">
      <c r="A1086" s="2" t="str">
        <f>IFERROR(__xludf.DUMMYFUNCTION("""COMPUTED_VALUE"""),"WHITE HANGING HEART T-LIGHT HOLDER")</f>
        <v>WHITE HANGING HEART T-LIGHT HOLDER</v>
      </c>
      <c r="B1086" s="2">
        <f>IFERROR(__xludf.DUMMYFUNCTION("""COMPUTED_VALUE"""),6.0)</f>
        <v>6</v>
      </c>
    </row>
    <row r="1087">
      <c r="A1087" s="2" t="str">
        <f>IFERROR(__xludf.DUMMYFUNCTION("""COMPUTED_VALUE"""),"GREY HEART HOT WATER BOTTLE")</f>
        <v>GREY HEART HOT WATER BOTTLE</v>
      </c>
      <c r="B1087" s="2">
        <f>IFERROR(__xludf.DUMMYFUNCTION("""COMPUTED_VALUE"""),18.0)</f>
        <v>18</v>
      </c>
    </row>
    <row r="1088">
      <c r="A1088" s="2" t="str">
        <f>IFERROR(__xludf.DUMMYFUNCTION("""COMPUTED_VALUE"""),"FAWN BLUE HOT WATER BOTTLE")</f>
        <v>FAWN BLUE HOT WATER BOTTLE</v>
      </c>
      <c r="B1088" s="2">
        <f>IFERROR(__xludf.DUMMYFUNCTION("""COMPUTED_VALUE"""),-1.0)</f>
        <v>-1</v>
      </c>
    </row>
    <row r="1089">
      <c r="A1089" s="2" t="str">
        <f>IFERROR(__xludf.DUMMYFUNCTION("""COMPUTED_VALUE"""),"HAND OPEN SHAPE GOLD")</f>
        <v>HAND OPEN SHAPE GOLD</v>
      </c>
      <c r="B1089" s="2">
        <f>IFERROR(__xludf.DUMMYFUNCTION("""COMPUTED_VALUE"""),2.0)</f>
        <v>2</v>
      </c>
    </row>
    <row r="1090">
      <c r="A1090" s="2" t="str">
        <f>IFERROR(__xludf.DUMMYFUNCTION("""COMPUTED_VALUE"""),"BLOKEY SILVER TOOL SET")</f>
        <v>BLOKEY SILVER TOOL SET</v>
      </c>
      <c r="B1090" s="2">
        <f>IFERROR(__xludf.DUMMYFUNCTION("""COMPUTED_VALUE"""),1.0)</f>
        <v>1</v>
      </c>
    </row>
    <row r="1091">
      <c r="A1091" s="2" t="str">
        <f>IFERROR(__xludf.DUMMYFUNCTION("""COMPUTED_VALUE"""),"GIRLY PINK TOOL SET")</f>
        <v>GIRLY PINK TOOL SET</v>
      </c>
      <c r="B1091" s="2">
        <f>IFERROR(__xludf.DUMMYFUNCTION("""COMPUTED_VALUE"""),1.0)</f>
        <v>1</v>
      </c>
    </row>
    <row r="1092">
      <c r="A1092" s="2" t="str">
        <f>IFERROR(__xludf.DUMMYFUNCTION("""COMPUTED_VALUE"""),"FAIRY CAKE CANDLES")</f>
        <v>FAIRY CAKE CANDLES</v>
      </c>
      <c r="B1092" s="2">
        <f>IFERROR(__xludf.DUMMYFUNCTION("""COMPUTED_VALUE"""),9.0)</f>
        <v>9</v>
      </c>
    </row>
    <row r="1093">
      <c r="A1093" s="2" t="str">
        <f>IFERROR(__xludf.DUMMYFUNCTION("""COMPUTED_VALUE"""),"GRAND CHOCOLATECANDLE")</f>
        <v>GRAND CHOCOLATECANDLE</v>
      </c>
      <c r="B1093" s="2">
        <f>IFERROR(__xludf.DUMMYFUNCTION("""COMPUTED_VALUE"""),9.0)</f>
        <v>9</v>
      </c>
    </row>
    <row r="1094">
      <c r="A1094" s="2" t="str">
        <f>IFERROR(__xludf.DUMMYFUNCTION("""COMPUTED_VALUE"""),"SET 3 RED SPOT TIN TEA,COFFEE,SUGAR")</f>
        <v>SET 3 RED SPOT TIN TEA,COFFEE,SUGAR</v>
      </c>
      <c r="B1094" s="2">
        <f>IFERROR(__xludf.DUMMYFUNCTION("""COMPUTED_VALUE"""),1.0)</f>
        <v>1</v>
      </c>
    </row>
    <row r="1095">
      <c r="A1095" s="2" t="str">
        <f>IFERROR(__xludf.DUMMYFUNCTION("""COMPUTED_VALUE"""),"200 RED + WHITE BENDY STRAWS")</f>
        <v>200 RED + WHITE BENDY STRAWS</v>
      </c>
      <c r="B1095" s="2">
        <f>IFERROR(__xludf.DUMMYFUNCTION("""COMPUTED_VALUE"""),2.0)</f>
        <v>2</v>
      </c>
    </row>
    <row r="1096">
      <c r="A1096" s="2" t="str">
        <f>IFERROR(__xludf.DUMMYFUNCTION("""COMPUTED_VALUE"""),"BLUE SPOTTY PLATE")</f>
        <v>BLUE SPOTTY PLATE</v>
      </c>
      <c r="B1096" s="2">
        <f>IFERROR(__xludf.DUMMYFUNCTION("""COMPUTED_VALUE"""),4.0)</f>
        <v>4</v>
      </c>
    </row>
    <row r="1097">
      <c r="A1097" s="2" t="str">
        <f>IFERROR(__xludf.DUMMYFUNCTION("""COMPUTED_VALUE"""),"PINK SPOTTY PLATE")</f>
        <v>PINK SPOTTY PLATE</v>
      </c>
      <c r="B1097" s="2">
        <f>IFERROR(__xludf.DUMMYFUNCTION("""COMPUTED_VALUE"""),4.0)</f>
        <v>4</v>
      </c>
    </row>
    <row r="1098">
      <c r="A1098" s="2" t="str">
        <f>IFERROR(__xludf.DUMMYFUNCTION("""COMPUTED_VALUE"""),"RED SPOTTY OVEN GLOVE DOUBLE")</f>
        <v>RED SPOTTY OVEN GLOVE DOUBLE</v>
      </c>
      <c r="B1098" s="2">
        <f>IFERROR(__xludf.DUMMYFUNCTION("""COMPUTED_VALUE"""),4.0)</f>
        <v>4</v>
      </c>
    </row>
    <row r="1099">
      <c r="A1099" s="2" t="str">
        <f>IFERROR(__xludf.DUMMYFUNCTION("""COMPUTED_VALUE"""),"RED SPOTTY PEG BAG")</f>
        <v>RED SPOTTY PEG BAG</v>
      </c>
      <c r="B1099" s="2">
        <f>IFERROR(__xludf.DUMMYFUNCTION("""COMPUTED_VALUE"""),4.0)</f>
        <v>4</v>
      </c>
    </row>
    <row r="1100">
      <c r="A1100" s="2" t="str">
        <f>IFERROR(__xludf.DUMMYFUNCTION("""COMPUTED_VALUE"""),"SET/6 BLACK SNOWFLAKE T-LIGHTS")</f>
        <v>SET/6 BLACK SNOWFLAKE T-LIGHTS</v>
      </c>
      <c r="B1100" s="2">
        <f>IFERROR(__xludf.DUMMYFUNCTION("""COMPUTED_VALUE"""),3.0)</f>
        <v>3</v>
      </c>
    </row>
    <row r="1101">
      <c r="A1101" s="2" t="str">
        <f>IFERROR(__xludf.DUMMYFUNCTION("""COMPUTED_VALUE"""),"VINTAGE GOLD TINSEL REEL")</f>
        <v>VINTAGE GOLD TINSEL REEL</v>
      </c>
      <c r="B1101" s="2">
        <f>IFERROR(__xludf.DUMMYFUNCTION("""COMPUTED_VALUE"""),2.0)</f>
        <v>2</v>
      </c>
    </row>
    <row r="1102">
      <c r="A1102" s="2" t="str">
        <f>IFERROR(__xludf.DUMMYFUNCTION("""COMPUTED_VALUE"""),"IVORY PILLAR CANDLE GOLD FLOCK")</f>
        <v>IVORY PILLAR CANDLE GOLD FLOCK</v>
      </c>
      <c r="B1102" s="2">
        <f>IFERROR(__xludf.DUMMYFUNCTION("""COMPUTED_VALUE"""),3.0)</f>
        <v>3</v>
      </c>
    </row>
    <row r="1103">
      <c r="A1103" s="2" t="str">
        <f>IFERROR(__xludf.DUMMYFUNCTION("""COMPUTED_VALUE"""),"IVORY PILLAR CANDLE SILVER FLOCK")</f>
        <v>IVORY PILLAR CANDLE SILVER FLOCK</v>
      </c>
      <c r="B1103" s="2">
        <f>IFERROR(__xludf.DUMMYFUNCTION("""COMPUTED_VALUE"""),3.0)</f>
        <v>3</v>
      </c>
    </row>
    <row r="1104">
      <c r="A1104" s="2" t="str">
        <f>IFERROR(__xludf.DUMMYFUNCTION("""COMPUTED_VALUE"""),"PINK PILLAR CANDLE SILVER FLOCK")</f>
        <v>PINK PILLAR CANDLE SILVER FLOCK</v>
      </c>
      <c r="B1104" s="2">
        <f>IFERROR(__xludf.DUMMYFUNCTION("""COMPUTED_VALUE"""),2.0)</f>
        <v>2</v>
      </c>
    </row>
    <row r="1105">
      <c r="A1105" s="2" t="str">
        <f>IFERROR(__xludf.DUMMYFUNCTION("""COMPUTED_VALUE"""),"RED SPOTTY BIG BOWL")</f>
        <v>RED SPOTTY BIG BOWL</v>
      </c>
      <c r="B1105" s="2">
        <f>IFERROR(__xludf.DUMMYFUNCTION("""COMPUTED_VALUE"""),1.0)</f>
        <v>1</v>
      </c>
    </row>
    <row r="1106">
      <c r="A1106" s="2" t="str">
        <f>IFERROR(__xludf.DUMMYFUNCTION("""COMPUTED_VALUE"""),"SET OF RED SALAD SERVERS")</f>
        <v>SET OF RED SALAD SERVERS</v>
      </c>
      <c r="B1106" s="2">
        <f>IFERROR(__xludf.DUMMYFUNCTION("""COMPUTED_VALUE"""),1.0)</f>
        <v>1</v>
      </c>
    </row>
    <row r="1107">
      <c r="A1107" s="2" t="str">
        <f>IFERROR(__xludf.DUMMYFUNCTION("""COMPUTED_VALUE"""),"SET/10 BLUE SPOTTY PARTY CANDLES")</f>
        <v>SET/10 BLUE SPOTTY PARTY CANDLES</v>
      </c>
      <c r="B1107" s="2">
        <f>IFERROR(__xludf.DUMMYFUNCTION("""COMPUTED_VALUE"""),4.0)</f>
        <v>4</v>
      </c>
    </row>
    <row r="1108">
      <c r="A1108" s="2" t="str">
        <f>IFERROR(__xludf.DUMMYFUNCTION("""COMPUTED_VALUE"""),"SET/10 PINK SPOTTY PARTY CANDLES")</f>
        <v>SET/10 PINK SPOTTY PARTY CANDLES</v>
      </c>
      <c r="B1108" s="2">
        <f>IFERROR(__xludf.DUMMYFUNCTION("""COMPUTED_VALUE"""),4.0)</f>
        <v>4</v>
      </c>
    </row>
    <row r="1109">
      <c r="A1109" s="2" t="str">
        <f>IFERROR(__xludf.DUMMYFUNCTION("""COMPUTED_VALUE"""),"PREMIUM CHURCH CANDLE")</f>
        <v>PREMIUM CHURCH CANDLE</v>
      </c>
      <c r="B1109" s="2">
        <f>IFERROR(__xludf.DUMMYFUNCTION("""COMPUTED_VALUE"""),4.0)</f>
        <v>4</v>
      </c>
    </row>
    <row r="1110">
      <c r="A1110" s="2" t="str">
        <f>IFERROR(__xludf.DUMMYFUNCTION("""COMPUTED_VALUE"""),"RED SPOTTY BISCUIT TIN")</f>
        <v>RED SPOTTY BISCUIT TIN</v>
      </c>
      <c r="B1110" s="2">
        <f>IFERROR(__xludf.DUMMYFUNCTION("""COMPUTED_VALUE"""),1.0)</f>
        <v>1</v>
      </c>
    </row>
    <row r="1111">
      <c r="A1111" s="2" t="str">
        <f>IFERROR(__xludf.DUMMYFUNCTION("""COMPUTED_VALUE"""),"PINK SPOTTY BOWL")</f>
        <v>PINK SPOTTY BOWL</v>
      </c>
      <c r="B1111" s="2">
        <f>IFERROR(__xludf.DUMMYFUNCTION("""COMPUTED_VALUE"""),4.0)</f>
        <v>4</v>
      </c>
    </row>
    <row r="1112">
      <c r="A1112" s="2" t="str">
        <f>IFERROR(__xludf.DUMMYFUNCTION("""COMPUTED_VALUE"""),"BLUE SPOTTY BOWL")</f>
        <v>BLUE SPOTTY BOWL</v>
      </c>
      <c r="B1112" s="2">
        <f>IFERROR(__xludf.DUMMYFUNCTION("""COMPUTED_VALUE"""),4.0)</f>
        <v>4</v>
      </c>
    </row>
    <row r="1113">
      <c r="A1113" s="2" t="str">
        <f>IFERROR(__xludf.DUMMYFUNCTION("""COMPUTED_VALUE"""),"STRAWBERRY CERAMIC TRINKET BOX")</f>
        <v>STRAWBERRY CERAMIC TRINKET BOX</v>
      </c>
      <c r="B1113" s="2">
        <f>IFERROR(__xludf.DUMMYFUNCTION("""COMPUTED_VALUE"""),24.0)</f>
        <v>24</v>
      </c>
    </row>
    <row r="1114">
      <c r="A1114" s="2" t="str">
        <f>IFERROR(__xludf.DUMMYFUNCTION("""COMPUTED_VALUE"""),"SWEETHEART CERAMIC TRINKET BOX")</f>
        <v>SWEETHEART CERAMIC TRINKET BOX</v>
      </c>
      <c r="B1114" s="2">
        <f>IFERROR(__xludf.DUMMYFUNCTION("""COMPUTED_VALUE"""),24.0)</f>
        <v>24</v>
      </c>
    </row>
    <row r="1115">
      <c r="A1115" s="2" t="str">
        <f>IFERROR(__xludf.DUMMYFUNCTION("""COMPUTED_VALUE"""),"FAIRY CAKE CANDLES")</f>
        <v>FAIRY CAKE CANDLES</v>
      </c>
      <c r="B1115" s="2">
        <f>IFERROR(__xludf.DUMMYFUNCTION("""COMPUTED_VALUE"""),108.0)</f>
        <v>108</v>
      </c>
    </row>
    <row r="1116">
      <c r="A1116" s="2" t="str">
        <f>IFERROR(__xludf.DUMMYFUNCTION("""COMPUTED_VALUE"""),"SET/3 OCEAN SCENT CANDLE JEWEL BOX")</f>
        <v>SET/3 OCEAN SCENT CANDLE JEWEL BOX</v>
      </c>
      <c r="B1116" s="2">
        <f>IFERROR(__xludf.DUMMYFUNCTION("""COMPUTED_VALUE"""),-1.0)</f>
        <v>-1</v>
      </c>
    </row>
    <row r="1117">
      <c r="A1117" s="2" t="str">
        <f>IFERROR(__xludf.DUMMYFUNCTION("""COMPUTED_VALUE"""),"VANILLA SCENT CANDLE JEWELLED BOX")</f>
        <v>VANILLA SCENT CANDLE JEWELLED BOX</v>
      </c>
      <c r="B1117" s="2">
        <f>IFERROR(__xludf.DUMMYFUNCTION("""COMPUTED_VALUE"""),-1.0)</f>
        <v>-1</v>
      </c>
    </row>
    <row r="1118">
      <c r="A1118" s="2" t="str">
        <f>IFERROR(__xludf.DUMMYFUNCTION("""COMPUTED_VALUE"""),"OCEAN SCENT CANDLE IN JEWELLED BOX")</f>
        <v>OCEAN SCENT CANDLE IN JEWELLED BOX</v>
      </c>
      <c r="B1118" s="2">
        <f>IFERROR(__xludf.DUMMYFUNCTION("""COMPUTED_VALUE"""),-2.0)</f>
        <v>-2</v>
      </c>
    </row>
    <row r="1119">
      <c r="A1119" s="2" t="str">
        <f>IFERROR(__xludf.DUMMYFUNCTION("""COMPUTED_VALUE"""),"PURPLE PILLAR CANDLE BLACK FLOCK")</f>
        <v>PURPLE PILLAR CANDLE BLACK FLOCK</v>
      </c>
      <c r="B1119" s="2">
        <f>IFERROR(__xludf.DUMMYFUNCTION("""COMPUTED_VALUE"""),10.0)</f>
        <v>10</v>
      </c>
    </row>
    <row r="1120">
      <c r="A1120" s="2" t="str">
        <f>IFERROR(__xludf.DUMMYFUNCTION("""COMPUTED_VALUE"""),"ORIENTAL RED C/COVER")</f>
        <v>ORIENTAL RED C/COVER</v>
      </c>
      <c r="B1120" s="2">
        <f>IFERROR(__xludf.DUMMYFUNCTION("""COMPUTED_VALUE"""),12.0)</f>
        <v>12</v>
      </c>
    </row>
    <row r="1121">
      <c r="A1121" s="2" t="str">
        <f>IFERROR(__xludf.DUMMYFUNCTION("""COMPUTED_VALUE"""),"RED ROSE AND LACE C/COVER")</f>
        <v>RED ROSE AND LACE C/COVER</v>
      </c>
      <c r="B1121" s="2">
        <f>IFERROR(__xludf.DUMMYFUNCTION("""COMPUTED_VALUE"""),18.0)</f>
        <v>18</v>
      </c>
    </row>
    <row r="1122">
      <c r="A1122" s="2" t="str">
        <f>IFERROR(__xludf.DUMMYFUNCTION("""COMPUTED_VALUE"""),"NEW BAROQUE IVORY CUSHION COVER")</f>
        <v>NEW BAROQUE IVORY CUSHION COVER</v>
      </c>
      <c r="B1122" s="2">
        <f>IFERROR(__xludf.DUMMYFUNCTION("""COMPUTED_VALUE"""),6.0)</f>
        <v>6</v>
      </c>
    </row>
    <row r="1123">
      <c r="A1123" s="2" t="str">
        <f>IFERROR(__xludf.DUMMYFUNCTION("""COMPUTED_VALUE"""),"S/4 CACTI CANDLES")</f>
        <v>S/4 CACTI CANDLES</v>
      </c>
      <c r="B1123" s="2">
        <f>IFERROR(__xludf.DUMMYFUNCTION("""COMPUTED_VALUE"""),1.0)</f>
        <v>1</v>
      </c>
    </row>
    <row r="1124">
      <c r="A1124" s="2" t="str">
        <f>IFERROR(__xludf.DUMMYFUNCTION("""COMPUTED_VALUE"""),"SILVER BLUE EGG T-LIGHT HOLDER")</f>
        <v>SILVER BLUE EGG T-LIGHT HOLDER</v>
      </c>
      <c r="B1124" s="2">
        <f>IFERROR(__xludf.DUMMYFUNCTION("""COMPUTED_VALUE"""),1.0)</f>
        <v>1</v>
      </c>
    </row>
    <row r="1125">
      <c r="A1125" s="2" t="str">
        <f>IFERROR(__xludf.DUMMYFUNCTION("""COMPUTED_VALUE"""),"HOT WATER BOTTLE TEA AND SYMPATHY")</f>
        <v>HOT WATER BOTTLE TEA AND SYMPATHY</v>
      </c>
      <c r="B1125" s="2">
        <f>IFERROR(__xludf.DUMMYFUNCTION("""COMPUTED_VALUE"""),1.0)</f>
        <v>1</v>
      </c>
    </row>
    <row r="1126">
      <c r="A1126" s="2" t="str">
        <f>IFERROR(__xludf.DUMMYFUNCTION("""COMPUTED_VALUE"""),"PREMIUM CHURCH CANDLE")</f>
        <v>PREMIUM CHURCH CANDLE</v>
      </c>
      <c r="B1126" s="2">
        <f>IFERROR(__xludf.DUMMYFUNCTION("""COMPUTED_VALUE"""),1.0)</f>
        <v>1</v>
      </c>
    </row>
    <row r="1127">
      <c r="A1127" s="2" t="str">
        <f>IFERROR(__xludf.DUMMYFUNCTION("""COMPUTED_VALUE"""),"TABLE LAMP WHITE SHADE WOOD BASE")</f>
        <v>TABLE LAMP WHITE SHADE WOOD BASE</v>
      </c>
      <c r="B1127" s="2">
        <f>IFERROR(__xludf.DUMMYFUNCTION("""COMPUTED_VALUE"""),12.0)</f>
        <v>12</v>
      </c>
    </row>
    <row r="1128">
      <c r="A1128" s="2" t="str">
        <f>IFERROR(__xludf.DUMMYFUNCTION("""COMPUTED_VALUE"""),"PAINTED BIRD ASSORTED CHRISTMAS")</f>
        <v>PAINTED BIRD ASSORTED CHRISTMAS</v>
      </c>
      <c r="B1128" s="2">
        <f>IFERROR(__xludf.DUMMYFUNCTION("""COMPUTED_VALUE"""),24.0)</f>
        <v>24</v>
      </c>
    </row>
    <row r="1129">
      <c r="A1129" s="2" t="str">
        <f>IFERROR(__xludf.DUMMYFUNCTION("""COMPUTED_VALUE"""),"ASSORTED COLOUR BIRD ORNAMENT")</f>
        <v>ASSORTED COLOUR BIRD ORNAMENT</v>
      </c>
      <c r="B1129" s="2">
        <f>IFERROR(__xludf.DUMMYFUNCTION("""COMPUTED_VALUE"""),16.0)</f>
        <v>16</v>
      </c>
    </row>
    <row r="1130">
      <c r="A1130" s="2" t="str">
        <f>IFERROR(__xludf.DUMMYFUNCTION("""COMPUTED_VALUE"""),"HAND OPEN SHAPE DECO.WHITE")</f>
        <v>HAND OPEN SHAPE DECO.WHITE</v>
      </c>
      <c r="B1130" s="2">
        <f>IFERROR(__xludf.DUMMYFUNCTION("""COMPUTED_VALUE"""),36.0)</f>
        <v>36</v>
      </c>
    </row>
    <row r="1131">
      <c r="A1131" s="2" t="str">
        <f>IFERROR(__xludf.DUMMYFUNCTION("""COMPUTED_VALUE"""),"6 HOOK JEWELLERY STAND BLACK DRESS")</f>
        <v>6 HOOK JEWELLERY STAND BLACK DRESS</v>
      </c>
      <c r="B1131" s="2">
        <f>IFERROR(__xludf.DUMMYFUNCTION("""COMPUTED_VALUE"""),24.0)</f>
        <v>24</v>
      </c>
    </row>
    <row r="1132">
      <c r="A1132" s="2" t="str">
        <f>IFERROR(__xludf.DUMMYFUNCTION("""COMPUTED_VALUE"""),"HAND OPEN SHAPE GOLD")</f>
        <v>HAND OPEN SHAPE GOLD</v>
      </c>
      <c r="B1132" s="2">
        <f>IFERROR(__xludf.DUMMYFUNCTION("""COMPUTED_VALUE"""),18.0)</f>
        <v>18</v>
      </c>
    </row>
    <row r="1133">
      <c r="A1133" s="2" t="str">
        <f>IFERROR(__xludf.DUMMYFUNCTION("""COMPUTED_VALUE"""),"S/3 FLWR FAIRY LILLY CANDLES")</f>
        <v>S/3 FLWR FAIRY LILLY CANDLES</v>
      </c>
      <c r="B1133" s="2">
        <f>IFERROR(__xludf.DUMMYFUNCTION("""COMPUTED_VALUE"""),8.0)</f>
        <v>8</v>
      </c>
    </row>
    <row r="1134">
      <c r="A1134" s="2" t="str">
        <f>IFERROR(__xludf.DUMMYFUNCTION("""COMPUTED_VALUE"""),"F.FAIRY S/3 CANDLE/GLASS, ROSE")</f>
        <v>F.FAIRY S/3 CANDLE/GLASS, ROSE</v>
      </c>
      <c r="B1134" s="2">
        <f>IFERROR(__xludf.DUMMYFUNCTION("""COMPUTED_VALUE"""),8.0)</f>
        <v>8</v>
      </c>
    </row>
    <row r="1135">
      <c r="A1135" s="2" t="str">
        <f>IFERROR(__xludf.DUMMYFUNCTION("""COMPUTED_VALUE"""),"POTTING SHED SOW 'N' GROW SET")</f>
        <v>POTTING SHED SOW 'N' GROW SET</v>
      </c>
      <c r="B1135" s="2">
        <f>IFERROR(__xludf.DUMMYFUNCTION("""COMPUTED_VALUE"""),4.0)</f>
        <v>4</v>
      </c>
    </row>
    <row r="1136">
      <c r="A1136" s="2" t="str">
        <f>IFERROR(__xludf.DUMMYFUNCTION("""COMPUTED_VALUE"""),"RETRO SPOT SMALL MILK JUG")</f>
        <v>RETRO SPOT SMALL MILK JUG</v>
      </c>
      <c r="B1136" s="2">
        <f>IFERROR(__xludf.DUMMYFUNCTION("""COMPUTED_VALUE"""),-1.0)</f>
        <v>-1</v>
      </c>
    </row>
    <row r="1137">
      <c r="A1137" s="2" t="str">
        <f>IFERROR(__xludf.DUMMYFUNCTION("""COMPUTED_VALUE"""),"RETRO SPOT STORAGE JAR")</f>
        <v>RETRO SPOT STORAGE JAR</v>
      </c>
      <c r="B1137" s="2">
        <f>IFERROR(__xludf.DUMMYFUNCTION("""COMPUTED_VALUE"""),-1.0)</f>
        <v>-1</v>
      </c>
    </row>
    <row r="1138">
      <c r="A1138" s="2" t="str">
        <f>IFERROR(__xludf.DUMMYFUNCTION("""COMPUTED_VALUE"""),"RED HANGING HEART T-LIGHT HOLDER")</f>
        <v>RED HANGING HEART T-LIGHT HOLDER</v>
      </c>
      <c r="B1138" s="2">
        <f>IFERROR(__xludf.DUMMYFUNCTION("""COMPUTED_VALUE"""),12.0)</f>
        <v>12</v>
      </c>
    </row>
    <row r="1139">
      <c r="A1139" s="2" t="str">
        <f>IFERROR(__xludf.DUMMYFUNCTION("""COMPUTED_VALUE"""),"WHITE HANGING HEART T-LIGHT HOLDER")</f>
        <v>WHITE HANGING HEART T-LIGHT HOLDER</v>
      </c>
      <c r="B1139" s="2">
        <f>IFERROR(__xludf.DUMMYFUNCTION("""COMPUTED_VALUE"""),6.0)</f>
        <v>6</v>
      </c>
    </row>
    <row r="1140">
      <c r="A1140" s="2" t="str">
        <f>IFERROR(__xludf.DUMMYFUNCTION("""COMPUTED_VALUE"""),"GREY HEART HOT WATER BOTTLE")</f>
        <v>GREY HEART HOT WATER BOTTLE</v>
      </c>
      <c r="B1140" s="2">
        <f>IFERROR(__xludf.DUMMYFUNCTION("""COMPUTED_VALUE"""),7.0)</f>
        <v>7</v>
      </c>
    </row>
    <row r="1141">
      <c r="A1141" s="2" t="str">
        <f>IFERROR(__xludf.DUMMYFUNCTION("""COMPUTED_VALUE"""),"S/4 GROOVY CAT MAGNETS")</f>
        <v>S/4 GROOVY CAT MAGNETS</v>
      </c>
      <c r="B1141" s="2">
        <f>IFERROR(__xludf.DUMMYFUNCTION("""COMPUTED_VALUE"""),1.0)</f>
        <v>1</v>
      </c>
    </row>
    <row r="1142">
      <c r="A1142" s="2" t="str">
        <f>IFERROR(__xludf.DUMMYFUNCTION("""COMPUTED_VALUE"""),"PAPER CHAIN KIT 50'S CHRISTMAS")</f>
        <v>PAPER CHAIN KIT 50'S CHRISTMAS</v>
      </c>
      <c r="B1142" s="2">
        <f>IFERROR(__xludf.DUMMYFUNCTION("""COMPUTED_VALUE"""),2.0)</f>
        <v>2</v>
      </c>
    </row>
    <row r="1143">
      <c r="A1143" s="2" t="str">
        <f>IFERROR(__xludf.DUMMYFUNCTION("""COMPUTED_VALUE"""),"WOOD STAMP SET FLOWERS")</f>
        <v>WOOD STAMP SET FLOWERS</v>
      </c>
      <c r="B1143" s="2">
        <f>IFERROR(__xludf.DUMMYFUNCTION("""COMPUTED_VALUE"""),1.0)</f>
        <v>1</v>
      </c>
    </row>
    <row r="1144">
      <c r="A1144" s="2" t="str">
        <f>IFERROR(__xludf.DUMMYFUNCTION("""COMPUTED_VALUE"""),"RED STAR CARD HOLDER")</f>
        <v>RED STAR CARD HOLDER</v>
      </c>
      <c r="B1144" s="2">
        <f>IFERROR(__xludf.DUMMYFUNCTION("""COMPUTED_VALUE"""),2.0)</f>
        <v>2</v>
      </c>
    </row>
    <row r="1145">
      <c r="A1145" s="2" t="str">
        <f>IFERROR(__xludf.DUMMYFUNCTION("""COMPUTED_VALUE"""),"GREEN CHRISTMAS TREE CARD HOLDER")</f>
        <v>GREEN CHRISTMAS TREE CARD HOLDER</v>
      </c>
      <c r="B1145" s="2">
        <f>IFERROR(__xludf.DUMMYFUNCTION("""COMPUTED_VALUE"""),2.0)</f>
        <v>2</v>
      </c>
    </row>
    <row r="1146">
      <c r="A1146" s="2" t="str">
        <f>IFERROR(__xludf.DUMMYFUNCTION("""COMPUTED_VALUE"""),"HAND OPEN SHAPE GOLD")</f>
        <v>HAND OPEN SHAPE GOLD</v>
      </c>
      <c r="B1146" s="2">
        <f>IFERROR(__xludf.DUMMYFUNCTION("""COMPUTED_VALUE"""),2.0)</f>
        <v>2</v>
      </c>
    </row>
    <row r="1147">
      <c r="A1147" s="2" t="str">
        <f>IFERROR(__xludf.DUMMYFUNCTION("""COMPUTED_VALUE"""),"HAND OPEN SHAPE DECO.WHITE")</f>
        <v>HAND OPEN SHAPE DECO.WHITE</v>
      </c>
      <c r="B1147" s="2">
        <f>IFERROR(__xludf.DUMMYFUNCTION("""COMPUTED_VALUE"""),2.0)</f>
        <v>2</v>
      </c>
    </row>
    <row r="1148">
      <c r="A1148" s="2" t="str">
        <f>IFERROR(__xludf.DUMMYFUNCTION("""COMPUTED_VALUE"""),"WHITE CHRISTMAS GARLAND STARS TREES")</f>
        <v>WHITE CHRISTMAS GARLAND STARS TREES</v>
      </c>
      <c r="B1148" s="2">
        <f>IFERROR(__xludf.DUMMYFUNCTION("""COMPUTED_VALUE"""),12.0)</f>
        <v>12</v>
      </c>
    </row>
    <row r="1149">
      <c r="A1149" s="2" t="str">
        <f>IFERROR(__xludf.DUMMYFUNCTION("""COMPUTED_VALUE"""),"HEART FILIGREE DOVE LARGE")</f>
        <v>HEART FILIGREE DOVE LARGE</v>
      </c>
      <c r="B1149" s="2">
        <f>IFERROR(__xludf.DUMMYFUNCTION("""COMPUTED_VALUE"""),12.0)</f>
        <v>12</v>
      </c>
    </row>
    <row r="1150">
      <c r="A1150" s="2" t="str">
        <f>IFERROR(__xludf.DUMMYFUNCTION("""COMPUTED_VALUE"""),"MOBILE VINTAGE HEARTS")</f>
        <v>MOBILE VINTAGE HEARTS</v>
      </c>
      <c r="B1150" s="2">
        <f>IFERROR(__xludf.DUMMYFUNCTION("""COMPUTED_VALUE"""),1.0)</f>
        <v>1</v>
      </c>
    </row>
    <row r="1151">
      <c r="A1151" s="2" t="str">
        <f>IFERROR(__xludf.DUMMYFUNCTION("""COMPUTED_VALUE"""),"PLEASE ONE PERSON METAL SIGN")</f>
        <v>PLEASE ONE PERSON METAL SIGN</v>
      </c>
      <c r="B1151" s="2">
        <f>IFERROR(__xludf.DUMMYFUNCTION("""COMPUTED_VALUE"""),12.0)</f>
        <v>12</v>
      </c>
    </row>
    <row r="1152">
      <c r="A1152" s="2" t="str">
        <f>IFERROR(__xludf.DUMMYFUNCTION("""COMPUTED_VALUE"""),"ASSORTED COLOUR BIRD ORNAMENT")</f>
        <v>ASSORTED COLOUR BIRD ORNAMENT</v>
      </c>
      <c r="B1152" s="2">
        <f>IFERROR(__xludf.DUMMYFUNCTION("""COMPUTED_VALUE"""),8.0)</f>
        <v>8</v>
      </c>
    </row>
    <row r="1153">
      <c r="A1153" s="2" t="str">
        <f>IFERROR(__xludf.DUMMYFUNCTION("""COMPUTED_VALUE"""),"GREY HEART HOT WATER BOTTLE")</f>
        <v>GREY HEART HOT WATER BOTTLE</v>
      </c>
      <c r="B1153" s="2">
        <f>IFERROR(__xludf.DUMMYFUNCTION("""COMPUTED_VALUE"""),3.0)</f>
        <v>3</v>
      </c>
    </row>
    <row r="1154">
      <c r="A1154" s="2" t="str">
        <f>IFERROR(__xludf.DUMMYFUNCTION("""COMPUTED_VALUE"""),"CHOCOLATE HOT WATER BOTTLE")</f>
        <v>CHOCOLATE HOT WATER BOTTLE</v>
      </c>
      <c r="B1154" s="2">
        <f>IFERROR(__xludf.DUMMYFUNCTION("""COMPUTED_VALUE"""),2.0)</f>
        <v>2</v>
      </c>
    </row>
    <row r="1155">
      <c r="A1155" s="2" t="str">
        <f>IFERROR(__xludf.DUMMYFUNCTION("""COMPUTED_VALUE"""),"PINK STRIPE HOT WATER BOTTLE")</f>
        <v>PINK STRIPE HOT WATER BOTTLE</v>
      </c>
      <c r="B1155" s="2">
        <f>IFERROR(__xludf.DUMMYFUNCTION("""COMPUTED_VALUE"""),2.0)</f>
        <v>2</v>
      </c>
    </row>
    <row r="1156">
      <c r="A1156" s="2" t="str">
        <f>IFERROR(__xludf.DUMMYFUNCTION("""COMPUTED_VALUE"""),"PAPER CHAIN KIT 50'S CHRISTMAS")</f>
        <v>PAPER CHAIN KIT 50'S CHRISTMAS</v>
      </c>
      <c r="B1156" s="2">
        <f>IFERROR(__xludf.DUMMYFUNCTION("""COMPUTED_VALUE"""),4.0)</f>
        <v>4</v>
      </c>
    </row>
    <row r="1157">
      <c r="A1157" s="2" t="str">
        <f>IFERROR(__xludf.DUMMYFUNCTION("""COMPUTED_VALUE"""),"SET OF THREE 50'S GIFT WRAPS")</f>
        <v>SET OF THREE 50'S GIFT WRAPS</v>
      </c>
      <c r="B1157" s="2">
        <f>IFERROR(__xludf.DUMMYFUNCTION("""COMPUTED_VALUE"""),4.0)</f>
        <v>4</v>
      </c>
    </row>
    <row r="1158">
      <c r="A1158" s="2" t="str">
        <f>IFERROR(__xludf.DUMMYFUNCTION("""COMPUTED_VALUE"""),"SET OF THREE VINTAGE GIFT WRAPS")</f>
        <v>SET OF THREE VINTAGE GIFT WRAPS</v>
      </c>
      <c r="B1158" s="2">
        <f>IFERROR(__xludf.DUMMYFUNCTION("""COMPUTED_VALUE"""),4.0)</f>
        <v>4</v>
      </c>
    </row>
    <row r="1159">
      <c r="A1159" s="2" t="str">
        <f>IFERROR(__xludf.DUMMYFUNCTION("""COMPUTED_VALUE"""),"FELTCRAFT DOLL MOLLY")</f>
        <v>FELTCRAFT DOLL MOLLY</v>
      </c>
      <c r="B1159" s="2">
        <f>IFERROR(__xludf.DUMMYFUNCTION("""COMPUTED_VALUE"""),2.0)</f>
        <v>2</v>
      </c>
    </row>
    <row r="1160">
      <c r="A1160" s="2" t="str">
        <f>IFERROR(__xludf.DUMMYFUNCTION("""COMPUTED_VALUE"""),"FELTCRAFT DOLL MARIA")</f>
        <v>FELTCRAFT DOLL MARIA</v>
      </c>
      <c r="B1160" s="2">
        <f>IFERROR(__xludf.DUMMYFUNCTION("""COMPUTED_VALUE"""),2.0)</f>
        <v>2</v>
      </c>
    </row>
    <row r="1161">
      <c r="A1161" s="2" t="str">
        <f>IFERROR(__xludf.DUMMYFUNCTION("""COMPUTED_VALUE"""),"DOG BOWL , CHASING BALL DESIGN")</f>
        <v>DOG BOWL , CHASING BALL DESIGN</v>
      </c>
      <c r="B1161" s="2">
        <f>IFERROR(__xludf.DUMMYFUNCTION("""COMPUTED_VALUE"""),3.0)</f>
        <v>3</v>
      </c>
    </row>
    <row r="1162">
      <c r="A1162" s="2" t="str">
        <f>IFERROR(__xludf.DUMMYFUNCTION("""COMPUTED_VALUE"""),"VINTAGE HEADS AND TAILS CARD GAME")</f>
        <v>VINTAGE HEADS AND TAILS CARD GAME</v>
      </c>
      <c r="B1162" s="2">
        <f>IFERROR(__xludf.DUMMYFUNCTION("""COMPUTED_VALUE"""),3.0)</f>
        <v>3</v>
      </c>
    </row>
    <row r="1163">
      <c r="A1163" s="2" t="str">
        <f>IFERROR(__xludf.DUMMYFUNCTION("""COMPUTED_VALUE"""),"COSY HOUR CIGAR BOX MATCHES")</f>
        <v>COSY HOUR CIGAR BOX MATCHES</v>
      </c>
      <c r="B1163" s="2">
        <f>IFERROR(__xludf.DUMMYFUNCTION("""COMPUTED_VALUE"""),2.0)</f>
        <v>2</v>
      </c>
    </row>
    <row r="1164">
      <c r="A1164" s="2" t="str">
        <f>IFERROR(__xludf.DUMMYFUNCTION("""COMPUTED_VALUE"""),"3 STRIPEY MICE FELTCRAFT")</f>
        <v>3 STRIPEY MICE FELTCRAFT</v>
      </c>
      <c r="B1164" s="2">
        <f>IFERROR(__xludf.DUMMYFUNCTION("""COMPUTED_VALUE"""),3.0)</f>
        <v>3</v>
      </c>
    </row>
    <row r="1165">
      <c r="A1165" s="2" t="str">
        <f>IFERROR(__xludf.DUMMYFUNCTION("""COMPUTED_VALUE"""),"BLOKEY SILVER TOOL SET")</f>
        <v>BLOKEY SILVER TOOL SET</v>
      </c>
      <c r="B1165" s="2">
        <f>IFERROR(__xludf.DUMMYFUNCTION("""COMPUTED_VALUE"""),1.0)</f>
        <v>1</v>
      </c>
    </row>
    <row r="1166">
      <c r="A1166" s="2" t="str">
        <f>IFERROR(__xludf.DUMMYFUNCTION("""COMPUTED_VALUE"""),"COFFEE MUG CAT + BIRD DESIGN")</f>
        <v>COFFEE MUG CAT + BIRD DESIGN</v>
      </c>
      <c r="B1166" s="2">
        <f>IFERROR(__xludf.DUMMYFUNCTION("""COMPUTED_VALUE"""),-2.0)</f>
        <v>-2</v>
      </c>
    </row>
    <row r="1167">
      <c r="A1167" s="2" t="str">
        <f>IFERROR(__xludf.DUMMYFUNCTION("""COMPUTED_VALUE"""),"GREEN CHRISTMAS TREE STRING 20LIGHT")</f>
        <v>GREEN CHRISTMAS TREE STRING 20LIGHT</v>
      </c>
      <c r="B1167" s="2">
        <f>IFERROR(__xludf.DUMMYFUNCTION("""COMPUTED_VALUE"""),1.0)</f>
        <v>1</v>
      </c>
    </row>
    <row r="1168">
      <c r="A1168" s="2" t="str">
        <f>IFERROR(__xludf.DUMMYFUNCTION("""COMPUTED_VALUE"""),"ANTIQUE LILY FAIRY LIGHTS")</f>
        <v>ANTIQUE LILY FAIRY LIGHTS</v>
      </c>
      <c r="B1168" s="2">
        <f>IFERROR(__xludf.DUMMYFUNCTION("""COMPUTED_VALUE"""),1.0)</f>
        <v>1</v>
      </c>
    </row>
    <row r="1169">
      <c r="A1169" s="2" t="str">
        <f>IFERROR(__xludf.DUMMYFUNCTION("""COMPUTED_VALUE"""),"SET/6 PURPLE BUTTERFLY T-LIGHTS")</f>
        <v>SET/6 PURPLE BUTTERFLY T-LIGHTS</v>
      </c>
      <c r="B1169" s="2">
        <f>IFERROR(__xludf.DUMMYFUNCTION("""COMPUTED_VALUE"""),4.0)</f>
        <v>4</v>
      </c>
    </row>
    <row r="1170">
      <c r="A1170" s="2" t="str">
        <f>IFERROR(__xludf.DUMMYFUNCTION("""COMPUTED_VALUE"""),"JELLY BABIES YELLOW SMALL BOWL")</f>
        <v>JELLY BABIES YELLOW SMALL BOWL</v>
      </c>
      <c r="B1170" s="2">
        <f>IFERROR(__xludf.DUMMYFUNCTION("""COMPUTED_VALUE"""),7.0)</f>
        <v>7</v>
      </c>
    </row>
    <row r="1171">
      <c r="A1171" s="2" t="str">
        <f>IFERROR(__xludf.DUMMYFUNCTION("""COMPUTED_VALUE"""),"36 PENCILS TUBE WOODLAND")</f>
        <v>36 PENCILS TUBE WOODLAND</v>
      </c>
      <c r="B1171" s="2">
        <f>IFERROR(__xludf.DUMMYFUNCTION("""COMPUTED_VALUE"""),3.0)</f>
        <v>3</v>
      </c>
    </row>
    <row r="1172">
      <c r="A1172" s="2" t="str">
        <f>IFERROR(__xludf.DUMMYFUNCTION("""COMPUTED_VALUE"""),"RED SPOTTY BOWL")</f>
        <v>RED SPOTTY BOWL</v>
      </c>
      <c r="B1172" s="2">
        <f>IFERROR(__xludf.DUMMYFUNCTION("""COMPUTED_VALUE"""),6.0)</f>
        <v>6</v>
      </c>
    </row>
    <row r="1173">
      <c r="A1173" s="2" t="str">
        <f>IFERROR(__xludf.DUMMYFUNCTION("""COMPUTED_VALUE"""),"BLUE SPOTTY BOWL")</f>
        <v>BLUE SPOTTY BOWL</v>
      </c>
      <c r="B1173" s="2">
        <f>IFERROR(__xludf.DUMMYFUNCTION("""COMPUTED_VALUE"""),4.0)</f>
        <v>4</v>
      </c>
    </row>
    <row r="1174">
      <c r="A1174" s="2" t="str">
        <f>IFERROR(__xludf.DUMMYFUNCTION("""COMPUTED_VALUE"""),"SMALL LICORICE DES PINK BOWL")</f>
        <v>SMALL LICORICE DES PINK BOWL</v>
      </c>
      <c r="B1174" s="2">
        <f>IFERROR(__xludf.DUMMYFUNCTION("""COMPUTED_VALUE"""),5.0)</f>
        <v>5</v>
      </c>
    </row>
    <row r="1175">
      <c r="A1175" s="2" t="str">
        <f>IFERROR(__xludf.DUMMYFUNCTION("""COMPUTED_VALUE"""),"SMALL CHOCOLATES PINK BOWL")</f>
        <v>SMALL CHOCOLATES PINK BOWL</v>
      </c>
      <c r="B1175" s="2">
        <f>IFERROR(__xludf.DUMMYFUNCTION("""COMPUTED_VALUE"""),5.0)</f>
        <v>5</v>
      </c>
    </row>
    <row r="1176">
      <c r="A1176" s="2" t="str">
        <f>IFERROR(__xludf.DUMMYFUNCTION("""COMPUTED_VALUE"""),"JUMBO STORAGE BAG SUKI")</f>
        <v>JUMBO STORAGE BAG SUKI</v>
      </c>
      <c r="B1176" s="2">
        <f>IFERROR(__xludf.DUMMYFUNCTION("""COMPUTED_VALUE"""),2.0)</f>
        <v>2</v>
      </c>
    </row>
    <row r="1177">
      <c r="A1177" s="2" t="str">
        <f>IFERROR(__xludf.DUMMYFUNCTION("""COMPUTED_VALUE"""),"JUMBO BAG BAROQUE BLACK WHITE")</f>
        <v>JUMBO BAG BAROQUE BLACK WHITE</v>
      </c>
      <c r="B1177" s="2">
        <f>IFERROR(__xludf.DUMMYFUNCTION("""COMPUTED_VALUE"""),2.0)</f>
        <v>2</v>
      </c>
    </row>
    <row r="1178">
      <c r="A1178" s="2" t="str">
        <f>IFERROR(__xludf.DUMMYFUNCTION("""COMPUTED_VALUE"""),"JUMBO BAG PINK VINTAGE PAISLEY")</f>
        <v>JUMBO BAG PINK VINTAGE PAISLEY</v>
      </c>
      <c r="B1178" s="2">
        <f>IFERROR(__xludf.DUMMYFUNCTION("""COMPUTED_VALUE"""),2.0)</f>
        <v>2</v>
      </c>
    </row>
    <row r="1179">
      <c r="A1179" s="2" t="str">
        <f>IFERROR(__xludf.DUMMYFUNCTION("""COMPUTED_VALUE"""),"CERAMIC CAKE DESIGN SPOTTED MUG")</f>
        <v>CERAMIC CAKE DESIGN SPOTTED MUG</v>
      </c>
      <c r="B1179" s="2">
        <f>IFERROR(__xludf.DUMMYFUNCTION("""COMPUTED_VALUE"""),3.0)</f>
        <v>3</v>
      </c>
    </row>
    <row r="1180">
      <c r="A1180" s="2" t="str">
        <f>IFERROR(__xludf.DUMMYFUNCTION("""COMPUTED_VALUE"""),"FOOD CONTAINER SET 3 LOVE HEART")</f>
        <v>FOOD CONTAINER SET 3 LOVE HEART</v>
      </c>
      <c r="B1180" s="2">
        <f>IFERROR(__xludf.DUMMYFUNCTION("""COMPUTED_VALUE"""),3.0)</f>
        <v>3</v>
      </c>
    </row>
    <row r="1181">
      <c r="A1181" s="2" t="str">
        <f>IFERROR(__xludf.DUMMYFUNCTION("""COMPUTED_VALUE"""),"CERAMIC CAKE DESIGN SPOTTED PLATE")</f>
        <v>CERAMIC CAKE DESIGN SPOTTED PLATE</v>
      </c>
      <c r="B1181" s="2">
        <f>IFERROR(__xludf.DUMMYFUNCTION("""COMPUTED_VALUE"""),2.0)</f>
        <v>2</v>
      </c>
    </row>
    <row r="1182">
      <c r="A1182" s="2" t="str">
        <f>IFERROR(__xludf.DUMMYFUNCTION("""COMPUTED_VALUE"""),"MINI CAKE STAND HANGING STRAWBERY")</f>
        <v>MINI CAKE STAND HANGING STRAWBERY</v>
      </c>
      <c r="B1182" s="2">
        <f>IFERROR(__xludf.DUMMYFUNCTION("""COMPUTED_VALUE"""),2.0)</f>
        <v>2</v>
      </c>
    </row>
    <row r="1183">
      <c r="A1183" s="2" t="str">
        <f>IFERROR(__xludf.DUMMYFUNCTION("""COMPUTED_VALUE"""),"CERAMIC BOWL WITH LOVE HEART DESIGN")</f>
        <v>CERAMIC BOWL WITH LOVE HEART DESIGN</v>
      </c>
      <c r="B1183" s="2">
        <f>IFERROR(__xludf.DUMMYFUNCTION("""COMPUTED_VALUE"""),1.0)</f>
        <v>1</v>
      </c>
    </row>
    <row r="1184">
      <c r="A1184" s="2" t="str">
        <f>IFERROR(__xludf.DUMMYFUNCTION("""COMPUTED_VALUE"""),"SMALL DOLLY MIX DESIGN ORANGE BOWL")</f>
        <v>SMALL DOLLY MIX DESIGN ORANGE BOWL</v>
      </c>
      <c r="B1184" s="2">
        <f>IFERROR(__xludf.DUMMYFUNCTION("""COMPUTED_VALUE"""),8.0)</f>
        <v>8</v>
      </c>
    </row>
    <row r="1185">
      <c r="A1185" s="2" t="str">
        <f>IFERROR(__xludf.DUMMYFUNCTION("""COMPUTED_VALUE"""),"STRAWBERRY CERAMIC TRINKET BOX")</f>
        <v>STRAWBERRY CERAMIC TRINKET BOX</v>
      </c>
      <c r="B1185" s="2">
        <f>IFERROR(__xludf.DUMMYFUNCTION("""COMPUTED_VALUE"""),12.0)</f>
        <v>12</v>
      </c>
    </row>
    <row r="1186">
      <c r="A1186" s="2" t="str">
        <f>IFERROR(__xludf.DUMMYFUNCTION("""COMPUTED_VALUE"""),"MINI CAKE STAND HANGING STRAWBERY")</f>
        <v>MINI CAKE STAND HANGING STRAWBERY</v>
      </c>
      <c r="B1186" s="2">
        <f>IFERROR(__xludf.DUMMYFUNCTION("""COMPUTED_VALUE"""),1.0)</f>
        <v>1</v>
      </c>
    </row>
    <row r="1187">
      <c r="A1187" s="2" t="str">
        <f>IFERROR(__xludf.DUMMYFUNCTION("""COMPUTED_VALUE"""),"CERAMIC CAKE DESIGN SPOTTED MUG")</f>
        <v>CERAMIC CAKE DESIGN SPOTTED MUG</v>
      </c>
      <c r="B1187" s="2">
        <f>IFERROR(__xludf.DUMMYFUNCTION("""COMPUTED_VALUE"""),2.0)</f>
        <v>2</v>
      </c>
    </row>
    <row r="1188">
      <c r="A1188" s="2" t="str">
        <f>IFERROR(__xludf.DUMMYFUNCTION("""COMPUTED_VALUE"""),"PIZZA SLICE DISH")</f>
        <v>PIZZA SLICE DISH</v>
      </c>
      <c r="B1188" s="2">
        <f>IFERROR(__xludf.DUMMYFUNCTION("""COMPUTED_VALUE"""),6.0)</f>
        <v>6</v>
      </c>
    </row>
    <row r="1189">
      <c r="A1189" s="2" t="str">
        <f>IFERROR(__xludf.DUMMYFUNCTION("""COMPUTED_VALUE"""),"CERAMIC CAKE DESIGN SPOTTED MUG")</f>
        <v>CERAMIC CAKE DESIGN SPOTTED MUG</v>
      </c>
      <c r="B1189" s="2">
        <f>IFERROR(__xludf.DUMMYFUNCTION("""COMPUTED_VALUE"""),1.0)</f>
        <v>1</v>
      </c>
    </row>
    <row r="1190">
      <c r="A1190" s="2" t="str">
        <f>IFERROR(__xludf.DUMMYFUNCTION("""COMPUTED_VALUE"""),"CAT BOWL")</f>
        <v>CAT BOWL</v>
      </c>
      <c r="B1190" s="2">
        <f>IFERROR(__xludf.DUMMYFUNCTION("""COMPUTED_VALUE"""),2.0)</f>
        <v>2</v>
      </c>
    </row>
    <row r="1191">
      <c r="A1191" s="2" t="str">
        <f>IFERROR(__xludf.DUMMYFUNCTION("""COMPUTED_VALUE"""),"VINTAGE HEADS AND TAILS CARD GAME")</f>
        <v>VINTAGE HEADS AND TAILS CARD GAME</v>
      </c>
      <c r="B1191" s="2">
        <f>IFERROR(__xludf.DUMMYFUNCTION("""COMPUTED_VALUE"""),4.0)</f>
        <v>4</v>
      </c>
    </row>
    <row r="1192">
      <c r="A1192" s="2" t="str">
        <f>IFERROR(__xludf.DUMMYFUNCTION("""COMPUTED_VALUE"""),"BLUE CIRCLES DESIGN MONKEY DOLL")</f>
        <v>BLUE CIRCLES DESIGN MONKEY DOLL</v>
      </c>
      <c r="B1192" s="2">
        <f>IFERROR(__xludf.DUMMYFUNCTION("""COMPUTED_VALUE"""),1.0)</f>
        <v>1</v>
      </c>
    </row>
    <row r="1193">
      <c r="A1193" s="2" t="str">
        <f>IFERROR(__xludf.DUMMYFUNCTION("""COMPUTED_VALUE"""),"STRIPES DESIGN MONKEY DOLL")</f>
        <v>STRIPES DESIGN MONKEY DOLL</v>
      </c>
      <c r="B1193" s="2">
        <f>IFERROR(__xludf.DUMMYFUNCTION("""COMPUTED_VALUE"""),1.0)</f>
        <v>1</v>
      </c>
    </row>
    <row r="1194">
      <c r="A1194" s="2" t="str">
        <f>IFERROR(__xludf.DUMMYFUNCTION("""COMPUTED_VALUE"""),"CAMOFLAGE DESIGN TEDDY")</f>
        <v>CAMOFLAGE DESIGN TEDDY</v>
      </c>
      <c r="B1194" s="2">
        <f>IFERROR(__xludf.DUMMYFUNCTION("""COMPUTED_VALUE"""),2.0)</f>
        <v>2</v>
      </c>
    </row>
    <row r="1195">
      <c r="A1195" s="2" t="str">
        <f>IFERROR(__xludf.DUMMYFUNCTION("""COMPUTED_VALUE"""),"CERAMIC CAKE BOWL + HANGING CAKES")</f>
        <v>CERAMIC CAKE BOWL + HANGING CAKES</v>
      </c>
      <c r="B1195" s="2">
        <f>IFERROR(__xludf.DUMMYFUNCTION("""COMPUTED_VALUE"""),3.0)</f>
        <v>3</v>
      </c>
    </row>
    <row r="1196">
      <c r="A1196" s="2" t="str">
        <f>IFERROR(__xludf.DUMMYFUNCTION("""COMPUTED_VALUE"""),"CHRISTMAS PUDDING TRINKET POT")</f>
        <v>CHRISTMAS PUDDING TRINKET POT</v>
      </c>
      <c r="B1196" s="2">
        <f>IFERROR(__xludf.DUMMYFUNCTION("""COMPUTED_VALUE"""),6.0)</f>
        <v>6</v>
      </c>
    </row>
    <row r="1197">
      <c r="A1197" s="2" t="str">
        <f>IFERROR(__xludf.DUMMYFUNCTION("""COMPUTED_VALUE"""),"ART LIGHTS,FUNK MONKEY")</f>
        <v>ART LIGHTS,FUNK MONKEY</v>
      </c>
      <c r="B1197" s="2">
        <f>IFERROR(__xludf.DUMMYFUNCTION("""COMPUTED_VALUE"""),1.0)</f>
        <v>1</v>
      </c>
    </row>
    <row r="1198">
      <c r="A1198" s="2" t="str">
        <f>IFERROR(__xludf.DUMMYFUNCTION("""COMPUTED_VALUE"""),"TEA TIME MUG IN GIFT BOX")</f>
        <v>TEA TIME MUG IN GIFT BOX</v>
      </c>
      <c r="B1198" s="2">
        <f>IFERROR(__xludf.DUMMYFUNCTION("""COMPUTED_VALUE"""),8.0)</f>
        <v>8</v>
      </c>
    </row>
    <row r="1199">
      <c r="A1199" s="2" t="str">
        <f>IFERROR(__xludf.DUMMYFUNCTION("""COMPUTED_VALUE"""),"KINGS CHOICE MUG")</f>
        <v>KINGS CHOICE MUG</v>
      </c>
      <c r="B1199" s="2">
        <f>IFERROR(__xludf.DUMMYFUNCTION("""COMPUTED_VALUE"""),2.0)</f>
        <v>2</v>
      </c>
    </row>
    <row r="1200">
      <c r="A1200" s="2" t="str">
        <f>IFERROR(__xludf.DUMMYFUNCTION("""COMPUTED_VALUE"""),"CERAMIC CAKE BOWL + HANGING CAKES")</f>
        <v>CERAMIC CAKE BOWL + HANGING CAKES</v>
      </c>
      <c r="B1200" s="2">
        <f>IFERROR(__xludf.DUMMYFUNCTION("""COMPUTED_VALUE"""),1.0)</f>
        <v>1</v>
      </c>
    </row>
    <row r="1201">
      <c r="A1201" s="2" t="str">
        <f>IFERROR(__xludf.DUMMYFUNCTION("""COMPUTED_VALUE"""),"BLACK PIRATE TREASURE CHEST")</f>
        <v>BLACK PIRATE TREASURE CHEST</v>
      </c>
      <c r="B1201" s="2">
        <f>IFERROR(__xludf.DUMMYFUNCTION("""COMPUTED_VALUE"""),2.0)</f>
        <v>2</v>
      </c>
    </row>
    <row r="1202">
      <c r="A1202" s="2" t="str">
        <f>IFERROR(__xludf.DUMMYFUNCTION("""COMPUTED_VALUE"""),"PINK DOUGHNUT TRINKET POT")</f>
        <v>PINK DOUGHNUT TRINKET POT</v>
      </c>
      <c r="B1202" s="2">
        <f>IFERROR(__xludf.DUMMYFUNCTION("""COMPUTED_VALUE"""),4.0)</f>
        <v>4</v>
      </c>
    </row>
    <row r="1203">
      <c r="A1203" s="2" t="str">
        <f>IFERROR(__xludf.DUMMYFUNCTION("""COMPUTED_VALUE"""),"LUNCH BAG WOODLAND")</f>
        <v>LUNCH BAG WOODLAND</v>
      </c>
      <c r="B1203" s="2">
        <f>IFERROR(__xludf.DUMMYFUNCTION("""COMPUTED_VALUE"""),4.0)</f>
        <v>4</v>
      </c>
    </row>
    <row r="1204">
      <c r="A1204" s="2" t="str">
        <f>IFERROR(__xludf.DUMMYFUNCTION("""COMPUTED_VALUE"""),"LUNCH BAG RED SPOTTY")</f>
        <v>LUNCH BAG RED SPOTTY</v>
      </c>
      <c r="B1204" s="2">
        <f>IFERROR(__xludf.DUMMYFUNCTION("""COMPUTED_VALUE"""),3.0)</f>
        <v>3</v>
      </c>
    </row>
    <row r="1205">
      <c r="A1205" s="2" t="str">
        <f>IFERROR(__xludf.DUMMYFUNCTION("""COMPUTED_VALUE"""),"SET 3 RED SPOT TIN TEA,COFFEE,SUGAR")</f>
        <v>SET 3 RED SPOT TIN TEA,COFFEE,SUGAR</v>
      </c>
      <c r="B1205" s="2">
        <f>IFERROR(__xludf.DUMMYFUNCTION("""COMPUTED_VALUE"""),1.0)</f>
        <v>1</v>
      </c>
    </row>
    <row r="1206">
      <c r="A1206" s="2" t="str">
        <f>IFERROR(__xludf.DUMMYFUNCTION("""COMPUTED_VALUE"""),"HOT WATER BOTTLE TEA AND SYMPATHY")</f>
        <v>HOT WATER BOTTLE TEA AND SYMPATHY</v>
      </c>
      <c r="B1206" s="2">
        <f>IFERROR(__xludf.DUMMYFUNCTION("""COMPUTED_VALUE"""),3.0)</f>
        <v>3</v>
      </c>
    </row>
    <row r="1207">
      <c r="A1207" s="2" t="str">
        <f>IFERROR(__xludf.DUMMYFUNCTION("""COMPUTED_VALUE"""),"GREEN CHRISTMAS TREE CARD HOLDER")</f>
        <v>GREEN CHRISTMAS TREE CARD HOLDER</v>
      </c>
      <c r="B1207" s="2">
        <f>IFERROR(__xludf.DUMMYFUNCTION("""COMPUTED_VALUE"""),2.0)</f>
        <v>2</v>
      </c>
    </row>
    <row r="1208">
      <c r="A1208" s="2" t="str">
        <f>IFERROR(__xludf.DUMMYFUNCTION("""COMPUTED_VALUE"""),"WOODEN PICTURE FRAME WHITE FINISH")</f>
        <v>WOODEN PICTURE FRAME WHITE FINISH</v>
      </c>
      <c r="B1208" s="2">
        <f>IFERROR(__xludf.DUMMYFUNCTION("""COMPUTED_VALUE"""),6.0)</f>
        <v>6</v>
      </c>
    </row>
    <row r="1209">
      <c r="A1209" s="2" t="str">
        <f>IFERROR(__xludf.DUMMYFUNCTION("""COMPUTED_VALUE"""),"SWEETHEART CERAMIC TRINKET BOX")</f>
        <v>SWEETHEART CERAMIC TRINKET BOX</v>
      </c>
      <c r="B1209" s="2">
        <f>IFERROR(__xludf.DUMMYFUNCTION("""COMPUTED_VALUE"""),11.0)</f>
        <v>11</v>
      </c>
    </row>
    <row r="1210">
      <c r="A1210" s="2" t="str">
        <f>IFERROR(__xludf.DUMMYFUNCTION("""COMPUTED_VALUE"""),"CLEAR COLOUR GLASS GEMS IN BAG")</f>
        <v>CLEAR COLOUR GLASS GEMS IN BAG</v>
      </c>
      <c r="B1210" s="2">
        <f>IFERROR(__xludf.DUMMYFUNCTION("""COMPUTED_VALUE"""),1.0)</f>
        <v>1</v>
      </c>
    </row>
    <row r="1211">
      <c r="A1211" s="2" t="str">
        <f>IFERROR(__xludf.DUMMYFUNCTION("""COMPUTED_VALUE"""),"CHERRY BLOSSOM PASSPORT COVER")</f>
        <v>CHERRY BLOSSOM PASSPORT COVER</v>
      </c>
      <c r="B1211" s="2">
        <f>IFERROR(__xludf.DUMMYFUNCTION("""COMPUTED_VALUE"""),1.0)</f>
        <v>1</v>
      </c>
    </row>
    <row r="1212">
      <c r="A1212" s="2" t="str">
        <f>IFERROR(__xludf.DUMMYFUNCTION("""COMPUTED_VALUE"""),"QUEEN OF THE SKIES PASSPORT COVER")</f>
        <v>QUEEN OF THE SKIES PASSPORT COVER</v>
      </c>
      <c r="B1212" s="2">
        <f>IFERROR(__xludf.DUMMYFUNCTION("""COMPUTED_VALUE"""),1.0)</f>
        <v>1</v>
      </c>
    </row>
    <row r="1213">
      <c r="A1213" s="2" t="str">
        <f>IFERROR(__xludf.DUMMYFUNCTION("""COMPUTED_VALUE"""),"BLUE SPOTTY LUGGAGE TAG")</f>
        <v>BLUE SPOTTY LUGGAGE TAG</v>
      </c>
      <c r="B1213" s="2">
        <f>IFERROR(__xludf.DUMMYFUNCTION("""COMPUTED_VALUE"""),1.0)</f>
        <v>1</v>
      </c>
    </row>
    <row r="1214">
      <c r="A1214" s="2" t="str">
        <f>IFERROR(__xludf.DUMMYFUNCTION("""COMPUTED_VALUE"""),"FIRST CLASS LUGGAGE TAG")</f>
        <v>FIRST CLASS LUGGAGE TAG</v>
      </c>
      <c r="B1214" s="2">
        <f>IFERROR(__xludf.DUMMYFUNCTION("""COMPUTED_VALUE"""),1.0)</f>
        <v>1</v>
      </c>
    </row>
    <row r="1215">
      <c r="A1215" s="2" t="str">
        <f>IFERROR(__xludf.DUMMYFUNCTION("""COMPUTED_VALUE"""),"QUEEN OF SKIES LUGGAGE TAG")</f>
        <v>QUEEN OF SKIES LUGGAGE TAG</v>
      </c>
      <c r="B1215" s="2">
        <f>IFERROR(__xludf.DUMMYFUNCTION("""COMPUTED_VALUE"""),1.0)</f>
        <v>1</v>
      </c>
    </row>
    <row r="1216">
      <c r="A1216" s="2" t="str">
        <f>IFERROR(__xludf.DUMMYFUNCTION("""COMPUTED_VALUE"""),"ECONOMY LUGGAGE TAG")</f>
        <v>ECONOMY LUGGAGE TAG</v>
      </c>
      <c r="B1216" s="2">
        <f>IFERROR(__xludf.DUMMYFUNCTION("""COMPUTED_VALUE"""),1.0)</f>
        <v>1</v>
      </c>
    </row>
    <row r="1217">
      <c r="A1217" s="2" t="str">
        <f>IFERROR(__xludf.DUMMYFUNCTION("""COMPUTED_VALUE"""),"GREEN SPOTTY BOWL")</f>
        <v>GREEN SPOTTY BOWL</v>
      </c>
      <c r="B1217" s="2">
        <f>IFERROR(__xludf.DUMMYFUNCTION("""COMPUTED_VALUE"""),1.0)</f>
        <v>1</v>
      </c>
    </row>
    <row r="1218">
      <c r="A1218" s="2" t="str">
        <f>IFERROR(__xludf.DUMMYFUNCTION("""COMPUTED_VALUE"""),"BLUE SPOTTY BOWL")</f>
        <v>BLUE SPOTTY BOWL</v>
      </c>
      <c r="B1218" s="2">
        <f>IFERROR(__xludf.DUMMYFUNCTION("""COMPUTED_VALUE"""),2.0)</f>
        <v>2</v>
      </c>
    </row>
    <row r="1219">
      <c r="A1219" s="2" t="str">
        <f>IFERROR(__xludf.DUMMYFUNCTION("""COMPUTED_VALUE"""),"PINK SPOTTY BOWL")</f>
        <v>PINK SPOTTY BOWL</v>
      </c>
      <c r="B1219" s="2">
        <f>IFERROR(__xludf.DUMMYFUNCTION("""COMPUTED_VALUE"""),2.0)</f>
        <v>2</v>
      </c>
    </row>
    <row r="1220">
      <c r="A1220" s="2" t="str">
        <f>IFERROR(__xludf.DUMMYFUNCTION("""COMPUTED_VALUE"""),"JUMBO BAG WOODLAND ANIMALS")</f>
        <v>JUMBO BAG WOODLAND ANIMALS</v>
      </c>
      <c r="B1220" s="2">
        <f>IFERROR(__xludf.DUMMYFUNCTION("""COMPUTED_VALUE"""),6.0)</f>
        <v>6</v>
      </c>
    </row>
    <row r="1221">
      <c r="A1221" s="2" t="str">
        <f>IFERROR(__xludf.DUMMYFUNCTION("""COMPUTED_VALUE"""),"POSY SHOPPER BAG")</f>
        <v>POSY SHOPPER BAG</v>
      </c>
      <c r="B1221" s="2">
        <f>IFERROR(__xludf.DUMMYFUNCTION("""COMPUTED_VALUE"""),1.0)</f>
        <v>1</v>
      </c>
    </row>
    <row r="1222">
      <c r="A1222" s="2" t="str">
        <f>IFERROR(__xludf.DUMMYFUNCTION("""COMPUTED_VALUE"""),"WOODLAND CHARLOTTE BAG")</f>
        <v>WOODLAND CHARLOTTE BAG</v>
      </c>
      <c r="B1222" s="2">
        <f>IFERROR(__xludf.DUMMYFUNCTION("""COMPUTED_VALUE"""),1.0)</f>
        <v>1</v>
      </c>
    </row>
    <row r="1223">
      <c r="A1223" s="2" t="str">
        <f>IFERROR(__xludf.DUMMYFUNCTION("""COMPUTED_VALUE"""),"RED SPOTTY CHARLOTTE BAG")</f>
        <v>RED SPOTTY CHARLOTTE BAG</v>
      </c>
      <c r="B1223" s="2">
        <f>IFERROR(__xludf.DUMMYFUNCTION("""COMPUTED_VALUE"""),3.0)</f>
        <v>3</v>
      </c>
    </row>
    <row r="1224">
      <c r="A1224" s="2" t="str">
        <f>IFERROR(__xludf.DUMMYFUNCTION("""COMPUTED_VALUE"""),"LUNCH BAG RED SPOTTY")</f>
        <v>LUNCH BAG RED SPOTTY</v>
      </c>
      <c r="B1224" s="2">
        <f>IFERROR(__xludf.DUMMYFUNCTION("""COMPUTED_VALUE"""),1.0)</f>
        <v>1</v>
      </c>
    </row>
    <row r="1225">
      <c r="A1225" s="2" t="str">
        <f>IFERROR(__xludf.DUMMYFUNCTION("""COMPUTED_VALUE"""),"RED SPOTTY CANDY BAG")</f>
        <v>RED SPOTTY CANDY BAG</v>
      </c>
      <c r="B1225" s="2">
        <f>IFERROR(__xludf.DUMMYFUNCTION("""COMPUTED_VALUE"""),1.0)</f>
        <v>1</v>
      </c>
    </row>
    <row r="1226">
      <c r="A1226" s="2" t="str">
        <f>IFERROR(__xludf.DUMMYFUNCTION("""COMPUTED_VALUE"""),"RETRO BLUE SPOTTY WASHING UP GLOVES")</f>
        <v>RETRO BLUE SPOTTY WASHING UP GLOVES</v>
      </c>
      <c r="B1226" s="2">
        <f>IFERROR(__xludf.DUMMYFUNCTION("""COMPUTED_VALUE"""),3.0)</f>
        <v>3</v>
      </c>
    </row>
    <row r="1227">
      <c r="A1227" s="2" t="str">
        <f>IFERROR(__xludf.DUMMYFUNCTION("""COMPUTED_VALUE"""),"RETRO PINK SPOT WASHING UP GLOVES")</f>
        <v>RETRO PINK SPOT WASHING UP GLOVES</v>
      </c>
      <c r="B1227" s="2">
        <f>IFERROR(__xludf.DUMMYFUNCTION("""COMPUTED_VALUE"""),1.0)</f>
        <v>1</v>
      </c>
    </row>
    <row r="1228">
      <c r="A1228" s="2" t="str">
        <f>IFERROR(__xludf.DUMMYFUNCTION("""COMPUTED_VALUE"""),"RETRO RED SPOTTY WASHING UP GLOVES")</f>
        <v>RETRO RED SPOTTY WASHING UP GLOVES</v>
      </c>
      <c r="B1228" s="2">
        <f>IFERROR(__xludf.DUMMYFUNCTION("""COMPUTED_VALUE"""),2.0)</f>
        <v>2</v>
      </c>
    </row>
    <row r="1229">
      <c r="A1229" s="2" t="str">
        <f>IFERROR(__xludf.DUMMYFUNCTION("""COMPUTED_VALUE"""),"CLEAR MILKSHAKE GLASS")</f>
        <v>CLEAR MILKSHAKE GLASS</v>
      </c>
      <c r="B1229" s="2">
        <f>IFERROR(__xludf.DUMMYFUNCTION("""COMPUTED_VALUE"""),3.0)</f>
        <v>3</v>
      </c>
    </row>
    <row r="1230">
      <c r="A1230" s="2" t="str">
        <f>IFERROR(__xludf.DUMMYFUNCTION("""COMPUTED_VALUE"""),"PINK MILKSHAKE GLASS")</f>
        <v>PINK MILKSHAKE GLASS</v>
      </c>
      <c r="B1230" s="2">
        <f>IFERROR(__xludf.DUMMYFUNCTION("""COMPUTED_VALUE"""),3.0)</f>
        <v>3</v>
      </c>
    </row>
    <row r="1231">
      <c r="A1231" s="2" t="str">
        <f>IFERROR(__xludf.DUMMYFUNCTION("""COMPUTED_VALUE"""),"RED FLOCK LOVE HEART PHOTO FRAME")</f>
        <v>RED FLOCK LOVE HEART PHOTO FRAME</v>
      </c>
      <c r="B1231" s="2">
        <f>IFERROR(__xludf.DUMMYFUNCTION("""COMPUTED_VALUE"""),1.0)</f>
        <v>1</v>
      </c>
    </row>
    <row r="1232">
      <c r="A1232" s="2" t="str">
        <f>IFERROR(__xludf.DUMMYFUNCTION("""COMPUTED_VALUE"""),"BLUE PATCH PENCIL CASE PINK HEART")</f>
        <v>BLUE PATCH PENCIL CASE PINK HEART</v>
      </c>
      <c r="B1232" s="2">
        <f>IFERROR(__xludf.DUMMYFUNCTION("""COMPUTED_VALUE"""),1.0)</f>
        <v>1</v>
      </c>
    </row>
    <row r="1233">
      <c r="A1233" s="2" t="str">
        <f>IFERROR(__xludf.DUMMYFUNCTION("""COMPUTED_VALUE"""),"PATCHWORK PENCIL CASE BUTTERFLY")</f>
        <v>PATCHWORK PENCIL CASE BUTTERFLY</v>
      </c>
      <c r="B1233" s="2">
        <f>IFERROR(__xludf.DUMMYFUNCTION("""COMPUTED_VALUE"""),2.0)</f>
        <v>2</v>
      </c>
    </row>
    <row r="1234">
      <c r="A1234" s="2" t="str">
        <f>IFERROR(__xludf.DUMMYFUNCTION("""COMPUTED_VALUE"""),"BLUE ROSE FABRIC MIRROR")</f>
        <v>BLUE ROSE FABRIC MIRROR</v>
      </c>
      <c r="B1234" s="2">
        <f>IFERROR(__xludf.DUMMYFUNCTION("""COMPUTED_VALUE"""),2.0)</f>
        <v>2</v>
      </c>
    </row>
    <row r="1235">
      <c r="A1235" s="2" t="str">
        <f>IFERROR(__xludf.DUMMYFUNCTION("""COMPUTED_VALUE"""),"BOX OF 9 PEBBLE CANDLES")</f>
        <v>BOX OF 9 PEBBLE CANDLES</v>
      </c>
      <c r="B1235" s="2">
        <f>IFERROR(__xludf.DUMMYFUNCTION("""COMPUTED_VALUE"""),1.0)</f>
        <v>1</v>
      </c>
    </row>
    <row r="1236">
      <c r="A1236" s="2" t="str">
        <f>IFERROR(__xludf.DUMMYFUNCTION("""COMPUTED_VALUE"""),"STRAWBERRY BATH SPONGE")</f>
        <v>STRAWBERRY BATH SPONGE</v>
      </c>
      <c r="B1236" s="2">
        <f>IFERROR(__xludf.DUMMYFUNCTION("""COMPUTED_VALUE"""),2.0)</f>
        <v>2</v>
      </c>
    </row>
    <row r="1237">
      <c r="A1237" s="2" t="str">
        <f>IFERROR(__xludf.DUMMYFUNCTION("""COMPUTED_VALUE"""),"SANDWICH BATH SPONGE")</f>
        <v>SANDWICH BATH SPONGE</v>
      </c>
      <c r="B1237" s="2">
        <f>IFERROR(__xludf.DUMMYFUNCTION("""COMPUTED_VALUE"""),3.0)</f>
        <v>3</v>
      </c>
    </row>
    <row r="1238">
      <c r="A1238" s="2" t="str">
        <f>IFERROR(__xludf.DUMMYFUNCTION("""COMPUTED_VALUE"""),"PINK CREAM FELT CRAFT TRINKET BOX")</f>
        <v>PINK CREAM FELT CRAFT TRINKET BOX</v>
      </c>
      <c r="B1238" s="2">
        <f>IFERROR(__xludf.DUMMYFUNCTION("""COMPUTED_VALUE"""),1.0)</f>
        <v>1</v>
      </c>
    </row>
    <row r="1239">
      <c r="A1239" s="2" t="str">
        <f>IFERROR(__xludf.DUMMYFUNCTION("""COMPUTED_VALUE"""),"12 PENCILS SMALL TUBE SKULL")</f>
        <v>12 PENCILS SMALL TUBE SKULL</v>
      </c>
      <c r="B1239" s="2">
        <f>IFERROR(__xludf.DUMMYFUNCTION("""COMPUTED_VALUE"""),1.0)</f>
        <v>1</v>
      </c>
    </row>
    <row r="1240">
      <c r="A1240" s="2" t="str">
        <f>IFERROR(__xludf.DUMMYFUNCTION("""COMPUTED_VALUE"""),"12 PENCILS SMALL TUBE RED SPOTTY")</f>
        <v>12 PENCILS SMALL TUBE RED SPOTTY</v>
      </c>
      <c r="B1240" s="2">
        <f>IFERROR(__xludf.DUMMYFUNCTION("""COMPUTED_VALUE"""),1.0)</f>
        <v>1</v>
      </c>
    </row>
    <row r="1241">
      <c r="A1241" s="2" t="str">
        <f>IFERROR(__xludf.DUMMYFUNCTION("""COMPUTED_VALUE"""),"36 PENCILS TUBE WOODLAND")</f>
        <v>36 PENCILS TUBE WOODLAND</v>
      </c>
      <c r="B1241" s="2">
        <f>IFERROR(__xludf.DUMMYFUNCTION("""COMPUTED_VALUE"""),5.0)</f>
        <v>5</v>
      </c>
    </row>
    <row r="1242">
      <c r="A1242" s="2" t="str">
        <f>IFERROR(__xludf.DUMMYFUNCTION("""COMPUTED_VALUE"""),"36 PENCILS TUBE SKULLS")</f>
        <v>36 PENCILS TUBE SKULLS</v>
      </c>
      <c r="B1242" s="2">
        <f>IFERROR(__xludf.DUMMYFUNCTION("""COMPUTED_VALUE"""),1.0)</f>
        <v>1</v>
      </c>
    </row>
    <row r="1243">
      <c r="A1243" s="2" t="str">
        <f>IFERROR(__xludf.DUMMYFUNCTION("""COMPUTED_VALUE"""),"36 PENCILS TUBE RED SPOTTY")</f>
        <v>36 PENCILS TUBE RED SPOTTY</v>
      </c>
      <c r="B1243" s="2">
        <f>IFERROR(__xludf.DUMMYFUNCTION("""COMPUTED_VALUE"""),3.0)</f>
        <v>3</v>
      </c>
    </row>
    <row r="1244">
      <c r="A1244" s="2" t="str">
        <f>IFERROR(__xludf.DUMMYFUNCTION("""COMPUTED_VALUE"""),"36 PENCILS TUBE POSY")</f>
        <v>36 PENCILS TUBE POSY</v>
      </c>
      <c r="B1244" s="2">
        <f>IFERROR(__xludf.DUMMYFUNCTION("""COMPUTED_VALUE"""),1.0)</f>
        <v>1</v>
      </c>
    </row>
    <row r="1245">
      <c r="A1245" s="2" t="str">
        <f>IFERROR(__xludf.DUMMYFUNCTION("""COMPUTED_VALUE"""),"12 PENCILS TALL TUBE WOODLAND")</f>
        <v>12 PENCILS TALL TUBE WOODLAND</v>
      </c>
      <c r="B1245" s="2">
        <f>IFERROR(__xludf.DUMMYFUNCTION("""COMPUTED_VALUE"""),3.0)</f>
        <v>3</v>
      </c>
    </row>
    <row r="1246">
      <c r="A1246" s="2" t="str">
        <f>IFERROR(__xludf.DUMMYFUNCTION("""COMPUTED_VALUE"""),"12 PENCILS TALL TUBE SKULLS")</f>
        <v>12 PENCILS TALL TUBE SKULLS</v>
      </c>
      <c r="B1246" s="2">
        <f>IFERROR(__xludf.DUMMYFUNCTION("""COMPUTED_VALUE"""),2.0)</f>
        <v>2</v>
      </c>
    </row>
    <row r="1247">
      <c r="A1247" s="2" t="str">
        <f>IFERROR(__xludf.DUMMYFUNCTION("""COMPUTED_VALUE"""),"12 PENCILS TALL TUBE RED SPOTTY")</f>
        <v>12 PENCILS TALL TUBE RED SPOTTY</v>
      </c>
      <c r="B1247" s="2">
        <f>IFERROR(__xludf.DUMMYFUNCTION("""COMPUTED_VALUE"""),1.0)</f>
        <v>1</v>
      </c>
    </row>
    <row r="1248">
      <c r="A1248" s="2" t="str">
        <f>IFERROR(__xludf.DUMMYFUNCTION("""COMPUTED_VALUE"""),"12 PENCILS TALL TUBE POSY")</f>
        <v>12 PENCILS TALL TUBE POSY</v>
      </c>
      <c r="B1248" s="2">
        <f>IFERROR(__xludf.DUMMYFUNCTION("""COMPUTED_VALUE"""),1.0)</f>
        <v>1</v>
      </c>
    </row>
    <row r="1249">
      <c r="A1249" s="2" t="str">
        <f>IFERROR(__xludf.DUMMYFUNCTION("""COMPUTED_VALUE"""),"GEISHA GIRL CHOPSTICKS SET/5")</f>
        <v>GEISHA GIRL CHOPSTICKS SET/5</v>
      </c>
      <c r="B1249" s="2">
        <f>IFERROR(__xludf.DUMMYFUNCTION("""COMPUTED_VALUE"""),1.0)</f>
        <v>1</v>
      </c>
    </row>
    <row r="1250">
      <c r="A1250" s="2" t="str">
        <f>IFERROR(__xludf.DUMMYFUNCTION("""COMPUTED_VALUE"""),"JAZZ HEARTS MAGNETIC MEMO PAD")</f>
        <v>JAZZ HEARTS MAGNETIC MEMO PAD</v>
      </c>
      <c r="B1250" s="2">
        <f>IFERROR(__xludf.DUMMYFUNCTION("""COMPUTED_VALUE"""),1.0)</f>
        <v>1</v>
      </c>
    </row>
    <row r="1251">
      <c r="A1251" s="2" t="str">
        <f>IFERROR(__xludf.DUMMYFUNCTION("""COMPUTED_VALUE"""),"ANTIQUE ALL GLASS CANDLESTICK")</f>
        <v>ANTIQUE ALL GLASS CANDLESTICK</v>
      </c>
      <c r="B1251" s="2">
        <f>IFERROR(__xludf.DUMMYFUNCTION("""COMPUTED_VALUE"""),1.0)</f>
        <v>1</v>
      </c>
    </row>
    <row r="1252">
      <c r="A1252" s="2" t="str">
        <f>IFERROR(__xludf.DUMMYFUNCTION("""COMPUTED_VALUE"""),"SPACE FROG")</f>
        <v>SPACE FROG</v>
      </c>
      <c r="B1252" s="2">
        <f>IFERROR(__xludf.DUMMYFUNCTION("""COMPUTED_VALUE"""),1.0)</f>
        <v>1</v>
      </c>
    </row>
    <row r="1253">
      <c r="A1253" s="2" t="str">
        <f>IFERROR(__xludf.DUMMYFUNCTION("""COMPUTED_VALUE"""),"PARTY INVITES WOODLAND")</f>
        <v>PARTY INVITES WOODLAND</v>
      </c>
      <c r="B1253" s="2">
        <f>IFERROR(__xludf.DUMMYFUNCTION("""COMPUTED_VALUE"""),3.0)</f>
        <v>3</v>
      </c>
    </row>
    <row r="1254">
      <c r="A1254" s="2" t="str">
        <f>IFERROR(__xludf.DUMMYFUNCTION("""COMPUTED_VALUE"""),"VINTAGE BILLBOARD TEA MUG")</f>
        <v>VINTAGE BILLBOARD TEA MUG</v>
      </c>
      <c r="B1254" s="2">
        <f>IFERROR(__xludf.DUMMYFUNCTION("""COMPUTED_VALUE"""),1.0)</f>
        <v>1</v>
      </c>
    </row>
    <row r="1255">
      <c r="A1255" s="2" t="str">
        <f>IFERROR(__xludf.DUMMYFUNCTION("""COMPUTED_VALUE"""),"VINTAGE BILLBOARD DRINK ME MUG")</f>
        <v>VINTAGE BILLBOARD DRINK ME MUG</v>
      </c>
      <c r="B1255" s="2">
        <f>IFERROR(__xludf.DUMMYFUNCTION("""COMPUTED_VALUE"""),4.0)</f>
        <v>4</v>
      </c>
    </row>
    <row r="1256">
      <c r="A1256" s="2" t="str">
        <f>IFERROR(__xludf.DUMMYFUNCTION("""COMPUTED_VALUE"""),"SET/20 RED SPOTTY PAPER NAPKINS")</f>
        <v>SET/20 RED SPOTTY PAPER NAPKINS</v>
      </c>
      <c r="B1256" s="2">
        <f>IFERROR(__xludf.DUMMYFUNCTION("""COMPUTED_VALUE"""),2.0)</f>
        <v>2</v>
      </c>
    </row>
    <row r="1257">
      <c r="A1257" s="2" t="str">
        <f>IFERROR(__xludf.DUMMYFUNCTION("""COMPUTED_VALUE"""),"CHRISTMAS TOILET ROLL")</f>
        <v>CHRISTMAS TOILET ROLL</v>
      </c>
      <c r="B1257" s="2">
        <f>IFERROR(__xludf.DUMMYFUNCTION("""COMPUTED_VALUE"""),14.0)</f>
        <v>14</v>
      </c>
    </row>
    <row r="1258">
      <c r="A1258" s="2" t="str">
        <f>IFERROR(__xludf.DUMMYFUNCTION("""COMPUTED_VALUE"""),"SET/10 PINK SPOTTY PARTY CANDLES")</f>
        <v>SET/10 PINK SPOTTY PARTY CANDLES</v>
      </c>
      <c r="B1258" s="2">
        <f>IFERROR(__xludf.DUMMYFUNCTION("""COMPUTED_VALUE"""),1.0)</f>
        <v>1</v>
      </c>
    </row>
    <row r="1259">
      <c r="A1259" s="2" t="str">
        <f>IFERROR(__xludf.DUMMYFUNCTION("""COMPUTED_VALUE"""),"SET/10 BLUE SPOTTY PARTY CANDLES")</f>
        <v>SET/10 BLUE SPOTTY PARTY CANDLES</v>
      </c>
      <c r="B1259" s="2">
        <f>IFERROR(__xludf.DUMMYFUNCTION("""COMPUTED_VALUE"""),1.0)</f>
        <v>1</v>
      </c>
    </row>
    <row r="1260">
      <c r="A1260" s="2" t="str">
        <f>IFERROR(__xludf.DUMMYFUNCTION("""COMPUTED_VALUE"""),"ANTIQUE GLASS HEART DECORATION")</f>
        <v>ANTIQUE GLASS HEART DECORATION</v>
      </c>
      <c r="B1260" s="2">
        <f>IFERROR(__xludf.DUMMYFUNCTION("""COMPUTED_VALUE"""),1.0)</f>
        <v>1</v>
      </c>
    </row>
    <row r="1261">
      <c r="A1261" s="2" t="str">
        <f>IFERROR(__xludf.DUMMYFUNCTION("""COMPUTED_VALUE"""),"RED SPOTTY OVEN GLOVE")</f>
        <v>RED SPOTTY OVEN GLOVE</v>
      </c>
      <c r="B1261" s="2">
        <f>IFERROR(__xludf.DUMMYFUNCTION("""COMPUTED_VALUE"""),2.0)</f>
        <v>2</v>
      </c>
    </row>
    <row r="1262">
      <c r="A1262" s="2" t="str">
        <f>IFERROR(__xludf.DUMMYFUNCTION("""COMPUTED_VALUE"""),"KEEP OUT GIRLS DOOR HANGER")</f>
        <v>KEEP OUT GIRLS DOOR HANGER</v>
      </c>
      <c r="B1262" s="2">
        <f>IFERROR(__xludf.DUMMYFUNCTION("""COMPUTED_VALUE"""),1.0)</f>
        <v>1</v>
      </c>
    </row>
    <row r="1263">
      <c r="A1263" s="2" t="str">
        <f>IFERROR(__xludf.DUMMYFUNCTION("""COMPUTED_VALUE"""),"BEWARE OF THE CAT METAL SIGN")</f>
        <v>BEWARE OF THE CAT METAL SIGN</v>
      </c>
      <c r="B1263" s="2">
        <f>IFERROR(__xludf.DUMMYFUNCTION("""COMPUTED_VALUE"""),2.0)</f>
        <v>2</v>
      </c>
    </row>
    <row r="1264">
      <c r="A1264" s="2" t="str">
        <f>IFERROR(__xludf.DUMMYFUNCTION("""COMPUTED_VALUE"""),"LOO ROLL METAL SIGN")</f>
        <v>LOO ROLL METAL SIGN</v>
      </c>
      <c r="B1264" s="2">
        <f>IFERROR(__xludf.DUMMYFUNCTION("""COMPUTED_VALUE"""),1.0)</f>
        <v>1</v>
      </c>
    </row>
    <row r="1265">
      <c r="A1265" s="2" t="str">
        <f>IFERROR(__xludf.DUMMYFUNCTION("""COMPUTED_VALUE"""),"POTTERING IN THE SHED METAL SIGN")</f>
        <v>POTTERING IN THE SHED METAL SIGN</v>
      </c>
      <c r="B1265" s="2">
        <f>IFERROR(__xludf.DUMMYFUNCTION("""COMPUTED_VALUE"""),3.0)</f>
        <v>3</v>
      </c>
    </row>
    <row r="1266">
      <c r="A1266" s="2" t="str">
        <f>IFERROR(__xludf.DUMMYFUNCTION("""COMPUTED_VALUE"""),"GIN + TONIC DIET METAL SIGN")</f>
        <v>GIN + TONIC DIET METAL SIGN</v>
      </c>
      <c r="B1266" s="2">
        <f>IFERROR(__xludf.DUMMYFUNCTION("""COMPUTED_VALUE"""),2.0)</f>
        <v>2</v>
      </c>
    </row>
    <row r="1267">
      <c r="A1267" s="2" t="str">
        <f>IFERROR(__xludf.DUMMYFUNCTION("""COMPUTED_VALUE"""),"PLEASE ONE PERSON METAL SIGN")</f>
        <v>PLEASE ONE PERSON METAL SIGN</v>
      </c>
      <c r="B1267" s="2">
        <f>IFERROR(__xludf.DUMMYFUNCTION("""COMPUTED_VALUE"""),1.0)</f>
        <v>1</v>
      </c>
    </row>
    <row r="1268">
      <c r="A1268" s="2" t="str">
        <f>IFERROR(__xludf.DUMMYFUNCTION("""COMPUTED_VALUE"""),"LARGE WHITE HONEYCOMB PAPER BELL")</f>
        <v>LARGE WHITE HONEYCOMB PAPER BELL</v>
      </c>
      <c r="B1268" s="2">
        <f>IFERROR(__xludf.DUMMYFUNCTION("""COMPUTED_VALUE"""),3.0)</f>
        <v>3</v>
      </c>
    </row>
    <row r="1269">
      <c r="A1269" s="2" t="str">
        <f>IFERROR(__xludf.DUMMYFUNCTION("""COMPUTED_VALUE"""),"WHITE HEART CONFETTI IN TUBE")</f>
        <v>WHITE HEART CONFETTI IN TUBE</v>
      </c>
      <c r="B1269" s="2">
        <f>IFERROR(__xludf.DUMMYFUNCTION("""COMPUTED_VALUE"""),1.0)</f>
        <v>1</v>
      </c>
    </row>
    <row r="1270">
      <c r="A1270" s="2" t="str">
        <f>IFERROR(__xludf.DUMMYFUNCTION("""COMPUTED_VALUE"""),"SET OF 72 RETRO SPOT PAPER DOILIES")</f>
        <v>SET OF 72 RETRO SPOT PAPER DOILIES</v>
      </c>
      <c r="B1270" s="2">
        <f>IFERROR(__xludf.DUMMYFUNCTION("""COMPUTED_VALUE"""),3.0)</f>
        <v>3</v>
      </c>
    </row>
    <row r="1271">
      <c r="A1271" s="2" t="str">
        <f>IFERROR(__xludf.DUMMYFUNCTION("""COMPUTED_VALUE"""),"PACK OF 72 RETRO SPOT CAKE CASES")</f>
        <v>PACK OF 72 RETRO SPOT CAKE CASES</v>
      </c>
      <c r="B1271" s="2">
        <f>IFERROR(__xludf.DUMMYFUNCTION("""COMPUTED_VALUE"""),18.0)</f>
        <v>18</v>
      </c>
    </row>
    <row r="1272">
      <c r="A1272" s="2" t="str">
        <f>IFERROR(__xludf.DUMMYFUNCTION("""COMPUTED_VALUE"""),"PACK OF 72 SKULL CAKE CASES")</f>
        <v>PACK OF 72 SKULL CAKE CASES</v>
      </c>
      <c r="B1272" s="2">
        <f>IFERROR(__xludf.DUMMYFUNCTION("""COMPUTED_VALUE"""),1.0)</f>
        <v>1</v>
      </c>
    </row>
    <row r="1273">
      <c r="A1273" s="2" t="str">
        <f>IFERROR(__xludf.DUMMYFUNCTION("""COMPUTED_VALUE"""),"SWEETHEART CERAMIC TRINKET BOX")</f>
        <v>SWEETHEART CERAMIC TRINKET BOX</v>
      </c>
      <c r="B1273" s="2">
        <f>IFERROR(__xludf.DUMMYFUNCTION("""COMPUTED_VALUE"""),13.0)</f>
        <v>13</v>
      </c>
    </row>
    <row r="1274">
      <c r="A1274" s="2" t="str">
        <f>IFERROR(__xludf.DUMMYFUNCTION("""COMPUTED_VALUE"""),"STRAWBERRY CERAMIC TRINKET BOX")</f>
        <v>STRAWBERRY CERAMIC TRINKET BOX</v>
      </c>
      <c r="B1274" s="2">
        <f>IFERROR(__xludf.DUMMYFUNCTION("""COMPUTED_VALUE"""),12.0)</f>
        <v>12</v>
      </c>
    </row>
    <row r="1275">
      <c r="A1275" s="2" t="str">
        <f>IFERROR(__xludf.DUMMYFUNCTION("""COMPUTED_VALUE"""),"RED SPOTTY PLATE")</f>
        <v>RED SPOTTY PLATE</v>
      </c>
      <c r="B1275" s="2">
        <f>IFERROR(__xludf.DUMMYFUNCTION("""COMPUTED_VALUE"""),6.0)</f>
        <v>6</v>
      </c>
    </row>
    <row r="1276">
      <c r="A1276" s="2" t="str">
        <f>IFERROR(__xludf.DUMMYFUNCTION("""COMPUTED_VALUE"""),"FRENCH BOTTLE , LAVENDER")</f>
        <v>FRENCH BOTTLE , LAVENDER</v>
      </c>
      <c r="B1276" s="2">
        <f>IFERROR(__xludf.DUMMYFUNCTION("""COMPUTED_VALUE"""),1.0)</f>
        <v>1</v>
      </c>
    </row>
    <row r="1277">
      <c r="A1277" s="2" t="str">
        <f>IFERROR(__xludf.DUMMYFUNCTION("""COMPUTED_VALUE"""),"FRENCH BOTTLE, BRASSERIE DES ARTIST")</f>
        <v>FRENCH BOTTLE, BRASSERIE DES ARTIST</v>
      </c>
      <c r="B1277" s="2">
        <f>IFERROR(__xludf.DUMMYFUNCTION("""COMPUTED_VALUE"""),2.0)</f>
        <v>2</v>
      </c>
    </row>
    <row r="1278">
      <c r="A1278" s="2" t="str">
        <f>IFERROR(__xludf.DUMMYFUNCTION("""COMPUTED_VALUE"""),"VINTAGE SILVER TINSEL REEL")</f>
        <v>VINTAGE SILVER TINSEL REEL</v>
      </c>
      <c r="B1278" s="2">
        <f>IFERROR(__xludf.DUMMYFUNCTION("""COMPUTED_VALUE"""),1.0)</f>
        <v>1</v>
      </c>
    </row>
    <row r="1279">
      <c r="A1279" s="2" t="str">
        <f>IFERROR(__xludf.DUMMYFUNCTION("""COMPUTED_VALUE"""),"RETRO SPOT CANDLE SMALL")</f>
        <v>RETRO SPOT CANDLE SMALL</v>
      </c>
      <c r="B1279" s="2">
        <f>IFERROR(__xludf.DUMMYFUNCTION("""COMPUTED_VALUE"""),1.0)</f>
        <v>1</v>
      </c>
    </row>
    <row r="1280">
      <c r="A1280" s="2" t="str">
        <f>IFERROR(__xludf.DUMMYFUNCTION("""COMPUTED_VALUE"""),"SMALL SPOTTY CHOCOLATE GIFT BAG")</f>
        <v>SMALL SPOTTY CHOCOLATE GIFT BAG</v>
      </c>
      <c r="B1280" s="2">
        <f>IFERROR(__xludf.DUMMYFUNCTION("""COMPUTED_VALUE"""),3.0)</f>
        <v>3</v>
      </c>
    </row>
    <row r="1281">
      <c r="A1281" s="2" t="str">
        <f>IFERROR(__xludf.DUMMYFUNCTION("""COMPUTED_VALUE"""),"SMALL GLASS HEART TRINKET POT")</f>
        <v>SMALL GLASS HEART TRINKET POT</v>
      </c>
      <c r="B1281" s="2">
        <f>IFERROR(__xludf.DUMMYFUNCTION("""COMPUTED_VALUE"""),4.0)</f>
        <v>4</v>
      </c>
    </row>
    <row r="1282">
      <c r="A1282" s="2" t="str">
        <f>IFERROR(__xludf.DUMMYFUNCTION("""COMPUTED_VALUE"""),"BALLOONS WRITING SET")</f>
        <v>BALLOONS WRITING SET</v>
      </c>
      <c r="B1282" s="2">
        <f>IFERROR(__xludf.DUMMYFUNCTION("""COMPUTED_VALUE"""),1.0)</f>
        <v>1</v>
      </c>
    </row>
    <row r="1283">
      <c r="A1283" s="2" t="str">
        <f>IFERROR(__xludf.DUMMYFUNCTION("""COMPUTED_VALUE"""),"DINOSAURS WRITING SET")</f>
        <v>DINOSAURS WRITING SET</v>
      </c>
      <c r="B1283" s="2">
        <f>IFERROR(__xludf.DUMMYFUNCTION("""COMPUTED_VALUE"""),6.0)</f>
        <v>6</v>
      </c>
    </row>
    <row r="1284">
      <c r="A1284" s="2" t="str">
        <f>IFERROR(__xludf.DUMMYFUNCTION("""COMPUTED_VALUE"""),"WOODLAND ANIMAL WRITING SET")</f>
        <v>WOODLAND ANIMAL WRITING SET</v>
      </c>
      <c r="B1284" s="2">
        <f>IFERROR(__xludf.DUMMYFUNCTION("""COMPUTED_VALUE"""),2.0)</f>
        <v>2</v>
      </c>
    </row>
    <row r="1285">
      <c r="A1285" s="2" t="str">
        <f>IFERROR(__xludf.DUMMYFUNCTION("""COMPUTED_VALUE"""),"TOAST ITS - FAIRY FLOWER")</f>
        <v>TOAST ITS - FAIRY FLOWER</v>
      </c>
      <c r="B1285" s="2">
        <f>IFERROR(__xludf.DUMMYFUNCTION("""COMPUTED_VALUE"""),2.0)</f>
        <v>2</v>
      </c>
    </row>
    <row r="1286">
      <c r="A1286" s="2" t="str">
        <f>IFERROR(__xludf.DUMMYFUNCTION("""COMPUTED_VALUE"""),"TOAST ITS - DINOSAUR")</f>
        <v>TOAST ITS - DINOSAUR</v>
      </c>
      <c r="B1286" s="2">
        <f>IFERROR(__xludf.DUMMYFUNCTION("""COMPUTED_VALUE"""),4.0)</f>
        <v>4</v>
      </c>
    </row>
    <row r="1287">
      <c r="A1287" s="2" t="str">
        <f>IFERROR(__xludf.DUMMYFUNCTION("""COMPUTED_VALUE"""),"CAMPHOR WOOD PORTOBELLO MUSHROOM")</f>
        <v>CAMPHOR WOOD PORTOBELLO MUSHROOM</v>
      </c>
      <c r="B1287" s="2">
        <f>IFERROR(__xludf.DUMMYFUNCTION("""COMPUTED_VALUE"""),1.0)</f>
        <v>1</v>
      </c>
    </row>
    <row r="1288">
      <c r="A1288" s="2" t="str">
        <f>IFERROR(__xludf.DUMMYFUNCTION("""COMPUTED_VALUE"""),"RED SPOTTY EGG CUP")</f>
        <v>RED SPOTTY EGG CUP</v>
      </c>
      <c r="B1288" s="2">
        <f>IFERROR(__xludf.DUMMYFUNCTION("""COMPUTED_VALUE"""),7.0)</f>
        <v>7</v>
      </c>
    </row>
    <row r="1289">
      <c r="A1289" s="2" t="str">
        <f>IFERROR(__xludf.DUMMYFUNCTION("""COMPUTED_VALUE"""),"VINTAGE GOLD TINSEL REEL")</f>
        <v>VINTAGE GOLD TINSEL REEL</v>
      </c>
      <c r="B1289" s="2">
        <f>IFERROR(__xludf.DUMMYFUNCTION("""COMPUTED_VALUE"""),1.0)</f>
        <v>1</v>
      </c>
    </row>
    <row r="1290">
      <c r="A1290" s="2" t="str">
        <f>IFERROR(__xludf.DUMMYFUNCTION("""COMPUTED_VALUE"""),"RED GINGHAM ROSE JEWELLERY BOX")</f>
        <v>RED GINGHAM ROSE JEWELLERY BOX</v>
      </c>
      <c r="B1290" s="2">
        <f>IFERROR(__xludf.DUMMYFUNCTION("""COMPUTED_VALUE"""),1.0)</f>
        <v>1</v>
      </c>
    </row>
    <row r="1291">
      <c r="A1291" s="2" t="str">
        <f>IFERROR(__xludf.DUMMYFUNCTION("""COMPUTED_VALUE"""),"GREEN GINGHAM FLOWER JEWELLERY BOX")</f>
        <v>GREEN GINGHAM FLOWER JEWELLERY BOX</v>
      </c>
      <c r="B1291" s="2">
        <f>IFERROR(__xludf.DUMMYFUNCTION("""COMPUTED_VALUE"""),1.0)</f>
        <v>1</v>
      </c>
    </row>
    <row r="1292">
      <c r="A1292" s="2" t="str">
        <f>IFERROR(__xludf.DUMMYFUNCTION("""COMPUTED_VALUE"""),"12 PINK ROSE PEG PLACE SETTINGS")</f>
        <v>12 PINK ROSE PEG PLACE SETTINGS</v>
      </c>
      <c r="B1292" s="2">
        <f>IFERROR(__xludf.DUMMYFUNCTION("""COMPUTED_VALUE"""),1.0)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IFERROR(__xludf.DUMMYFUNCTION("QUERY(sales_data_cleaned.csv!A:L, ""SELECT C, SUM(D) GROUP BY C ORDER BY SUM(D) DESC LIMIT 10"", 1)"),"Description")</f>
        <v>Description</v>
      </c>
      <c r="B1" s="2" t="str">
        <f>IFERROR(__xludf.DUMMYFUNCTION("""COMPUTED_VALUE"""),"sum Quantity")</f>
        <v>sum Quantity</v>
      </c>
      <c r="G1" s="2" t="str">
        <f>IFERROR(__xludf.DUMMYFUNCTION("QUERY(sales_data_cleaned.csv!A:L, ""SELECT H, SUM(L) GROUP BY H"", 1)"),"Country")</f>
        <v>Country</v>
      </c>
      <c r="H1" s="2" t="str">
        <f>IFERROR(__xludf.DUMMYFUNCTION("""COMPUTED_VALUE"""),"sum TotalPrice")</f>
        <v>sum TotalPrice</v>
      </c>
      <c r="K1" s="2" t="str">
        <f>IFERROR(__xludf.DUMMYFUNCTION("QUERY(sales_data_cleaned.csv!A:L, ""SELECT K, SUM(L) GROUP BY K ORDER BY K"", 1)"),"Hour")</f>
        <v>Hour</v>
      </c>
      <c r="L1" s="2" t="str">
        <f>IFERROR(__xludf.DUMMYFUNCTION("""COMPUTED_VALUE"""),"sum TotalPrice")</f>
        <v>sum TotalPrice</v>
      </c>
      <c r="P1" s="2" t="str">
        <f>IFERROR(__xludf.DUMMYFUNCTION("QUERY(sales_data_cleaned.csv!A:L, ""SELECT K, D WHERE K IS NOT NULL"", 1)"),"Hour")</f>
        <v>Hour</v>
      </c>
      <c r="Q1" s="2" t="str">
        <f>IFERROR(__xludf.DUMMYFUNCTION("""COMPUTED_VALUE"""),"Quantity")</f>
        <v>Quantity</v>
      </c>
    </row>
    <row r="2">
      <c r="A2" s="2" t="str">
        <f>IFERROR(__xludf.DUMMYFUNCTION("""COMPUTED_VALUE"""),"ASSORTED COLOUR BIRD ORNAMENT")</f>
        <v>ASSORTED COLOUR BIRD ORNAMENT</v>
      </c>
      <c r="B2" s="2">
        <f>IFERROR(__xludf.DUMMYFUNCTION("""COMPUTED_VALUE"""),1168.0)</f>
        <v>1168</v>
      </c>
      <c r="G2" s="2"/>
      <c r="H2" s="2"/>
      <c r="K2" s="2"/>
      <c r="L2" s="2"/>
      <c r="P2" s="2">
        <f>IFERROR(__xludf.DUMMYFUNCTION("""COMPUTED_VALUE"""),7.0)</f>
        <v>7</v>
      </c>
      <c r="Q2" s="2">
        <f>IFERROR(__xludf.DUMMYFUNCTION("""COMPUTED_VALUE"""),12.0)</f>
        <v>12</v>
      </c>
    </row>
    <row r="3">
      <c r="A3" s="2" t="str">
        <f>IFERROR(__xludf.DUMMYFUNCTION("""COMPUTED_VALUE"""),"BOYS ALPHABET IRON ON PATCHES")</f>
        <v>BOYS ALPHABET IRON ON PATCHES</v>
      </c>
      <c r="B3" s="2">
        <f>IFERROR(__xludf.DUMMYFUNCTION("""COMPUTED_VALUE"""),576.0)</f>
        <v>576</v>
      </c>
      <c r="G3" s="2" t="str">
        <f>IFERROR(__xludf.DUMMYFUNCTION("""COMPUTED_VALUE"""),"Australia")</f>
        <v>Australia</v>
      </c>
      <c r="H3" s="2">
        <f>IFERROR(__xludf.DUMMYFUNCTION("""COMPUTED_VALUE"""),-1.4210854715202004E-14)</f>
        <v>0</v>
      </c>
      <c r="K3" s="2">
        <f>IFERROR(__xludf.DUMMYFUNCTION("""COMPUTED_VALUE"""),7.0)</f>
        <v>7</v>
      </c>
      <c r="L3" s="2">
        <f>IFERROR(__xludf.DUMMYFUNCTION("""COMPUTED_VALUE"""),651.0999999999996)</f>
        <v>651.1</v>
      </c>
      <c r="P3" s="2">
        <f>IFERROR(__xludf.DUMMYFUNCTION("""COMPUTED_VALUE"""),7.0)</f>
        <v>7</v>
      </c>
      <c r="Q3" s="2">
        <f>IFERROR(__xludf.DUMMYFUNCTION("""COMPUTED_VALUE"""),12.0)</f>
        <v>12</v>
      </c>
    </row>
    <row r="4">
      <c r="A4" s="2" t="str">
        <f>IFERROR(__xludf.DUMMYFUNCTION("""COMPUTED_VALUE"""),"PAPER CHAIN KIT 50'S CHRISTMAS")</f>
        <v>PAPER CHAIN KIT 50'S CHRISTMAS</v>
      </c>
      <c r="B4" s="2">
        <f>IFERROR(__xludf.DUMMYFUNCTION("""COMPUTED_VALUE"""),334.0)</f>
        <v>334</v>
      </c>
      <c r="G4" s="2" t="str">
        <f>IFERROR(__xludf.DUMMYFUNCTION("""COMPUTED_VALUE"""),"Belgium")</f>
        <v>Belgium</v>
      </c>
      <c r="H4" s="2">
        <f>IFERROR(__xludf.DUMMYFUNCTION("""COMPUTED_VALUE"""),130.0)</f>
        <v>130</v>
      </c>
      <c r="K4" s="2">
        <f>IFERROR(__xludf.DUMMYFUNCTION("""COMPUTED_VALUE"""),9.0)</f>
        <v>9</v>
      </c>
      <c r="L4" s="2">
        <f>IFERROR(__xludf.DUMMYFUNCTION("""COMPUTED_VALUE"""),5165.229999999993)</f>
        <v>5165.23</v>
      </c>
      <c r="P4" s="2">
        <f>IFERROR(__xludf.DUMMYFUNCTION("""COMPUTED_VALUE"""),7.0)</f>
        <v>7</v>
      </c>
      <c r="Q4" s="2">
        <f>IFERROR(__xludf.DUMMYFUNCTION("""COMPUTED_VALUE"""),12.0)</f>
        <v>12</v>
      </c>
    </row>
    <row r="5">
      <c r="A5" s="2" t="str">
        <f>IFERROR(__xludf.DUMMYFUNCTION("""COMPUTED_VALUE"""),"ASS COL SMALL SAND FROG P'WEIGHT")</f>
        <v>ASS COL SMALL SAND FROG P'WEIGHT</v>
      </c>
      <c r="B5" s="2">
        <f>IFERROR(__xludf.DUMMYFUNCTION("""COMPUTED_VALUE"""),289.0)</f>
        <v>289</v>
      </c>
      <c r="G5" s="2" t="str">
        <f>IFERROR(__xludf.DUMMYFUNCTION("""COMPUTED_VALUE"""),"EIRE")</f>
        <v>EIRE</v>
      </c>
      <c r="H5" s="2">
        <f>IFERROR(__xludf.DUMMYFUNCTION("""COMPUTED_VALUE"""),1800.4300000000003)</f>
        <v>1800.43</v>
      </c>
      <c r="K5" s="2">
        <f>IFERROR(__xludf.DUMMYFUNCTION("""COMPUTED_VALUE"""),10.0)</f>
        <v>10</v>
      </c>
      <c r="L5" s="2">
        <f>IFERROR(__xludf.DUMMYFUNCTION("""COMPUTED_VALUE"""),3358.159999999999)</f>
        <v>3358.16</v>
      </c>
      <c r="P5" s="2">
        <f>IFERROR(__xludf.DUMMYFUNCTION("""COMPUTED_VALUE"""),7.0)</f>
        <v>7</v>
      </c>
      <c r="Q5" s="2">
        <f>IFERROR(__xludf.DUMMYFUNCTION("""COMPUTED_VALUE"""),48.0)</f>
        <v>48</v>
      </c>
    </row>
    <row r="6">
      <c r="A6" s="2" t="str">
        <f>IFERROR(__xludf.DUMMYFUNCTION("""COMPUTED_VALUE"""),"ASS COL LARGE SAND GECKO P'WEIGHT")</f>
        <v>ASS COL LARGE SAND GECKO P'WEIGHT</v>
      </c>
      <c r="B6" s="2">
        <f>IFERROR(__xludf.DUMMYFUNCTION("""COMPUTED_VALUE"""),288.0)</f>
        <v>288</v>
      </c>
      <c r="G6" s="2" t="str">
        <f>IFERROR(__xludf.DUMMYFUNCTION("""COMPUTED_VALUE"""),"France")</f>
        <v>France</v>
      </c>
      <c r="H6" s="2">
        <f>IFERROR(__xludf.DUMMYFUNCTION("""COMPUTED_VALUE"""),1024.2899999999995)</f>
        <v>1024.29</v>
      </c>
      <c r="K6" s="2">
        <f>IFERROR(__xludf.DUMMYFUNCTION("""COMPUTED_VALUE"""),11.0)</f>
        <v>11</v>
      </c>
      <c r="L6" s="2">
        <f>IFERROR(__xludf.DUMMYFUNCTION("""COMPUTED_VALUE"""),6076.679999999996)</f>
        <v>6076.68</v>
      </c>
      <c r="P6" s="2">
        <f>IFERROR(__xludf.DUMMYFUNCTION("""COMPUTED_VALUE"""),7.0)</f>
        <v>7</v>
      </c>
      <c r="Q6" s="2">
        <f>IFERROR(__xludf.DUMMYFUNCTION("""COMPUTED_VALUE"""),24.0)</f>
        <v>24</v>
      </c>
    </row>
    <row r="7">
      <c r="A7" s="2" t="str">
        <f>IFERROR(__xludf.DUMMYFUNCTION("""COMPUTED_VALUE"""),"GIRLS ALPHABET IRON ON PATCHES")</f>
        <v>GIRLS ALPHABET IRON ON PATCHES</v>
      </c>
      <c r="B7" s="2">
        <f>IFERROR(__xludf.DUMMYFUNCTION("""COMPUTED_VALUE"""),288.0)</f>
        <v>288</v>
      </c>
      <c r="G7" s="2" t="str">
        <f>IFERROR(__xludf.DUMMYFUNCTION("""COMPUTED_VALUE"""),"Germany")</f>
        <v>Germany</v>
      </c>
      <c r="H7" s="2">
        <f>IFERROR(__xludf.DUMMYFUNCTION("""COMPUTED_VALUE"""),929.9199999999995)</f>
        <v>929.92</v>
      </c>
      <c r="K7" s="2">
        <f>IFERROR(__xludf.DUMMYFUNCTION("""COMPUTED_VALUE"""),12.0)</f>
        <v>12</v>
      </c>
      <c r="L7" s="2">
        <f>IFERROR(__xludf.DUMMYFUNCTION("""COMPUTED_VALUE"""),10063.299999999996)</f>
        <v>10063.3</v>
      </c>
      <c r="P7" s="2">
        <f>IFERROR(__xludf.DUMMYFUNCTION("""COMPUTED_VALUE"""),7.0)</f>
        <v>7</v>
      </c>
      <c r="Q7" s="2">
        <f>IFERROR(__xludf.DUMMYFUNCTION("""COMPUTED_VALUE"""),24.0)</f>
        <v>24</v>
      </c>
    </row>
    <row r="8">
      <c r="A8" s="2" t="str">
        <f>IFERROR(__xludf.DUMMYFUNCTION("""COMPUTED_VALUE"""),"PAPER CHAIN KIT RETRO SPOT")</f>
        <v>PAPER CHAIN KIT RETRO SPOT</v>
      </c>
      <c r="B8" s="2">
        <f>IFERROR(__xludf.DUMMYFUNCTION("""COMPUTED_VALUE"""),268.0)</f>
        <v>268</v>
      </c>
      <c r="G8" s="2" t="str">
        <f>IFERROR(__xludf.DUMMYFUNCTION("""COMPUTED_VALUE"""),"USA")</f>
        <v>USA</v>
      </c>
      <c r="H8" s="2">
        <f>IFERROR(__xludf.DUMMYFUNCTION("""COMPUTED_VALUE"""),141.0)</f>
        <v>141</v>
      </c>
      <c r="K8" s="2">
        <f>IFERROR(__xludf.DUMMYFUNCTION("""COMPUTED_VALUE"""),13.0)</f>
        <v>13</v>
      </c>
      <c r="L8" s="2">
        <f>IFERROR(__xludf.DUMMYFUNCTION("""COMPUTED_VALUE"""),4720.289999999996)</f>
        <v>4720.29</v>
      </c>
      <c r="P8" s="2">
        <f>IFERROR(__xludf.DUMMYFUNCTION("""COMPUTED_VALUE"""),7.0)</f>
        <v>7</v>
      </c>
      <c r="Q8" s="2">
        <f>IFERROR(__xludf.DUMMYFUNCTION("""COMPUTED_VALUE"""),24.0)</f>
        <v>24</v>
      </c>
    </row>
    <row r="9">
      <c r="A9" s="2" t="str">
        <f>IFERROR(__xludf.DUMMYFUNCTION("""COMPUTED_VALUE"""),"SMALLFOLKART BAUBLE CHRISTMAS DEC")</f>
        <v>SMALLFOLKART BAUBLE CHRISTMAS DEC</v>
      </c>
      <c r="B9" s="2">
        <f>IFERROR(__xludf.DUMMYFUNCTION("""COMPUTED_VALUE"""),247.0)</f>
        <v>247</v>
      </c>
      <c r="G9" s="2" t="str">
        <f>IFERROR(__xludf.DUMMYFUNCTION("""COMPUTED_VALUE"""),"United Kingdom")</f>
        <v>United Kingdom</v>
      </c>
      <c r="H9" s="2">
        <f>IFERROR(__xludf.DUMMYFUNCTION("""COMPUTED_VALUE"""),28079.060000000165)</f>
        <v>28079.06</v>
      </c>
      <c r="K9" s="2">
        <f>IFERROR(__xludf.DUMMYFUNCTION("""COMPUTED_VALUE"""),14.0)</f>
        <v>14</v>
      </c>
      <c r="L9" s="2">
        <f>IFERROR(__xludf.DUMMYFUNCTION("""COMPUTED_VALUE"""),2069.939999999998)</f>
        <v>2069.94</v>
      </c>
      <c r="P9" s="2">
        <f>IFERROR(__xludf.DUMMYFUNCTION("""COMPUTED_VALUE"""),7.0)</f>
        <v>7</v>
      </c>
      <c r="Q9" s="2">
        <f>IFERROR(__xludf.DUMMYFUNCTION("""COMPUTED_VALUE"""),10.0)</f>
        <v>10</v>
      </c>
    </row>
    <row r="10">
      <c r="A10" s="2" t="str">
        <f>IFERROR(__xludf.DUMMYFUNCTION("""COMPUTED_VALUE"""),"WHITE JEWELLED HEART DECORATION")</f>
        <v>WHITE JEWELLED HEART DECORATION</v>
      </c>
      <c r="B10" s="2">
        <f>IFERROR(__xludf.DUMMYFUNCTION("""COMPUTED_VALUE"""),240.0)</f>
        <v>240</v>
      </c>
      <c r="P10" s="2">
        <f>IFERROR(__xludf.DUMMYFUNCTION("""COMPUTED_VALUE"""),7.0)</f>
        <v>7</v>
      </c>
      <c r="Q10" s="2">
        <f>IFERROR(__xludf.DUMMYFUNCTION("""COMPUTED_VALUE"""),12.0)</f>
        <v>12</v>
      </c>
    </row>
    <row r="11">
      <c r="A11" s="2" t="str">
        <f>IFERROR(__xludf.DUMMYFUNCTION("""COMPUTED_VALUE"""),"BLACK AND WHITE PAISLEY FLOWER MUG")</f>
        <v>BLACK AND WHITE PAISLEY FLOWER MUG</v>
      </c>
      <c r="B11" s="2">
        <f>IFERROR(__xludf.DUMMYFUNCTION("""COMPUTED_VALUE"""),216.0)</f>
        <v>216</v>
      </c>
      <c r="P11" s="2">
        <f>IFERROR(__xludf.DUMMYFUNCTION("""COMPUTED_VALUE"""),7.0)</f>
        <v>7</v>
      </c>
      <c r="Q11" s="2">
        <f>IFERROR(__xludf.DUMMYFUNCTION("""COMPUTED_VALUE"""),12.0)</f>
        <v>12</v>
      </c>
    </row>
    <row r="12">
      <c r="P12" s="2">
        <f>IFERROR(__xludf.DUMMYFUNCTION("""COMPUTED_VALUE"""),7.0)</f>
        <v>7</v>
      </c>
      <c r="Q12" s="2">
        <f>IFERROR(__xludf.DUMMYFUNCTION("""COMPUTED_VALUE"""),24.0)</f>
        <v>24</v>
      </c>
    </row>
    <row r="13">
      <c r="P13" s="2">
        <f>IFERROR(__xludf.DUMMYFUNCTION("""COMPUTED_VALUE"""),7.0)</f>
        <v>7</v>
      </c>
      <c r="Q13" s="2">
        <f>IFERROR(__xludf.DUMMYFUNCTION("""COMPUTED_VALUE"""),12.0)</f>
        <v>12</v>
      </c>
    </row>
    <row r="14">
      <c r="P14" s="2">
        <f>IFERROR(__xludf.DUMMYFUNCTION("""COMPUTED_VALUE"""),9.0)</f>
        <v>9</v>
      </c>
      <c r="Q14" s="2">
        <f>IFERROR(__xludf.DUMMYFUNCTION("""COMPUTED_VALUE"""),10.0)</f>
        <v>10</v>
      </c>
    </row>
    <row r="15">
      <c r="P15" s="2">
        <f>IFERROR(__xludf.DUMMYFUNCTION("""COMPUTED_VALUE"""),9.0)</f>
        <v>9</v>
      </c>
      <c r="Q15" s="2">
        <f>IFERROR(__xludf.DUMMYFUNCTION("""COMPUTED_VALUE"""),18.0)</f>
        <v>18</v>
      </c>
    </row>
    <row r="16">
      <c r="P16" s="2">
        <f>IFERROR(__xludf.DUMMYFUNCTION("""COMPUTED_VALUE"""),9.0)</f>
        <v>9</v>
      </c>
      <c r="Q16" s="2">
        <f>IFERROR(__xludf.DUMMYFUNCTION("""COMPUTED_VALUE"""),3.0)</f>
        <v>3</v>
      </c>
    </row>
    <row r="17">
      <c r="P17" s="2">
        <f>IFERROR(__xludf.DUMMYFUNCTION("""COMPUTED_VALUE"""),9.0)</f>
        <v>9</v>
      </c>
      <c r="Q17" s="2">
        <f>IFERROR(__xludf.DUMMYFUNCTION("""COMPUTED_VALUE"""),16.0)</f>
        <v>16</v>
      </c>
    </row>
    <row r="18">
      <c r="P18" s="2">
        <f>IFERROR(__xludf.DUMMYFUNCTION("""COMPUTED_VALUE"""),9.0)</f>
        <v>9</v>
      </c>
      <c r="Q18" s="2">
        <f>IFERROR(__xludf.DUMMYFUNCTION("""COMPUTED_VALUE"""),3.0)</f>
        <v>3</v>
      </c>
    </row>
    <row r="19">
      <c r="P19" s="2">
        <f>IFERROR(__xludf.DUMMYFUNCTION("""COMPUTED_VALUE"""),9.0)</f>
        <v>9</v>
      </c>
      <c r="Q19" s="2">
        <f>IFERROR(__xludf.DUMMYFUNCTION("""COMPUTED_VALUE"""),12.0)</f>
        <v>12</v>
      </c>
    </row>
    <row r="20">
      <c r="P20" s="2">
        <f>IFERROR(__xludf.DUMMYFUNCTION("""COMPUTED_VALUE"""),9.0)</f>
        <v>9</v>
      </c>
      <c r="Q20" s="2">
        <f>IFERROR(__xludf.DUMMYFUNCTION("""COMPUTED_VALUE"""),12.0)</f>
        <v>12</v>
      </c>
    </row>
    <row r="21">
      <c r="P21" s="2">
        <f>IFERROR(__xludf.DUMMYFUNCTION("""COMPUTED_VALUE"""),9.0)</f>
        <v>9</v>
      </c>
      <c r="Q21" s="2">
        <f>IFERROR(__xludf.DUMMYFUNCTION("""COMPUTED_VALUE"""),12.0)</f>
        <v>12</v>
      </c>
    </row>
    <row r="22">
      <c r="P22" s="2">
        <f>IFERROR(__xludf.DUMMYFUNCTION("""COMPUTED_VALUE"""),9.0)</f>
        <v>9</v>
      </c>
      <c r="Q22" s="2">
        <f>IFERROR(__xludf.DUMMYFUNCTION("""COMPUTED_VALUE"""),16.0)</f>
        <v>16</v>
      </c>
    </row>
    <row r="23">
      <c r="P23" s="2">
        <f>IFERROR(__xludf.DUMMYFUNCTION("""COMPUTED_VALUE"""),9.0)</f>
        <v>9</v>
      </c>
      <c r="Q23" s="2">
        <f>IFERROR(__xludf.DUMMYFUNCTION("""COMPUTED_VALUE"""),4.0)</f>
        <v>4</v>
      </c>
    </row>
    <row r="24">
      <c r="P24" s="2">
        <f>IFERROR(__xludf.DUMMYFUNCTION("""COMPUTED_VALUE"""),9.0)</f>
        <v>9</v>
      </c>
      <c r="Q24" s="2">
        <f>IFERROR(__xludf.DUMMYFUNCTION("""COMPUTED_VALUE"""),2.0)</f>
        <v>2</v>
      </c>
    </row>
    <row r="25">
      <c r="P25" s="2">
        <f>IFERROR(__xludf.DUMMYFUNCTION("""COMPUTED_VALUE"""),9.0)</f>
        <v>9</v>
      </c>
      <c r="Q25" s="2">
        <f>IFERROR(__xludf.DUMMYFUNCTION("""COMPUTED_VALUE"""),12.0)</f>
        <v>12</v>
      </c>
    </row>
    <row r="26">
      <c r="P26" s="2">
        <f>IFERROR(__xludf.DUMMYFUNCTION("""COMPUTED_VALUE"""),9.0)</f>
        <v>9</v>
      </c>
      <c r="Q26" s="2">
        <f>IFERROR(__xludf.DUMMYFUNCTION("""COMPUTED_VALUE"""),12.0)</f>
        <v>12</v>
      </c>
    </row>
    <row r="27">
      <c r="P27" s="2">
        <f>IFERROR(__xludf.DUMMYFUNCTION("""COMPUTED_VALUE"""),9.0)</f>
        <v>9</v>
      </c>
      <c r="Q27" s="2">
        <f>IFERROR(__xludf.DUMMYFUNCTION("""COMPUTED_VALUE"""),12.0)</f>
        <v>12</v>
      </c>
    </row>
    <row r="28">
      <c r="P28" s="2">
        <f>IFERROR(__xludf.DUMMYFUNCTION("""COMPUTED_VALUE"""),9.0)</f>
        <v>9</v>
      </c>
      <c r="Q28" s="2">
        <f>IFERROR(__xludf.DUMMYFUNCTION("""COMPUTED_VALUE"""),3.0)</f>
        <v>3</v>
      </c>
    </row>
    <row r="29">
      <c r="P29" s="2">
        <f>IFERROR(__xludf.DUMMYFUNCTION("""COMPUTED_VALUE"""),9.0)</f>
        <v>9</v>
      </c>
      <c r="Q29" s="2">
        <f>IFERROR(__xludf.DUMMYFUNCTION("""COMPUTED_VALUE"""),6.0)</f>
        <v>6</v>
      </c>
    </row>
    <row r="30">
      <c r="P30" s="2">
        <f>IFERROR(__xludf.DUMMYFUNCTION("""COMPUTED_VALUE"""),9.0)</f>
        <v>9</v>
      </c>
      <c r="Q30" s="2">
        <f>IFERROR(__xludf.DUMMYFUNCTION("""COMPUTED_VALUE"""),8.0)</f>
        <v>8</v>
      </c>
    </row>
    <row r="31">
      <c r="P31" s="2">
        <f>IFERROR(__xludf.DUMMYFUNCTION("""COMPUTED_VALUE"""),9.0)</f>
        <v>9</v>
      </c>
      <c r="Q31" s="2">
        <f>IFERROR(__xludf.DUMMYFUNCTION("""COMPUTED_VALUE"""),8.0)</f>
        <v>8</v>
      </c>
    </row>
    <row r="32">
      <c r="P32" s="2">
        <f>IFERROR(__xludf.DUMMYFUNCTION("""COMPUTED_VALUE"""),9.0)</f>
        <v>9</v>
      </c>
      <c r="Q32" s="2">
        <f>IFERROR(__xludf.DUMMYFUNCTION("""COMPUTED_VALUE"""),24.0)</f>
        <v>24</v>
      </c>
    </row>
    <row r="33">
      <c r="P33" s="2">
        <f>IFERROR(__xludf.DUMMYFUNCTION("""COMPUTED_VALUE"""),9.0)</f>
        <v>9</v>
      </c>
      <c r="Q33" s="2">
        <f>IFERROR(__xludf.DUMMYFUNCTION("""COMPUTED_VALUE"""),6.0)</f>
        <v>6</v>
      </c>
    </row>
    <row r="34">
      <c r="P34" s="2">
        <f>IFERROR(__xludf.DUMMYFUNCTION("""COMPUTED_VALUE"""),9.0)</f>
        <v>9</v>
      </c>
      <c r="Q34" s="2">
        <f>IFERROR(__xludf.DUMMYFUNCTION("""COMPUTED_VALUE"""),6.0)</f>
        <v>6</v>
      </c>
    </row>
    <row r="35">
      <c r="P35" s="2">
        <f>IFERROR(__xludf.DUMMYFUNCTION("""COMPUTED_VALUE"""),9.0)</f>
        <v>9</v>
      </c>
      <c r="Q35" s="2">
        <f>IFERROR(__xludf.DUMMYFUNCTION("""COMPUTED_VALUE"""),12.0)</f>
        <v>12</v>
      </c>
    </row>
    <row r="36">
      <c r="P36" s="2">
        <f>IFERROR(__xludf.DUMMYFUNCTION("""COMPUTED_VALUE"""),9.0)</f>
        <v>9</v>
      </c>
      <c r="Q36" s="2">
        <f>IFERROR(__xludf.DUMMYFUNCTION("""COMPUTED_VALUE"""),2.0)</f>
        <v>2</v>
      </c>
    </row>
    <row r="37">
      <c r="P37" s="2">
        <f>IFERROR(__xludf.DUMMYFUNCTION("""COMPUTED_VALUE"""),9.0)</f>
        <v>9</v>
      </c>
      <c r="Q37" s="2">
        <f>IFERROR(__xludf.DUMMYFUNCTION("""COMPUTED_VALUE"""),1.0)</f>
        <v>1</v>
      </c>
    </row>
    <row r="38">
      <c r="P38" s="2">
        <f>IFERROR(__xludf.DUMMYFUNCTION("""COMPUTED_VALUE"""),9.0)</f>
        <v>9</v>
      </c>
      <c r="Q38" s="2">
        <f>IFERROR(__xludf.DUMMYFUNCTION("""COMPUTED_VALUE"""),2.0)</f>
        <v>2</v>
      </c>
    </row>
    <row r="39">
      <c r="P39" s="2">
        <f>IFERROR(__xludf.DUMMYFUNCTION("""COMPUTED_VALUE"""),9.0)</f>
        <v>9</v>
      </c>
      <c r="Q39" s="2">
        <f>IFERROR(__xludf.DUMMYFUNCTION("""COMPUTED_VALUE"""),2.0)</f>
        <v>2</v>
      </c>
    </row>
    <row r="40">
      <c r="P40" s="2">
        <f>IFERROR(__xludf.DUMMYFUNCTION("""COMPUTED_VALUE"""),9.0)</f>
        <v>9</v>
      </c>
      <c r="Q40" s="2">
        <f>IFERROR(__xludf.DUMMYFUNCTION("""COMPUTED_VALUE"""),2.0)</f>
        <v>2</v>
      </c>
    </row>
    <row r="41">
      <c r="P41" s="2">
        <f>IFERROR(__xludf.DUMMYFUNCTION("""COMPUTED_VALUE"""),9.0)</f>
        <v>9</v>
      </c>
      <c r="Q41" s="2">
        <f>IFERROR(__xludf.DUMMYFUNCTION("""COMPUTED_VALUE"""),3.0)</f>
        <v>3</v>
      </c>
    </row>
    <row r="42">
      <c r="P42" s="2">
        <f>IFERROR(__xludf.DUMMYFUNCTION("""COMPUTED_VALUE"""),9.0)</f>
        <v>9</v>
      </c>
      <c r="Q42" s="2">
        <f>IFERROR(__xludf.DUMMYFUNCTION("""COMPUTED_VALUE"""),12.0)</f>
        <v>12</v>
      </c>
    </row>
    <row r="43">
      <c r="P43" s="2">
        <f>IFERROR(__xludf.DUMMYFUNCTION("""COMPUTED_VALUE"""),9.0)</f>
        <v>9</v>
      </c>
      <c r="Q43" s="2">
        <f>IFERROR(__xludf.DUMMYFUNCTION("""COMPUTED_VALUE"""),12.0)</f>
        <v>12</v>
      </c>
    </row>
    <row r="44">
      <c r="P44" s="2">
        <f>IFERROR(__xludf.DUMMYFUNCTION("""COMPUTED_VALUE"""),9.0)</f>
        <v>9</v>
      </c>
      <c r="Q44" s="2">
        <f>IFERROR(__xludf.DUMMYFUNCTION("""COMPUTED_VALUE"""),6.0)</f>
        <v>6</v>
      </c>
    </row>
    <row r="45">
      <c r="P45" s="2">
        <f>IFERROR(__xludf.DUMMYFUNCTION("""COMPUTED_VALUE"""),9.0)</f>
        <v>9</v>
      </c>
      <c r="Q45" s="2">
        <f>IFERROR(__xludf.DUMMYFUNCTION("""COMPUTED_VALUE"""),3.0)</f>
        <v>3</v>
      </c>
    </row>
    <row r="46">
      <c r="P46" s="2">
        <f>IFERROR(__xludf.DUMMYFUNCTION("""COMPUTED_VALUE"""),9.0)</f>
        <v>9</v>
      </c>
      <c r="Q46" s="2">
        <f>IFERROR(__xludf.DUMMYFUNCTION("""COMPUTED_VALUE"""),12.0)</f>
        <v>12</v>
      </c>
    </row>
    <row r="47">
      <c r="P47" s="2">
        <f>IFERROR(__xludf.DUMMYFUNCTION("""COMPUTED_VALUE"""),9.0)</f>
        <v>9</v>
      </c>
      <c r="Q47" s="2">
        <f>IFERROR(__xludf.DUMMYFUNCTION("""COMPUTED_VALUE"""),12.0)</f>
        <v>12</v>
      </c>
    </row>
    <row r="48">
      <c r="P48" s="2">
        <f>IFERROR(__xludf.DUMMYFUNCTION("""COMPUTED_VALUE"""),9.0)</f>
        <v>9</v>
      </c>
      <c r="Q48" s="2">
        <f>IFERROR(__xludf.DUMMYFUNCTION("""COMPUTED_VALUE"""),12.0)</f>
        <v>12</v>
      </c>
    </row>
    <row r="49">
      <c r="P49" s="2">
        <f>IFERROR(__xludf.DUMMYFUNCTION("""COMPUTED_VALUE"""),9.0)</f>
        <v>9</v>
      </c>
      <c r="Q49" s="2">
        <f>IFERROR(__xludf.DUMMYFUNCTION("""COMPUTED_VALUE"""),12.0)</f>
        <v>12</v>
      </c>
    </row>
    <row r="50">
      <c r="P50" s="2">
        <f>IFERROR(__xludf.DUMMYFUNCTION("""COMPUTED_VALUE"""),9.0)</f>
        <v>9</v>
      </c>
      <c r="Q50" s="2">
        <f>IFERROR(__xludf.DUMMYFUNCTION("""COMPUTED_VALUE"""),6.0)</f>
        <v>6</v>
      </c>
    </row>
    <row r="51">
      <c r="P51" s="2">
        <f>IFERROR(__xludf.DUMMYFUNCTION("""COMPUTED_VALUE"""),9.0)</f>
        <v>9</v>
      </c>
      <c r="Q51" s="2">
        <f>IFERROR(__xludf.DUMMYFUNCTION("""COMPUTED_VALUE"""),6.0)</f>
        <v>6</v>
      </c>
    </row>
    <row r="52">
      <c r="P52" s="2">
        <f>IFERROR(__xludf.DUMMYFUNCTION("""COMPUTED_VALUE"""),9.0)</f>
        <v>9</v>
      </c>
      <c r="Q52" s="2">
        <f>IFERROR(__xludf.DUMMYFUNCTION("""COMPUTED_VALUE"""),6.0)</f>
        <v>6</v>
      </c>
    </row>
    <row r="53">
      <c r="P53" s="2">
        <f>IFERROR(__xludf.DUMMYFUNCTION("""COMPUTED_VALUE"""),9.0)</f>
        <v>9</v>
      </c>
      <c r="Q53" s="2">
        <f>IFERROR(__xludf.DUMMYFUNCTION("""COMPUTED_VALUE"""),4.0)</f>
        <v>4</v>
      </c>
    </row>
    <row r="54">
      <c r="P54" s="2">
        <f>IFERROR(__xludf.DUMMYFUNCTION("""COMPUTED_VALUE"""),9.0)</f>
        <v>9</v>
      </c>
      <c r="Q54" s="2">
        <f>IFERROR(__xludf.DUMMYFUNCTION("""COMPUTED_VALUE"""),3.0)</f>
        <v>3</v>
      </c>
    </row>
    <row r="55">
      <c r="P55" s="2">
        <f>IFERROR(__xludf.DUMMYFUNCTION("""COMPUTED_VALUE"""),9.0)</f>
        <v>9</v>
      </c>
      <c r="Q55" s="2">
        <f>IFERROR(__xludf.DUMMYFUNCTION("""COMPUTED_VALUE"""),3.0)</f>
        <v>3</v>
      </c>
    </row>
    <row r="56">
      <c r="P56" s="2">
        <f>IFERROR(__xludf.DUMMYFUNCTION("""COMPUTED_VALUE"""),9.0)</f>
        <v>9</v>
      </c>
      <c r="Q56" s="2">
        <f>IFERROR(__xludf.DUMMYFUNCTION("""COMPUTED_VALUE"""),28.0)</f>
        <v>28</v>
      </c>
    </row>
    <row r="57">
      <c r="P57" s="2">
        <f>IFERROR(__xludf.DUMMYFUNCTION("""COMPUTED_VALUE"""),9.0)</f>
        <v>9</v>
      </c>
      <c r="Q57" s="2">
        <f>IFERROR(__xludf.DUMMYFUNCTION("""COMPUTED_VALUE"""),30.0)</f>
        <v>30</v>
      </c>
    </row>
    <row r="58">
      <c r="P58" s="2">
        <f>IFERROR(__xludf.DUMMYFUNCTION("""COMPUTED_VALUE"""),9.0)</f>
        <v>9</v>
      </c>
      <c r="Q58" s="2">
        <f>IFERROR(__xludf.DUMMYFUNCTION("""COMPUTED_VALUE"""),30.0)</f>
        <v>30</v>
      </c>
    </row>
    <row r="59">
      <c r="P59" s="2">
        <f>IFERROR(__xludf.DUMMYFUNCTION("""COMPUTED_VALUE"""),9.0)</f>
        <v>9</v>
      </c>
      <c r="Q59" s="2">
        <f>IFERROR(__xludf.DUMMYFUNCTION("""COMPUTED_VALUE"""),30.0)</f>
        <v>30</v>
      </c>
    </row>
    <row r="60">
      <c r="P60" s="2">
        <f>IFERROR(__xludf.DUMMYFUNCTION("""COMPUTED_VALUE"""),9.0)</f>
        <v>9</v>
      </c>
      <c r="Q60" s="2">
        <f>IFERROR(__xludf.DUMMYFUNCTION("""COMPUTED_VALUE"""),60.0)</f>
        <v>60</v>
      </c>
    </row>
    <row r="61">
      <c r="P61" s="2">
        <f>IFERROR(__xludf.DUMMYFUNCTION("""COMPUTED_VALUE"""),9.0)</f>
        <v>9</v>
      </c>
      <c r="Q61" s="2">
        <f>IFERROR(__xludf.DUMMYFUNCTION("""COMPUTED_VALUE"""),32.0)</f>
        <v>32</v>
      </c>
    </row>
    <row r="62">
      <c r="P62" s="2">
        <f>IFERROR(__xludf.DUMMYFUNCTION("""COMPUTED_VALUE"""),9.0)</f>
        <v>9</v>
      </c>
      <c r="Q62" s="2">
        <f>IFERROR(__xludf.DUMMYFUNCTION("""COMPUTED_VALUE"""),32.0)</f>
        <v>32</v>
      </c>
    </row>
    <row r="63">
      <c r="P63" s="2">
        <f>IFERROR(__xludf.DUMMYFUNCTION("""COMPUTED_VALUE"""),9.0)</f>
        <v>9</v>
      </c>
      <c r="Q63" s="2">
        <f>IFERROR(__xludf.DUMMYFUNCTION("""COMPUTED_VALUE"""),56.0)</f>
        <v>56</v>
      </c>
    </row>
    <row r="64">
      <c r="P64" s="2">
        <f>IFERROR(__xludf.DUMMYFUNCTION("""COMPUTED_VALUE"""),9.0)</f>
        <v>9</v>
      </c>
      <c r="Q64" s="2">
        <f>IFERROR(__xludf.DUMMYFUNCTION("""COMPUTED_VALUE"""),56.0)</f>
        <v>56</v>
      </c>
    </row>
    <row r="65">
      <c r="P65" s="2">
        <f>IFERROR(__xludf.DUMMYFUNCTION("""COMPUTED_VALUE"""),9.0)</f>
        <v>9</v>
      </c>
      <c r="Q65" s="2">
        <f>IFERROR(__xludf.DUMMYFUNCTION("""COMPUTED_VALUE"""),60.0)</f>
        <v>60</v>
      </c>
    </row>
    <row r="66">
      <c r="P66" s="2">
        <f>IFERROR(__xludf.DUMMYFUNCTION("""COMPUTED_VALUE"""),9.0)</f>
        <v>9</v>
      </c>
      <c r="Q66" s="2">
        <f>IFERROR(__xludf.DUMMYFUNCTION("""COMPUTED_VALUE"""),56.0)</f>
        <v>56</v>
      </c>
    </row>
    <row r="67">
      <c r="P67" s="2">
        <f>IFERROR(__xludf.DUMMYFUNCTION("""COMPUTED_VALUE"""),9.0)</f>
        <v>9</v>
      </c>
      <c r="Q67" s="2">
        <f>IFERROR(__xludf.DUMMYFUNCTION("""COMPUTED_VALUE"""),56.0)</f>
        <v>56</v>
      </c>
    </row>
    <row r="68">
      <c r="P68" s="2">
        <f>IFERROR(__xludf.DUMMYFUNCTION("""COMPUTED_VALUE"""),9.0)</f>
        <v>9</v>
      </c>
      <c r="Q68" s="2">
        <f>IFERROR(__xludf.DUMMYFUNCTION("""COMPUTED_VALUE"""),60.0)</f>
        <v>60</v>
      </c>
    </row>
    <row r="69">
      <c r="P69" s="2">
        <f>IFERROR(__xludf.DUMMYFUNCTION("""COMPUTED_VALUE"""),9.0)</f>
        <v>9</v>
      </c>
      <c r="Q69" s="2">
        <f>IFERROR(__xludf.DUMMYFUNCTION("""COMPUTED_VALUE"""),60.0)</f>
        <v>60</v>
      </c>
    </row>
    <row r="70">
      <c r="P70" s="2">
        <f>IFERROR(__xludf.DUMMYFUNCTION("""COMPUTED_VALUE"""),9.0)</f>
        <v>9</v>
      </c>
      <c r="Q70" s="2">
        <f>IFERROR(__xludf.DUMMYFUNCTION("""COMPUTED_VALUE"""),60.0)</f>
        <v>60</v>
      </c>
    </row>
    <row r="71">
      <c r="P71" s="2">
        <f>IFERROR(__xludf.DUMMYFUNCTION("""COMPUTED_VALUE"""),9.0)</f>
        <v>9</v>
      </c>
      <c r="Q71" s="2">
        <f>IFERROR(__xludf.DUMMYFUNCTION("""COMPUTED_VALUE"""),60.0)</f>
        <v>60</v>
      </c>
    </row>
    <row r="72">
      <c r="P72" s="2">
        <f>IFERROR(__xludf.DUMMYFUNCTION("""COMPUTED_VALUE"""),9.0)</f>
        <v>9</v>
      </c>
      <c r="Q72" s="2">
        <f>IFERROR(__xludf.DUMMYFUNCTION("""COMPUTED_VALUE"""),60.0)</f>
        <v>60</v>
      </c>
    </row>
    <row r="73">
      <c r="P73" s="2">
        <f>IFERROR(__xludf.DUMMYFUNCTION("""COMPUTED_VALUE"""),9.0)</f>
        <v>9</v>
      </c>
      <c r="Q73" s="2">
        <f>IFERROR(__xludf.DUMMYFUNCTION("""COMPUTED_VALUE"""),12.0)</f>
        <v>12</v>
      </c>
    </row>
    <row r="74">
      <c r="P74" s="2">
        <f>IFERROR(__xludf.DUMMYFUNCTION("""COMPUTED_VALUE"""),9.0)</f>
        <v>9</v>
      </c>
      <c r="Q74" s="2">
        <f>IFERROR(__xludf.DUMMYFUNCTION("""COMPUTED_VALUE"""),9.0)</f>
        <v>9</v>
      </c>
    </row>
    <row r="75">
      <c r="P75" s="2">
        <f>IFERROR(__xludf.DUMMYFUNCTION("""COMPUTED_VALUE"""),9.0)</f>
        <v>9</v>
      </c>
      <c r="Q75" s="2">
        <f>IFERROR(__xludf.DUMMYFUNCTION("""COMPUTED_VALUE"""),9.0)</f>
        <v>9</v>
      </c>
    </row>
    <row r="76">
      <c r="P76" s="2">
        <f>IFERROR(__xludf.DUMMYFUNCTION("""COMPUTED_VALUE"""),9.0)</f>
        <v>9</v>
      </c>
      <c r="Q76" s="2">
        <f>IFERROR(__xludf.DUMMYFUNCTION("""COMPUTED_VALUE"""),12.0)</f>
        <v>12</v>
      </c>
    </row>
    <row r="77">
      <c r="P77" s="2">
        <f>IFERROR(__xludf.DUMMYFUNCTION("""COMPUTED_VALUE"""),9.0)</f>
        <v>9</v>
      </c>
      <c r="Q77" s="2">
        <f>IFERROR(__xludf.DUMMYFUNCTION("""COMPUTED_VALUE"""),3.0)</f>
        <v>3</v>
      </c>
    </row>
    <row r="78">
      <c r="P78" s="2">
        <f>IFERROR(__xludf.DUMMYFUNCTION("""COMPUTED_VALUE"""),9.0)</f>
        <v>9</v>
      </c>
      <c r="Q78" s="2">
        <f>IFERROR(__xludf.DUMMYFUNCTION("""COMPUTED_VALUE"""),3.0)</f>
        <v>3</v>
      </c>
    </row>
    <row r="79">
      <c r="P79" s="2">
        <f>IFERROR(__xludf.DUMMYFUNCTION("""COMPUTED_VALUE"""),9.0)</f>
        <v>9</v>
      </c>
      <c r="Q79" s="2">
        <f>IFERROR(__xludf.DUMMYFUNCTION("""COMPUTED_VALUE"""),25.0)</f>
        <v>25</v>
      </c>
    </row>
    <row r="80">
      <c r="P80" s="2">
        <f>IFERROR(__xludf.DUMMYFUNCTION("""COMPUTED_VALUE"""),9.0)</f>
        <v>9</v>
      </c>
      <c r="Q80" s="2">
        <f>IFERROR(__xludf.DUMMYFUNCTION("""COMPUTED_VALUE"""),25.0)</f>
        <v>25</v>
      </c>
    </row>
    <row r="81">
      <c r="P81" s="2">
        <f>IFERROR(__xludf.DUMMYFUNCTION("""COMPUTED_VALUE"""),9.0)</f>
        <v>9</v>
      </c>
      <c r="Q81" s="2">
        <f>IFERROR(__xludf.DUMMYFUNCTION("""COMPUTED_VALUE"""),6.0)</f>
        <v>6</v>
      </c>
    </row>
    <row r="82">
      <c r="P82" s="2">
        <f>IFERROR(__xludf.DUMMYFUNCTION("""COMPUTED_VALUE"""),9.0)</f>
        <v>9</v>
      </c>
      <c r="Q82" s="2">
        <f>IFERROR(__xludf.DUMMYFUNCTION("""COMPUTED_VALUE"""),8.0)</f>
        <v>8</v>
      </c>
    </row>
    <row r="83">
      <c r="P83" s="2">
        <f>IFERROR(__xludf.DUMMYFUNCTION("""COMPUTED_VALUE"""),9.0)</f>
        <v>9</v>
      </c>
      <c r="Q83" s="2">
        <f>IFERROR(__xludf.DUMMYFUNCTION("""COMPUTED_VALUE"""),12.0)</f>
        <v>12</v>
      </c>
    </row>
    <row r="84">
      <c r="P84" s="2">
        <f>IFERROR(__xludf.DUMMYFUNCTION("""COMPUTED_VALUE"""),9.0)</f>
        <v>9</v>
      </c>
      <c r="Q84" s="2">
        <f>IFERROR(__xludf.DUMMYFUNCTION("""COMPUTED_VALUE"""),12.0)</f>
        <v>12</v>
      </c>
    </row>
    <row r="85">
      <c r="P85" s="2">
        <f>IFERROR(__xludf.DUMMYFUNCTION("""COMPUTED_VALUE"""),9.0)</f>
        <v>9</v>
      </c>
      <c r="Q85" s="2">
        <f>IFERROR(__xludf.DUMMYFUNCTION("""COMPUTED_VALUE"""),24.0)</f>
        <v>24</v>
      </c>
    </row>
    <row r="86">
      <c r="P86" s="2">
        <f>IFERROR(__xludf.DUMMYFUNCTION("""COMPUTED_VALUE"""),9.0)</f>
        <v>9</v>
      </c>
      <c r="Q86" s="2">
        <f>IFERROR(__xludf.DUMMYFUNCTION("""COMPUTED_VALUE"""),12.0)</f>
        <v>12</v>
      </c>
    </row>
    <row r="87">
      <c r="P87" s="2">
        <f>IFERROR(__xludf.DUMMYFUNCTION("""COMPUTED_VALUE"""),9.0)</f>
        <v>9</v>
      </c>
      <c r="Q87" s="2">
        <f>IFERROR(__xludf.DUMMYFUNCTION("""COMPUTED_VALUE"""),24.0)</f>
        <v>24</v>
      </c>
    </row>
    <row r="88">
      <c r="P88" s="2">
        <f>IFERROR(__xludf.DUMMYFUNCTION("""COMPUTED_VALUE"""),9.0)</f>
        <v>9</v>
      </c>
      <c r="Q88" s="2">
        <f>IFERROR(__xludf.DUMMYFUNCTION("""COMPUTED_VALUE"""),6.0)</f>
        <v>6</v>
      </c>
    </row>
    <row r="89">
      <c r="P89" s="2">
        <f>IFERROR(__xludf.DUMMYFUNCTION("""COMPUTED_VALUE"""),9.0)</f>
        <v>9</v>
      </c>
      <c r="Q89" s="2">
        <f>IFERROR(__xludf.DUMMYFUNCTION("""COMPUTED_VALUE"""),12.0)</f>
        <v>12</v>
      </c>
    </row>
    <row r="90">
      <c r="P90" s="2">
        <f>IFERROR(__xludf.DUMMYFUNCTION("""COMPUTED_VALUE"""),9.0)</f>
        <v>9</v>
      </c>
      <c r="Q90" s="2">
        <f>IFERROR(__xludf.DUMMYFUNCTION("""COMPUTED_VALUE"""),2.0)</f>
        <v>2</v>
      </c>
    </row>
    <row r="91">
      <c r="P91" s="2">
        <f>IFERROR(__xludf.DUMMYFUNCTION("""COMPUTED_VALUE"""),9.0)</f>
        <v>9</v>
      </c>
      <c r="Q91" s="2">
        <f>IFERROR(__xludf.DUMMYFUNCTION("""COMPUTED_VALUE"""),3.0)</f>
        <v>3</v>
      </c>
    </row>
    <row r="92">
      <c r="P92" s="2">
        <f>IFERROR(__xludf.DUMMYFUNCTION("""COMPUTED_VALUE"""),9.0)</f>
        <v>9</v>
      </c>
      <c r="Q92" s="2">
        <f>IFERROR(__xludf.DUMMYFUNCTION("""COMPUTED_VALUE"""),8.0)</f>
        <v>8</v>
      </c>
    </row>
    <row r="93">
      <c r="P93" s="2">
        <f>IFERROR(__xludf.DUMMYFUNCTION("""COMPUTED_VALUE"""),9.0)</f>
        <v>9</v>
      </c>
      <c r="Q93" s="2">
        <f>IFERROR(__xludf.DUMMYFUNCTION("""COMPUTED_VALUE"""),8.0)</f>
        <v>8</v>
      </c>
    </row>
    <row r="94">
      <c r="P94" s="2">
        <f>IFERROR(__xludf.DUMMYFUNCTION("""COMPUTED_VALUE"""),9.0)</f>
        <v>9</v>
      </c>
      <c r="Q94" s="2">
        <f>IFERROR(__xludf.DUMMYFUNCTION("""COMPUTED_VALUE"""),12.0)</f>
        <v>12</v>
      </c>
    </row>
    <row r="95">
      <c r="P95" s="2">
        <f>IFERROR(__xludf.DUMMYFUNCTION("""COMPUTED_VALUE"""),9.0)</f>
        <v>9</v>
      </c>
      <c r="Q95" s="2">
        <f>IFERROR(__xludf.DUMMYFUNCTION("""COMPUTED_VALUE"""),6.0)</f>
        <v>6</v>
      </c>
    </row>
    <row r="96">
      <c r="P96" s="2">
        <f>IFERROR(__xludf.DUMMYFUNCTION("""COMPUTED_VALUE"""),9.0)</f>
        <v>9</v>
      </c>
      <c r="Q96" s="2">
        <f>IFERROR(__xludf.DUMMYFUNCTION("""COMPUTED_VALUE"""),36.0)</f>
        <v>36</v>
      </c>
    </row>
    <row r="97">
      <c r="P97" s="2">
        <f>IFERROR(__xludf.DUMMYFUNCTION("""COMPUTED_VALUE"""),9.0)</f>
        <v>9</v>
      </c>
      <c r="Q97" s="2">
        <f>IFERROR(__xludf.DUMMYFUNCTION("""COMPUTED_VALUE"""),48.0)</f>
        <v>48</v>
      </c>
    </row>
    <row r="98">
      <c r="P98" s="2">
        <f>IFERROR(__xludf.DUMMYFUNCTION("""COMPUTED_VALUE"""),9.0)</f>
        <v>9</v>
      </c>
      <c r="Q98" s="2">
        <f>IFERROR(__xludf.DUMMYFUNCTION("""COMPUTED_VALUE"""),2.0)</f>
        <v>2</v>
      </c>
    </row>
    <row r="99">
      <c r="P99" s="2">
        <f>IFERROR(__xludf.DUMMYFUNCTION("""COMPUTED_VALUE"""),9.0)</f>
        <v>9</v>
      </c>
      <c r="Q99" s="2">
        <f>IFERROR(__xludf.DUMMYFUNCTION("""COMPUTED_VALUE"""),3.0)</f>
        <v>3</v>
      </c>
    </row>
    <row r="100">
      <c r="P100" s="2">
        <f>IFERROR(__xludf.DUMMYFUNCTION("""COMPUTED_VALUE"""),9.0)</f>
        <v>9</v>
      </c>
      <c r="Q100" s="2">
        <f>IFERROR(__xludf.DUMMYFUNCTION("""COMPUTED_VALUE"""),12.0)</f>
        <v>12</v>
      </c>
    </row>
    <row r="101">
      <c r="P101" s="2">
        <f>IFERROR(__xludf.DUMMYFUNCTION("""COMPUTED_VALUE"""),9.0)</f>
        <v>9</v>
      </c>
      <c r="Q101" s="2">
        <f>IFERROR(__xludf.DUMMYFUNCTION("""COMPUTED_VALUE"""),12.0)</f>
        <v>12</v>
      </c>
    </row>
    <row r="102">
      <c r="P102" s="2">
        <f>IFERROR(__xludf.DUMMYFUNCTION("""COMPUTED_VALUE"""),9.0)</f>
        <v>9</v>
      </c>
      <c r="Q102" s="2">
        <f>IFERROR(__xludf.DUMMYFUNCTION("""COMPUTED_VALUE"""),6.0)</f>
        <v>6</v>
      </c>
    </row>
    <row r="103">
      <c r="P103" s="2">
        <f>IFERROR(__xludf.DUMMYFUNCTION("""COMPUTED_VALUE"""),9.0)</f>
        <v>9</v>
      </c>
      <c r="Q103" s="2">
        <f>IFERROR(__xludf.DUMMYFUNCTION("""COMPUTED_VALUE"""),6.0)</f>
        <v>6</v>
      </c>
    </row>
    <row r="104">
      <c r="P104" s="2">
        <f>IFERROR(__xludf.DUMMYFUNCTION("""COMPUTED_VALUE"""),9.0)</f>
        <v>9</v>
      </c>
      <c r="Q104" s="2">
        <f>IFERROR(__xludf.DUMMYFUNCTION("""COMPUTED_VALUE"""),6.0)</f>
        <v>6</v>
      </c>
    </row>
    <row r="105">
      <c r="P105" s="2">
        <f>IFERROR(__xludf.DUMMYFUNCTION("""COMPUTED_VALUE"""),9.0)</f>
        <v>9</v>
      </c>
      <c r="Q105" s="2">
        <f>IFERROR(__xludf.DUMMYFUNCTION("""COMPUTED_VALUE"""),20.0)</f>
        <v>20</v>
      </c>
    </row>
    <row r="106">
      <c r="P106" s="2">
        <f>IFERROR(__xludf.DUMMYFUNCTION("""COMPUTED_VALUE"""),9.0)</f>
        <v>9</v>
      </c>
      <c r="Q106" s="2">
        <f>IFERROR(__xludf.DUMMYFUNCTION("""COMPUTED_VALUE"""),12.0)</f>
        <v>12</v>
      </c>
    </row>
    <row r="107">
      <c r="P107" s="2">
        <f>IFERROR(__xludf.DUMMYFUNCTION("""COMPUTED_VALUE"""),9.0)</f>
        <v>9</v>
      </c>
      <c r="Q107" s="2">
        <f>IFERROR(__xludf.DUMMYFUNCTION("""COMPUTED_VALUE"""),48.0)</f>
        <v>48</v>
      </c>
    </row>
    <row r="108">
      <c r="P108" s="2">
        <f>IFERROR(__xludf.DUMMYFUNCTION("""COMPUTED_VALUE"""),9.0)</f>
        <v>9</v>
      </c>
      <c r="Q108" s="2">
        <f>IFERROR(__xludf.DUMMYFUNCTION("""COMPUTED_VALUE"""),12.0)</f>
        <v>12</v>
      </c>
    </row>
    <row r="109">
      <c r="P109" s="2">
        <f>IFERROR(__xludf.DUMMYFUNCTION("""COMPUTED_VALUE"""),9.0)</f>
        <v>9</v>
      </c>
      <c r="Q109" s="2">
        <f>IFERROR(__xludf.DUMMYFUNCTION("""COMPUTED_VALUE"""),12.0)</f>
        <v>12</v>
      </c>
    </row>
    <row r="110">
      <c r="P110" s="2">
        <f>IFERROR(__xludf.DUMMYFUNCTION("""COMPUTED_VALUE"""),9.0)</f>
        <v>9</v>
      </c>
      <c r="Q110" s="2">
        <f>IFERROR(__xludf.DUMMYFUNCTION("""COMPUTED_VALUE"""),12.0)</f>
        <v>12</v>
      </c>
    </row>
    <row r="111">
      <c r="P111" s="2">
        <f>IFERROR(__xludf.DUMMYFUNCTION("""COMPUTED_VALUE"""),9.0)</f>
        <v>9</v>
      </c>
      <c r="Q111" s="2">
        <f>IFERROR(__xludf.DUMMYFUNCTION("""COMPUTED_VALUE"""),12.0)</f>
        <v>12</v>
      </c>
    </row>
    <row r="112">
      <c r="P112" s="2">
        <f>IFERROR(__xludf.DUMMYFUNCTION("""COMPUTED_VALUE"""),9.0)</f>
        <v>9</v>
      </c>
      <c r="Q112" s="2">
        <f>IFERROR(__xludf.DUMMYFUNCTION("""COMPUTED_VALUE"""),12.0)</f>
        <v>12</v>
      </c>
    </row>
    <row r="113">
      <c r="P113" s="2">
        <f>IFERROR(__xludf.DUMMYFUNCTION("""COMPUTED_VALUE"""),9.0)</f>
        <v>9</v>
      </c>
      <c r="Q113" s="2">
        <f>IFERROR(__xludf.DUMMYFUNCTION("""COMPUTED_VALUE"""),12.0)</f>
        <v>12</v>
      </c>
    </row>
    <row r="114">
      <c r="P114" s="2">
        <f>IFERROR(__xludf.DUMMYFUNCTION("""COMPUTED_VALUE"""),9.0)</f>
        <v>9</v>
      </c>
      <c r="Q114" s="2">
        <f>IFERROR(__xludf.DUMMYFUNCTION("""COMPUTED_VALUE"""),12.0)</f>
        <v>12</v>
      </c>
    </row>
    <row r="115">
      <c r="P115" s="2">
        <f>IFERROR(__xludf.DUMMYFUNCTION("""COMPUTED_VALUE"""),9.0)</f>
        <v>9</v>
      </c>
      <c r="Q115" s="2">
        <f>IFERROR(__xludf.DUMMYFUNCTION("""COMPUTED_VALUE"""),4.0)</f>
        <v>4</v>
      </c>
    </row>
    <row r="116">
      <c r="P116" s="2">
        <f>IFERROR(__xludf.DUMMYFUNCTION("""COMPUTED_VALUE"""),9.0)</f>
        <v>9</v>
      </c>
      <c r="Q116" s="2">
        <f>IFERROR(__xludf.DUMMYFUNCTION("""COMPUTED_VALUE"""),4.0)</f>
        <v>4</v>
      </c>
    </row>
    <row r="117">
      <c r="P117" s="2">
        <f>IFERROR(__xludf.DUMMYFUNCTION("""COMPUTED_VALUE"""),9.0)</f>
        <v>9</v>
      </c>
      <c r="Q117" s="2">
        <f>IFERROR(__xludf.DUMMYFUNCTION("""COMPUTED_VALUE"""),24.0)</f>
        <v>24</v>
      </c>
    </row>
    <row r="118">
      <c r="P118" s="2">
        <f>IFERROR(__xludf.DUMMYFUNCTION("""COMPUTED_VALUE"""),9.0)</f>
        <v>9</v>
      </c>
      <c r="Q118" s="2">
        <f>IFERROR(__xludf.DUMMYFUNCTION("""COMPUTED_VALUE"""),12.0)</f>
        <v>12</v>
      </c>
    </row>
    <row r="119">
      <c r="P119" s="2">
        <f>IFERROR(__xludf.DUMMYFUNCTION("""COMPUTED_VALUE"""),9.0)</f>
        <v>9</v>
      </c>
      <c r="Q119" s="2">
        <f>IFERROR(__xludf.DUMMYFUNCTION("""COMPUTED_VALUE"""),8.0)</f>
        <v>8</v>
      </c>
    </row>
    <row r="120">
      <c r="P120" s="2">
        <f>IFERROR(__xludf.DUMMYFUNCTION("""COMPUTED_VALUE"""),9.0)</f>
        <v>9</v>
      </c>
      <c r="Q120" s="2">
        <f>IFERROR(__xludf.DUMMYFUNCTION("""COMPUTED_VALUE"""),12.0)</f>
        <v>12</v>
      </c>
    </row>
    <row r="121">
      <c r="P121" s="2">
        <f>IFERROR(__xludf.DUMMYFUNCTION("""COMPUTED_VALUE"""),9.0)</f>
        <v>9</v>
      </c>
      <c r="Q121" s="2">
        <f>IFERROR(__xludf.DUMMYFUNCTION("""COMPUTED_VALUE"""),6.0)</f>
        <v>6</v>
      </c>
    </row>
    <row r="122">
      <c r="P122" s="2">
        <f>IFERROR(__xludf.DUMMYFUNCTION("""COMPUTED_VALUE"""),9.0)</f>
        <v>9</v>
      </c>
      <c r="Q122" s="2">
        <f>IFERROR(__xludf.DUMMYFUNCTION("""COMPUTED_VALUE"""),12.0)</f>
        <v>12</v>
      </c>
    </row>
    <row r="123">
      <c r="P123" s="2">
        <f>IFERROR(__xludf.DUMMYFUNCTION("""COMPUTED_VALUE"""),9.0)</f>
        <v>9</v>
      </c>
      <c r="Q123" s="2">
        <f>IFERROR(__xludf.DUMMYFUNCTION("""COMPUTED_VALUE"""),48.0)</f>
        <v>48</v>
      </c>
    </row>
    <row r="124">
      <c r="P124" s="2">
        <f>IFERROR(__xludf.DUMMYFUNCTION("""COMPUTED_VALUE"""),9.0)</f>
        <v>9</v>
      </c>
      <c r="Q124" s="2">
        <f>IFERROR(__xludf.DUMMYFUNCTION("""COMPUTED_VALUE"""),24.0)</f>
        <v>24</v>
      </c>
    </row>
    <row r="125">
      <c r="P125" s="2">
        <f>IFERROR(__xludf.DUMMYFUNCTION("""COMPUTED_VALUE"""),9.0)</f>
        <v>9</v>
      </c>
      <c r="Q125" s="2">
        <f>IFERROR(__xludf.DUMMYFUNCTION("""COMPUTED_VALUE"""),12.0)</f>
        <v>12</v>
      </c>
    </row>
    <row r="126">
      <c r="P126" s="2">
        <f>IFERROR(__xludf.DUMMYFUNCTION("""COMPUTED_VALUE"""),9.0)</f>
        <v>9</v>
      </c>
      <c r="Q126" s="2">
        <f>IFERROR(__xludf.DUMMYFUNCTION("""COMPUTED_VALUE"""),12.0)</f>
        <v>12</v>
      </c>
    </row>
    <row r="127">
      <c r="P127" s="2">
        <f>IFERROR(__xludf.DUMMYFUNCTION("""COMPUTED_VALUE"""),9.0)</f>
        <v>9</v>
      </c>
      <c r="Q127" s="2">
        <f>IFERROR(__xludf.DUMMYFUNCTION("""COMPUTED_VALUE"""),6.0)</f>
        <v>6</v>
      </c>
    </row>
    <row r="128">
      <c r="P128" s="2">
        <f>IFERROR(__xludf.DUMMYFUNCTION("""COMPUTED_VALUE"""),9.0)</f>
        <v>9</v>
      </c>
      <c r="Q128" s="2">
        <f>IFERROR(__xludf.DUMMYFUNCTION("""COMPUTED_VALUE"""),1.0)</f>
        <v>1</v>
      </c>
    </row>
    <row r="129">
      <c r="P129" s="2">
        <f>IFERROR(__xludf.DUMMYFUNCTION("""COMPUTED_VALUE"""),9.0)</f>
        <v>9</v>
      </c>
      <c r="Q129" s="2">
        <f>IFERROR(__xludf.DUMMYFUNCTION("""COMPUTED_VALUE"""),12.0)</f>
        <v>12</v>
      </c>
    </row>
    <row r="130">
      <c r="P130" s="2">
        <f>IFERROR(__xludf.DUMMYFUNCTION("""COMPUTED_VALUE"""),9.0)</f>
        <v>9</v>
      </c>
      <c r="Q130" s="2">
        <f>IFERROR(__xludf.DUMMYFUNCTION("""COMPUTED_VALUE"""),12.0)</f>
        <v>12</v>
      </c>
    </row>
    <row r="131">
      <c r="P131" s="2">
        <f>IFERROR(__xludf.DUMMYFUNCTION("""COMPUTED_VALUE"""),9.0)</f>
        <v>9</v>
      </c>
      <c r="Q131" s="2">
        <f>IFERROR(__xludf.DUMMYFUNCTION("""COMPUTED_VALUE"""),24.0)</f>
        <v>24</v>
      </c>
    </row>
    <row r="132">
      <c r="P132" s="2">
        <f>IFERROR(__xludf.DUMMYFUNCTION("""COMPUTED_VALUE"""),9.0)</f>
        <v>9</v>
      </c>
      <c r="Q132" s="2">
        <f>IFERROR(__xludf.DUMMYFUNCTION("""COMPUTED_VALUE"""),12.0)</f>
        <v>12</v>
      </c>
    </row>
    <row r="133">
      <c r="P133" s="2">
        <f>IFERROR(__xludf.DUMMYFUNCTION("""COMPUTED_VALUE"""),9.0)</f>
        <v>9</v>
      </c>
      <c r="Q133" s="2">
        <f>IFERROR(__xludf.DUMMYFUNCTION("""COMPUTED_VALUE"""),2.0)</f>
        <v>2</v>
      </c>
    </row>
    <row r="134">
      <c r="P134" s="2">
        <f>IFERROR(__xludf.DUMMYFUNCTION("""COMPUTED_VALUE"""),9.0)</f>
        <v>9</v>
      </c>
      <c r="Q134" s="2">
        <f>IFERROR(__xludf.DUMMYFUNCTION("""COMPUTED_VALUE"""),12.0)</f>
        <v>12</v>
      </c>
    </row>
    <row r="135">
      <c r="P135" s="2">
        <f>IFERROR(__xludf.DUMMYFUNCTION("""COMPUTED_VALUE"""),9.0)</f>
        <v>9</v>
      </c>
      <c r="Q135" s="2">
        <f>IFERROR(__xludf.DUMMYFUNCTION("""COMPUTED_VALUE"""),6.0)</f>
        <v>6</v>
      </c>
    </row>
    <row r="136">
      <c r="P136" s="2">
        <f>IFERROR(__xludf.DUMMYFUNCTION("""COMPUTED_VALUE"""),9.0)</f>
        <v>9</v>
      </c>
      <c r="Q136" s="2">
        <f>IFERROR(__xludf.DUMMYFUNCTION("""COMPUTED_VALUE"""),48.0)</f>
        <v>48</v>
      </c>
    </row>
    <row r="137">
      <c r="P137" s="2">
        <f>IFERROR(__xludf.DUMMYFUNCTION("""COMPUTED_VALUE"""),9.0)</f>
        <v>9</v>
      </c>
      <c r="Q137" s="2">
        <f>IFERROR(__xludf.DUMMYFUNCTION("""COMPUTED_VALUE"""),12.0)</f>
        <v>12</v>
      </c>
    </row>
    <row r="138">
      <c r="P138" s="2">
        <f>IFERROR(__xludf.DUMMYFUNCTION("""COMPUTED_VALUE"""),9.0)</f>
        <v>9</v>
      </c>
      <c r="Q138" s="2">
        <f>IFERROR(__xludf.DUMMYFUNCTION("""COMPUTED_VALUE"""),12.0)</f>
        <v>12</v>
      </c>
    </row>
    <row r="139">
      <c r="P139" s="2">
        <f>IFERROR(__xludf.DUMMYFUNCTION("""COMPUTED_VALUE"""),9.0)</f>
        <v>9</v>
      </c>
      <c r="Q139" s="2">
        <f>IFERROR(__xludf.DUMMYFUNCTION("""COMPUTED_VALUE"""),24.0)</f>
        <v>24</v>
      </c>
    </row>
    <row r="140">
      <c r="P140" s="2">
        <f>IFERROR(__xludf.DUMMYFUNCTION("""COMPUTED_VALUE"""),9.0)</f>
        <v>9</v>
      </c>
      <c r="Q140" s="2">
        <f>IFERROR(__xludf.DUMMYFUNCTION("""COMPUTED_VALUE"""),6.0)</f>
        <v>6</v>
      </c>
    </row>
    <row r="141">
      <c r="P141" s="2">
        <f>IFERROR(__xludf.DUMMYFUNCTION("""COMPUTED_VALUE"""),9.0)</f>
        <v>9</v>
      </c>
      <c r="Q141" s="2">
        <f>IFERROR(__xludf.DUMMYFUNCTION("""COMPUTED_VALUE"""),3.0)</f>
        <v>3</v>
      </c>
    </row>
    <row r="142">
      <c r="P142" s="2">
        <f>IFERROR(__xludf.DUMMYFUNCTION("""COMPUTED_VALUE"""),9.0)</f>
        <v>9</v>
      </c>
      <c r="Q142" s="2">
        <f>IFERROR(__xludf.DUMMYFUNCTION("""COMPUTED_VALUE"""),1.0)</f>
        <v>1</v>
      </c>
    </row>
    <row r="143">
      <c r="P143" s="2">
        <f>IFERROR(__xludf.DUMMYFUNCTION("""COMPUTED_VALUE"""),9.0)</f>
        <v>9</v>
      </c>
      <c r="Q143" s="2">
        <f>IFERROR(__xludf.DUMMYFUNCTION("""COMPUTED_VALUE"""),24.0)</f>
        <v>24</v>
      </c>
    </row>
    <row r="144">
      <c r="P144" s="2">
        <f>IFERROR(__xludf.DUMMYFUNCTION("""COMPUTED_VALUE"""),9.0)</f>
        <v>9</v>
      </c>
      <c r="Q144" s="2">
        <f>IFERROR(__xludf.DUMMYFUNCTION("""COMPUTED_VALUE"""),24.0)</f>
        <v>24</v>
      </c>
    </row>
    <row r="145">
      <c r="P145" s="2">
        <f>IFERROR(__xludf.DUMMYFUNCTION("""COMPUTED_VALUE"""),9.0)</f>
        <v>9</v>
      </c>
      <c r="Q145" s="2">
        <f>IFERROR(__xludf.DUMMYFUNCTION("""COMPUTED_VALUE"""),10.0)</f>
        <v>10</v>
      </c>
    </row>
    <row r="146">
      <c r="P146" s="2">
        <f>IFERROR(__xludf.DUMMYFUNCTION("""COMPUTED_VALUE"""),9.0)</f>
        <v>9</v>
      </c>
      <c r="Q146" s="2">
        <f>IFERROR(__xludf.DUMMYFUNCTION("""COMPUTED_VALUE"""),24.0)</f>
        <v>24</v>
      </c>
    </row>
    <row r="147">
      <c r="P147" s="2">
        <f>IFERROR(__xludf.DUMMYFUNCTION("""COMPUTED_VALUE"""),9.0)</f>
        <v>9</v>
      </c>
      <c r="Q147" s="2">
        <f>IFERROR(__xludf.DUMMYFUNCTION("""COMPUTED_VALUE"""),12.0)</f>
        <v>12</v>
      </c>
    </row>
    <row r="148">
      <c r="P148" s="2">
        <f>IFERROR(__xludf.DUMMYFUNCTION("""COMPUTED_VALUE"""),10.0)</f>
        <v>10</v>
      </c>
      <c r="Q148" s="2">
        <f>IFERROR(__xludf.DUMMYFUNCTION("""COMPUTED_VALUE"""),32.0)</f>
        <v>32</v>
      </c>
    </row>
    <row r="149">
      <c r="P149" s="2">
        <f>IFERROR(__xludf.DUMMYFUNCTION("""COMPUTED_VALUE"""),10.0)</f>
        <v>10</v>
      </c>
      <c r="Q149" s="2">
        <f>IFERROR(__xludf.DUMMYFUNCTION("""COMPUTED_VALUE"""),32.0)</f>
        <v>32</v>
      </c>
    </row>
    <row r="150">
      <c r="P150" s="2">
        <f>IFERROR(__xludf.DUMMYFUNCTION("""COMPUTED_VALUE"""),10.0)</f>
        <v>10</v>
      </c>
      <c r="Q150" s="2">
        <f>IFERROR(__xludf.DUMMYFUNCTION("""COMPUTED_VALUE"""),12.0)</f>
        <v>12</v>
      </c>
    </row>
    <row r="151">
      <c r="P151" s="2">
        <f>IFERROR(__xludf.DUMMYFUNCTION("""COMPUTED_VALUE"""),10.0)</f>
        <v>10</v>
      </c>
      <c r="Q151" s="2">
        <f>IFERROR(__xludf.DUMMYFUNCTION("""COMPUTED_VALUE"""),12.0)</f>
        <v>12</v>
      </c>
    </row>
    <row r="152">
      <c r="P152" s="2">
        <f>IFERROR(__xludf.DUMMYFUNCTION("""COMPUTED_VALUE"""),10.0)</f>
        <v>10</v>
      </c>
      <c r="Q152" s="2">
        <f>IFERROR(__xludf.DUMMYFUNCTION("""COMPUTED_VALUE"""),12.0)</f>
        <v>12</v>
      </c>
    </row>
    <row r="153">
      <c r="P153" s="2">
        <f>IFERROR(__xludf.DUMMYFUNCTION("""COMPUTED_VALUE"""),10.0)</f>
        <v>10</v>
      </c>
      <c r="Q153" s="2">
        <f>IFERROR(__xludf.DUMMYFUNCTION("""COMPUTED_VALUE"""),12.0)</f>
        <v>12</v>
      </c>
    </row>
    <row r="154">
      <c r="P154" s="2">
        <f>IFERROR(__xludf.DUMMYFUNCTION("""COMPUTED_VALUE"""),10.0)</f>
        <v>10</v>
      </c>
      <c r="Q154" s="2">
        <f>IFERROR(__xludf.DUMMYFUNCTION("""COMPUTED_VALUE"""),6.0)</f>
        <v>6</v>
      </c>
    </row>
    <row r="155">
      <c r="P155" s="2">
        <f>IFERROR(__xludf.DUMMYFUNCTION("""COMPUTED_VALUE"""),10.0)</f>
        <v>10</v>
      </c>
      <c r="Q155" s="2">
        <f>IFERROR(__xludf.DUMMYFUNCTION("""COMPUTED_VALUE"""),12.0)</f>
        <v>12</v>
      </c>
    </row>
    <row r="156">
      <c r="P156" s="2">
        <f>IFERROR(__xludf.DUMMYFUNCTION("""COMPUTED_VALUE"""),10.0)</f>
        <v>10</v>
      </c>
      <c r="Q156" s="2">
        <f>IFERROR(__xludf.DUMMYFUNCTION("""COMPUTED_VALUE"""),24.0)</f>
        <v>24</v>
      </c>
    </row>
    <row r="157">
      <c r="P157" s="2">
        <f>IFERROR(__xludf.DUMMYFUNCTION("""COMPUTED_VALUE"""),10.0)</f>
        <v>10</v>
      </c>
      <c r="Q157" s="2">
        <f>IFERROR(__xludf.DUMMYFUNCTION("""COMPUTED_VALUE"""),4.0)</f>
        <v>4</v>
      </c>
    </row>
    <row r="158">
      <c r="P158" s="2">
        <f>IFERROR(__xludf.DUMMYFUNCTION("""COMPUTED_VALUE"""),10.0)</f>
        <v>10</v>
      </c>
      <c r="Q158" s="2">
        <f>IFERROR(__xludf.DUMMYFUNCTION("""COMPUTED_VALUE"""),24.0)</f>
        <v>24</v>
      </c>
    </row>
    <row r="159">
      <c r="P159" s="2">
        <f>IFERROR(__xludf.DUMMYFUNCTION("""COMPUTED_VALUE"""),10.0)</f>
        <v>10</v>
      </c>
      <c r="Q159" s="2">
        <f>IFERROR(__xludf.DUMMYFUNCTION("""COMPUTED_VALUE"""),12.0)</f>
        <v>12</v>
      </c>
    </row>
    <row r="160">
      <c r="P160" s="2">
        <f>IFERROR(__xludf.DUMMYFUNCTION("""COMPUTED_VALUE"""),10.0)</f>
        <v>10</v>
      </c>
      <c r="Q160" s="2">
        <f>IFERROR(__xludf.DUMMYFUNCTION("""COMPUTED_VALUE"""),12.0)</f>
        <v>12</v>
      </c>
    </row>
    <row r="161">
      <c r="P161" s="2">
        <f>IFERROR(__xludf.DUMMYFUNCTION("""COMPUTED_VALUE"""),10.0)</f>
        <v>10</v>
      </c>
      <c r="Q161" s="2">
        <f>IFERROR(__xludf.DUMMYFUNCTION("""COMPUTED_VALUE"""),10.0)</f>
        <v>10</v>
      </c>
    </row>
    <row r="162">
      <c r="P162" s="2">
        <f>IFERROR(__xludf.DUMMYFUNCTION("""COMPUTED_VALUE"""),10.0)</f>
        <v>10</v>
      </c>
      <c r="Q162" s="2">
        <f>IFERROR(__xludf.DUMMYFUNCTION("""COMPUTED_VALUE"""),10.0)</f>
        <v>10</v>
      </c>
    </row>
    <row r="163">
      <c r="P163" s="2">
        <f>IFERROR(__xludf.DUMMYFUNCTION("""COMPUTED_VALUE"""),10.0)</f>
        <v>10</v>
      </c>
      <c r="Q163" s="2">
        <f>IFERROR(__xludf.DUMMYFUNCTION("""COMPUTED_VALUE"""),20.0)</f>
        <v>20</v>
      </c>
    </row>
    <row r="164">
      <c r="P164" s="2">
        <f>IFERROR(__xludf.DUMMYFUNCTION("""COMPUTED_VALUE"""),10.0)</f>
        <v>10</v>
      </c>
      <c r="Q164" s="2">
        <f>IFERROR(__xludf.DUMMYFUNCTION("""COMPUTED_VALUE"""),10.0)</f>
        <v>10</v>
      </c>
    </row>
    <row r="165">
      <c r="P165" s="2">
        <f>IFERROR(__xludf.DUMMYFUNCTION("""COMPUTED_VALUE"""),10.0)</f>
        <v>10</v>
      </c>
      <c r="Q165" s="2">
        <f>IFERROR(__xludf.DUMMYFUNCTION("""COMPUTED_VALUE"""),10.0)</f>
        <v>10</v>
      </c>
    </row>
    <row r="166">
      <c r="P166" s="2">
        <f>IFERROR(__xludf.DUMMYFUNCTION("""COMPUTED_VALUE"""),10.0)</f>
        <v>10</v>
      </c>
      <c r="Q166" s="2">
        <f>IFERROR(__xludf.DUMMYFUNCTION("""COMPUTED_VALUE"""),24.0)</f>
        <v>24</v>
      </c>
    </row>
    <row r="167">
      <c r="P167" s="2">
        <f>IFERROR(__xludf.DUMMYFUNCTION("""COMPUTED_VALUE"""),10.0)</f>
        <v>10</v>
      </c>
      <c r="Q167" s="2">
        <f>IFERROR(__xludf.DUMMYFUNCTION("""COMPUTED_VALUE"""),24.0)</f>
        <v>24</v>
      </c>
    </row>
    <row r="168">
      <c r="P168" s="2">
        <f>IFERROR(__xludf.DUMMYFUNCTION("""COMPUTED_VALUE"""),10.0)</f>
        <v>10</v>
      </c>
      <c r="Q168" s="2">
        <f>IFERROR(__xludf.DUMMYFUNCTION("""COMPUTED_VALUE"""),10.0)</f>
        <v>10</v>
      </c>
    </row>
    <row r="169">
      <c r="P169" s="2">
        <f>IFERROR(__xludf.DUMMYFUNCTION("""COMPUTED_VALUE"""),10.0)</f>
        <v>10</v>
      </c>
      <c r="Q169" s="2">
        <f>IFERROR(__xludf.DUMMYFUNCTION("""COMPUTED_VALUE"""),10.0)</f>
        <v>10</v>
      </c>
    </row>
    <row r="170">
      <c r="P170" s="2">
        <f>IFERROR(__xludf.DUMMYFUNCTION("""COMPUTED_VALUE"""),10.0)</f>
        <v>10</v>
      </c>
      <c r="Q170" s="2">
        <f>IFERROR(__xludf.DUMMYFUNCTION("""COMPUTED_VALUE"""),10.0)</f>
        <v>10</v>
      </c>
    </row>
    <row r="171">
      <c r="P171" s="2">
        <f>IFERROR(__xludf.DUMMYFUNCTION("""COMPUTED_VALUE"""),10.0)</f>
        <v>10</v>
      </c>
      <c r="Q171" s="2">
        <f>IFERROR(__xludf.DUMMYFUNCTION("""COMPUTED_VALUE"""),12.0)</f>
        <v>12</v>
      </c>
    </row>
    <row r="172">
      <c r="P172" s="2">
        <f>IFERROR(__xludf.DUMMYFUNCTION("""COMPUTED_VALUE"""),10.0)</f>
        <v>10</v>
      </c>
      <c r="Q172" s="2">
        <f>IFERROR(__xludf.DUMMYFUNCTION("""COMPUTED_VALUE"""),12.0)</f>
        <v>12</v>
      </c>
    </row>
    <row r="173">
      <c r="P173" s="2">
        <f>IFERROR(__xludf.DUMMYFUNCTION("""COMPUTED_VALUE"""),10.0)</f>
        <v>10</v>
      </c>
      <c r="Q173" s="2">
        <f>IFERROR(__xludf.DUMMYFUNCTION("""COMPUTED_VALUE"""),12.0)</f>
        <v>12</v>
      </c>
    </row>
    <row r="174">
      <c r="P174" s="2">
        <f>IFERROR(__xludf.DUMMYFUNCTION("""COMPUTED_VALUE"""),10.0)</f>
        <v>10</v>
      </c>
      <c r="Q174" s="2">
        <f>IFERROR(__xludf.DUMMYFUNCTION("""COMPUTED_VALUE"""),2.0)</f>
        <v>2</v>
      </c>
    </row>
    <row r="175">
      <c r="P175" s="2">
        <f>IFERROR(__xludf.DUMMYFUNCTION("""COMPUTED_VALUE"""),10.0)</f>
        <v>10</v>
      </c>
      <c r="Q175" s="2">
        <f>IFERROR(__xludf.DUMMYFUNCTION("""COMPUTED_VALUE"""),1.0)</f>
        <v>1</v>
      </c>
    </row>
    <row r="176">
      <c r="P176" s="2">
        <f>IFERROR(__xludf.DUMMYFUNCTION("""COMPUTED_VALUE"""),10.0)</f>
        <v>10</v>
      </c>
      <c r="Q176" s="2">
        <f>IFERROR(__xludf.DUMMYFUNCTION("""COMPUTED_VALUE"""),48.0)</f>
        <v>48</v>
      </c>
    </row>
    <row r="177">
      <c r="P177" s="2">
        <f>IFERROR(__xludf.DUMMYFUNCTION("""COMPUTED_VALUE"""),10.0)</f>
        <v>10</v>
      </c>
      <c r="Q177" s="2">
        <f>IFERROR(__xludf.DUMMYFUNCTION("""COMPUTED_VALUE"""),48.0)</f>
        <v>48</v>
      </c>
    </row>
    <row r="178">
      <c r="P178" s="2">
        <f>IFERROR(__xludf.DUMMYFUNCTION("""COMPUTED_VALUE"""),10.0)</f>
        <v>10</v>
      </c>
      <c r="Q178" s="2">
        <f>IFERROR(__xludf.DUMMYFUNCTION("""COMPUTED_VALUE"""),48.0)</f>
        <v>48</v>
      </c>
    </row>
    <row r="179">
      <c r="P179" s="2">
        <f>IFERROR(__xludf.DUMMYFUNCTION("""COMPUTED_VALUE"""),10.0)</f>
        <v>10</v>
      </c>
      <c r="Q179" s="2">
        <f>IFERROR(__xludf.DUMMYFUNCTION("""COMPUTED_VALUE"""),48.0)</f>
        <v>48</v>
      </c>
    </row>
    <row r="180">
      <c r="P180" s="2">
        <f>IFERROR(__xludf.DUMMYFUNCTION("""COMPUTED_VALUE"""),10.0)</f>
        <v>10</v>
      </c>
      <c r="Q180" s="2">
        <f>IFERROR(__xludf.DUMMYFUNCTION("""COMPUTED_VALUE"""),-12.0)</f>
        <v>-12</v>
      </c>
    </row>
    <row r="181">
      <c r="P181" s="2">
        <f>IFERROR(__xludf.DUMMYFUNCTION("""COMPUTED_VALUE"""),10.0)</f>
        <v>10</v>
      </c>
      <c r="Q181" s="2">
        <f>IFERROR(__xludf.DUMMYFUNCTION("""COMPUTED_VALUE"""),-6.0)</f>
        <v>-6</v>
      </c>
    </row>
    <row r="182">
      <c r="P182" s="2">
        <f>IFERROR(__xludf.DUMMYFUNCTION("""COMPUTED_VALUE"""),10.0)</f>
        <v>10</v>
      </c>
      <c r="Q182" s="2">
        <f>IFERROR(__xludf.DUMMYFUNCTION("""COMPUTED_VALUE"""),-4.0)</f>
        <v>-4</v>
      </c>
    </row>
    <row r="183">
      <c r="P183" s="2">
        <f>IFERROR(__xludf.DUMMYFUNCTION("""COMPUTED_VALUE"""),10.0)</f>
        <v>10</v>
      </c>
      <c r="Q183" s="2">
        <f>IFERROR(__xludf.DUMMYFUNCTION("""COMPUTED_VALUE"""),-6.0)</f>
        <v>-6</v>
      </c>
    </row>
    <row r="184">
      <c r="P184" s="2">
        <f>IFERROR(__xludf.DUMMYFUNCTION("""COMPUTED_VALUE"""),10.0)</f>
        <v>10</v>
      </c>
      <c r="Q184" s="2">
        <f>IFERROR(__xludf.DUMMYFUNCTION("""COMPUTED_VALUE"""),-12.0)</f>
        <v>-12</v>
      </c>
    </row>
    <row r="185">
      <c r="P185" s="2">
        <f>IFERROR(__xludf.DUMMYFUNCTION("""COMPUTED_VALUE"""),10.0)</f>
        <v>10</v>
      </c>
      <c r="Q185" s="2">
        <f>IFERROR(__xludf.DUMMYFUNCTION("""COMPUTED_VALUE"""),-12.0)</f>
        <v>-12</v>
      </c>
    </row>
    <row r="186">
      <c r="P186" s="2">
        <f>IFERROR(__xludf.DUMMYFUNCTION("""COMPUTED_VALUE"""),10.0)</f>
        <v>10</v>
      </c>
      <c r="Q186" s="2">
        <f>IFERROR(__xludf.DUMMYFUNCTION("""COMPUTED_VALUE"""),-12.0)</f>
        <v>-12</v>
      </c>
    </row>
    <row r="187">
      <c r="P187" s="2">
        <f>IFERROR(__xludf.DUMMYFUNCTION("""COMPUTED_VALUE"""),10.0)</f>
        <v>10</v>
      </c>
      <c r="Q187" s="2">
        <f>IFERROR(__xludf.DUMMYFUNCTION("""COMPUTED_VALUE"""),-24.0)</f>
        <v>-24</v>
      </c>
    </row>
    <row r="188">
      <c r="P188" s="2">
        <f>IFERROR(__xludf.DUMMYFUNCTION("""COMPUTED_VALUE"""),10.0)</f>
        <v>10</v>
      </c>
      <c r="Q188" s="2">
        <f>IFERROR(__xludf.DUMMYFUNCTION("""COMPUTED_VALUE"""),-12.0)</f>
        <v>-12</v>
      </c>
    </row>
    <row r="189">
      <c r="P189" s="2">
        <f>IFERROR(__xludf.DUMMYFUNCTION("""COMPUTED_VALUE"""),10.0)</f>
        <v>10</v>
      </c>
      <c r="Q189" s="2">
        <f>IFERROR(__xludf.DUMMYFUNCTION("""COMPUTED_VALUE"""),12.0)</f>
        <v>12</v>
      </c>
    </row>
    <row r="190">
      <c r="P190" s="2">
        <f>IFERROR(__xludf.DUMMYFUNCTION("""COMPUTED_VALUE"""),10.0)</f>
        <v>10</v>
      </c>
      <c r="Q190" s="2">
        <f>IFERROR(__xludf.DUMMYFUNCTION("""COMPUTED_VALUE"""),6.0)</f>
        <v>6</v>
      </c>
    </row>
    <row r="191">
      <c r="P191" s="2">
        <f>IFERROR(__xludf.DUMMYFUNCTION("""COMPUTED_VALUE"""),10.0)</f>
        <v>10</v>
      </c>
      <c r="Q191" s="2">
        <f>IFERROR(__xludf.DUMMYFUNCTION("""COMPUTED_VALUE"""),4.0)</f>
        <v>4</v>
      </c>
    </row>
    <row r="192">
      <c r="P192" s="2">
        <f>IFERROR(__xludf.DUMMYFUNCTION("""COMPUTED_VALUE"""),10.0)</f>
        <v>10</v>
      </c>
      <c r="Q192" s="2">
        <f>IFERROR(__xludf.DUMMYFUNCTION("""COMPUTED_VALUE"""),6.0)</f>
        <v>6</v>
      </c>
    </row>
    <row r="193">
      <c r="P193" s="2">
        <f>IFERROR(__xludf.DUMMYFUNCTION("""COMPUTED_VALUE"""),10.0)</f>
        <v>10</v>
      </c>
      <c r="Q193" s="2">
        <f>IFERROR(__xludf.DUMMYFUNCTION("""COMPUTED_VALUE"""),12.0)</f>
        <v>12</v>
      </c>
    </row>
    <row r="194">
      <c r="P194" s="2">
        <f>IFERROR(__xludf.DUMMYFUNCTION("""COMPUTED_VALUE"""),10.0)</f>
        <v>10</v>
      </c>
      <c r="Q194" s="2">
        <f>IFERROR(__xludf.DUMMYFUNCTION("""COMPUTED_VALUE"""),12.0)</f>
        <v>12</v>
      </c>
    </row>
    <row r="195">
      <c r="P195" s="2">
        <f>IFERROR(__xludf.DUMMYFUNCTION("""COMPUTED_VALUE"""),10.0)</f>
        <v>10</v>
      </c>
      <c r="Q195" s="2">
        <f>IFERROR(__xludf.DUMMYFUNCTION("""COMPUTED_VALUE"""),12.0)</f>
        <v>12</v>
      </c>
    </row>
    <row r="196">
      <c r="P196" s="2">
        <f>IFERROR(__xludf.DUMMYFUNCTION("""COMPUTED_VALUE"""),10.0)</f>
        <v>10</v>
      </c>
      <c r="Q196" s="2">
        <f>IFERROR(__xludf.DUMMYFUNCTION("""COMPUTED_VALUE"""),24.0)</f>
        <v>24</v>
      </c>
    </row>
    <row r="197">
      <c r="P197" s="2">
        <f>IFERROR(__xludf.DUMMYFUNCTION("""COMPUTED_VALUE"""),10.0)</f>
        <v>10</v>
      </c>
      <c r="Q197" s="2">
        <f>IFERROR(__xludf.DUMMYFUNCTION("""COMPUTED_VALUE"""),12.0)</f>
        <v>12</v>
      </c>
    </row>
    <row r="198">
      <c r="P198" s="2">
        <f>IFERROR(__xludf.DUMMYFUNCTION("""COMPUTED_VALUE"""),10.0)</f>
        <v>10</v>
      </c>
      <c r="Q198" s="2">
        <f>IFERROR(__xludf.DUMMYFUNCTION("""COMPUTED_VALUE"""),-3.0)</f>
        <v>-3</v>
      </c>
    </row>
    <row r="199">
      <c r="P199" s="2">
        <f>IFERROR(__xludf.DUMMYFUNCTION("""COMPUTED_VALUE"""),10.0)</f>
        <v>10</v>
      </c>
      <c r="Q199" s="2">
        <f>IFERROR(__xludf.DUMMYFUNCTION("""COMPUTED_VALUE"""),-3.0)</f>
        <v>-3</v>
      </c>
    </row>
    <row r="200">
      <c r="P200" s="2">
        <f>IFERROR(__xludf.DUMMYFUNCTION("""COMPUTED_VALUE"""),10.0)</f>
        <v>10</v>
      </c>
      <c r="Q200" s="2">
        <f>IFERROR(__xludf.DUMMYFUNCTION("""COMPUTED_VALUE"""),-3.0)</f>
        <v>-3</v>
      </c>
    </row>
    <row r="201">
      <c r="P201" s="2">
        <f>IFERROR(__xludf.DUMMYFUNCTION("""COMPUTED_VALUE"""),10.0)</f>
        <v>10</v>
      </c>
      <c r="Q201" s="2">
        <f>IFERROR(__xludf.DUMMYFUNCTION("""COMPUTED_VALUE"""),-3.0)</f>
        <v>-3</v>
      </c>
    </row>
    <row r="202">
      <c r="P202" s="2">
        <f>IFERROR(__xludf.DUMMYFUNCTION("""COMPUTED_VALUE"""),10.0)</f>
        <v>10</v>
      </c>
      <c r="Q202" s="2">
        <f>IFERROR(__xludf.DUMMYFUNCTION("""COMPUTED_VALUE"""),-3.0)</f>
        <v>-3</v>
      </c>
    </row>
    <row r="203">
      <c r="P203" s="2">
        <f>IFERROR(__xludf.DUMMYFUNCTION("""COMPUTED_VALUE"""),10.0)</f>
        <v>10</v>
      </c>
      <c r="Q203" s="2">
        <f>IFERROR(__xludf.DUMMYFUNCTION("""COMPUTED_VALUE"""),-3.0)</f>
        <v>-3</v>
      </c>
    </row>
    <row r="204">
      <c r="P204" s="2">
        <f>IFERROR(__xludf.DUMMYFUNCTION("""COMPUTED_VALUE"""),10.0)</f>
        <v>10</v>
      </c>
      <c r="Q204" s="2">
        <f>IFERROR(__xludf.DUMMYFUNCTION("""COMPUTED_VALUE"""),-3.0)</f>
        <v>-3</v>
      </c>
    </row>
    <row r="205">
      <c r="P205" s="2">
        <f>IFERROR(__xludf.DUMMYFUNCTION("""COMPUTED_VALUE"""),10.0)</f>
        <v>10</v>
      </c>
      <c r="Q205" s="2">
        <f>IFERROR(__xludf.DUMMYFUNCTION("""COMPUTED_VALUE"""),-3.0)</f>
        <v>-3</v>
      </c>
    </row>
    <row r="206">
      <c r="P206" s="2">
        <f>IFERROR(__xludf.DUMMYFUNCTION("""COMPUTED_VALUE"""),10.0)</f>
        <v>10</v>
      </c>
      <c r="Q206" s="2">
        <f>IFERROR(__xludf.DUMMYFUNCTION("""COMPUTED_VALUE"""),-3.0)</f>
        <v>-3</v>
      </c>
    </row>
    <row r="207">
      <c r="P207" s="2">
        <f>IFERROR(__xludf.DUMMYFUNCTION("""COMPUTED_VALUE"""),10.0)</f>
        <v>10</v>
      </c>
      <c r="Q207" s="2">
        <f>IFERROR(__xludf.DUMMYFUNCTION("""COMPUTED_VALUE"""),-3.0)</f>
        <v>-3</v>
      </c>
    </row>
    <row r="208">
      <c r="P208" s="2">
        <f>IFERROR(__xludf.DUMMYFUNCTION("""COMPUTED_VALUE"""),10.0)</f>
        <v>10</v>
      </c>
      <c r="Q208" s="2">
        <f>IFERROR(__xludf.DUMMYFUNCTION("""COMPUTED_VALUE"""),-3.0)</f>
        <v>-3</v>
      </c>
    </row>
    <row r="209">
      <c r="P209" s="2">
        <f>IFERROR(__xludf.DUMMYFUNCTION("""COMPUTED_VALUE"""),10.0)</f>
        <v>10</v>
      </c>
      <c r="Q209" s="2">
        <f>IFERROR(__xludf.DUMMYFUNCTION("""COMPUTED_VALUE"""),-3.0)</f>
        <v>-3</v>
      </c>
    </row>
    <row r="210">
      <c r="P210" s="2">
        <f>IFERROR(__xludf.DUMMYFUNCTION("""COMPUTED_VALUE"""),10.0)</f>
        <v>10</v>
      </c>
      <c r="Q210" s="2">
        <f>IFERROR(__xludf.DUMMYFUNCTION("""COMPUTED_VALUE"""),-2.0)</f>
        <v>-2</v>
      </c>
    </row>
    <row r="211">
      <c r="P211" s="2">
        <f>IFERROR(__xludf.DUMMYFUNCTION("""COMPUTED_VALUE"""),10.0)</f>
        <v>10</v>
      </c>
      <c r="Q211" s="2">
        <f>IFERROR(__xludf.DUMMYFUNCTION("""COMPUTED_VALUE"""),8.0)</f>
        <v>8</v>
      </c>
    </row>
    <row r="212">
      <c r="P212" s="2">
        <f>IFERROR(__xludf.DUMMYFUNCTION("""COMPUTED_VALUE"""),10.0)</f>
        <v>10</v>
      </c>
      <c r="Q212" s="2">
        <f>IFERROR(__xludf.DUMMYFUNCTION("""COMPUTED_VALUE"""),24.0)</f>
        <v>24</v>
      </c>
    </row>
    <row r="213">
      <c r="P213" s="2">
        <f>IFERROR(__xludf.DUMMYFUNCTION("""COMPUTED_VALUE"""),10.0)</f>
        <v>10</v>
      </c>
      <c r="Q213" s="2">
        <f>IFERROR(__xludf.DUMMYFUNCTION("""COMPUTED_VALUE"""),24.0)</f>
        <v>24</v>
      </c>
    </row>
    <row r="214">
      <c r="P214" s="2">
        <f>IFERROR(__xludf.DUMMYFUNCTION("""COMPUTED_VALUE"""),10.0)</f>
        <v>10</v>
      </c>
      <c r="Q214" s="2">
        <f>IFERROR(__xludf.DUMMYFUNCTION("""COMPUTED_VALUE"""),6.0)</f>
        <v>6</v>
      </c>
    </row>
    <row r="215">
      <c r="P215" s="2">
        <f>IFERROR(__xludf.DUMMYFUNCTION("""COMPUTED_VALUE"""),10.0)</f>
        <v>10</v>
      </c>
      <c r="Q215" s="2">
        <f>IFERROR(__xludf.DUMMYFUNCTION("""COMPUTED_VALUE"""),6.0)</f>
        <v>6</v>
      </c>
    </row>
    <row r="216">
      <c r="P216" s="2">
        <f>IFERROR(__xludf.DUMMYFUNCTION("""COMPUTED_VALUE"""),10.0)</f>
        <v>10</v>
      </c>
      <c r="Q216" s="2">
        <f>IFERROR(__xludf.DUMMYFUNCTION("""COMPUTED_VALUE"""),4.0)</f>
        <v>4</v>
      </c>
    </row>
    <row r="217">
      <c r="P217" s="2">
        <f>IFERROR(__xludf.DUMMYFUNCTION("""COMPUTED_VALUE"""),10.0)</f>
        <v>10</v>
      </c>
      <c r="Q217" s="2">
        <f>IFERROR(__xludf.DUMMYFUNCTION("""COMPUTED_VALUE"""),3.0)</f>
        <v>3</v>
      </c>
    </row>
    <row r="218">
      <c r="P218" s="2">
        <f>IFERROR(__xludf.DUMMYFUNCTION("""COMPUTED_VALUE"""),10.0)</f>
        <v>10</v>
      </c>
      <c r="Q218" s="2">
        <f>IFERROR(__xludf.DUMMYFUNCTION("""COMPUTED_VALUE"""),8.0)</f>
        <v>8</v>
      </c>
    </row>
    <row r="219">
      <c r="P219" s="2">
        <f>IFERROR(__xludf.DUMMYFUNCTION("""COMPUTED_VALUE"""),10.0)</f>
        <v>10</v>
      </c>
      <c r="Q219" s="2">
        <f>IFERROR(__xludf.DUMMYFUNCTION("""COMPUTED_VALUE"""),576.0)</f>
        <v>576</v>
      </c>
    </row>
    <row r="220">
      <c r="P220" s="2">
        <f>IFERROR(__xludf.DUMMYFUNCTION("""COMPUTED_VALUE"""),10.0)</f>
        <v>10</v>
      </c>
      <c r="Q220" s="2">
        <f>IFERROR(__xludf.DUMMYFUNCTION("""COMPUTED_VALUE"""),8.0)</f>
        <v>8</v>
      </c>
    </row>
    <row r="221">
      <c r="P221" s="2">
        <f>IFERROR(__xludf.DUMMYFUNCTION("""COMPUTED_VALUE"""),10.0)</f>
        <v>10</v>
      </c>
      <c r="Q221" s="2">
        <f>IFERROR(__xludf.DUMMYFUNCTION("""COMPUTED_VALUE"""),3.0)</f>
        <v>3</v>
      </c>
    </row>
    <row r="222">
      <c r="P222" s="2">
        <f>IFERROR(__xludf.DUMMYFUNCTION("""COMPUTED_VALUE"""),10.0)</f>
        <v>10</v>
      </c>
      <c r="Q222" s="2">
        <f>IFERROR(__xludf.DUMMYFUNCTION("""COMPUTED_VALUE"""),3.0)</f>
        <v>3</v>
      </c>
    </row>
    <row r="223">
      <c r="P223" s="2">
        <f>IFERROR(__xludf.DUMMYFUNCTION("""COMPUTED_VALUE"""),10.0)</f>
        <v>10</v>
      </c>
      <c r="Q223" s="2">
        <f>IFERROR(__xludf.DUMMYFUNCTION("""COMPUTED_VALUE"""),4.0)</f>
        <v>4</v>
      </c>
    </row>
    <row r="224">
      <c r="P224" s="2">
        <f>IFERROR(__xludf.DUMMYFUNCTION("""COMPUTED_VALUE"""),10.0)</f>
        <v>10</v>
      </c>
      <c r="Q224" s="2">
        <f>IFERROR(__xludf.DUMMYFUNCTION("""COMPUTED_VALUE"""),12.0)</f>
        <v>12</v>
      </c>
    </row>
    <row r="225">
      <c r="P225" s="2">
        <f>IFERROR(__xludf.DUMMYFUNCTION("""COMPUTED_VALUE"""),10.0)</f>
        <v>10</v>
      </c>
      <c r="Q225" s="2">
        <f>IFERROR(__xludf.DUMMYFUNCTION("""COMPUTED_VALUE"""),288.0)</f>
        <v>288</v>
      </c>
    </row>
    <row r="226">
      <c r="P226" s="2">
        <f>IFERROR(__xludf.DUMMYFUNCTION("""COMPUTED_VALUE"""),10.0)</f>
        <v>10</v>
      </c>
      <c r="Q226" s="2">
        <f>IFERROR(__xludf.DUMMYFUNCTION("""COMPUTED_VALUE"""),24.0)</f>
        <v>24</v>
      </c>
    </row>
    <row r="227">
      <c r="P227" s="2">
        <f>IFERROR(__xludf.DUMMYFUNCTION("""COMPUTED_VALUE"""),10.0)</f>
        <v>10</v>
      </c>
      <c r="Q227" s="2">
        <f>IFERROR(__xludf.DUMMYFUNCTION("""COMPUTED_VALUE"""),24.0)</f>
        <v>24</v>
      </c>
    </row>
    <row r="228">
      <c r="P228" s="2">
        <f>IFERROR(__xludf.DUMMYFUNCTION("""COMPUTED_VALUE"""),10.0)</f>
        <v>10</v>
      </c>
      <c r="Q228" s="2">
        <f>IFERROR(__xludf.DUMMYFUNCTION("""COMPUTED_VALUE"""),24.0)</f>
        <v>24</v>
      </c>
    </row>
    <row r="229">
      <c r="P229" s="2">
        <f>IFERROR(__xludf.DUMMYFUNCTION("""COMPUTED_VALUE"""),10.0)</f>
        <v>10</v>
      </c>
      <c r="Q229" s="2">
        <f>IFERROR(__xludf.DUMMYFUNCTION("""COMPUTED_VALUE"""),24.0)</f>
        <v>24</v>
      </c>
    </row>
    <row r="230">
      <c r="P230" s="2">
        <f>IFERROR(__xludf.DUMMYFUNCTION("""COMPUTED_VALUE"""),10.0)</f>
        <v>10</v>
      </c>
      <c r="Q230" s="2">
        <f>IFERROR(__xludf.DUMMYFUNCTION("""COMPUTED_VALUE"""),24.0)</f>
        <v>24</v>
      </c>
    </row>
    <row r="231">
      <c r="P231" s="2">
        <f>IFERROR(__xludf.DUMMYFUNCTION("""COMPUTED_VALUE"""),10.0)</f>
        <v>10</v>
      </c>
      <c r="Q231" s="2">
        <f>IFERROR(__xludf.DUMMYFUNCTION("""COMPUTED_VALUE"""),24.0)</f>
        <v>24</v>
      </c>
    </row>
    <row r="232">
      <c r="P232" s="2">
        <f>IFERROR(__xludf.DUMMYFUNCTION("""COMPUTED_VALUE"""),10.0)</f>
        <v>10</v>
      </c>
      <c r="Q232" s="2">
        <f>IFERROR(__xludf.DUMMYFUNCTION("""COMPUTED_VALUE"""),3.0)</f>
        <v>3</v>
      </c>
    </row>
    <row r="233">
      <c r="P233" s="2">
        <f>IFERROR(__xludf.DUMMYFUNCTION("""COMPUTED_VALUE"""),10.0)</f>
        <v>10</v>
      </c>
      <c r="Q233" s="2">
        <f>IFERROR(__xludf.DUMMYFUNCTION("""COMPUTED_VALUE"""),48.0)</f>
        <v>48</v>
      </c>
    </row>
    <row r="234">
      <c r="P234" s="2">
        <f>IFERROR(__xludf.DUMMYFUNCTION("""COMPUTED_VALUE"""),10.0)</f>
        <v>10</v>
      </c>
      <c r="Q234" s="2">
        <f>IFERROR(__xludf.DUMMYFUNCTION("""COMPUTED_VALUE"""),6.0)</f>
        <v>6</v>
      </c>
    </row>
    <row r="235">
      <c r="P235" s="2">
        <f>IFERROR(__xludf.DUMMYFUNCTION("""COMPUTED_VALUE"""),10.0)</f>
        <v>10</v>
      </c>
      <c r="Q235" s="2">
        <f>IFERROR(__xludf.DUMMYFUNCTION("""COMPUTED_VALUE"""),6.0)</f>
        <v>6</v>
      </c>
    </row>
    <row r="236">
      <c r="P236" s="2">
        <f>IFERROR(__xludf.DUMMYFUNCTION("""COMPUTED_VALUE"""),10.0)</f>
        <v>10</v>
      </c>
      <c r="Q236" s="2">
        <f>IFERROR(__xludf.DUMMYFUNCTION("""COMPUTED_VALUE"""),12.0)</f>
        <v>12</v>
      </c>
    </row>
    <row r="237">
      <c r="P237" s="2">
        <f>IFERROR(__xludf.DUMMYFUNCTION("""COMPUTED_VALUE"""),10.0)</f>
        <v>10</v>
      </c>
      <c r="Q237" s="2">
        <f>IFERROR(__xludf.DUMMYFUNCTION("""COMPUTED_VALUE"""),12.0)</f>
        <v>12</v>
      </c>
    </row>
    <row r="238">
      <c r="P238" s="2">
        <f>IFERROR(__xludf.DUMMYFUNCTION("""COMPUTED_VALUE"""),10.0)</f>
        <v>10</v>
      </c>
      <c r="Q238" s="2">
        <f>IFERROR(__xludf.DUMMYFUNCTION("""COMPUTED_VALUE"""),12.0)</f>
        <v>12</v>
      </c>
    </row>
    <row r="239">
      <c r="P239" s="2">
        <f>IFERROR(__xludf.DUMMYFUNCTION("""COMPUTED_VALUE"""),10.0)</f>
        <v>10</v>
      </c>
      <c r="Q239" s="2">
        <f>IFERROR(__xludf.DUMMYFUNCTION("""COMPUTED_VALUE"""),12.0)</f>
        <v>12</v>
      </c>
    </row>
    <row r="240">
      <c r="P240" s="2">
        <f>IFERROR(__xludf.DUMMYFUNCTION("""COMPUTED_VALUE"""),10.0)</f>
        <v>10</v>
      </c>
      <c r="Q240" s="2">
        <f>IFERROR(__xludf.DUMMYFUNCTION("""COMPUTED_VALUE"""),12.0)</f>
        <v>12</v>
      </c>
    </row>
    <row r="241">
      <c r="P241" s="2">
        <f>IFERROR(__xludf.DUMMYFUNCTION("""COMPUTED_VALUE"""),10.0)</f>
        <v>10</v>
      </c>
      <c r="Q241" s="2">
        <f>IFERROR(__xludf.DUMMYFUNCTION("""COMPUTED_VALUE"""),6.0)</f>
        <v>6</v>
      </c>
    </row>
    <row r="242">
      <c r="P242" s="2">
        <f>IFERROR(__xludf.DUMMYFUNCTION("""COMPUTED_VALUE"""),10.0)</f>
        <v>10</v>
      </c>
      <c r="Q242" s="2">
        <f>IFERROR(__xludf.DUMMYFUNCTION("""COMPUTED_VALUE"""),6.0)</f>
        <v>6</v>
      </c>
    </row>
    <row r="243">
      <c r="P243" s="2">
        <f>IFERROR(__xludf.DUMMYFUNCTION("""COMPUTED_VALUE"""),10.0)</f>
        <v>10</v>
      </c>
      <c r="Q243" s="2">
        <f>IFERROR(__xludf.DUMMYFUNCTION("""COMPUTED_VALUE"""),6.0)</f>
        <v>6</v>
      </c>
    </row>
    <row r="244">
      <c r="P244" s="2">
        <f>IFERROR(__xludf.DUMMYFUNCTION("""COMPUTED_VALUE"""),10.0)</f>
        <v>10</v>
      </c>
      <c r="Q244" s="2">
        <f>IFERROR(__xludf.DUMMYFUNCTION("""COMPUTED_VALUE"""),2.0)</f>
        <v>2</v>
      </c>
    </row>
    <row r="245">
      <c r="P245" s="2">
        <f>IFERROR(__xludf.DUMMYFUNCTION("""COMPUTED_VALUE"""),10.0)</f>
        <v>10</v>
      </c>
      <c r="Q245" s="2">
        <f>IFERROR(__xludf.DUMMYFUNCTION("""COMPUTED_VALUE"""),3.0)</f>
        <v>3</v>
      </c>
    </row>
    <row r="246">
      <c r="P246" s="2">
        <f>IFERROR(__xludf.DUMMYFUNCTION("""COMPUTED_VALUE"""),10.0)</f>
        <v>10</v>
      </c>
      <c r="Q246" s="2">
        <f>IFERROR(__xludf.DUMMYFUNCTION("""COMPUTED_VALUE"""),3.0)</f>
        <v>3</v>
      </c>
    </row>
    <row r="247">
      <c r="P247" s="2">
        <f>IFERROR(__xludf.DUMMYFUNCTION("""COMPUTED_VALUE"""),10.0)</f>
        <v>10</v>
      </c>
      <c r="Q247" s="2">
        <f>IFERROR(__xludf.DUMMYFUNCTION("""COMPUTED_VALUE"""),3.0)</f>
        <v>3</v>
      </c>
    </row>
    <row r="248">
      <c r="P248" s="2">
        <f>IFERROR(__xludf.DUMMYFUNCTION("""COMPUTED_VALUE"""),10.0)</f>
        <v>10</v>
      </c>
      <c r="Q248" s="2">
        <f>IFERROR(__xludf.DUMMYFUNCTION("""COMPUTED_VALUE"""),24.0)</f>
        <v>24</v>
      </c>
    </row>
    <row r="249">
      <c r="P249" s="2">
        <f>IFERROR(__xludf.DUMMYFUNCTION("""COMPUTED_VALUE"""),10.0)</f>
        <v>10</v>
      </c>
      <c r="Q249" s="2">
        <f>IFERROR(__xludf.DUMMYFUNCTION("""COMPUTED_VALUE"""),24.0)</f>
        <v>24</v>
      </c>
    </row>
    <row r="250">
      <c r="P250" s="2">
        <f>IFERROR(__xludf.DUMMYFUNCTION("""COMPUTED_VALUE"""),10.0)</f>
        <v>10</v>
      </c>
      <c r="Q250" s="2">
        <f>IFERROR(__xludf.DUMMYFUNCTION("""COMPUTED_VALUE"""),2.0)</f>
        <v>2</v>
      </c>
    </row>
    <row r="251">
      <c r="P251" s="2">
        <f>IFERROR(__xludf.DUMMYFUNCTION("""COMPUTED_VALUE"""),10.0)</f>
        <v>10</v>
      </c>
      <c r="Q251" s="2">
        <f>IFERROR(__xludf.DUMMYFUNCTION("""COMPUTED_VALUE"""),27.0)</f>
        <v>27</v>
      </c>
    </row>
    <row r="252">
      <c r="P252" s="2">
        <f>IFERROR(__xludf.DUMMYFUNCTION("""COMPUTED_VALUE"""),10.0)</f>
        <v>10</v>
      </c>
      <c r="Q252" s="2">
        <f>IFERROR(__xludf.DUMMYFUNCTION("""COMPUTED_VALUE"""),6.0)</f>
        <v>6</v>
      </c>
    </row>
    <row r="253">
      <c r="P253" s="2">
        <f>IFERROR(__xludf.DUMMYFUNCTION("""COMPUTED_VALUE"""),10.0)</f>
        <v>10</v>
      </c>
      <c r="Q253" s="2">
        <f>IFERROR(__xludf.DUMMYFUNCTION("""COMPUTED_VALUE"""),6.0)</f>
        <v>6</v>
      </c>
    </row>
    <row r="254">
      <c r="P254" s="2">
        <f>IFERROR(__xludf.DUMMYFUNCTION("""COMPUTED_VALUE"""),10.0)</f>
        <v>10</v>
      </c>
      <c r="Q254" s="2">
        <f>IFERROR(__xludf.DUMMYFUNCTION("""COMPUTED_VALUE"""),3.0)</f>
        <v>3</v>
      </c>
    </row>
    <row r="255">
      <c r="P255" s="2">
        <f>IFERROR(__xludf.DUMMYFUNCTION("""COMPUTED_VALUE"""),10.0)</f>
        <v>10</v>
      </c>
      <c r="Q255" s="2">
        <f>IFERROR(__xludf.DUMMYFUNCTION("""COMPUTED_VALUE"""),3.0)</f>
        <v>3</v>
      </c>
    </row>
    <row r="256">
      <c r="P256" s="2">
        <f>IFERROR(__xludf.DUMMYFUNCTION("""COMPUTED_VALUE"""),10.0)</f>
        <v>10</v>
      </c>
      <c r="Q256" s="2">
        <f>IFERROR(__xludf.DUMMYFUNCTION("""COMPUTED_VALUE"""),3.0)</f>
        <v>3</v>
      </c>
    </row>
    <row r="257">
      <c r="P257" s="2">
        <f>IFERROR(__xludf.DUMMYFUNCTION("""COMPUTED_VALUE"""),10.0)</f>
        <v>10</v>
      </c>
      <c r="Q257" s="2">
        <f>IFERROR(__xludf.DUMMYFUNCTION("""COMPUTED_VALUE"""),3.0)</f>
        <v>3</v>
      </c>
    </row>
    <row r="258">
      <c r="P258" s="2">
        <f>IFERROR(__xludf.DUMMYFUNCTION("""COMPUTED_VALUE"""),10.0)</f>
        <v>10</v>
      </c>
      <c r="Q258" s="2">
        <f>IFERROR(__xludf.DUMMYFUNCTION("""COMPUTED_VALUE"""),3.0)</f>
        <v>3</v>
      </c>
    </row>
    <row r="259">
      <c r="P259" s="2">
        <f>IFERROR(__xludf.DUMMYFUNCTION("""COMPUTED_VALUE"""),10.0)</f>
        <v>10</v>
      </c>
      <c r="Q259" s="2">
        <f>IFERROR(__xludf.DUMMYFUNCTION("""COMPUTED_VALUE"""),3.0)</f>
        <v>3</v>
      </c>
    </row>
    <row r="260">
      <c r="P260" s="2">
        <f>IFERROR(__xludf.DUMMYFUNCTION("""COMPUTED_VALUE"""),10.0)</f>
        <v>10</v>
      </c>
      <c r="Q260" s="2">
        <f>IFERROR(__xludf.DUMMYFUNCTION("""COMPUTED_VALUE"""),3.0)</f>
        <v>3</v>
      </c>
    </row>
    <row r="261">
      <c r="P261" s="2">
        <f>IFERROR(__xludf.DUMMYFUNCTION("""COMPUTED_VALUE"""),10.0)</f>
        <v>10</v>
      </c>
      <c r="Q261" s="2">
        <f>IFERROR(__xludf.DUMMYFUNCTION("""COMPUTED_VALUE"""),3.0)</f>
        <v>3</v>
      </c>
    </row>
    <row r="262">
      <c r="P262" s="2">
        <f>IFERROR(__xludf.DUMMYFUNCTION("""COMPUTED_VALUE"""),10.0)</f>
        <v>10</v>
      </c>
      <c r="Q262" s="2">
        <f>IFERROR(__xludf.DUMMYFUNCTION("""COMPUTED_VALUE"""),3.0)</f>
        <v>3</v>
      </c>
    </row>
    <row r="263">
      <c r="P263" s="2">
        <f>IFERROR(__xludf.DUMMYFUNCTION("""COMPUTED_VALUE"""),10.0)</f>
        <v>10</v>
      </c>
      <c r="Q263" s="2">
        <f>IFERROR(__xludf.DUMMYFUNCTION("""COMPUTED_VALUE"""),3.0)</f>
        <v>3</v>
      </c>
    </row>
    <row r="264">
      <c r="P264" s="2">
        <f>IFERROR(__xludf.DUMMYFUNCTION("""COMPUTED_VALUE"""),10.0)</f>
        <v>10</v>
      </c>
      <c r="Q264" s="2">
        <f>IFERROR(__xludf.DUMMYFUNCTION("""COMPUTED_VALUE"""),2.0)</f>
        <v>2</v>
      </c>
    </row>
    <row r="265">
      <c r="P265" s="2">
        <f>IFERROR(__xludf.DUMMYFUNCTION("""COMPUTED_VALUE"""),10.0)</f>
        <v>10</v>
      </c>
      <c r="Q265" s="2">
        <f>IFERROR(__xludf.DUMMYFUNCTION("""COMPUTED_VALUE"""),-96.0)</f>
        <v>-96</v>
      </c>
    </row>
    <row r="266">
      <c r="P266" s="2">
        <f>IFERROR(__xludf.DUMMYFUNCTION("""COMPUTED_VALUE"""),10.0)</f>
        <v>10</v>
      </c>
      <c r="Q266" s="2">
        <f>IFERROR(__xludf.DUMMYFUNCTION("""COMPUTED_VALUE"""),12.0)</f>
        <v>12</v>
      </c>
    </row>
    <row r="267">
      <c r="P267" s="2">
        <f>IFERROR(__xludf.DUMMYFUNCTION("""COMPUTED_VALUE"""),10.0)</f>
        <v>10</v>
      </c>
      <c r="Q267" s="2">
        <f>IFERROR(__xludf.DUMMYFUNCTION("""COMPUTED_VALUE"""),12.0)</f>
        <v>12</v>
      </c>
    </row>
    <row r="268">
      <c r="P268" s="2">
        <f>IFERROR(__xludf.DUMMYFUNCTION("""COMPUTED_VALUE"""),10.0)</f>
        <v>10</v>
      </c>
      <c r="Q268" s="2">
        <f>IFERROR(__xludf.DUMMYFUNCTION("""COMPUTED_VALUE"""),12.0)</f>
        <v>12</v>
      </c>
    </row>
    <row r="269">
      <c r="P269" s="2">
        <f>IFERROR(__xludf.DUMMYFUNCTION("""COMPUTED_VALUE"""),10.0)</f>
        <v>10</v>
      </c>
      <c r="Q269" s="2">
        <f>IFERROR(__xludf.DUMMYFUNCTION("""COMPUTED_VALUE"""),12.0)</f>
        <v>12</v>
      </c>
    </row>
    <row r="270">
      <c r="P270" s="2">
        <f>IFERROR(__xludf.DUMMYFUNCTION("""COMPUTED_VALUE"""),10.0)</f>
        <v>10</v>
      </c>
      <c r="Q270" s="2">
        <f>IFERROR(__xludf.DUMMYFUNCTION("""COMPUTED_VALUE"""),12.0)</f>
        <v>12</v>
      </c>
    </row>
    <row r="271">
      <c r="P271" s="2">
        <f>IFERROR(__xludf.DUMMYFUNCTION("""COMPUTED_VALUE"""),10.0)</f>
        <v>10</v>
      </c>
      <c r="Q271" s="2">
        <f>IFERROR(__xludf.DUMMYFUNCTION("""COMPUTED_VALUE"""),4.0)</f>
        <v>4</v>
      </c>
    </row>
    <row r="272">
      <c r="P272" s="2">
        <f>IFERROR(__xludf.DUMMYFUNCTION("""COMPUTED_VALUE"""),10.0)</f>
        <v>10</v>
      </c>
      <c r="Q272" s="2">
        <f>IFERROR(__xludf.DUMMYFUNCTION("""COMPUTED_VALUE"""),12.0)</f>
        <v>12</v>
      </c>
    </row>
    <row r="273">
      <c r="P273" s="2">
        <f>IFERROR(__xludf.DUMMYFUNCTION("""COMPUTED_VALUE"""),10.0)</f>
        <v>10</v>
      </c>
      <c r="Q273" s="2">
        <f>IFERROR(__xludf.DUMMYFUNCTION("""COMPUTED_VALUE"""),64.0)</f>
        <v>64</v>
      </c>
    </row>
    <row r="274">
      <c r="P274" s="2">
        <f>IFERROR(__xludf.DUMMYFUNCTION("""COMPUTED_VALUE"""),10.0)</f>
        <v>10</v>
      </c>
      <c r="Q274" s="2">
        <f>IFERROR(__xludf.DUMMYFUNCTION("""COMPUTED_VALUE"""),20.0)</f>
        <v>20</v>
      </c>
    </row>
    <row r="275">
      <c r="P275" s="2">
        <f>IFERROR(__xludf.DUMMYFUNCTION("""COMPUTED_VALUE"""),10.0)</f>
        <v>10</v>
      </c>
      <c r="Q275" s="2">
        <f>IFERROR(__xludf.DUMMYFUNCTION("""COMPUTED_VALUE"""),8.0)</f>
        <v>8</v>
      </c>
    </row>
    <row r="276">
      <c r="P276" s="2">
        <f>IFERROR(__xludf.DUMMYFUNCTION("""COMPUTED_VALUE"""),10.0)</f>
        <v>10</v>
      </c>
      <c r="Q276" s="2">
        <f>IFERROR(__xludf.DUMMYFUNCTION("""COMPUTED_VALUE"""),8.0)</f>
        <v>8</v>
      </c>
    </row>
    <row r="277">
      <c r="P277" s="2">
        <f>IFERROR(__xludf.DUMMYFUNCTION("""COMPUTED_VALUE"""),10.0)</f>
        <v>10</v>
      </c>
      <c r="Q277" s="2">
        <f>IFERROR(__xludf.DUMMYFUNCTION("""COMPUTED_VALUE"""),8.0)</f>
        <v>8</v>
      </c>
    </row>
    <row r="278">
      <c r="P278" s="2">
        <f>IFERROR(__xludf.DUMMYFUNCTION("""COMPUTED_VALUE"""),10.0)</f>
        <v>10</v>
      </c>
      <c r="Q278" s="2">
        <f>IFERROR(__xludf.DUMMYFUNCTION("""COMPUTED_VALUE"""),12.0)</f>
        <v>12</v>
      </c>
    </row>
    <row r="279">
      <c r="P279" s="2">
        <f>IFERROR(__xludf.DUMMYFUNCTION("""COMPUTED_VALUE"""),10.0)</f>
        <v>10</v>
      </c>
      <c r="Q279" s="2">
        <f>IFERROR(__xludf.DUMMYFUNCTION("""COMPUTED_VALUE"""),4.0)</f>
        <v>4</v>
      </c>
    </row>
    <row r="280">
      <c r="P280" s="2">
        <f>IFERROR(__xludf.DUMMYFUNCTION("""COMPUTED_VALUE"""),10.0)</f>
        <v>10</v>
      </c>
      <c r="Q280" s="2">
        <f>IFERROR(__xludf.DUMMYFUNCTION("""COMPUTED_VALUE"""),12.0)</f>
        <v>12</v>
      </c>
    </row>
    <row r="281">
      <c r="P281" s="2">
        <f>IFERROR(__xludf.DUMMYFUNCTION("""COMPUTED_VALUE"""),10.0)</f>
        <v>10</v>
      </c>
      <c r="Q281" s="2">
        <f>IFERROR(__xludf.DUMMYFUNCTION("""COMPUTED_VALUE"""),8.0)</f>
        <v>8</v>
      </c>
    </row>
    <row r="282">
      <c r="P282" s="2">
        <f>IFERROR(__xludf.DUMMYFUNCTION("""COMPUTED_VALUE"""),10.0)</f>
        <v>10</v>
      </c>
      <c r="Q282" s="2">
        <f>IFERROR(__xludf.DUMMYFUNCTION("""COMPUTED_VALUE"""),24.0)</f>
        <v>24</v>
      </c>
    </row>
    <row r="283">
      <c r="P283" s="2">
        <f>IFERROR(__xludf.DUMMYFUNCTION("""COMPUTED_VALUE"""),10.0)</f>
        <v>10</v>
      </c>
      <c r="Q283" s="2">
        <f>IFERROR(__xludf.DUMMYFUNCTION("""COMPUTED_VALUE"""),4.0)</f>
        <v>4</v>
      </c>
    </row>
    <row r="284">
      <c r="P284" s="2">
        <f>IFERROR(__xludf.DUMMYFUNCTION("""COMPUTED_VALUE"""),10.0)</f>
        <v>10</v>
      </c>
      <c r="Q284" s="2">
        <f>IFERROR(__xludf.DUMMYFUNCTION("""COMPUTED_VALUE"""),160.0)</f>
        <v>160</v>
      </c>
    </row>
    <row r="285">
      <c r="P285" s="2">
        <f>IFERROR(__xludf.DUMMYFUNCTION("""COMPUTED_VALUE"""),10.0)</f>
        <v>10</v>
      </c>
      <c r="Q285" s="2">
        <f>IFERROR(__xludf.DUMMYFUNCTION("""COMPUTED_VALUE"""),-192.0)</f>
        <v>-192</v>
      </c>
    </row>
    <row r="286">
      <c r="P286" s="2">
        <f>IFERROR(__xludf.DUMMYFUNCTION("""COMPUTED_VALUE"""),10.0)</f>
        <v>10</v>
      </c>
      <c r="Q286" s="2">
        <f>IFERROR(__xludf.DUMMYFUNCTION("""COMPUTED_VALUE"""),-6.0)</f>
        <v>-6</v>
      </c>
    </row>
    <row r="287">
      <c r="P287" s="2">
        <f>IFERROR(__xludf.DUMMYFUNCTION("""COMPUTED_VALUE"""),10.0)</f>
        <v>10</v>
      </c>
      <c r="Q287" s="2">
        <f>IFERROR(__xludf.DUMMYFUNCTION("""COMPUTED_VALUE"""),1.0)</f>
        <v>1</v>
      </c>
    </row>
    <row r="288">
      <c r="P288" s="2">
        <f>IFERROR(__xludf.DUMMYFUNCTION("""COMPUTED_VALUE"""),10.0)</f>
        <v>10</v>
      </c>
      <c r="Q288" s="2">
        <f>IFERROR(__xludf.DUMMYFUNCTION("""COMPUTED_VALUE"""),1.0)</f>
        <v>1</v>
      </c>
    </row>
    <row r="289">
      <c r="P289" s="2">
        <f>IFERROR(__xludf.DUMMYFUNCTION("""COMPUTED_VALUE"""),10.0)</f>
        <v>10</v>
      </c>
      <c r="Q289" s="2">
        <f>IFERROR(__xludf.DUMMYFUNCTION("""COMPUTED_VALUE"""),1.0)</f>
        <v>1</v>
      </c>
    </row>
    <row r="290">
      <c r="P290" s="2">
        <f>IFERROR(__xludf.DUMMYFUNCTION("""COMPUTED_VALUE"""),10.0)</f>
        <v>10</v>
      </c>
      <c r="Q290" s="2">
        <f>IFERROR(__xludf.DUMMYFUNCTION("""COMPUTED_VALUE"""),2.0)</f>
        <v>2</v>
      </c>
    </row>
    <row r="291">
      <c r="P291" s="2">
        <f>IFERROR(__xludf.DUMMYFUNCTION("""COMPUTED_VALUE"""),10.0)</f>
        <v>10</v>
      </c>
      <c r="Q291" s="2">
        <f>IFERROR(__xludf.DUMMYFUNCTION("""COMPUTED_VALUE"""),2.0)</f>
        <v>2</v>
      </c>
    </row>
    <row r="292">
      <c r="P292" s="2">
        <f>IFERROR(__xludf.DUMMYFUNCTION("""COMPUTED_VALUE"""),10.0)</f>
        <v>10</v>
      </c>
      <c r="Q292" s="2">
        <f>IFERROR(__xludf.DUMMYFUNCTION("""COMPUTED_VALUE"""),3.0)</f>
        <v>3</v>
      </c>
    </row>
    <row r="293">
      <c r="P293" s="2">
        <f>IFERROR(__xludf.DUMMYFUNCTION("""COMPUTED_VALUE"""),10.0)</f>
        <v>10</v>
      </c>
      <c r="Q293" s="2">
        <f>IFERROR(__xludf.DUMMYFUNCTION("""COMPUTED_VALUE"""),1.0)</f>
        <v>1</v>
      </c>
    </row>
    <row r="294">
      <c r="P294" s="2">
        <f>IFERROR(__xludf.DUMMYFUNCTION("""COMPUTED_VALUE"""),10.0)</f>
        <v>10</v>
      </c>
      <c r="Q294" s="2">
        <f>IFERROR(__xludf.DUMMYFUNCTION("""COMPUTED_VALUE"""),2.0)</f>
        <v>2</v>
      </c>
    </row>
    <row r="295">
      <c r="P295" s="2">
        <f>IFERROR(__xludf.DUMMYFUNCTION("""COMPUTED_VALUE"""),10.0)</f>
        <v>10</v>
      </c>
      <c r="Q295" s="2">
        <f>IFERROR(__xludf.DUMMYFUNCTION("""COMPUTED_VALUE"""),2.0)</f>
        <v>2</v>
      </c>
    </row>
    <row r="296">
      <c r="P296" s="2">
        <f>IFERROR(__xludf.DUMMYFUNCTION("""COMPUTED_VALUE"""),10.0)</f>
        <v>10</v>
      </c>
      <c r="Q296" s="2">
        <f>IFERROR(__xludf.DUMMYFUNCTION("""COMPUTED_VALUE"""),2.0)</f>
        <v>2</v>
      </c>
    </row>
    <row r="297">
      <c r="P297" s="2">
        <f>IFERROR(__xludf.DUMMYFUNCTION("""COMPUTED_VALUE"""),10.0)</f>
        <v>10</v>
      </c>
      <c r="Q297" s="2">
        <f>IFERROR(__xludf.DUMMYFUNCTION("""COMPUTED_VALUE"""),3.0)</f>
        <v>3</v>
      </c>
    </row>
    <row r="298">
      <c r="P298" s="2">
        <f>IFERROR(__xludf.DUMMYFUNCTION("""COMPUTED_VALUE"""),10.0)</f>
        <v>10</v>
      </c>
      <c r="Q298" s="2">
        <f>IFERROR(__xludf.DUMMYFUNCTION("""COMPUTED_VALUE"""),1.0)</f>
        <v>1</v>
      </c>
    </row>
    <row r="299">
      <c r="P299" s="2">
        <f>IFERROR(__xludf.DUMMYFUNCTION("""COMPUTED_VALUE"""),10.0)</f>
        <v>10</v>
      </c>
      <c r="Q299" s="2">
        <f>IFERROR(__xludf.DUMMYFUNCTION("""COMPUTED_VALUE"""),2.0)</f>
        <v>2</v>
      </c>
    </row>
    <row r="300">
      <c r="P300" s="2">
        <f>IFERROR(__xludf.DUMMYFUNCTION("""COMPUTED_VALUE"""),10.0)</f>
        <v>10</v>
      </c>
      <c r="Q300" s="2">
        <f>IFERROR(__xludf.DUMMYFUNCTION("""COMPUTED_VALUE"""),1.0)</f>
        <v>1</v>
      </c>
    </row>
    <row r="301">
      <c r="P301" s="2">
        <f>IFERROR(__xludf.DUMMYFUNCTION("""COMPUTED_VALUE"""),10.0)</f>
        <v>10</v>
      </c>
      <c r="Q301" s="2">
        <f>IFERROR(__xludf.DUMMYFUNCTION("""COMPUTED_VALUE"""),3.0)</f>
        <v>3</v>
      </c>
    </row>
    <row r="302">
      <c r="P302" s="2">
        <f>IFERROR(__xludf.DUMMYFUNCTION("""COMPUTED_VALUE"""),10.0)</f>
        <v>10</v>
      </c>
      <c r="Q302" s="2">
        <f>IFERROR(__xludf.DUMMYFUNCTION("""COMPUTED_VALUE"""),4.0)</f>
        <v>4</v>
      </c>
    </row>
    <row r="303">
      <c r="P303" s="2">
        <f>IFERROR(__xludf.DUMMYFUNCTION("""COMPUTED_VALUE"""),10.0)</f>
        <v>10</v>
      </c>
      <c r="Q303" s="2">
        <f>IFERROR(__xludf.DUMMYFUNCTION("""COMPUTED_VALUE"""),3.0)</f>
        <v>3</v>
      </c>
    </row>
    <row r="304">
      <c r="P304" s="2">
        <f>IFERROR(__xludf.DUMMYFUNCTION("""COMPUTED_VALUE"""),10.0)</f>
        <v>10</v>
      </c>
      <c r="Q304" s="2">
        <f>IFERROR(__xludf.DUMMYFUNCTION("""COMPUTED_VALUE"""),5.0)</f>
        <v>5</v>
      </c>
    </row>
    <row r="305">
      <c r="P305" s="2">
        <f>IFERROR(__xludf.DUMMYFUNCTION("""COMPUTED_VALUE"""),10.0)</f>
        <v>10</v>
      </c>
      <c r="Q305" s="2">
        <f>IFERROR(__xludf.DUMMYFUNCTION("""COMPUTED_VALUE"""),4.0)</f>
        <v>4</v>
      </c>
    </row>
    <row r="306">
      <c r="P306" s="2">
        <f>IFERROR(__xludf.DUMMYFUNCTION("""COMPUTED_VALUE"""),10.0)</f>
        <v>10</v>
      </c>
      <c r="Q306" s="2">
        <f>IFERROR(__xludf.DUMMYFUNCTION("""COMPUTED_VALUE"""),4.0)</f>
        <v>4</v>
      </c>
    </row>
    <row r="307">
      <c r="P307" s="2">
        <f>IFERROR(__xludf.DUMMYFUNCTION("""COMPUTED_VALUE"""),10.0)</f>
        <v>10</v>
      </c>
      <c r="Q307" s="2">
        <f>IFERROR(__xludf.DUMMYFUNCTION("""COMPUTED_VALUE"""),2.0)</f>
        <v>2</v>
      </c>
    </row>
    <row r="308">
      <c r="P308" s="2">
        <f>IFERROR(__xludf.DUMMYFUNCTION("""COMPUTED_VALUE"""),10.0)</f>
        <v>10</v>
      </c>
      <c r="Q308" s="2">
        <f>IFERROR(__xludf.DUMMYFUNCTION("""COMPUTED_VALUE"""),3.0)</f>
        <v>3</v>
      </c>
    </row>
    <row r="309">
      <c r="P309" s="2">
        <f>IFERROR(__xludf.DUMMYFUNCTION("""COMPUTED_VALUE"""),10.0)</f>
        <v>10</v>
      </c>
      <c r="Q309" s="2">
        <f>IFERROR(__xludf.DUMMYFUNCTION("""COMPUTED_VALUE"""),6.0)</f>
        <v>6</v>
      </c>
    </row>
    <row r="310">
      <c r="P310" s="2">
        <f>IFERROR(__xludf.DUMMYFUNCTION("""COMPUTED_VALUE"""),10.0)</f>
        <v>10</v>
      </c>
      <c r="Q310" s="2">
        <f>IFERROR(__xludf.DUMMYFUNCTION("""COMPUTED_VALUE"""),4.0)</f>
        <v>4</v>
      </c>
    </row>
    <row r="311">
      <c r="P311" s="2">
        <f>IFERROR(__xludf.DUMMYFUNCTION("""COMPUTED_VALUE"""),10.0)</f>
        <v>10</v>
      </c>
      <c r="Q311" s="2">
        <f>IFERROR(__xludf.DUMMYFUNCTION("""COMPUTED_VALUE"""),6.0)</f>
        <v>6</v>
      </c>
    </row>
    <row r="312">
      <c r="P312" s="2">
        <f>IFERROR(__xludf.DUMMYFUNCTION("""COMPUTED_VALUE"""),10.0)</f>
        <v>10</v>
      </c>
      <c r="Q312" s="2">
        <f>IFERROR(__xludf.DUMMYFUNCTION("""COMPUTED_VALUE"""),4.0)</f>
        <v>4</v>
      </c>
    </row>
    <row r="313">
      <c r="P313" s="2">
        <f>IFERROR(__xludf.DUMMYFUNCTION("""COMPUTED_VALUE"""),10.0)</f>
        <v>10</v>
      </c>
      <c r="Q313" s="2">
        <f>IFERROR(__xludf.DUMMYFUNCTION("""COMPUTED_VALUE"""),2.0)</f>
        <v>2</v>
      </c>
    </row>
    <row r="314">
      <c r="P314" s="2">
        <f>IFERROR(__xludf.DUMMYFUNCTION("""COMPUTED_VALUE"""),10.0)</f>
        <v>10</v>
      </c>
      <c r="Q314" s="2">
        <f>IFERROR(__xludf.DUMMYFUNCTION("""COMPUTED_VALUE"""),2.0)</f>
        <v>2</v>
      </c>
    </row>
    <row r="315">
      <c r="P315" s="2">
        <f>IFERROR(__xludf.DUMMYFUNCTION("""COMPUTED_VALUE"""),10.0)</f>
        <v>10</v>
      </c>
      <c r="Q315" s="2">
        <f>IFERROR(__xludf.DUMMYFUNCTION("""COMPUTED_VALUE"""),2.0)</f>
        <v>2</v>
      </c>
    </row>
    <row r="316">
      <c r="P316" s="2">
        <f>IFERROR(__xludf.DUMMYFUNCTION("""COMPUTED_VALUE"""),10.0)</f>
        <v>10</v>
      </c>
      <c r="Q316" s="2">
        <f>IFERROR(__xludf.DUMMYFUNCTION("""COMPUTED_VALUE"""),2.0)</f>
        <v>2</v>
      </c>
    </row>
    <row r="317">
      <c r="P317" s="2">
        <f>IFERROR(__xludf.DUMMYFUNCTION("""COMPUTED_VALUE"""),11.0)</f>
        <v>11</v>
      </c>
      <c r="Q317" s="2">
        <f>IFERROR(__xludf.DUMMYFUNCTION("""COMPUTED_VALUE"""),-2.0)</f>
        <v>-2</v>
      </c>
    </row>
    <row r="318">
      <c r="P318" s="2">
        <f>IFERROR(__xludf.DUMMYFUNCTION("""COMPUTED_VALUE"""),11.0)</f>
        <v>11</v>
      </c>
      <c r="Q318" s="2">
        <f>IFERROR(__xludf.DUMMYFUNCTION("""COMPUTED_VALUE"""),-1.0)</f>
        <v>-1</v>
      </c>
    </row>
    <row r="319">
      <c r="P319" s="2">
        <f>IFERROR(__xludf.DUMMYFUNCTION("""COMPUTED_VALUE"""),11.0)</f>
        <v>11</v>
      </c>
      <c r="Q319" s="2">
        <f>IFERROR(__xludf.DUMMYFUNCTION("""COMPUTED_VALUE"""),-6.0)</f>
        <v>-6</v>
      </c>
    </row>
    <row r="320">
      <c r="P320" s="2">
        <f>IFERROR(__xludf.DUMMYFUNCTION("""COMPUTED_VALUE"""),11.0)</f>
        <v>11</v>
      </c>
      <c r="Q320" s="2">
        <f>IFERROR(__xludf.DUMMYFUNCTION("""COMPUTED_VALUE"""),6.0)</f>
        <v>6</v>
      </c>
    </row>
    <row r="321">
      <c r="P321" s="2">
        <f>IFERROR(__xludf.DUMMYFUNCTION("""COMPUTED_VALUE"""),11.0)</f>
        <v>11</v>
      </c>
      <c r="Q321" s="2">
        <f>IFERROR(__xludf.DUMMYFUNCTION("""COMPUTED_VALUE"""),10.0)</f>
        <v>10</v>
      </c>
    </row>
    <row r="322">
      <c r="P322" s="2">
        <f>IFERROR(__xludf.DUMMYFUNCTION("""COMPUTED_VALUE"""),11.0)</f>
        <v>11</v>
      </c>
      <c r="Q322" s="2">
        <f>IFERROR(__xludf.DUMMYFUNCTION("""COMPUTED_VALUE"""),10.0)</f>
        <v>10</v>
      </c>
    </row>
    <row r="323">
      <c r="P323" s="2">
        <f>IFERROR(__xludf.DUMMYFUNCTION("""COMPUTED_VALUE"""),11.0)</f>
        <v>11</v>
      </c>
      <c r="Q323" s="2">
        <f>IFERROR(__xludf.DUMMYFUNCTION("""COMPUTED_VALUE"""),5.0)</f>
        <v>5</v>
      </c>
    </row>
    <row r="324">
      <c r="P324" s="2">
        <f>IFERROR(__xludf.DUMMYFUNCTION("""COMPUTED_VALUE"""),11.0)</f>
        <v>11</v>
      </c>
      <c r="Q324" s="2">
        <f>IFERROR(__xludf.DUMMYFUNCTION("""COMPUTED_VALUE"""),10.0)</f>
        <v>10</v>
      </c>
    </row>
    <row r="325">
      <c r="P325" s="2">
        <f>IFERROR(__xludf.DUMMYFUNCTION("""COMPUTED_VALUE"""),11.0)</f>
        <v>11</v>
      </c>
      <c r="Q325" s="2">
        <f>IFERROR(__xludf.DUMMYFUNCTION("""COMPUTED_VALUE"""),6.0)</f>
        <v>6</v>
      </c>
    </row>
    <row r="326">
      <c r="P326" s="2">
        <f>IFERROR(__xludf.DUMMYFUNCTION("""COMPUTED_VALUE"""),11.0)</f>
        <v>11</v>
      </c>
      <c r="Q326" s="2">
        <f>IFERROR(__xludf.DUMMYFUNCTION("""COMPUTED_VALUE"""),6.0)</f>
        <v>6</v>
      </c>
    </row>
    <row r="327">
      <c r="P327" s="2">
        <f>IFERROR(__xludf.DUMMYFUNCTION("""COMPUTED_VALUE"""),11.0)</f>
        <v>11</v>
      </c>
      <c r="Q327" s="2">
        <f>IFERROR(__xludf.DUMMYFUNCTION("""COMPUTED_VALUE"""),4.0)</f>
        <v>4</v>
      </c>
    </row>
    <row r="328">
      <c r="P328" s="2">
        <f>IFERROR(__xludf.DUMMYFUNCTION("""COMPUTED_VALUE"""),11.0)</f>
        <v>11</v>
      </c>
      <c r="Q328" s="2">
        <f>IFERROR(__xludf.DUMMYFUNCTION("""COMPUTED_VALUE"""),3.0)</f>
        <v>3</v>
      </c>
    </row>
    <row r="329">
      <c r="P329" s="2">
        <f>IFERROR(__xludf.DUMMYFUNCTION("""COMPUTED_VALUE"""),11.0)</f>
        <v>11</v>
      </c>
      <c r="Q329" s="2">
        <f>IFERROR(__xludf.DUMMYFUNCTION("""COMPUTED_VALUE"""),4.0)</f>
        <v>4</v>
      </c>
    </row>
    <row r="330">
      <c r="P330" s="2">
        <f>IFERROR(__xludf.DUMMYFUNCTION("""COMPUTED_VALUE"""),11.0)</f>
        <v>11</v>
      </c>
      <c r="Q330" s="2">
        <f>IFERROR(__xludf.DUMMYFUNCTION("""COMPUTED_VALUE"""),72.0)</f>
        <v>72</v>
      </c>
    </row>
    <row r="331">
      <c r="P331" s="2">
        <f>IFERROR(__xludf.DUMMYFUNCTION("""COMPUTED_VALUE"""),11.0)</f>
        <v>11</v>
      </c>
      <c r="Q331" s="2">
        <f>IFERROR(__xludf.DUMMYFUNCTION("""COMPUTED_VALUE"""),36.0)</f>
        <v>36</v>
      </c>
    </row>
    <row r="332">
      <c r="P332" s="2">
        <f>IFERROR(__xludf.DUMMYFUNCTION("""COMPUTED_VALUE"""),11.0)</f>
        <v>11</v>
      </c>
      <c r="Q332" s="2">
        <f>IFERROR(__xludf.DUMMYFUNCTION("""COMPUTED_VALUE"""),24.0)</f>
        <v>24</v>
      </c>
    </row>
    <row r="333">
      <c r="P333" s="2">
        <f>IFERROR(__xludf.DUMMYFUNCTION("""COMPUTED_VALUE"""),11.0)</f>
        <v>11</v>
      </c>
      <c r="Q333" s="2">
        <f>IFERROR(__xludf.DUMMYFUNCTION("""COMPUTED_VALUE"""),24.0)</f>
        <v>24</v>
      </c>
    </row>
    <row r="334">
      <c r="P334" s="2">
        <f>IFERROR(__xludf.DUMMYFUNCTION("""COMPUTED_VALUE"""),11.0)</f>
        <v>11</v>
      </c>
      <c r="Q334" s="2">
        <f>IFERROR(__xludf.DUMMYFUNCTION("""COMPUTED_VALUE"""),8.0)</f>
        <v>8</v>
      </c>
    </row>
    <row r="335">
      <c r="P335" s="2">
        <f>IFERROR(__xludf.DUMMYFUNCTION("""COMPUTED_VALUE"""),11.0)</f>
        <v>11</v>
      </c>
      <c r="Q335" s="2">
        <f>IFERROR(__xludf.DUMMYFUNCTION("""COMPUTED_VALUE"""),32.0)</f>
        <v>32</v>
      </c>
    </row>
    <row r="336">
      <c r="P336" s="2">
        <f>IFERROR(__xludf.DUMMYFUNCTION("""COMPUTED_VALUE"""),11.0)</f>
        <v>11</v>
      </c>
      <c r="Q336" s="2">
        <f>IFERROR(__xludf.DUMMYFUNCTION("""COMPUTED_VALUE"""),10.0)</f>
        <v>10</v>
      </c>
    </row>
    <row r="337">
      <c r="P337" s="2">
        <f>IFERROR(__xludf.DUMMYFUNCTION("""COMPUTED_VALUE"""),11.0)</f>
        <v>11</v>
      </c>
      <c r="Q337" s="2">
        <f>IFERROR(__xludf.DUMMYFUNCTION("""COMPUTED_VALUE"""),8.0)</f>
        <v>8</v>
      </c>
    </row>
    <row r="338">
      <c r="P338" s="2">
        <f>IFERROR(__xludf.DUMMYFUNCTION("""COMPUTED_VALUE"""),11.0)</f>
        <v>11</v>
      </c>
      <c r="Q338" s="2">
        <f>IFERROR(__xludf.DUMMYFUNCTION("""COMPUTED_VALUE"""),8.0)</f>
        <v>8</v>
      </c>
    </row>
    <row r="339">
      <c r="P339" s="2">
        <f>IFERROR(__xludf.DUMMYFUNCTION("""COMPUTED_VALUE"""),11.0)</f>
        <v>11</v>
      </c>
      <c r="Q339" s="2">
        <f>IFERROR(__xludf.DUMMYFUNCTION("""COMPUTED_VALUE"""),50.0)</f>
        <v>50</v>
      </c>
    </row>
    <row r="340">
      <c r="P340" s="2">
        <f>IFERROR(__xludf.DUMMYFUNCTION("""COMPUTED_VALUE"""),11.0)</f>
        <v>11</v>
      </c>
      <c r="Q340" s="2">
        <f>IFERROR(__xludf.DUMMYFUNCTION("""COMPUTED_VALUE"""),1.0)</f>
        <v>1</v>
      </c>
    </row>
    <row r="341">
      <c r="P341" s="2">
        <f>IFERROR(__xludf.DUMMYFUNCTION("""COMPUTED_VALUE"""),11.0)</f>
        <v>11</v>
      </c>
      <c r="Q341" s="2">
        <f>IFERROR(__xludf.DUMMYFUNCTION("""COMPUTED_VALUE"""),5.0)</f>
        <v>5</v>
      </c>
    </row>
    <row r="342">
      <c r="P342" s="2">
        <f>IFERROR(__xludf.DUMMYFUNCTION("""COMPUTED_VALUE"""),11.0)</f>
        <v>11</v>
      </c>
      <c r="Q342" s="2">
        <f>IFERROR(__xludf.DUMMYFUNCTION("""COMPUTED_VALUE"""),2.0)</f>
        <v>2</v>
      </c>
    </row>
    <row r="343">
      <c r="P343" s="2">
        <f>IFERROR(__xludf.DUMMYFUNCTION("""COMPUTED_VALUE"""),11.0)</f>
        <v>11</v>
      </c>
      <c r="Q343" s="2">
        <f>IFERROR(__xludf.DUMMYFUNCTION("""COMPUTED_VALUE"""),1.0)</f>
        <v>1</v>
      </c>
    </row>
    <row r="344">
      <c r="P344" s="2">
        <f>IFERROR(__xludf.DUMMYFUNCTION("""COMPUTED_VALUE"""),11.0)</f>
        <v>11</v>
      </c>
      <c r="Q344" s="2">
        <f>IFERROR(__xludf.DUMMYFUNCTION("""COMPUTED_VALUE"""),3.0)</f>
        <v>3</v>
      </c>
    </row>
    <row r="345">
      <c r="P345" s="2">
        <f>IFERROR(__xludf.DUMMYFUNCTION("""COMPUTED_VALUE"""),11.0)</f>
        <v>11</v>
      </c>
      <c r="Q345" s="2">
        <f>IFERROR(__xludf.DUMMYFUNCTION("""COMPUTED_VALUE"""),2.0)</f>
        <v>2</v>
      </c>
    </row>
    <row r="346">
      <c r="P346" s="2">
        <f>IFERROR(__xludf.DUMMYFUNCTION("""COMPUTED_VALUE"""),11.0)</f>
        <v>11</v>
      </c>
      <c r="Q346" s="2">
        <f>IFERROR(__xludf.DUMMYFUNCTION("""COMPUTED_VALUE"""),2.0)</f>
        <v>2</v>
      </c>
    </row>
    <row r="347">
      <c r="P347" s="2">
        <f>IFERROR(__xludf.DUMMYFUNCTION("""COMPUTED_VALUE"""),11.0)</f>
        <v>11</v>
      </c>
      <c r="Q347" s="2">
        <f>IFERROR(__xludf.DUMMYFUNCTION("""COMPUTED_VALUE"""),3.0)</f>
        <v>3</v>
      </c>
    </row>
    <row r="348">
      <c r="P348" s="2">
        <f>IFERROR(__xludf.DUMMYFUNCTION("""COMPUTED_VALUE"""),11.0)</f>
        <v>11</v>
      </c>
      <c r="Q348" s="2">
        <f>IFERROR(__xludf.DUMMYFUNCTION("""COMPUTED_VALUE"""),2.0)</f>
        <v>2</v>
      </c>
    </row>
    <row r="349">
      <c r="P349" s="2">
        <f>IFERROR(__xludf.DUMMYFUNCTION("""COMPUTED_VALUE"""),11.0)</f>
        <v>11</v>
      </c>
      <c r="Q349" s="2">
        <f>IFERROR(__xludf.DUMMYFUNCTION("""COMPUTED_VALUE"""),3.0)</f>
        <v>3</v>
      </c>
    </row>
    <row r="350">
      <c r="P350" s="2">
        <f>IFERROR(__xludf.DUMMYFUNCTION("""COMPUTED_VALUE"""),11.0)</f>
        <v>11</v>
      </c>
      <c r="Q350" s="2">
        <f>IFERROR(__xludf.DUMMYFUNCTION("""COMPUTED_VALUE"""),2.0)</f>
        <v>2</v>
      </c>
    </row>
    <row r="351">
      <c r="P351" s="2">
        <f>IFERROR(__xludf.DUMMYFUNCTION("""COMPUTED_VALUE"""),11.0)</f>
        <v>11</v>
      </c>
      <c r="Q351" s="2">
        <f>IFERROR(__xludf.DUMMYFUNCTION("""COMPUTED_VALUE"""),2.0)</f>
        <v>2</v>
      </c>
    </row>
    <row r="352">
      <c r="P352" s="2">
        <f>IFERROR(__xludf.DUMMYFUNCTION("""COMPUTED_VALUE"""),11.0)</f>
        <v>11</v>
      </c>
      <c r="Q352" s="2">
        <f>IFERROR(__xludf.DUMMYFUNCTION("""COMPUTED_VALUE"""),3.0)</f>
        <v>3</v>
      </c>
    </row>
    <row r="353">
      <c r="P353" s="2">
        <f>IFERROR(__xludf.DUMMYFUNCTION("""COMPUTED_VALUE"""),11.0)</f>
        <v>11</v>
      </c>
      <c r="Q353" s="2">
        <f>IFERROR(__xludf.DUMMYFUNCTION("""COMPUTED_VALUE"""),2.0)</f>
        <v>2</v>
      </c>
    </row>
    <row r="354">
      <c r="P354" s="2">
        <f>IFERROR(__xludf.DUMMYFUNCTION("""COMPUTED_VALUE"""),11.0)</f>
        <v>11</v>
      </c>
      <c r="Q354" s="2">
        <f>IFERROR(__xludf.DUMMYFUNCTION("""COMPUTED_VALUE"""),5.0)</f>
        <v>5</v>
      </c>
    </row>
    <row r="355">
      <c r="P355" s="2">
        <f>IFERROR(__xludf.DUMMYFUNCTION("""COMPUTED_VALUE"""),11.0)</f>
        <v>11</v>
      </c>
      <c r="Q355" s="2">
        <f>IFERROR(__xludf.DUMMYFUNCTION("""COMPUTED_VALUE"""),2.0)</f>
        <v>2</v>
      </c>
    </row>
    <row r="356">
      <c r="P356" s="2">
        <f>IFERROR(__xludf.DUMMYFUNCTION("""COMPUTED_VALUE"""),11.0)</f>
        <v>11</v>
      </c>
      <c r="Q356" s="2">
        <f>IFERROR(__xludf.DUMMYFUNCTION("""COMPUTED_VALUE"""),2.0)</f>
        <v>2</v>
      </c>
    </row>
    <row r="357">
      <c r="P357" s="2">
        <f>IFERROR(__xludf.DUMMYFUNCTION("""COMPUTED_VALUE"""),11.0)</f>
        <v>11</v>
      </c>
      <c r="Q357" s="2">
        <f>IFERROR(__xludf.DUMMYFUNCTION("""COMPUTED_VALUE"""),1.0)</f>
        <v>1</v>
      </c>
    </row>
    <row r="358">
      <c r="P358" s="2">
        <f>IFERROR(__xludf.DUMMYFUNCTION("""COMPUTED_VALUE"""),11.0)</f>
        <v>11</v>
      </c>
      <c r="Q358" s="2">
        <f>IFERROR(__xludf.DUMMYFUNCTION("""COMPUTED_VALUE"""),2.0)</f>
        <v>2</v>
      </c>
    </row>
    <row r="359">
      <c r="P359" s="2">
        <f>IFERROR(__xludf.DUMMYFUNCTION("""COMPUTED_VALUE"""),11.0)</f>
        <v>11</v>
      </c>
      <c r="Q359" s="2">
        <f>IFERROR(__xludf.DUMMYFUNCTION("""COMPUTED_VALUE"""),3.0)</f>
        <v>3</v>
      </c>
    </row>
    <row r="360">
      <c r="P360" s="2">
        <f>IFERROR(__xludf.DUMMYFUNCTION("""COMPUTED_VALUE"""),11.0)</f>
        <v>11</v>
      </c>
      <c r="Q360" s="2">
        <f>IFERROR(__xludf.DUMMYFUNCTION("""COMPUTED_VALUE"""),3.0)</f>
        <v>3</v>
      </c>
    </row>
    <row r="361">
      <c r="P361" s="2">
        <f>IFERROR(__xludf.DUMMYFUNCTION("""COMPUTED_VALUE"""),11.0)</f>
        <v>11</v>
      </c>
      <c r="Q361" s="2">
        <f>IFERROR(__xludf.DUMMYFUNCTION("""COMPUTED_VALUE"""),3.0)</f>
        <v>3</v>
      </c>
    </row>
    <row r="362">
      <c r="P362" s="2">
        <f>IFERROR(__xludf.DUMMYFUNCTION("""COMPUTED_VALUE"""),11.0)</f>
        <v>11</v>
      </c>
      <c r="Q362" s="2">
        <f>IFERROR(__xludf.DUMMYFUNCTION("""COMPUTED_VALUE"""),1.0)</f>
        <v>1</v>
      </c>
    </row>
    <row r="363">
      <c r="P363" s="2">
        <f>IFERROR(__xludf.DUMMYFUNCTION("""COMPUTED_VALUE"""),11.0)</f>
        <v>11</v>
      </c>
      <c r="Q363" s="2">
        <f>IFERROR(__xludf.DUMMYFUNCTION("""COMPUTED_VALUE"""),1.0)</f>
        <v>1</v>
      </c>
    </row>
    <row r="364">
      <c r="P364" s="2">
        <f>IFERROR(__xludf.DUMMYFUNCTION("""COMPUTED_VALUE"""),11.0)</f>
        <v>11</v>
      </c>
      <c r="Q364" s="2">
        <f>IFERROR(__xludf.DUMMYFUNCTION("""COMPUTED_VALUE"""),1.0)</f>
        <v>1</v>
      </c>
    </row>
    <row r="365">
      <c r="P365" s="2">
        <f>IFERROR(__xludf.DUMMYFUNCTION("""COMPUTED_VALUE"""),11.0)</f>
        <v>11</v>
      </c>
      <c r="Q365" s="2">
        <f>IFERROR(__xludf.DUMMYFUNCTION("""COMPUTED_VALUE"""),2.0)</f>
        <v>2</v>
      </c>
    </row>
    <row r="366">
      <c r="P366" s="2">
        <f>IFERROR(__xludf.DUMMYFUNCTION("""COMPUTED_VALUE"""),11.0)</f>
        <v>11</v>
      </c>
      <c r="Q366" s="2">
        <f>IFERROR(__xludf.DUMMYFUNCTION("""COMPUTED_VALUE"""),1.0)</f>
        <v>1</v>
      </c>
    </row>
    <row r="367">
      <c r="P367" s="2">
        <f>IFERROR(__xludf.DUMMYFUNCTION("""COMPUTED_VALUE"""),11.0)</f>
        <v>11</v>
      </c>
      <c r="Q367" s="2">
        <f>IFERROR(__xludf.DUMMYFUNCTION("""COMPUTED_VALUE"""),1.0)</f>
        <v>1</v>
      </c>
    </row>
    <row r="368">
      <c r="P368" s="2">
        <f>IFERROR(__xludf.DUMMYFUNCTION("""COMPUTED_VALUE"""),11.0)</f>
        <v>11</v>
      </c>
      <c r="Q368" s="2">
        <f>IFERROR(__xludf.DUMMYFUNCTION("""COMPUTED_VALUE"""),12.0)</f>
        <v>12</v>
      </c>
    </row>
    <row r="369">
      <c r="P369" s="2">
        <f>IFERROR(__xludf.DUMMYFUNCTION("""COMPUTED_VALUE"""),11.0)</f>
        <v>11</v>
      </c>
      <c r="Q369" s="2">
        <f>IFERROR(__xludf.DUMMYFUNCTION("""COMPUTED_VALUE"""),6.0)</f>
        <v>6</v>
      </c>
    </row>
    <row r="370">
      <c r="P370" s="2">
        <f>IFERROR(__xludf.DUMMYFUNCTION("""COMPUTED_VALUE"""),11.0)</f>
        <v>11</v>
      </c>
      <c r="Q370" s="2">
        <f>IFERROR(__xludf.DUMMYFUNCTION("""COMPUTED_VALUE"""),20.0)</f>
        <v>20</v>
      </c>
    </row>
    <row r="371">
      <c r="P371" s="2">
        <f>IFERROR(__xludf.DUMMYFUNCTION("""COMPUTED_VALUE"""),11.0)</f>
        <v>11</v>
      </c>
      <c r="Q371" s="2">
        <f>IFERROR(__xludf.DUMMYFUNCTION("""COMPUTED_VALUE"""),1.0)</f>
        <v>1</v>
      </c>
    </row>
    <row r="372">
      <c r="P372" s="2">
        <f>IFERROR(__xludf.DUMMYFUNCTION("""COMPUTED_VALUE"""),11.0)</f>
        <v>11</v>
      </c>
      <c r="Q372" s="2">
        <f>IFERROR(__xludf.DUMMYFUNCTION("""COMPUTED_VALUE"""),6.0)</f>
        <v>6</v>
      </c>
    </row>
    <row r="373">
      <c r="P373" s="2">
        <f>IFERROR(__xludf.DUMMYFUNCTION("""COMPUTED_VALUE"""),11.0)</f>
        <v>11</v>
      </c>
      <c r="Q373" s="2">
        <f>IFERROR(__xludf.DUMMYFUNCTION("""COMPUTED_VALUE"""),4.0)</f>
        <v>4</v>
      </c>
    </row>
    <row r="374">
      <c r="P374" s="2">
        <f>IFERROR(__xludf.DUMMYFUNCTION("""COMPUTED_VALUE"""),11.0)</f>
        <v>11</v>
      </c>
      <c r="Q374" s="2">
        <f>IFERROR(__xludf.DUMMYFUNCTION("""COMPUTED_VALUE"""),1.0)</f>
        <v>1</v>
      </c>
    </row>
    <row r="375">
      <c r="P375" s="2">
        <f>IFERROR(__xludf.DUMMYFUNCTION("""COMPUTED_VALUE"""),11.0)</f>
        <v>11</v>
      </c>
      <c r="Q375" s="2">
        <f>IFERROR(__xludf.DUMMYFUNCTION("""COMPUTED_VALUE"""),1.0)</f>
        <v>1</v>
      </c>
    </row>
    <row r="376">
      <c r="P376" s="2">
        <f>IFERROR(__xludf.DUMMYFUNCTION("""COMPUTED_VALUE"""),11.0)</f>
        <v>11</v>
      </c>
      <c r="Q376" s="2">
        <f>IFERROR(__xludf.DUMMYFUNCTION("""COMPUTED_VALUE"""),1.0)</f>
        <v>1</v>
      </c>
    </row>
    <row r="377">
      <c r="P377" s="2">
        <f>IFERROR(__xludf.DUMMYFUNCTION("""COMPUTED_VALUE"""),11.0)</f>
        <v>11</v>
      </c>
      <c r="Q377" s="2">
        <f>IFERROR(__xludf.DUMMYFUNCTION("""COMPUTED_VALUE"""),12.0)</f>
        <v>12</v>
      </c>
    </row>
    <row r="378">
      <c r="P378" s="2">
        <f>IFERROR(__xludf.DUMMYFUNCTION("""COMPUTED_VALUE"""),11.0)</f>
        <v>11</v>
      </c>
      <c r="Q378" s="2">
        <f>IFERROR(__xludf.DUMMYFUNCTION("""COMPUTED_VALUE"""),12.0)</f>
        <v>12</v>
      </c>
    </row>
    <row r="379">
      <c r="P379" s="2">
        <f>IFERROR(__xludf.DUMMYFUNCTION("""COMPUTED_VALUE"""),11.0)</f>
        <v>11</v>
      </c>
      <c r="Q379" s="2">
        <f>IFERROR(__xludf.DUMMYFUNCTION("""COMPUTED_VALUE"""),1.0)</f>
        <v>1</v>
      </c>
    </row>
    <row r="380">
      <c r="P380" s="2">
        <f>IFERROR(__xludf.DUMMYFUNCTION("""COMPUTED_VALUE"""),11.0)</f>
        <v>11</v>
      </c>
      <c r="Q380" s="2">
        <f>IFERROR(__xludf.DUMMYFUNCTION("""COMPUTED_VALUE"""),12.0)</f>
        <v>12</v>
      </c>
    </row>
    <row r="381">
      <c r="P381" s="2">
        <f>IFERROR(__xludf.DUMMYFUNCTION("""COMPUTED_VALUE"""),11.0)</f>
        <v>11</v>
      </c>
      <c r="Q381" s="2">
        <f>IFERROR(__xludf.DUMMYFUNCTION("""COMPUTED_VALUE"""),1.0)</f>
        <v>1</v>
      </c>
    </row>
    <row r="382">
      <c r="P382" s="2">
        <f>IFERROR(__xludf.DUMMYFUNCTION("""COMPUTED_VALUE"""),11.0)</f>
        <v>11</v>
      </c>
      <c r="Q382" s="2">
        <f>IFERROR(__xludf.DUMMYFUNCTION("""COMPUTED_VALUE"""),1.0)</f>
        <v>1</v>
      </c>
    </row>
    <row r="383">
      <c r="P383" s="2">
        <f>IFERROR(__xludf.DUMMYFUNCTION("""COMPUTED_VALUE"""),11.0)</f>
        <v>11</v>
      </c>
      <c r="Q383" s="2">
        <f>IFERROR(__xludf.DUMMYFUNCTION("""COMPUTED_VALUE"""),2.0)</f>
        <v>2</v>
      </c>
    </row>
    <row r="384">
      <c r="P384" s="2">
        <f>IFERROR(__xludf.DUMMYFUNCTION("""COMPUTED_VALUE"""),11.0)</f>
        <v>11</v>
      </c>
      <c r="Q384" s="2">
        <f>IFERROR(__xludf.DUMMYFUNCTION("""COMPUTED_VALUE"""),1.0)</f>
        <v>1</v>
      </c>
    </row>
    <row r="385">
      <c r="P385" s="2">
        <f>IFERROR(__xludf.DUMMYFUNCTION("""COMPUTED_VALUE"""),11.0)</f>
        <v>11</v>
      </c>
      <c r="Q385" s="2">
        <f>IFERROR(__xludf.DUMMYFUNCTION("""COMPUTED_VALUE"""),1.0)</f>
        <v>1</v>
      </c>
    </row>
    <row r="386">
      <c r="P386" s="2">
        <f>IFERROR(__xludf.DUMMYFUNCTION("""COMPUTED_VALUE"""),11.0)</f>
        <v>11</v>
      </c>
      <c r="Q386" s="2">
        <f>IFERROR(__xludf.DUMMYFUNCTION("""COMPUTED_VALUE"""),1.0)</f>
        <v>1</v>
      </c>
    </row>
    <row r="387">
      <c r="P387" s="2">
        <f>IFERROR(__xludf.DUMMYFUNCTION("""COMPUTED_VALUE"""),11.0)</f>
        <v>11</v>
      </c>
      <c r="Q387" s="2">
        <f>IFERROR(__xludf.DUMMYFUNCTION("""COMPUTED_VALUE"""),1.0)</f>
        <v>1</v>
      </c>
    </row>
    <row r="388">
      <c r="P388" s="2">
        <f>IFERROR(__xludf.DUMMYFUNCTION("""COMPUTED_VALUE"""),11.0)</f>
        <v>11</v>
      </c>
      <c r="Q388" s="2">
        <f>IFERROR(__xludf.DUMMYFUNCTION("""COMPUTED_VALUE"""),1.0)</f>
        <v>1</v>
      </c>
    </row>
    <row r="389">
      <c r="P389" s="2">
        <f>IFERROR(__xludf.DUMMYFUNCTION("""COMPUTED_VALUE"""),11.0)</f>
        <v>11</v>
      </c>
      <c r="Q389" s="2">
        <f>IFERROR(__xludf.DUMMYFUNCTION("""COMPUTED_VALUE"""),1.0)</f>
        <v>1</v>
      </c>
    </row>
    <row r="390">
      <c r="P390" s="2">
        <f>IFERROR(__xludf.DUMMYFUNCTION("""COMPUTED_VALUE"""),11.0)</f>
        <v>11</v>
      </c>
      <c r="Q390" s="2">
        <f>IFERROR(__xludf.DUMMYFUNCTION("""COMPUTED_VALUE"""),4.0)</f>
        <v>4</v>
      </c>
    </row>
    <row r="391">
      <c r="P391" s="2">
        <f>IFERROR(__xludf.DUMMYFUNCTION("""COMPUTED_VALUE"""),11.0)</f>
        <v>11</v>
      </c>
      <c r="Q391" s="2">
        <f>IFERROR(__xludf.DUMMYFUNCTION("""COMPUTED_VALUE"""),4.0)</f>
        <v>4</v>
      </c>
    </row>
    <row r="392">
      <c r="P392" s="2">
        <f>IFERROR(__xludf.DUMMYFUNCTION("""COMPUTED_VALUE"""),11.0)</f>
        <v>11</v>
      </c>
      <c r="Q392" s="2">
        <f>IFERROR(__xludf.DUMMYFUNCTION("""COMPUTED_VALUE"""),-2.0)</f>
        <v>-2</v>
      </c>
    </row>
    <row r="393">
      <c r="P393" s="2">
        <f>IFERROR(__xludf.DUMMYFUNCTION("""COMPUTED_VALUE"""),11.0)</f>
        <v>11</v>
      </c>
      <c r="Q393" s="2">
        <f>IFERROR(__xludf.DUMMYFUNCTION("""COMPUTED_VALUE"""),-1.0)</f>
        <v>-1</v>
      </c>
    </row>
    <row r="394">
      <c r="P394" s="2">
        <f>IFERROR(__xludf.DUMMYFUNCTION("""COMPUTED_VALUE"""),11.0)</f>
        <v>11</v>
      </c>
      <c r="Q394" s="2">
        <f>IFERROR(__xludf.DUMMYFUNCTION("""COMPUTED_VALUE"""),-1.0)</f>
        <v>-1</v>
      </c>
    </row>
    <row r="395">
      <c r="P395" s="2">
        <f>IFERROR(__xludf.DUMMYFUNCTION("""COMPUTED_VALUE"""),11.0)</f>
        <v>11</v>
      </c>
      <c r="Q395" s="2">
        <f>IFERROR(__xludf.DUMMYFUNCTION("""COMPUTED_VALUE"""),12.0)</f>
        <v>12</v>
      </c>
    </row>
    <row r="396">
      <c r="P396" s="2">
        <f>IFERROR(__xludf.DUMMYFUNCTION("""COMPUTED_VALUE"""),11.0)</f>
        <v>11</v>
      </c>
      <c r="Q396" s="2">
        <f>IFERROR(__xludf.DUMMYFUNCTION("""COMPUTED_VALUE"""),32.0)</f>
        <v>32</v>
      </c>
    </row>
    <row r="397">
      <c r="P397" s="2">
        <f>IFERROR(__xludf.DUMMYFUNCTION("""COMPUTED_VALUE"""),11.0)</f>
        <v>11</v>
      </c>
      <c r="Q397" s="2">
        <f>IFERROR(__xludf.DUMMYFUNCTION("""COMPUTED_VALUE"""),6.0)</f>
        <v>6</v>
      </c>
    </row>
    <row r="398">
      <c r="P398" s="2">
        <f>IFERROR(__xludf.DUMMYFUNCTION("""COMPUTED_VALUE"""),11.0)</f>
        <v>11</v>
      </c>
      <c r="Q398" s="2">
        <f>IFERROR(__xludf.DUMMYFUNCTION("""COMPUTED_VALUE"""),6.0)</f>
        <v>6</v>
      </c>
    </row>
    <row r="399">
      <c r="P399" s="2">
        <f>IFERROR(__xludf.DUMMYFUNCTION("""COMPUTED_VALUE"""),11.0)</f>
        <v>11</v>
      </c>
      <c r="Q399" s="2">
        <f>IFERROR(__xludf.DUMMYFUNCTION("""COMPUTED_VALUE"""),4.0)</f>
        <v>4</v>
      </c>
    </row>
    <row r="400">
      <c r="P400" s="2">
        <f>IFERROR(__xludf.DUMMYFUNCTION("""COMPUTED_VALUE"""),11.0)</f>
        <v>11</v>
      </c>
      <c r="Q400" s="2">
        <f>IFERROR(__xludf.DUMMYFUNCTION("""COMPUTED_VALUE"""),3.0)</f>
        <v>3</v>
      </c>
    </row>
    <row r="401">
      <c r="P401" s="2">
        <f>IFERROR(__xludf.DUMMYFUNCTION("""COMPUTED_VALUE"""),11.0)</f>
        <v>11</v>
      </c>
      <c r="Q401" s="2">
        <f>IFERROR(__xludf.DUMMYFUNCTION("""COMPUTED_VALUE"""),3.0)</f>
        <v>3</v>
      </c>
    </row>
    <row r="402">
      <c r="P402" s="2">
        <f>IFERROR(__xludf.DUMMYFUNCTION("""COMPUTED_VALUE"""),11.0)</f>
        <v>11</v>
      </c>
      <c r="Q402" s="2">
        <f>IFERROR(__xludf.DUMMYFUNCTION("""COMPUTED_VALUE"""),3.0)</f>
        <v>3</v>
      </c>
    </row>
    <row r="403">
      <c r="P403" s="2">
        <f>IFERROR(__xludf.DUMMYFUNCTION("""COMPUTED_VALUE"""),11.0)</f>
        <v>11</v>
      </c>
      <c r="Q403" s="2">
        <f>IFERROR(__xludf.DUMMYFUNCTION("""COMPUTED_VALUE"""),3.0)</f>
        <v>3</v>
      </c>
    </row>
    <row r="404">
      <c r="P404" s="2">
        <f>IFERROR(__xludf.DUMMYFUNCTION("""COMPUTED_VALUE"""),11.0)</f>
        <v>11</v>
      </c>
      <c r="Q404" s="2">
        <f>IFERROR(__xludf.DUMMYFUNCTION("""COMPUTED_VALUE"""),12.0)</f>
        <v>12</v>
      </c>
    </row>
    <row r="405">
      <c r="P405" s="2">
        <f>IFERROR(__xludf.DUMMYFUNCTION("""COMPUTED_VALUE"""),11.0)</f>
        <v>11</v>
      </c>
      <c r="Q405" s="2">
        <f>IFERROR(__xludf.DUMMYFUNCTION("""COMPUTED_VALUE"""),12.0)</f>
        <v>12</v>
      </c>
    </row>
    <row r="406">
      <c r="P406" s="2">
        <f>IFERROR(__xludf.DUMMYFUNCTION("""COMPUTED_VALUE"""),11.0)</f>
        <v>11</v>
      </c>
      <c r="Q406" s="2">
        <f>IFERROR(__xludf.DUMMYFUNCTION("""COMPUTED_VALUE"""),6.0)</f>
        <v>6</v>
      </c>
    </row>
    <row r="407">
      <c r="P407" s="2">
        <f>IFERROR(__xludf.DUMMYFUNCTION("""COMPUTED_VALUE"""),11.0)</f>
        <v>11</v>
      </c>
      <c r="Q407" s="2">
        <f>IFERROR(__xludf.DUMMYFUNCTION("""COMPUTED_VALUE"""),6.0)</f>
        <v>6</v>
      </c>
    </row>
    <row r="408">
      <c r="P408" s="2">
        <f>IFERROR(__xludf.DUMMYFUNCTION("""COMPUTED_VALUE"""),11.0)</f>
        <v>11</v>
      </c>
      <c r="Q408" s="2">
        <f>IFERROR(__xludf.DUMMYFUNCTION("""COMPUTED_VALUE"""),6.0)</f>
        <v>6</v>
      </c>
    </row>
    <row r="409">
      <c r="P409" s="2">
        <f>IFERROR(__xludf.DUMMYFUNCTION("""COMPUTED_VALUE"""),11.0)</f>
        <v>11</v>
      </c>
      <c r="Q409" s="2">
        <f>IFERROR(__xludf.DUMMYFUNCTION("""COMPUTED_VALUE"""),6.0)</f>
        <v>6</v>
      </c>
    </row>
    <row r="410">
      <c r="P410" s="2">
        <f>IFERROR(__xludf.DUMMYFUNCTION("""COMPUTED_VALUE"""),11.0)</f>
        <v>11</v>
      </c>
      <c r="Q410" s="2">
        <f>IFERROR(__xludf.DUMMYFUNCTION("""COMPUTED_VALUE"""),3.0)</f>
        <v>3</v>
      </c>
    </row>
    <row r="411">
      <c r="P411" s="2">
        <f>IFERROR(__xludf.DUMMYFUNCTION("""COMPUTED_VALUE"""),11.0)</f>
        <v>11</v>
      </c>
      <c r="Q411" s="2">
        <f>IFERROR(__xludf.DUMMYFUNCTION("""COMPUTED_VALUE"""),4.0)</f>
        <v>4</v>
      </c>
    </row>
    <row r="412">
      <c r="P412" s="2">
        <f>IFERROR(__xludf.DUMMYFUNCTION("""COMPUTED_VALUE"""),11.0)</f>
        <v>11</v>
      </c>
      <c r="Q412" s="2">
        <f>IFERROR(__xludf.DUMMYFUNCTION("""COMPUTED_VALUE"""),6.0)</f>
        <v>6</v>
      </c>
    </row>
    <row r="413">
      <c r="P413" s="2">
        <f>IFERROR(__xludf.DUMMYFUNCTION("""COMPUTED_VALUE"""),11.0)</f>
        <v>11</v>
      </c>
      <c r="Q413" s="2">
        <f>IFERROR(__xludf.DUMMYFUNCTION("""COMPUTED_VALUE"""),6.0)</f>
        <v>6</v>
      </c>
    </row>
    <row r="414">
      <c r="P414" s="2">
        <f>IFERROR(__xludf.DUMMYFUNCTION("""COMPUTED_VALUE"""),11.0)</f>
        <v>11</v>
      </c>
      <c r="Q414" s="2">
        <f>IFERROR(__xludf.DUMMYFUNCTION("""COMPUTED_VALUE"""),12.0)</f>
        <v>12</v>
      </c>
    </row>
    <row r="415">
      <c r="P415" s="2">
        <f>IFERROR(__xludf.DUMMYFUNCTION("""COMPUTED_VALUE"""),11.0)</f>
        <v>11</v>
      </c>
      <c r="Q415" s="2">
        <f>IFERROR(__xludf.DUMMYFUNCTION("""COMPUTED_VALUE"""),12.0)</f>
        <v>12</v>
      </c>
    </row>
    <row r="416">
      <c r="P416" s="2">
        <f>IFERROR(__xludf.DUMMYFUNCTION("""COMPUTED_VALUE"""),11.0)</f>
        <v>11</v>
      </c>
      <c r="Q416" s="2">
        <f>IFERROR(__xludf.DUMMYFUNCTION("""COMPUTED_VALUE"""),12.0)</f>
        <v>12</v>
      </c>
    </row>
    <row r="417">
      <c r="P417" s="2">
        <f>IFERROR(__xludf.DUMMYFUNCTION("""COMPUTED_VALUE"""),11.0)</f>
        <v>11</v>
      </c>
      <c r="Q417" s="2">
        <f>IFERROR(__xludf.DUMMYFUNCTION("""COMPUTED_VALUE"""),12.0)</f>
        <v>12</v>
      </c>
    </row>
    <row r="418">
      <c r="P418" s="2">
        <f>IFERROR(__xludf.DUMMYFUNCTION("""COMPUTED_VALUE"""),11.0)</f>
        <v>11</v>
      </c>
      <c r="Q418" s="2">
        <f>IFERROR(__xludf.DUMMYFUNCTION("""COMPUTED_VALUE"""),8.0)</f>
        <v>8</v>
      </c>
    </row>
    <row r="419">
      <c r="P419" s="2">
        <f>IFERROR(__xludf.DUMMYFUNCTION("""COMPUTED_VALUE"""),11.0)</f>
        <v>11</v>
      </c>
      <c r="Q419" s="2">
        <f>IFERROR(__xludf.DUMMYFUNCTION("""COMPUTED_VALUE"""),6.0)</f>
        <v>6</v>
      </c>
    </row>
    <row r="420">
      <c r="P420" s="2">
        <f>IFERROR(__xludf.DUMMYFUNCTION("""COMPUTED_VALUE"""),11.0)</f>
        <v>11</v>
      </c>
      <c r="Q420" s="2">
        <f>IFERROR(__xludf.DUMMYFUNCTION("""COMPUTED_VALUE"""),5.0)</f>
        <v>5</v>
      </c>
    </row>
    <row r="421">
      <c r="P421" s="2">
        <f>IFERROR(__xludf.DUMMYFUNCTION("""COMPUTED_VALUE"""),11.0)</f>
        <v>11</v>
      </c>
      <c r="Q421" s="2">
        <f>IFERROR(__xludf.DUMMYFUNCTION("""COMPUTED_VALUE"""),4.0)</f>
        <v>4</v>
      </c>
    </row>
    <row r="422">
      <c r="P422" s="2">
        <f>IFERROR(__xludf.DUMMYFUNCTION("""COMPUTED_VALUE"""),11.0)</f>
        <v>11</v>
      </c>
      <c r="Q422" s="2">
        <f>IFERROR(__xludf.DUMMYFUNCTION("""COMPUTED_VALUE"""),4.0)</f>
        <v>4</v>
      </c>
    </row>
    <row r="423">
      <c r="P423" s="2">
        <f>IFERROR(__xludf.DUMMYFUNCTION("""COMPUTED_VALUE"""),11.0)</f>
        <v>11</v>
      </c>
      <c r="Q423" s="2">
        <f>IFERROR(__xludf.DUMMYFUNCTION("""COMPUTED_VALUE"""),2.0)</f>
        <v>2</v>
      </c>
    </row>
    <row r="424">
      <c r="P424" s="2">
        <f>IFERROR(__xludf.DUMMYFUNCTION("""COMPUTED_VALUE"""),11.0)</f>
        <v>11</v>
      </c>
      <c r="Q424" s="2">
        <f>IFERROR(__xludf.DUMMYFUNCTION("""COMPUTED_VALUE"""),6.0)</f>
        <v>6</v>
      </c>
    </row>
    <row r="425">
      <c r="P425" s="2">
        <f>IFERROR(__xludf.DUMMYFUNCTION("""COMPUTED_VALUE"""),11.0)</f>
        <v>11</v>
      </c>
      <c r="Q425" s="2">
        <f>IFERROR(__xludf.DUMMYFUNCTION("""COMPUTED_VALUE"""),6.0)</f>
        <v>6</v>
      </c>
    </row>
    <row r="426">
      <c r="P426" s="2">
        <f>IFERROR(__xludf.DUMMYFUNCTION("""COMPUTED_VALUE"""),11.0)</f>
        <v>11</v>
      </c>
      <c r="Q426" s="2">
        <f>IFERROR(__xludf.DUMMYFUNCTION("""COMPUTED_VALUE"""),2.0)</f>
        <v>2</v>
      </c>
    </row>
    <row r="427">
      <c r="P427" s="2">
        <f>IFERROR(__xludf.DUMMYFUNCTION("""COMPUTED_VALUE"""),11.0)</f>
        <v>11</v>
      </c>
      <c r="Q427" s="2">
        <f>IFERROR(__xludf.DUMMYFUNCTION("""COMPUTED_VALUE"""),2.0)</f>
        <v>2</v>
      </c>
    </row>
    <row r="428">
      <c r="P428" s="2">
        <f>IFERROR(__xludf.DUMMYFUNCTION("""COMPUTED_VALUE"""),11.0)</f>
        <v>11</v>
      </c>
      <c r="Q428" s="2">
        <f>IFERROR(__xludf.DUMMYFUNCTION("""COMPUTED_VALUE"""),2.0)</f>
        <v>2</v>
      </c>
    </row>
    <row r="429">
      <c r="P429" s="2">
        <f>IFERROR(__xludf.DUMMYFUNCTION("""COMPUTED_VALUE"""),11.0)</f>
        <v>11</v>
      </c>
      <c r="Q429" s="2">
        <f>IFERROR(__xludf.DUMMYFUNCTION("""COMPUTED_VALUE"""),3.0)</f>
        <v>3</v>
      </c>
    </row>
    <row r="430">
      <c r="P430" s="2">
        <f>IFERROR(__xludf.DUMMYFUNCTION("""COMPUTED_VALUE"""),11.0)</f>
        <v>11</v>
      </c>
      <c r="Q430" s="2">
        <f>IFERROR(__xludf.DUMMYFUNCTION("""COMPUTED_VALUE"""),6.0)</f>
        <v>6</v>
      </c>
    </row>
    <row r="431">
      <c r="P431" s="2">
        <f>IFERROR(__xludf.DUMMYFUNCTION("""COMPUTED_VALUE"""),11.0)</f>
        <v>11</v>
      </c>
      <c r="Q431" s="2">
        <f>IFERROR(__xludf.DUMMYFUNCTION("""COMPUTED_VALUE"""),2.0)</f>
        <v>2</v>
      </c>
    </row>
    <row r="432">
      <c r="P432" s="2">
        <f>IFERROR(__xludf.DUMMYFUNCTION("""COMPUTED_VALUE"""),11.0)</f>
        <v>11</v>
      </c>
      <c r="Q432" s="2">
        <f>IFERROR(__xludf.DUMMYFUNCTION("""COMPUTED_VALUE"""),2.0)</f>
        <v>2</v>
      </c>
    </row>
    <row r="433">
      <c r="P433" s="2">
        <f>IFERROR(__xludf.DUMMYFUNCTION("""COMPUTED_VALUE"""),11.0)</f>
        <v>11</v>
      </c>
      <c r="Q433" s="2">
        <f>IFERROR(__xludf.DUMMYFUNCTION("""COMPUTED_VALUE"""),12.0)</f>
        <v>12</v>
      </c>
    </row>
    <row r="434">
      <c r="P434" s="2">
        <f>IFERROR(__xludf.DUMMYFUNCTION("""COMPUTED_VALUE"""),11.0)</f>
        <v>11</v>
      </c>
      <c r="Q434" s="2">
        <f>IFERROR(__xludf.DUMMYFUNCTION("""COMPUTED_VALUE"""),12.0)</f>
        <v>12</v>
      </c>
    </row>
    <row r="435">
      <c r="P435" s="2">
        <f>IFERROR(__xludf.DUMMYFUNCTION("""COMPUTED_VALUE"""),11.0)</f>
        <v>11</v>
      </c>
      <c r="Q435" s="2">
        <f>IFERROR(__xludf.DUMMYFUNCTION("""COMPUTED_VALUE"""),8.0)</f>
        <v>8</v>
      </c>
    </row>
    <row r="436">
      <c r="P436" s="2">
        <f>IFERROR(__xludf.DUMMYFUNCTION("""COMPUTED_VALUE"""),11.0)</f>
        <v>11</v>
      </c>
      <c r="Q436" s="2">
        <f>IFERROR(__xludf.DUMMYFUNCTION("""COMPUTED_VALUE"""),6.0)</f>
        <v>6</v>
      </c>
    </row>
    <row r="437">
      <c r="P437" s="2">
        <f>IFERROR(__xludf.DUMMYFUNCTION("""COMPUTED_VALUE"""),11.0)</f>
        <v>11</v>
      </c>
      <c r="Q437" s="2">
        <f>IFERROR(__xludf.DUMMYFUNCTION("""COMPUTED_VALUE"""),2.0)</f>
        <v>2</v>
      </c>
    </row>
    <row r="438">
      <c r="P438" s="2">
        <f>IFERROR(__xludf.DUMMYFUNCTION("""COMPUTED_VALUE"""),11.0)</f>
        <v>11</v>
      </c>
      <c r="Q438" s="2">
        <f>IFERROR(__xludf.DUMMYFUNCTION("""COMPUTED_VALUE"""),2.0)</f>
        <v>2</v>
      </c>
    </row>
    <row r="439">
      <c r="P439" s="2">
        <f>IFERROR(__xludf.DUMMYFUNCTION("""COMPUTED_VALUE"""),11.0)</f>
        <v>11</v>
      </c>
      <c r="Q439" s="2">
        <f>IFERROR(__xludf.DUMMYFUNCTION("""COMPUTED_VALUE"""),2.0)</f>
        <v>2</v>
      </c>
    </row>
    <row r="440">
      <c r="P440" s="2">
        <f>IFERROR(__xludf.DUMMYFUNCTION("""COMPUTED_VALUE"""),11.0)</f>
        <v>11</v>
      </c>
      <c r="Q440" s="2">
        <f>IFERROR(__xludf.DUMMYFUNCTION("""COMPUTED_VALUE"""),36.0)</f>
        <v>36</v>
      </c>
    </row>
    <row r="441">
      <c r="P441" s="2">
        <f>IFERROR(__xludf.DUMMYFUNCTION("""COMPUTED_VALUE"""),11.0)</f>
        <v>11</v>
      </c>
      <c r="Q441" s="2">
        <f>IFERROR(__xludf.DUMMYFUNCTION("""COMPUTED_VALUE"""),3.0)</f>
        <v>3</v>
      </c>
    </row>
    <row r="442">
      <c r="P442" s="2">
        <f>IFERROR(__xludf.DUMMYFUNCTION("""COMPUTED_VALUE"""),11.0)</f>
        <v>11</v>
      </c>
      <c r="Q442" s="2">
        <f>IFERROR(__xludf.DUMMYFUNCTION("""COMPUTED_VALUE"""),6.0)</f>
        <v>6</v>
      </c>
    </row>
    <row r="443">
      <c r="P443" s="2">
        <f>IFERROR(__xludf.DUMMYFUNCTION("""COMPUTED_VALUE"""),11.0)</f>
        <v>11</v>
      </c>
      <c r="Q443" s="2">
        <f>IFERROR(__xludf.DUMMYFUNCTION("""COMPUTED_VALUE"""),10.0)</f>
        <v>10</v>
      </c>
    </row>
    <row r="444">
      <c r="P444" s="2">
        <f>IFERROR(__xludf.DUMMYFUNCTION("""COMPUTED_VALUE"""),11.0)</f>
        <v>11</v>
      </c>
      <c r="Q444" s="2">
        <f>IFERROR(__xludf.DUMMYFUNCTION("""COMPUTED_VALUE"""),10.0)</f>
        <v>10</v>
      </c>
    </row>
    <row r="445">
      <c r="P445" s="2">
        <f>IFERROR(__xludf.DUMMYFUNCTION("""COMPUTED_VALUE"""),11.0)</f>
        <v>11</v>
      </c>
      <c r="Q445" s="2">
        <f>IFERROR(__xludf.DUMMYFUNCTION("""COMPUTED_VALUE"""),6.0)</f>
        <v>6</v>
      </c>
    </row>
    <row r="446">
      <c r="P446" s="2">
        <f>IFERROR(__xludf.DUMMYFUNCTION("""COMPUTED_VALUE"""),11.0)</f>
        <v>11</v>
      </c>
      <c r="Q446" s="2">
        <f>IFERROR(__xludf.DUMMYFUNCTION("""COMPUTED_VALUE"""),4.0)</f>
        <v>4</v>
      </c>
    </row>
    <row r="447">
      <c r="P447" s="2">
        <f>IFERROR(__xludf.DUMMYFUNCTION("""COMPUTED_VALUE"""),11.0)</f>
        <v>11</v>
      </c>
      <c r="Q447" s="2">
        <f>IFERROR(__xludf.DUMMYFUNCTION("""COMPUTED_VALUE"""),12.0)</f>
        <v>12</v>
      </c>
    </row>
    <row r="448">
      <c r="P448" s="2">
        <f>IFERROR(__xludf.DUMMYFUNCTION("""COMPUTED_VALUE"""),11.0)</f>
        <v>11</v>
      </c>
      <c r="Q448" s="2">
        <f>IFERROR(__xludf.DUMMYFUNCTION("""COMPUTED_VALUE"""),6.0)</f>
        <v>6</v>
      </c>
    </row>
    <row r="449">
      <c r="P449" s="2">
        <f>IFERROR(__xludf.DUMMYFUNCTION("""COMPUTED_VALUE"""),11.0)</f>
        <v>11</v>
      </c>
      <c r="Q449" s="2">
        <f>IFERROR(__xludf.DUMMYFUNCTION("""COMPUTED_VALUE"""),12.0)</f>
        <v>12</v>
      </c>
    </row>
    <row r="450">
      <c r="P450" s="2">
        <f>IFERROR(__xludf.DUMMYFUNCTION("""COMPUTED_VALUE"""),11.0)</f>
        <v>11</v>
      </c>
      <c r="Q450" s="2">
        <f>IFERROR(__xludf.DUMMYFUNCTION("""COMPUTED_VALUE"""),4.0)</f>
        <v>4</v>
      </c>
    </row>
    <row r="451">
      <c r="P451" s="2">
        <f>IFERROR(__xludf.DUMMYFUNCTION("""COMPUTED_VALUE"""),11.0)</f>
        <v>11</v>
      </c>
      <c r="Q451" s="2">
        <f>IFERROR(__xludf.DUMMYFUNCTION("""COMPUTED_VALUE"""),54.0)</f>
        <v>54</v>
      </c>
    </row>
    <row r="452">
      <c r="P452" s="2">
        <f>IFERROR(__xludf.DUMMYFUNCTION("""COMPUTED_VALUE"""),11.0)</f>
        <v>11</v>
      </c>
      <c r="Q452" s="2">
        <f>IFERROR(__xludf.DUMMYFUNCTION("""COMPUTED_VALUE"""),6.0)</f>
        <v>6</v>
      </c>
    </row>
    <row r="453">
      <c r="P453" s="2">
        <f>IFERROR(__xludf.DUMMYFUNCTION("""COMPUTED_VALUE"""),11.0)</f>
        <v>11</v>
      </c>
      <c r="Q453" s="2">
        <f>IFERROR(__xludf.DUMMYFUNCTION("""COMPUTED_VALUE"""),4.0)</f>
        <v>4</v>
      </c>
    </row>
    <row r="454">
      <c r="P454" s="2">
        <f>IFERROR(__xludf.DUMMYFUNCTION("""COMPUTED_VALUE"""),11.0)</f>
        <v>11</v>
      </c>
      <c r="Q454" s="2">
        <f>IFERROR(__xludf.DUMMYFUNCTION("""COMPUTED_VALUE"""),10.0)</f>
        <v>10</v>
      </c>
    </row>
    <row r="455">
      <c r="P455" s="2">
        <f>IFERROR(__xludf.DUMMYFUNCTION("""COMPUTED_VALUE"""),11.0)</f>
        <v>11</v>
      </c>
      <c r="Q455" s="2">
        <f>IFERROR(__xludf.DUMMYFUNCTION("""COMPUTED_VALUE"""),12.0)</f>
        <v>12</v>
      </c>
    </row>
    <row r="456">
      <c r="P456" s="2">
        <f>IFERROR(__xludf.DUMMYFUNCTION("""COMPUTED_VALUE"""),11.0)</f>
        <v>11</v>
      </c>
      <c r="Q456" s="2">
        <f>IFERROR(__xludf.DUMMYFUNCTION("""COMPUTED_VALUE"""),12.0)</f>
        <v>12</v>
      </c>
    </row>
    <row r="457">
      <c r="P457" s="2">
        <f>IFERROR(__xludf.DUMMYFUNCTION("""COMPUTED_VALUE"""),11.0)</f>
        <v>11</v>
      </c>
      <c r="Q457" s="2">
        <f>IFERROR(__xludf.DUMMYFUNCTION("""COMPUTED_VALUE"""),6.0)</f>
        <v>6</v>
      </c>
    </row>
    <row r="458">
      <c r="P458" s="2">
        <f>IFERROR(__xludf.DUMMYFUNCTION("""COMPUTED_VALUE"""),11.0)</f>
        <v>11</v>
      </c>
      <c r="Q458" s="2">
        <f>IFERROR(__xludf.DUMMYFUNCTION("""COMPUTED_VALUE"""),6.0)</f>
        <v>6</v>
      </c>
    </row>
    <row r="459">
      <c r="P459" s="2">
        <f>IFERROR(__xludf.DUMMYFUNCTION("""COMPUTED_VALUE"""),11.0)</f>
        <v>11</v>
      </c>
      <c r="Q459" s="2">
        <f>IFERROR(__xludf.DUMMYFUNCTION("""COMPUTED_VALUE"""),3.0)</f>
        <v>3</v>
      </c>
    </row>
    <row r="460">
      <c r="P460" s="2">
        <f>IFERROR(__xludf.DUMMYFUNCTION("""COMPUTED_VALUE"""),11.0)</f>
        <v>11</v>
      </c>
      <c r="Q460" s="2">
        <f>IFERROR(__xludf.DUMMYFUNCTION("""COMPUTED_VALUE"""),3.0)</f>
        <v>3</v>
      </c>
    </row>
    <row r="461">
      <c r="P461" s="2">
        <f>IFERROR(__xludf.DUMMYFUNCTION("""COMPUTED_VALUE"""),11.0)</f>
        <v>11</v>
      </c>
      <c r="Q461" s="2">
        <f>IFERROR(__xludf.DUMMYFUNCTION("""COMPUTED_VALUE"""),12.0)</f>
        <v>12</v>
      </c>
    </row>
    <row r="462">
      <c r="P462" s="2">
        <f>IFERROR(__xludf.DUMMYFUNCTION("""COMPUTED_VALUE"""),11.0)</f>
        <v>11</v>
      </c>
      <c r="Q462" s="2">
        <f>IFERROR(__xludf.DUMMYFUNCTION("""COMPUTED_VALUE"""),12.0)</f>
        <v>12</v>
      </c>
    </row>
    <row r="463">
      <c r="P463" s="2">
        <f>IFERROR(__xludf.DUMMYFUNCTION("""COMPUTED_VALUE"""),11.0)</f>
        <v>11</v>
      </c>
      <c r="Q463" s="2">
        <f>IFERROR(__xludf.DUMMYFUNCTION("""COMPUTED_VALUE"""),3.0)</f>
        <v>3</v>
      </c>
    </row>
    <row r="464">
      <c r="P464" s="2">
        <f>IFERROR(__xludf.DUMMYFUNCTION("""COMPUTED_VALUE"""),11.0)</f>
        <v>11</v>
      </c>
      <c r="Q464" s="2">
        <f>IFERROR(__xludf.DUMMYFUNCTION("""COMPUTED_VALUE"""),1.0)</f>
        <v>1</v>
      </c>
    </row>
    <row r="465">
      <c r="P465" s="2">
        <f>IFERROR(__xludf.DUMMYFUNCTION("""COMPUTED_VALUE"""),11.0)</f>
        <v>11</v>
      </c>
      <c r="Q465" s="2">
        <f>IFERROR(__xludf.DUMMYFUNCTION("""COMPUTED_VALUE"""),1.0)</f>
        <v>1</v>
      </c>
    </row>
    <row r="466">
      <c r="P466" s="2">
        <f>IFERROR(__xludf.DUMMYFUNCTION("""COMPUTED_VALUE"""),11.0)</f>
        <v>11</v>
      </c>
      <c r="Q466" s="2">
        <f>IFERROR(__xludf.DUMMYFUNCTION("""COMPUTED_VALUE"""),2.0)</f>
        <v>2</v>
      </c>
    </row>
    <row r="467">
      <c r="P467" s="2">
        <f>IFERROR(__xludf.DUMMYFUNCTION("""COMPUTED_VALUE"""),11.0)</f>
        <v>11</v>
      </c>
      <c r="Q467" s="2">
        <f>IFERROR(__xludf.DUMMYFUNCTION("""COMPUTED_VALUE"""),6.0)</f>
        <v>6</v>
      </c>
    </row>
    <row r="468">
      <c r="P468" s="2">
        <f>IFERROR(__xludf.DUMMYFUNCTION("""COMPUTED_VALUE"""),11.0)</f>
        <v>11</v>
      </c>
      <c r="Q468" s="2">
        <f>IFERROR(__xludf.DUMMYFUNCTION("""COMPUTED_VALUE"""),4.0)</f>
        <v>4</v>
      </c>
    </row>
    <row r="469">
      <c r="P469" s="2">
        <f>IFERROR(__xludf.DUMMYFUNCTION("""COMPUTED_VALUE"""),11.0)</f>
        <v>11</v>
      </c>
      <c r="Q469" s="2">
        <f>IFERROR(__xludf.DUMMYFUNCTION("""COMPUTED_VALUE"""),1.0)</f>
        <v>1</v>
      </c>
    </row>
    <row r="470">
      <c r="P470" s="2">
        <f>IFERROR(__xludf.DUMMYFUNCTION("""COMPUTED_VALUE"""),11.0)</f>
        <v>11</v>
      </c>
      <c r="Q470" s="2">
        <f>IFERROR(__xludf.DUMMYFUNCTION("""COMPUTED_VALUE"""),1.0)</f>
        <v>1</v>
      </c>
    </row>
    <row r="471">
      <c r="P471" s="2">
        <f>IFERROR(__xludf.DUMMYFUNCTION("""COMPUTED_VALUE"""),11.0)</f>
        <v>11</v>
      </c>
      <c r="Q471" s="2">
        <f>IFERROR(__xludf.DUMMYFUNCTION("""COMPUTED_VALUE"""),2.0)</f>
        <v>2</v>
      </c>
    </row>
    <row r="472">
      <c r="P472" s="2">
        <f>IFERROR(__xludf.DUMMYFUNCTION("""COMPUTED_VALUE"""),11.0)</f>
        <v>11</v>
      </c>
      <c r="Q472" s="2">
        <f>IFERROR(__xludf.DUMMYFUNCTION("""COMPUTED_VALUE"""),1.0)</f>
        <v>1</v>
      </c>
    </row>
    <row r="473">
      <c r="P473" s="2">
        <f>IFERROR(__xludf.DUMMYFUNCTION("""COMPUTED_VALUE"""),11.0)</f>
        <v>11</v>
      </c>
      <c r="Q473" s="2">
        <f>IFERROR(__xludf.DUMMYFUNCTION("""COMPUTED_VALUE"""),1.0)</f>
        <v>1</v>
      </c>
    </row>
    <row r="474">
      <c r="P474" s="2">
        <f>IFERROR(__xludf.DUMMYFUNCTION("""COMPUTED_VALUE"""),11.0)</f>
        <v>11</v>
      </c>
      <c r="Q474" s="2">
        <f>IFERROR(__xludf.DUMMYFUNCTION("""COMPUTED_VALUE"""),1.0)</f>
        <v>1</v>
      </c>
    </row>
    <row r="475">
      <c r="P475" s="2">
        <f>IFERROR(__xludf.DUMMYFUNCTION("""COMPUTED_VALUE"""),11.0)</f>
        <v>11</v>
      </c>
      <c r="Q475" s="2">
        <f>IFERROR(__xludf.DUMMYFUNCTION("""COMPUTED_VALUE"""),6.0)</f>
        <v>6</v>
      </c>
    </row>
    <row r="476">
      <c r="P476" s="2">
        <f>IFERROR(__xludf.DUMMYFUNCTION("""COMPUTED_VALUE"""),11.0)</f>
        <v>11</v>
      </c>
      <c r="Q476" s="2">
        <f>IFERROR(__xludf.DUMMYFUNCTION("""COMPUTED_VALUE"""),2.0)</f>
        <v>2</v>
      </c>
    </row>
    <row r="477">
      <c r="P477" s="2">
        <f>IFERROR(__xludf.DUMMYFUNCTION("""COMPUTED_VALUE"""),11.0)</f>
        <v>11</v>
      </c>
      <c r="Q477" s="2">
        <f>IFERROR(__xludf.DUMMYFUNCTION("""COMPUTED_VALUE"""),1.0)</f>
        <v>1</v>
      </c>
    </row>
    <row r="478">
      <c r="P478" s="2">
        <f>IFERROR(__xludf.DUMMYFUNCTION("""COMPUTED_VALUE"""),11.0)</f>
        <v>11</v>
      </c>
      <c r="Q478" s="2">
        <f>IFERROR(__xludf.DUMMYFUNCTION("""COMPUTED_VALUE"""),1.0)</f>
        <v>1</v>
      </c>
    </row>
    <row r="479">
      <c r="P479" s="2">
        <f>IFERROR(__xludf.DUMMYFUNCTION("""COMPUTED_VALUE"""),11.0)</f>
        <v>11</v>
      </c>
      <c r="Q479" s="2">
        <f>IFERROR(__xludf.DUMMYFUNCTION("""COMPUTED_VALUE"""),1.0)</f>
        <v>1</v>
      </c>
    </row>
    <row r="480">
      <c r="P480" s="2">
        <f>IFERROR(__xludf.DUMMYFUNCTION("""COMPUTED_VALUE"""),11.0)</f>
        <v>11</v>
      </c>
      <c r="Q480" s="2">
        <f>IFERROR(__xludf.DUMMYFUNCTION("""COMPUTED_VALUE"""),3.0)</f>
        <v>3</v>
      </c>
    </row>
    <row r="481">
      <c r="P481" s="2">
        <f>IFERROR(__xludf.DUMMYFUNCTION("""COMPUTED_VALUE"""),11.0)</f>
        <v>11</v>
      </c>
      <c r="Q481" s="2">
        <f>IFERROR(__xludf.DUMMYFUNCTION("""COMPUTED_VALUE"""),3.0)</f>
        <v>3</v>
      </c>
    </row>
    <row r="482">
      <c r="P482" s="2">
        <f>IFERROR(__xludf.DUMMYFUNCTION("""COMPUTED_VALUE"""),11.0)</f>
        <v>11</v>
      </c>
      <c r="Q482" s="2">
        <f>IFERROR(__xludf.DUMMYFUNCTION("""COMPUTED_VALUE"""),3.0)</f>
        <v>3</v>
      </c>
    </row>
    <row r="483">
      <c r="P483" s="2">
        <f>IFERROR(__xludf.DUMMYFUNCTION("""COMPUTED_VALUE"""),11.0)</f>
        <v>11</v>
      </c>
      <c r="Q483" s="2">
        <f>IFERROR(__xludf.DUMMYFUNCTION("""COMPUTED_VALUE"""),4.0)</f>
        <v>4</v>
      </c>
    </row>
    <row r="484">
      <c r="P484" s="2">
        <f>IFERROR(__xludf.DUMMYFUNCTION("""COMPUTED_VALUE"""),11.0)</f>
        <v>11</v>
      </c>
      <c r="Q484" s="2">
        <f>IFERROR(__xludf.DUMMYFUNCTION("""COMPUTED_VALUE"""),36.0)</f>
        <v>36</v>
      </c>
    </row>
    <row r="485">
      <c r="P485" s="2">
        <f>IFERROR(__xludf.DUMMYFUNCTION("""COMPUTED_VALUE"""),11.0)</f>
        <v>11</v>
      </c>
      <c r="Q485" s="2">
        <f>IFERROR(__xludf.DUMMYFUNCTION("""COMPUTED_VALUE"""),2.0)</f>
        <v>2</v>
      </c>
    </row>
    <row r="486">
      <c r="P486" s="2">
        <f>IFERROR(__xludf.DUMMYFUNCTION("""COMPUTED_VALUE"""),11.0)</f>
        <v>11</v>
      </c>
      <c r="Q486" s="2">
        <f>IFERROR(__xludf.DUMMYFUNCTION("""COMPUTED_VALUE"""),2.0)</f>
        <v>2</v>
      </c>
    </row>
    <row r="487">
      <c r="P487" s="2">
        <f>IFERROR(__xludf.DUMMYFUNCTION("""COMPUTED_VALUE"""),11.0)</f>
        <v>11</v>
      </c>
      <c r="Q487" s="2">
        <f>IFERROR(__xludf.DUMMYFUNCTION("""COMPUTED_VALUE"""),6.0)</f>
        <v>6</v>
      </c>
    </row>
    <row r="488">
      <c r="P488" s="2">
        <f>IFERROR(__xludf.DUMMYFUNCTION("""COMPUTED_VALUE"""),11.0)</f>
        <v>11</v>
      </c>
      <c r="Q488" s="2">
        <f>IFERROR(__xludf.DUMMYFUNCTION("""COMPUTED_VALUE"""),2.0)</f>
        <v>2</v>
      </c>
    </row>
    <row r="489">
      <c r="P489" s="2">
        <f>IFERROR(__xludf.DUMMYFUNCTION("""COMPUTED_VALUE"""),11.0)</f>
        <v>11</v>
      </c>
      <c r="Q489" s="2">
        <f>IFERROR(__xludf.DUMMYFUNCTION("""COMPUTED_VALUE"""),1.0)</f>
        <v>1</v>
      </c>
    </row>
    <row r="490">
      <c r="P490" s="2">
        <f>IFERROR(__xludf.DUMMYFUNCTION("""COMPUTED_VALUE"""),11.0)</f>
        <v>11</v>
      </c>
      <c r="Q490" s="2">
        <f>IFERROR(__xludf.DUMMYFUNCTION("""COMPUTED_VALUE"""),1.0)</f>
        <v>1</v>
      </c>
    </row>
    <row r="491">
      <c r="P491" s="2">
        <f>IFERROR(__xludf.DUMMYFUNCTION("""COMPUTED_VALUE"""),11.0)</f>
        <v>11</v>
      </c>
      <c r="Q491" s="2">
        <f>IFERROR(__xludf.DUMMYFUNCTION("""COMPUTED_VALUE"""),3.0)</f>
        <v>3</v>
      </c>
    </row>
    <row r="492">
      <c r="P492" s="2">
        <f>IFERROR(__xludf.DUMMYFUNCTION("""COMPUTED_VALUE"""),11.0)</f>
        <v>11</v>
      </c>
      <c r="Q492" s="2">
        <f>IFERROR(__xludf.DUMMYFUNCTION("""COMPUTED_VALUE"""),3.0)</f>
        <v>3</v>
      </c>
    </row>
    <row r="493">
      <c r="P493" s="2">
        <f>IFERROR(__xludf.DUMMYFUNCTION("""COMPUTED_VALUE"""),11.0)</f>
        <v>11</v>
      </c>
      <c r="Q493" s="2">
        <f>IFERROR(__xludf.DUMMYFUNCTION("""COMPUTED_VALUE"""),3.0)</f>
        <v>3</v>
      </c>
    </row>
    <row r="494">
      <c r="P494" s="2">
        <f>IFERROR(__xludf.DUMMYFUNCTION("""COMPUTED_VALUE"""),11.0)</f>
        <v>11</v>
      </c>
      <c r="Q494" s="2">
        <f>IFERROR(__xludf.DUMMYFUNCTION("""COMPUTED_VALUE"""),3.0)</f>
        <v>3</v>
      </c>
    </row>
    <row r="495">
      <c r="P495" s="2">
        <f>IFERROR(__xludf.DUMMYFUNCTION("""COMPUTED_VALUE"""),11.0)</f>
        <v>11</v>
      </c>
      <c r="Q495" s="2">
        <f>IFERROR(__xludf.DUMMYFUNCTION("""COMPUTED_VALUE"""),3.0)</f>
        <v>3</v>
      </c>
    </row>
    <row r="496">
      <c r="P496" s="2">
        <f>IFERROR(__xludf.DUMMYFUNCTION("""COMPUTED_VALUE"""),11.0)</f>
        <v>11</v>
      </c>
      <c r="Q496" s="2">
        <f>IFERROR(__xludf.DUMMYFUNCTION("""COMPUTED_VALUE"""),3.0)</f>
        <v>3</v>
      </c>
    </row>
    <row r="497">
      <c r="P497" s="2">
        <f>IFERROR(__xludf.DUMMYFUNCTION("""COMPUTED_VALUE"""),11.0)</f>
        <v>11</v>
      </c>
      <c r="Q497" s="2">
        <f>IFERROR(__xludf.DUMMYFUNCTION("""COMPUTED_VALUE"""),6.0)</f>
        <v>6</v>
      </c>
    </row>
    <row r="498">
      <c r="P498" s="2">
        <f>IFERROR(__xludf.DUMMYFUNCTION("""COMPUTED_VALUE"""),11.0)</f>
        <v>11</v>
      </c>
      <c r="Q498" s="2">
        <f>IFERROR(__xludf.DUMMYFUNCTION("""COMPUTED_VALUE"""),24.0)</f>
        <v>24</v>
      </c>
    </row>
    <row r="499">
      <c r="P499" s="2">
        <f>IFERROR(__xludf.DUMMYFUNCTION("""COMPUTED_VALUE"""),11.0)</f>
        <v>11</v>
      </c>
      <c r="Q499" s="2">
        <f>IFERROR(__xludf.DUMMYFUNCTION("""COMPUTED_VALUE"""),7.0)</f>
        <v>7</v>
      </c>
    </row>
    <row r="500">
      <c r="P500" s="2">
        <f>IFERROR(__xludf.DUMMYFUNCTION("""COMPUTED_VALUE"""),11.0)</f>
        <v>11</v>
      </c>
      <c r="Q500" s="2">
        <f>IFERROR(__xludf.DUMMYFUNCTION("""COMPUTED_VALUE"""),10.0)</f>
        <v>10</v>
      </c>
    </row>
    <row r="501">
      <c r="P501" s="2">
        <f>IFERROR(__xludf.DUMMYFUNCTION("""COMPUTED_VALUE"""),11.0)</f>
        <v>11</v>
      </c>
      <c r="Q501" s="2">
        <f>IFERROR(__xludf.DUMMYFUNCTION("""COMPUTED_VALUE"""),6.0)</f>
        <v>6</v>
      </c>
    </row>
    <row r="502">
      <c r="P502" s="2">
        <f>IFERROR(__xludf.DUMMYFUNCTION("""COMPUTED_VALUE"""),11.0)</f>
        <v>11</v>
      </c>
      <c r="Q502" s="2">
        <f>IFERROR(__xludf.DUMMYFUNCTION("""COMPUTED_VALUE"""),6.0)</f>
        <v>6</v>
      </c>
    </row>
    <row r="503">
      <c r="P503" s="2">
        <f>IFERROR(__xludf.DUMMYFUNCTION("""COMPUTED_VALUE"""),11.0)</f>
        <v>11</v>
      </c>
      <c r="Q503" s="2">
        <f>IFERROR(__xludf.DUMMYFUNCTION("""COMPUTED_VALUE"""),6.0)</f>
        <v>6</v>
      </c>
    </row>
    <row r="504">
      <c r="P504" s="2">
        <f>IFERROR(__xludf.DUMMYFUNCTION("""COMPUTED_VALUE"""),11.0)</f>
        <v>11</v>
      </c>
      <c r="Q504" s="2">
        <f>IFERROR(__xludf.DUMMYFUNCTION("""COMPUTED_VALUE"""),6.0)</f>
        <v>6</v>
      </c>
    </row>
    <row r="505">
      <c r="P505" s="2">
        <f>IFERROR(__xludf.DUMMYFUNCTION("""COMPUTED_VALUE"""),11.0)</f>
        <v>11</v>
      </c>
      <c r="Q505" s="2">
        <f>IFERROR(__xludf.DUMMYFUNCTION("""COMPUTED_VALUE"""),2.0)</f>
        <v>2</v>
      </c>
    </row>
    <row r="506">
      <c r="P506" s="2">
        <f>IFERROR(__xludf.DUMMYFUNCTION("""COMPUTED_VALUE"""),11.0)</f>
        <v>11</v>
      </c>
      <c r="Q506" s="2">
        <f>IFERROR(__xludf.DUMMYFUNCTION("""COMPUTED_VALUE"""),2.0)</f>
        <v>2</v>
      </c>
    </row>
    <row r="507">
      <c r="P507" s="2">
        <f>IFERROR(__xludf.DUMMYFUNCTION("""COMPUTED_VALUE"""),11.0)</f>
        <v>11</v>
      </c>
      <c r="Q507" s="2">
        <f>IFERROR(__xludf.DUMMYFUNCTION("""COMPUTED_VALUE"""),2.0)</f>
        <v>2</v>
      </c>
    </row>
    <row r="508">
      <c r="P508" s="2">
        <f>IFERROR(__xludf.DUMMYFUNCTION("""COMPUTED_VALUE"""),11.0)</f>
        <v>11</v>
      </c>
      <c r="Q508" s="2">
        <f>IFERROR(__xludf.DUMMYFUNCTION("""COMPUTED_VALUE"""),3.0)</f>
        <v>3</v>
      </c>
    </row>
    <row r="509">
      <c r="P509" s="2">
        <f>IFERROR(__xludf.DUMMYFUNCTION("""COMPUTED_VALUE"""),11.0)</f>
        <v>11</v>
      </c>
      <c r="Q509" s="2">
        <f>IFERROR(__xludf.DUMMYFUNCTION("""COMPUTED_VALUE"""),6.0)</f>
        <v>6</v>
      </c>
    </row>
    <row r="510">
      <c r="P510" s="2">
        <f>IFERROR(__xludf.DUMMYFUNCTION("""COMPUTED_VALUE"""),11.0)</f>
        <v>11</v>
      </c>
      <c r="Q510" s="2">
        <f>IFERROR(__xludf.DUMMYFUNCTION("""COMPUTED_VALUE"""),2.0)</f>
        <v>2</v>
      </c>
    </row>
    <row r="511">
      <c r="P511" s="2">
        <f>IFERROR(__xludf.DUMMYFUNCTION("""COMPUTED_VALUE"""),11.0)</f>
        <v>11</v>
      </c>
      <c r="Q511" s="2">
        <f>IFERROR(__xludf.DUMMYFUNCTION("""COMPUTED_VALUE"""),4.0)</f>
        <v>4</v>
      </c>
    </row>
    <row r="512">
      <c r="P512" s="2">
        <f>IFERROR(__xludf.DUMMYFUNCTION("""COMPUTED_VALUE"""),11.0)</f>
        <v>11</v>
      </c>
      <c r="Q512" s="2">
        <f>IFERROR(__xludf.DUMMYFUNCTION("""COMPUTED_VALUE"""),6.0)</f>
        <v>6</v>
      </c>
    </row>
    <row r="513">
      <c r="P513" s="2">
        <f>IFERROR(__xludf.DUMMYFUNCTION("""COMPUTED_VALUE"""),11.0)</f>
        <v>11</v>
      </c>
      <c r="Q513" s="2">
        <f>IFERROR(__xludf.DUMMYFUNCTION("""COMPUTED_VALUE"""),6.0)</f>
        <v>6</v>
      </c>
    </row>
    <row r="514">
      <c r="P514" s="2">
        <f>IFERROR(__xludf.DUMMYFUNCTION("""COMPUTED_VALUE"""),11.0)</f>
        <v>11</v>
      </c>
      <c r="Q514" s="2">
        <f>IFERROR(__xludf.DUMMYFUNCTION("""COMPUTED_VALUE"""),6.0)</f>
        <v>6</v>
      </c>
    </row>
    <row r="515">
      <c r="P515" s="2">
        <f>IFERROR(__xludf.DUMMYFUNCTION("""COMPUTED_VALUE"""),11.0)</f>
        <v>11</v>
      </c>
      <c r="Q515" s="2">
        <f>IFERROR(__xludf.DUMMYFUNCTION("""COMPUTED_VALUE"""),1.0)</f>
        <v>1</v>
      </c>
    </row>
    <row r="516">
      <c r="P516" s="2">
        <f>IFERROR(__xludf.DUMMYFUNCTION("""COMPUTED_VALUE"""),11.0)</f>
        <v>11</v>
      </c>
      <c r="Q516" s="2">
        <f>IFERROR(__xludf.DUMMYFUNCTION("""COMPUTED_VALUE"""),1.0)</f>
        <v>1</v>
      </c>
    </row>
    <row r="517">
      <c r="P517" s="2">
        <f>IFERROR(__xludf.DUMMYFUNCTION("""COMPUTED_VALUE"""),11.0)</f>
        <v>11</v>
      </c>
      <c r="Q517" s="2">
        <f>IFERROR(__xludf.DUMMYFUNCTION("""COMPUTED_VALUE"""),1.0)</f>
        <v>1</v>
      </c>
    </row>
    <row r="518">
      <c r="P518" s="2">
        <f>IFERROR(__xludf.DUMMYFUNCTION("""COMPUTED_VALUE"""),11.0)</f>
        <v>11</v>
      </c>
      <c r="Q518" s="2">
        <f>IFERROR(__xludf.DUMMYFUNCTION("""COMPUTED_VALUE"""),25.0)</f>
        <v>25</v>
      </c>
    </row>
    <row r="519">
      <c r="P519" s="2">
        <f>IFERROR(__xludf.DUMMYFUNCTION("""COMPUTED_VALUE"""),11.0)</f>
        <v>11</v>
      </c>
      <c r="Q519" s="2">
        <f>IFERROR(__xludf.DUMMYFUNCTION("""COMPUTED_VALUE"""),2.0)</f>
        <v>2</v>
      </c>
    </row>
    <row r="520">
      <c r="P520" s="2">
        <f>IFERROR(__xludf.DUMMYFUNCTION("""COMPUTED_VALUE"""),11.0)</f>
        <v>11</v>
      </c>
      <c r="Q520" s="2">
        <f>IFERROR(__xludf.DUMMYFUNCTION("""COMPUTED_VALUE"""),6.0)</f>
        <v>6</v>
      </c>
    </row>
    <row r="521">
      <c r="P521" s="2">
        <f>IFERROR(__xludf.DUMMYFUNCTION("""COMPUTED_VALUE"""),11.0)</f>
        <v>11</v>
      </c>
      <c r="Q521" s="2">
        <f>IFERROR(__xludf.DUMMYFUNCTION("""COMPUTED_VALUE"""),4.0)</f>
        <v>4</v>
      </c>
    </row>
    <row r="522">
      <c r="P522" s="2">
        <f>IFERROR(__xludf.DUMMYFUNCTION("""COMPUTED_VALUE"""),11.0)</f>
        <v>11</v>
      </c>
      <c r="Q522" s="2">
        <f>IFERROR(__xludf.DUMMYFUNCTION("""COMPUTED_VALUE"""),1.0)</f>
        <v>1</v>
      </c>
    </row>
    <row r="523">
      <c r="P523" s="2">
        <f>IFERROR(__xludf.DUMMYFUNCTION("""COMPUTED_VALUE"""),11.0)</f>
        <v>11</v>
      </c>
      <c r="Q523" s="2">
        <f>IFERROR(__xludf.DUMMYFUNCTION("""COMPUTED_VALUE"""),1.0)</f>
        <v>1</v>
      </c>
    </row>
    <row r="524">
      <c r="P524" s="2">
        <f>IFERROR(__xludf.DUMMYFUNCTION("""COMPUTED_VALUE"""),11.0)</f>
        <v>11</v>
      </c>
      <c r="Q524" s="2">
        <f>IFERROR(__xludf.DUMMYFUNCTION("""COMPUTED_VALUE"""),1.0)</f>
        <v>1</v>
      </c>
    </row>
    <row r="525">
      <c r="P525" s="2">
        <f>IFERROR(__xludf.DUMMYFUNCTION("""COMPUTED_VALUE"""),11.0)</f>
        <v>11</v>
      </c>
      <c r="Q525" s="2">
        <f>IFERROR(__xludf.DUMMYFUNCTION("""COMPUTED_VALUE"""),1.0)</f>
        <v>1</v>
      </c>
    </row>
    <row r="526">
      <c r="P526" s="2">
        <f>IFERROR(__xludf.DUMMYFUNCTION("""COMPUTED_VALUE"""),11.0)</f>
        <v>11</v>
      </c>
      <c r="Q526" s="2">
        <f>IFERROR(__xludf.DUMMYFUNCTION("""COMPUTED_VALUE"""),8.0)</f>
        <v>8</v>
      </c>
    </row>
    <row r="527">
      <c r="P527" s="2">
        <f>IFERROR(__xludf.DUMMYFUNCTION("""COMPUTED_VALUE"""),11.0)</f>
        <v>11</v>
      </c>
      <c r="Q527" s="2">
        <f>IFERROR(__xludf.DUMMYFUNCTION("""COMPUTED_VALUE"""),6.0)</f>
        <v>6</v>
      </c>
    </row>
    <row r="528">
      <c r="P528" s="2">
        <f>IFERROR(__xludf.DUMMYFUNCTION("""COMPUTED_VALUE"""),11.0)</f>
        <v>11</v>
      </c>
      <c r="Q528" s="2">
        <f>IFERROR(__xludf.DUMMYFUNCTION("""COMPUTED_VALUE"""),12.0)</f>
        <v>12</v>
      </c>
    </row>
    <row r="529">
      <c r="P529" s="2">
        <f>IFERROR(__xludf.DUMMYFUNCTION("""COMPUTED_VALUE"""),11.0)</f>
        <v>11</v>
      </c>
      <c r="Q529" s="2">
        <f>IFERROR(__xludf.DUMMYFUNCTION("""COMPUTED_VALUE"""),5.0)</f>
        <v>5</v>
      </c>
    </row>
    <row r="530">
      <c r="P530" s="2">
        <f>IFERROR(__xludf.DUMMYFUNCTION("""COMPUTED_VALUE"""),11.0)</f>
        <v>11</v>
      </c>
      <c r="Q530" s="2">
        <f>IFERROR(__xludf.DUMMYFUNCTION("""COMPUTED_VALUE"""),1.0)</f>
        <v>1</v>
      </c>
    </row>
    <row r="531">
      <c r="P531" s="2">
        <f>IFERROR(__xludf.DUMMYFUNCTION("""COMPUTED_VALUE"""),11.0)</f>
        <v>11</v>
      </c>
      <c r="Q531" s="2">
        <f>IFERROR(__xludf.DUMMYFUNCTION("""COMPUTED_VALUE"""),1.0)</f>
        <v>1</v>
      </c>
    </row>
    <row r="532">
      <c r="P532" s="2">
        <f>IFERROR(__xludf.DUMMYFUNCTION("""COMPUTED_VALUE"""),11.0)</f>
        <v>11</v>
      </c>
      <c r="Q532" s="2">
        <f>IFERROR(__xludf.DUMMYFUNCTION("""COMPUTED_VALUE"""),1.0)</f>
        <v>1</v>
      </c>
    </row>
    <row r="533">
      <c r="P533" s="2">
        <f>IFERROR(__xludf.DUMMYFUNCTION("""COMPUTED_VALUE"""),11.0)</f>
        <v>11</v>
      </c>
      <c r="Q533" s="2">
        <f>IFERROR(__xludf.DUMMYFUNCTION("""COMPUTED_VALUE"""),2.0)</f>
        <v>2</v>
      </c>
    </row>
    <row r="534">
      <c r="P534" s="2">
        <f>IFERROR(__xludf.DUMMYFUNCTION("""COMPUTED_VALUE"""),11.0)</f>
        <v>11</v>
      </c>
      <c r="Q534" s="2">
        <f>IFERROR(__xludf.DUMMYFUNCTION("""COMPUTED_VALUE"""),1.0)</f>
        <v>1</v>
      </c>
    </row>
    <row r="535">
      <c r="P535" s="2">
        <f>IFERROR(__xludf.DUMMYFUNCTION("""COMPUTED_VALUE"""),11.0)</f>
        <v>11</v>
      </c>
      <c r="Q535" s="2">
        <f>IFERROR(__xludf.DUMMYFUNCTION("""COMPUTED_VALUE"""),2.0)</f>
        <v>2</v>
      </c>
    </row>
    <row r="536">
      <c r="P536" s="2">
        <f>IFERROR(__xludf.DUMMYFUNCTION("""COMPUTED_VALUE"""),11.0)</f>
        <v>11</v>
      </c>
      <c r="Q536" s="2">
        <f>IFERROR(__xludf.DUMMYFUNCTION("""COMPUTED_VALUE"""),2.0)</f>
        <v>2</v>
      </c>
    </row>
    <row r="537">
      <c r="P537" s="2">
        <f>IFERROR(__xludf.DUMMYFUNCTION("""COMPUTED_VALUE"""),11.0)</f>
        <v>11</v>
      </c>
      <c r="Q537" s="2">
        <f>IFERROR(__xludf.DUMMYFUNCTION("""COMPUTED_VALUE"""),1.0)</f>
        <v>1</v>
      </c>
    </row>
    <row r="538">
      <c r="P538" s="2">
        <f>IFERROR(__xludf.DUMMYFUNCTION("""COMPUTED_VALUE"""),11.0)</f>
        <v>11</v>
      </c>
      <c r="Q538" s="2">
        <f>IFERROR(__xludf.DUMMYFUNCTION("""COMPUTED_VALUE"""),3.0)</f>
        <v>3</v>
      </c>
    </row>
    <row r="539">
      <c r="P539" s="2">
        <f>IFERROR(__xludf.DUMMYFUNCTION("""COMPUTED_VALUE"""),11.0)</f>
        <v>11</v>
      </c>
      <c r="Q539" s="2">
        <f>IFERROR(__xludf.DUMMYFUNCTION("""COMPUTED_VALUE"""),1.0)</f>
        <v>1</v>
      </c>
    </row>
    <row r="540">
      <c r="P540" s="2">
        <f>IFERROR(__xludf.DUMMYFUNCTION("""COMPUTED_VALUE"""),11.0)</f>
        <v>11</v>
      </c>
      <c r="Q540" s="2">
        <f>IFERROR(__xludf.DUMMYFUNCTION("""COMPUTED_VALUE"""),2.0)</f>
        <v>2</v>
      </c>
    </row>
    <row r="541">
      <c r="P541" s="2">
        <f>IFERROR(__xludf.DUMMYFUNCTION("""COMPUTED_VALUE"""),11.0)</f>
        <v>11</v>
      </c>
      <c r="Q541" s="2">
        <f>IFERROR(__xludf.DUMMYFUNCTION("""COMPUTED_VALUE"""),1.0)</f>
        <v>1</v>
      </c>
    </row>
    <row r="542">
      <c r="P542" s="2">
        <f>IFERROR(__xludf.DUMMYFUNCTION("""COMPUTED_VALUE"""),11.0)</f>
        <v>11</v>
      </c>
      <c r="Q542" s="2">
        <f>IFERROR(__xludf.DUMMYFUNCTION("""COMPUTED_VALUE"""),10.0)</f>
        <v>10</v>
      </c>
    </row>
    <row r="543">
      <c r="P543" s="2">
        <f>IFERROR(__xludf.DUMMYFUNCTION("""COMPUTED_VALUE"""),11.0)</f>
        <v>11</v>
      </c>
      <c r="Q543" s="2">
        <f>IFERROR(__xludf.DUMMYFUNCTION("""COMPUTED_VALUE"""),4.0)</f>
        <v>4</v>
      </c>
    </row>
    <row r="544">
      <c r="P544" s="2">
        <f>IFERROR(__xludf.DUMMYFUNCTION("""COMPUTED_VALUE"""),11.0)</f>
        <v>11</v>
      </c>
      <c r="Q544" s="2">
        <f>IFERROR(__xludf.DUMMYFUNCTION("""COMPUTED_VALUE"""),7.0)</f>
        <v>7</v>
      </c>
    </row>
    <row r="545">
      <c r="P545" s="2">
        <f>IFERROR(__xludf.DUMMYFUNCTION("""COMPUTED_VALUE"""),11.0)</f>
        <v>11</v>
      </c>
      <c r="Q545" s="2">
        <f>IFERROR(__xludf.DUMMYFUNCTION("""COMPUTED_VALUE"""),6.0)</f>
        <v>6</v>
      </c>
    </row>
    <row r="546">
      <c r="P546" s="2">
        <f>IFERROR(__xludf.DUMMYFUNCTION("""COMPUTED_VALUE"""),11.0)</f>
        <v>11</v>
      </c>
      <c r="Q546" s="2">
        <f>IFERROR(__xludf.DUMMYFUNCTION("""COMPUTED_VALUE"""),6.0)</f>
        <v>6</v>
      </c>
    </row>
    <row r="547">
      <c r="P547" s="2">
        <f>IFERROR(__xludf.DUMMYFUNCTION("""COMPUTED_VALUE"""),11.0)</f>
        <v>11</v>
      </c>
      <c r="Q547" s="2">
        <f>IFERROR(__xludf.DUMMYFUNCTION("""COMPUTED_VALUE"""),8.0)</f>
        <v>8</v>
      </c>
    </row>
    <row r="548">
      <c r="P548" s="2">
        <f>IFERROR(__xludf.DUMMYFUNCTION("""COMPUTED_VALUE"""),11.0)</f>
        <v>11</v>
      </c>
      <c r="Q548" s="2">
        <f>IFERROR(__xludf.DUMMYFUNCTION("""COMPUTED_VALUE"""),1.0)</f>
        <v>1</v>
      </c>
    </row>
    <row r="549">
      <c r="P549" s="2">
        <f>IFERROR(__xludf.DUMMYFUNCTION("""COMPUTED_VALUE"""),11.0)</f>
        <v>11</v>
      </c>
      <c r="Q549" s="2">
        <f>IFERROR(__xludf.DUMMYFUNCTION("""COMPUTED_VALUE"""),8.0)</f>
        <v>8</v>
      </c>
    </row>
    <row r="550">
      <c r="P550" s="2">
        <f>IFERROR(__xludf.DUMMYFUNCTION("""COMPUTED_VALUE"""),11.0)</f>
        <v>11</v>
      </c>
      <c r="Q550" s="2">
        <f>IFERROR(__xludf.DUMMYFUNCTION("""COMPUTED_VALUE"""),1.0)</f>
        <v>1</v>
      </c>
    </row>
    <row r="551">
      <c r="P551" s="2">
        <f>IFERROR(__xludf.DUMMYFUNCTION("""COMPUTED_VALUE"""),11.0)</f>
        <v>11</v>
      </c>
      <c r="Q551" s="2">
        <f>IFERROR(__xludf.DUMMYFUNCTION("""COMPUTED_VALUE"""),1.0)</f>
        <v>1</v>
      </c>
    </row>
    <row r="552">
      <c r="P552" s="2">
        <f>IFERROR(__xludf.DUMMYFUNCTION("""COMPUTED_VALUE"""),11.0)</f>
        <v>11</v>
      </c>
      <c r="Q552" s="2">
        <f>IFERROR(__xludf.DUMMYFUNCTION("""COMPUTED_VALUE"""),1.0)</f>
        <v>1</v>
      </c>
    </row>
    <row r="553">
      <c r="P553" s="2">
        <f>IFERROR(__xludf.DUMMYFUNCTION("""COMPUTED_VALUE"""),11.0)</f>
        <v>11</v>
      </c>
      <c r="Q553" s="2">
        <f>IFERROR(__xludf.DUMMYFUNCTION("""COMPUTED_VALUE"""),4.0)</f>
        <v>4</v>
      </c>
    </row>
    <row r="554">
      <c r="P554" s="2">
        <f>IFERROR(__xludf.DUMMYFUNCTION("""COMPUTED_VALUE"""),11.0)</f>
        <v>11</v>
      </c>
      <c r="Q554" s="2">
        <f>IFERROR(__xludf.DUMMYFUNCTION("""COMPUTED_VALUE"""),4.0)</f>
        <v>4</v>
      </c>
    </row>
    <row r="555">
      <c r="P555" s="2">
        <f>IFERROR(__xludf.DUMMYFUNCTION("""COMPUTED_VALUE"""),11.0)</f>
        <v>11</v>
      </c>
      <c r="Q555" s="2">
        <f>IFERROR(__xludf.DUMMYFUNCTION("""COMPUTED_VALUE"""),4.0)</f>
        <v>4</v>
      </c>
    </row>
    <row r="556">
      <c r="P556" s="2">
        <f>IFERROR(__xludf.DUMMYFUNCTION("""COMPUTED_VALUE"""),11.0)</f>
        <v>11</v>
      </c>
      <c r="Q556" s="2">
        <f>IFERROR(__xludf.DUMMYFUNCTION("""COMPUTED_VALUE"""),4.0)</f>
        <v>4</v>
      </c>
    </row>
    <row r="557">
      <c r="P557" s="2">
        <f>IFERROR(__xludf.DUMMYFUNCTION("""COMPUTED_VALUE"""),11.0)</f>
        <v>11</v>
      </c>
      <c r="Q557" s="2">
        <f>IFERROR(__xludf.DUMMYFUNCTION("""COMPUTED_VALUE"""),4.0)</f>
        <v>4</v>
      </c>
    </row>
    <row r="558">
      <c r="P558" s="2">
        <f>IFERROR(__xludf.DUMMYFUNCTION("""COMPUTED_VALUE"""),11.0)</f>
        <v>11</v>
      </c>
      <c r="Q558" s="2">
        <f>IFERROR(__xludf.DUMMYFUNCTION("""COMPUTED_VALUE"""),1.0)</f>
        <v>1</v>
      </c>
    </row>
    <row r="559">
      <c r="P559" s="2">
        <f>IFERROR(__xludf.DUMMYFUNCTION("""COMPUTED_VALUE"""),11.0)</f>
        <v>11</v>
      </c>
      <c r="Q559" s="2">
        <f>IFERROR(__xludf.DUMMYFUNCTION("""COMPUTED_VALUE"""),2.0)</f>
        <v>2</v>
      </c>
    </row>
    <row r="560">
      <c r="P560" s="2">
        <f>IFERROR(__xludf.DUMMYFUNCTION("""COMPUTED_VALUE"""),11.0)</f>
        <v>11</v>
      </c>
      <c r="Q560" s="2">
        <f>IFERROR(__xludf.DUMMYFUNCTION("""COMPUTED_VALUE"""),2.0)</f>
        <v>2</v>
      </c>
    </row>
    <row r="561">
      <c r="P561" s="2">
        <f>IFERROR(__xludf.DUMMYFUNCTION("""COMPUTED_VALUE"""),11.0)</f>
        <v>11</v>
      </c>
      <c r="Q561" s="2">
        <f>IFERROR(__xludf.DUMMYFUNCTION("""COMPUTED_VALUE"""),2.0)</f>
        <v>2</v>
      </c>
    </row>
    <row r="562">
      <c r="P562" s="2">
        <f>IFERROR(__xludf.DUMMYFUNCTION("""COMPUTED_VALUE"""),11.0)</f>
        <v>11</v>
      </c>
      <c r="Q562" s="2">
        <f>IFERROR(__xludf.DUMMYFUNCTION("""COMPUTED_VALUE"""),1.0)</f>
        <v>1</v>
      </c>
    </row>
    <row r="563">
      <c r="P563" s="2">
        <f>IFERROR(__xludf.DUMMYFUNCTION("""COMPUTED_VALUE"""),11.0)</f>
        <v>11</v>
      </c>
      <c r="Q563" s="2">
        <f>IFERROR(__xludf.DUMMYFUNCTION("""COMPUTED_VALUE"""),1.0)</f>
        <v>1</v>
      </c>
    </row>
    <row r="564">
      <c r="P564" s="2">
        <f>IFERROR(__xludf.DUMMYFUNCTION("""COMPUTED_VALUE"""),11.0)</f>
        <v>11</v>
      </c>
      <c r="Q564" s="2">
        <f>IFERROR(__xludf.DUMMYFUNCTION("""COMPUTED_VALUE"""),1.0)</f>
        <v>1</v>
      </c>
    </row>
    <row r="565">
      <c r="P565" s="2">
        <f>IFERROR(__xludf.DUMMYFUNCTION("""COMPUTED_VALUE"""),11.0)</f>
        <v>11</v>
      </c>
      <c r="Q565" s="2">
        <f>IFERROR(__xludf.DUMMYFUNCTION("""COMPUTED_VALUE"""),1.0)</f>
        <v>1</v>
      </c>
    </row>
    <row r="566">
      <c r="P566" s="2">
        <f>IFERROR(__xludf.DUMMYFUNCTION("""COMPUTED_VALUE"""),11.0)</f>
        <v>11</v>
      </c>
      <c r="Q566" s="2">
        <f>IFERROR(__xludf.DUMMYFUNCTION("""COMPUTED_VALUE"""),6.0)</f>
        <v>6</v>
      </c>
    </row>
    <row r="567">
      <c r="P567" s="2">
        <f>IFERROR(__xludf.DUMMYFUNCTION("""COMPUTED_VALUE"""),11.0)</f>
        <v>11</v>
      </c>
      <c r="Q567" s="2">
        <f>IFERROR(__xludf.DUMMYFUNCTION("""COMPUTED_VALUE"""),800.0)</f>
        <v>800</v>
      </c>
    </row>
    <row r="568">
      <c r="P568" s="2">
        <f>IFERROR(__xludf.DUMMYFUNCTION("""COMPUTED_VALUE"""),11.0)</f>
        <v>11</v>
      </c>
      <c r="Q568" s="2">
        <f>IFERROR(__xludf.DUMMYFUNCTION("""COMPUTED_VALUE"""),-1.0)</f>
        <v>-1</v>
      </c>
    </row>
    <row r="569">
      <c r="P569" s="2">
        <f>IFERROR(__xludf.DUMMYFUNCTION("""COMPUTED_VALUE"""),11.0)</f>
        <v>11</v>
      </c>
      <c r="Q569" s="2">
        <f>IFERROR(__xludf.DUMMYFUNCTION("""COMPUTED_VALUE"""),1.0)</f>
        <v>1</v>
      </c>
    </row>
    <row r="570">
      <c r="P570" s="2">
        <f>IFERROR(__xludf.DUMMYFUNCTION("""COMPUTED_VALUE"""),11.0)</f>
        <v>11</v>
      </c>
      <c r="Q570" s="2">
        <f>IFERROR(__xludf.DUMMYFUNCTION("""COMPUTED_VALUE"""),1.0)</f>
        <v>1</v>
      </c>
    </row>
    <row r="571">
      <c r="P571" s="2">
        <f>IFERROR(__xludf.DUMMYFUNCTION("""COMPUTED_VALUE"""),11.0)</f>
        <v>11</v>
      </c>
      <c r="Q571" s="2">
        <f>IFERROR(__xludf.DUMMYFUNCTION("""COMPUTED_VALUE"""),12.0)</f>
        <v>12</v>
      </c>
    </row>
    <row r="572">
      <c r="P572" s="2">
        <f>IFERROR(__xludf.DUMMYFUNCTION("""COMPUTED_VALUE"""),11.0)</f>
        <v>11</v>
      </c>
      <c r="Q572" s="2">
        <f>IFERROR(__xludf.DUMMYFUNCTION("""COMPUTED_VALUE"""),24.0)</f>
        <v>24</v>
      </c>
    </row>
    <row r="573">
      <c r="P573" s="2">
        <f>IFERROR(__xludf.DUMMYFUNCTION("""COMPUTED_VALUE"""),11.0)</f>
        <v>11</v>
      </c>
      <c r="Q573" s="2">
        <f>IFERROR(__xludf.DUMMYFUNCTION("""COMPUTED_VALUE"""),25.0)</f>
        <v>25</v>
      </c>
    </row>
    <row r="574">
      <c r="P574" s="2">
        <f>IFERROR(__xludf.DUMMYFUNCTION("""COMPUTED_VALUE"""),11.0)</f>
        <v>11</v>
      </c>
      <c r="Q574" s="2">
        <f>IFERROR(__xludf.DUMMYFUNCTION("""COMPUTED_VALUE"""),12.0)</f>
        <v>12</v>
      </c>
    </row>
    <row r="575">
      <c r="P575" s="2">
        <f>IFERROR(__xludf.DUMMYFUNCTION("""COMPUTED_VALUE"""),11.0)</f>
        <v>11</v>
      </c>
      <c r="Q575" s="2">
        <f>IFERROR(__xludf.DUMMYFUNCTION("""COMPUTED_VALUE"""),12.0)</f>
        <v>12</v>
      </c>
    </row>
    <row r="576">
      <c r="P576" s="2">
        <f>IFERROR(__xludf.DUMMYFUNCTION("""COMPUTED_VALUE"""),11.0)</f>
        <v>11</v>
      </c>
      <c r="Q576" s="2">
        <f>IFERROR(__xludf.DUMMYFUNCTION("""COMPUTED_VALUE"""),24.0)</f>
        <v>24</v>
      </c>
    </row>
    <row r="577">
      <c r="P577" s="2">
        <f>IFERROR(__xludf.DUMMYFUNCTION("""COMPUTED_VALUE"""),11.0)</f>
        <v>11</v>
      </c>
      <c r="Q577" s="2">
        <f>IFERROR(__xludf.DUMMYFUNCTION("""COMPUTED_VALUE"""),4.0)</f>
        <v>4</v>
      </c>
    </row>
    <row r="578">
      <c r="P578" s="2">
        <f>IFERROR(__xludf.DUMMYFUNCTION("""COMPUTED_VALUE"""),11.0)</f>
        <v>11</v>
      </c>
      <c r="Q578" s="2">
        <f>IFERROR(__xludf.DUMMYFUNCTION("""COMPUTED_VALUE"""),6.0)</f>
        <v>6</v>
      </c>
    </row>
    <row r="579">
      <c r="P579" s="2">
        <f>IFERROR(__xludf.DUMMYFUNCTION("""COMPUTED_VALUE"""),11.0)</f>
        <v>11</v>
      </c>
      <c r="Q579" s="2">
        <f>IFERROR(__xludf.DUMMYFUNCTION("""COMPUTED_VALUE"""),6.0)</f>
        <v>6</v>
      </c>
    </row>
    <row r="580">
      <c r="P580" s="2">
        <f>IFERROR(__xludf.DUMMYFUNCTION("""COMPUTED_VALUE"""),11.0)</f>
        <v>11</v>
      </c>
      <c r="Q580" s="2">
        <f>IFERROR(__xludf.DUMMYFUNCTION("""COMPUTED_VALUE"""),10.0)</f>
        <v>10</v>
      </c>
    </row>
    <row r="581">
      <c r="P581" s="2">
        <f>IFERROR(__xludf.DUMMYFUNCTION("""COMPUTED_VALUE"""),11.0)</f>
        <v>11</v>
      </c>
      <c r="Q581" s="2">
        <f>IFERROR(__xludf.DUMMYFUNCTION("""COMPUTED_VALUE"""),-3.0)</f>
        <v>-3</v>
      </c>
    </row>
    <row r="582">
      <c r="P582" s="2">
        <f>IFERROR(__xludf.DUMMYFUNCTION("""COMPUTED_VALUE"""),11.0)</f>
        <v>11</v>
      </c>
      <c r="Q582" s="2">
        <f>IFERROR(__xludf.DUMMYFUNCTION("""COMPUTED_VALUE"""),-12.0)</f>
        <v>-12</v>
      </c>
    </row>
    <row r="583">
      <c r="P583" s="2">
        <f>IFERROR(__xludf.DUMMYFUNCTION("""COMPUTED_VALUE"""),11.0)</f>
        <v>11</v>
      </c>
      <c r="Q583" s="2">
        <f>IFERROR(__xludf.DUMMYFUNCTION("""COMPUTED_VALUE"""),-6.0)</f>
        <v>-6</v>
      </c>
    </row>
    <row r="584">
      <c r="P584" s="2">
        <f>IFERROR(__xludf.DUMMYFUNCTION("""COMPUTED_VALUE"""),11.0)</f>
        <v>11</v>
      </c>
      <c r="Q584" s="2">
        <f>IFERROR(__xludf.DUMMYFUNCTION("""COMPUTED_VALUE"""),3.0)</f>
        <v>3</v>
      </c>
    </row>
    <row r="585">
      <c r="P585" s="2">
        <f>IFERROR(__xludf.DUMMYFUNCTION("""COMPUTED_VALUE"""),11.0)</f>
        <v>11</v>
      </c>
      <c r="Q585" s="2">
        <f>IFERROR(__xludf.DUMMYFUNCTION("""COMPUTED_VALUE"""),25.0)</f>
        <v>25</v>
      </c>
    </row>
    <row r="586">
      <c r="P586" s="2">
        <f>IFERROR(__xludf.DUMMYFUNCTION("""COMPUTED_VALUE"""),11.0)</f>
        <v>11</v>
      </c>
      <c r="Q586" s="2">
        <f>IFERROR(__xludf.DUMMYFUNCTION("""COMPUTED_VALUE"""),24.0)</f>
        <v>24</v>
      </c>
    </row>
    <row r="587">
      <c r="P587" s="2">
        <f>IFERROR(__xludf.DUMMYFUNCTION("""COMPUTED_VALUE"""),11.0)</f>
        <v>11</v>
      </c>
      <c r="Q587" s="2">
        <f>IFERROR(__xludf.DUMMYFUNCTION("""COMPUTED_VALUE"""),2.0)</f>
        <v>2</v>
      </c>
    </row>
    <row r="588">
      <c r="P588" s="2">
        <f>IFERROR(__xludf.DUMMYFUNCTION("""COMPUTED_VALUE"""),11.0)</f>
        <v>11</v>
      </c>
      <c r="Q588" s="2">
        <f>IFERROR(__xludf.DUMMYFUNCTION("""COMPUTED_VALUE"""),6.0)</f>
        <v>6</v>
      </c>
    </row>
    <row r="589">
      <c r="P589" s="2">
        <f>IFERROR(__xludf.DUMMYFUNCTION("""COMPUTED_VALUE"""),11.0)</f>
        <v>11</v>
      </c>
      <c r="Q589" s="2">
        <f>IFERROR(__xludf.DUMMYFUNCTION("""COMPUTED_VALUE"""),6.0)</f>
        <v>6</v>
      </c>
    </row>
    <row r="590">
      <c r="P590" s="2">
        <f>IFERROR(__xludf.DUMMYFUNCTION("""COMPUTED_VALUE"""),11.0)</f>
        <v>11</v>
      </c>
      <c r="Q590" s="2">
        <f>IFERROR(__xludf.DUMMYFUNCTION("""COMPUTED_VALUE"""),3.0)</f>
        <v>3</v>
      </c>
    </row>
    <row r="591">
      <c r="P591" s="2">
        <f>IFERROR(__xludf.DUMMYFUNCTION("""COMPUTED_VALUE"""),11.0)</f>
        <v>11</v>
      </c>
      <c r="Q591" s="2">
        <f>IFERROR(__xludf.DUMMYFUNCTION("""COMPUTED_VALUE"""),8.0)</f>
        <v>8</v>
      </c>
    </row>
    <row r="592">
      <c r="P592" s="2">
        <f>IFERROR(__xludf.DUMMYFUNCTION("""COMPUTED_VALUE"""),11.0)</f>
        <v>11</v>
      </c>
      <c r="Q592" s="2">
        <f>IFERROR(__xludf.DUMMYFUNCTION("""COMPUTED_VALUE"""),24.0)</f>
        <v>24</v>
      </c>
    </row>
    <row r="593">
      <c r="P593" s="2">
        <f>IFERROR(__xludf.DUMMYFUNCTION("""COMPUTED_VALUE"""),11.0)</f>
        <v>11</v>
      </c>
      <c r="Q593" s="2">
        <f>IFERROR(__xludf.DUMMYFUNCTION("""COMPUTED_VALUE"""),9.0)</f>
        <v>9</v>
      </c>
    </row>
    <row r="594">
      <c r="P594" s="2">
        <f>IFERROR(__xludf.DUMMYFUNCTION("""COMPUTED_VALUE"""),11.0)</f>
        <v>11</v>
      </c>
      <c r="Q594" s="2">
        <f>IFERROR(__xludf.DUMMYFUNCTION("""COMPUTED_VALUE"""),8.0)</f>
        <v>8</v>
      </c>
    </row>
    <row r="595">
      <c r="P595" s="2">
        <f>IFERROR(__xludf.DUMMYFUNCTION("""COMPUTED_VALUE"""),11.0)</f>
        <v>11</v>
      </c>
      <c r="Q595" s="2">
        <f>IFERROR(__xludf.DUMMYFUNCTION("""COMPUTED_VALUE"""),12.0)</f>
        <v>12</v>
      </c>
    </row>
    <row r="596">
      <c r="P596" s="2">
        <f>IFERROR(__xludf.DUMMYFUNCTION("""COMPUTED_VALUE"""),11.0)</f>
        <v>11</v>
      </c>
      <c r="Q596" s="2">
        <f>IFERROR(__xludf.DUMMYFUNCTION("""COMPUTED_VALUE"""),3.0)</f>
        <v>3</v>
      </c>
    </row>
    <row r="597">
      <c r="P597" s="2">
        <f>IFERROR(__xludf.DUMMYFUNCTION("""COMPUTED_VALUE"""),11.0)</f>
        <v>11</v>
      </c>
      <c r="Q597" s="2">
        <f>IFERROR(__xludf.DUMMYFUNCTION("""COMPUTED_VALUE"""),16.0)</f>
        <v>16</v>
      </c>
    </row>
    <row r="598">
      <c r="P598" s="2">
        <f>IFERROR(__xludf.DUMMYFUNCTION("""COMPUTED_VALUE"""),11.0)</f>
        <v>11</v>
      </c>
      <c r="Q598" s="2">
        <f>IFERROR(__xludf.DUMMYFUNCTION("""COMPUTED_VALUE"""),8.0)</f>
        <v>8</v>
      </c>
    </row>
    <row r="599">
      <c r="P599" s="2">
        <f>IFERROR(__xludf.DUMMYFUNCTION("""COMPUTED_VALUE"""),11.0)</f>
        <v>11</v>
      </c>
      <c r="Q599" s="2">
        <f>IFERROR(__xludf.DUMMYFUNCTION("""COMPUTED_VALUE"""),8.0)</f>
        <v>8</v>
      </c>
    </row>
    <row r="600">
      <c r="P600" s="2">
        <f>IFERROR(__xludf.DUMMYFUNCTION("""COMPUTED_VALUE"""),11.0)</f>
        <v>11</v>
      </c>
      <c r="Q600" s="2">
        <f>IFERROR(__xludf.DUMMYFUNCTION("""COMPUTED_VALUE"""),6.0)</f>
        <v>6</v>
      </c>
    </row>
    <row r="601">
      <c r="P601" s="2">
        <f>IFERROR(__xludf.DUMMYFUNCTION("""COMPUTED_VALUE"""),11.0)</f>
        <v>11</v>
      </c>
      <c r="Q601" s="2">
        <f>IFERROR(__xludf.DUMMYFUNCTION("""COMPUTED_VALUE"""),6.0)</f>
        <v>6</v>
      </c>
    </row>
    <row r="602">
      <c r="P602" s="2">
        <f>IFERROR(__xludf.DUMMYFUNCTION("""COMPUTED_VALUE"""),11.0)</f>
        <v>11</v>
      </c>
      <c r="Q602" s="2">
        <f>IFERROR(__xludf.DUMMYFUNCTION("""COMPUTED_VALUE"""),4.0)</f>
        <v>4</v>
      </c>
    </row>
    <row r="603">
      <c r="P603" s="2">
        <f>IFERROR(__xludf.DUMMYFUNCTION("""COMPUTED_VALUE"""),11.0)</f>
        <v>11</v>
      </c>
      <c r="Q603" s="2">
        <f>IFERROR(__xludf.DUMMYFUNCTION("""COMPUTED_VALUE"""),4.0)</f>
        <v>4</v>
      </c>
    </row>
    <row r="604">
      <c r="P604" s="2">
        <f>IFERROR(__xludf.DUMMYFUNCTION("""COMPUTED_VALUE"""),11.0)</f>
        <v>11</v>
      </c>
      <c r="Q604" s="2">
        <f>IFERROR(__xludf.DUMMYFUNCTION("""COMPUTED_VALUE"""),24.0)</f>
        <v>24</v>
      </c>
    </row>
    <row r="605">
      <c r="P605" s="2">
        <f>IFERROR(__xludf.DUMMYFUNCTION("""COMPUTED_VALUE"""),11.0)</f>
        <v>11</v>
      </c>
      <c r="Q605" s="2">
        <f>IFERROR(__xludf.DUMMYFUNCTION("""COMPUTED_VALUE"""),6.0)</f>
        <v>6</v>
      </c>
    </row>
    <row r="606">
      <c r="P606" s="2">
        <f>IFERROR(__xludf.DUMMYFUNCTION("""COMPUTED_VALUE"""),11.0)</f>
        <v>11</v>
      </c>
      <c r="Q606" s="2">
        <f>IFERROR(__xludf.DUMMYFUNCTION("""COMPUTED_VALUE"""),6.0)</f>
        <v>6</v>
      </c>
    </row>
    <row r="607">
      <c r="P607" s="2">
        <f>IFERROR(__xludf.DUMMYFUNCTION("""COMPUTED_VALUE"""),11.0)</f>
        <v>11</v>
      </c>
      <c r="Q607" s="2">
        <f>IFERROR(__xludf.DUMMYFUNCTION("""COMPUTED_VALUE"""),12.0)</f>
        <v>12</v>
      </c>
    </row>
    <row r="608">
      <c r="P608" s="2">
        <f>IFERROR(__xludf.DUMMYFUNCTION("""COMPUTED_VALUE"""),11.0)</f>
        <v>11</v>
      </c>
      <c r="Q608" s="2">
        <f>IFERROR(__xludf.DUMMYFUNCTION("""COMPUTED_VALUE"""),12.0)</f>
        <v>12</v>
      </c>
    </row>
    <row r="609">
      <c r="P609" s="2">
        <f>IFERROR(__xludf.DUMMYFUNCTION("""COMPUTED_VALUE"""),11.0)</f>
        <v>11</v>
      </c>
      <c r="Q609" s="2">
        <f>IFERROR(__xludf.DUMMYFUNCTION("""COMPUTED_VALUE"""),12.0)</f>
        <v>12</v>
      </c>
    </row>
    <row r="610">
      <c r="P610" s="2">
        <f>IFERROR(__xludf.DUMMYFUNCTION("""COMPUTED_VALUE"""),11.0)</f>
        <v>11</v>
      </c>
      <c r="Q610" s="2">
        <f>IFERROR(__xludf.DUMMYFUNCTION("""COMPUTED_VALUE"""),2.0)</f>
        <v>2</v>
      </c>
    </row>
    <row r="611">
      <c r="P611" s="2">
        <f>IFERROR(__xludf.DUMMYFUNCTION("""COMPUTED_VALUE"""),11.0)</f>
        <v>11</v>
      </c>
      <c r="Q611" s="2">
        <f>IFERROR(__xludf.DUMMYFUNCTION("""COMPUTED_VALUE"""),3.0)</f>
        <v>3</v>
      </c>
    </row>
    <row r="612">
      <c r="P612" s="2">
        <f>IFERROR(__xludf.DUMMYFUNCTION("""COMPUTED_VALUE"""),11.0)</f>
        <v>11</v>
      </c>
      <c r="Q612" s="2">
        <f>IFERROR(__xludf.DUMMYFUNCTION("""COMPUTED_VALUE"""),24.0)</f>
        <v>24</v>
      </c>
    </row>
    <row r="613">
      <c r="P613" s="2">
        <f>IFERROR(__xludf.DUMMYFUNCTION("""COMPUTED_VALUE"""),11.0)</f>
        <v>11</v>
      </c>
      <c r="Q613" s="2">
        <f>IFERROR(__xludf.DUMMYFUNCTION("""COMPUTED_VALUE"""),24.0)</f>
        <v>24</v>
      </c>
    </row>
    <row r="614">
      <c r="P614" s="2">
        <f>IFERROR(__xludf.DUMMYFUNCTION("""COMPUTED_VALUE"""),11.0)</f>
        <v>11</v>
      </c>
      <c r="Q614" s="2">
        <f>IFERROR(__xludf.DUMMYFUNCTION("""COMPUTED_VALUE"""),6.0)</f>
        <v>6</v>
      </c>
    </row>
    <row r="615">
      <c r="P615" s="2">
        <f>IFERROR(__xludf.DUMMYFUNCTION("""COMPUTED_VALUE"""),11.0)</f>
        <v>11</v>
      </c>
      <c r="Q615" s="2">
        <f>IFERROR(__xludf.DUMMYFUNCTION("""COMPUTED_VALUE"""),3.0)</f>
        <v>3</v>
      </c>
    </row>
    <row r="616">
      <c r="P616" s="2">
        <f>IFERROR(__xludf.DUMMYFUNCTION("""COMPUTED_VALUE"""),11.0)</f>
        <v>11</v>
      </c>
      <c r="Q616" s="2">
        <f>IFERROR(__xludf.DUMMYFUNCTION("""COMPUTED_VALUE"""),24.0)</f>
        <v>24</v>
      </c>
    </row>
    <row r="617">
      <c r="P617" s="2">
        <f>IFERROR(__xludf.DUMMYFUNCTION("""COMPUTED_VALUE"""),11.0)</f>
        <v>11</v>
      </c>
      <c r="Q617" s="2">
        <f>IFERROR(__xludf.DUMMYFUNCTION("""COMPUTED_VALUE"""),6.0)</f>
        <v>6</v>
      </c>
    </row>
    <row r="618">
      <c r="P618" s="2">
        <f>IFERROR(__xludf.DUMMYFUNCTION("""COMPUTED_VALUE"""),11.0)</f>
        <v>11</v>
      </c>
      <c r="Q618" s="2">
        <f>IFERROR(__xludf.DUMMYFUNCTION("""COMPUTED_VALUE"""),-1.0)</f>
        <v>-1</v>
      </c>
    </row>
    <row r="619">
      <c r="P619" s="2">
        <f>IFERROR(__xludf.DUMMYFUNCTION("""COMPUTED_VALUE"""),11.0)</f>
        <v>11</v>
      </c>
      <c r="Q619" s="2">
        <f>IFERROR(__xludf.DUMMYFUNCTION("""COMPUTED_VALUE"""),1.0)</f>
        <v>1</v>
      </c>
    </row>
    <row r="620">
      <c r="P620" s="2">
        <f>IFERROR(__xludf.DUMMYFUNCTION("""COMPUTED_VALUE"""),11.0)</f>
        <v>11</v>
      </c>
      <c r="Q620" s="2">
        <f>IFERROR(__xludf.DUMMYFUNCTION("""COMPUTED_VALUE"""),1.0)</f>
        <v>1</v>
      </c>
    </row>
    <row r="621">
      <c r="P621" s="2">
        <f>IFERROR(__xludf.DUMMYFUNCTION("""COMPUTED_VALUE"""),11.0)</f>
        <v>11</v>
      </c>
      <c r="Q621" s="2">
        <f>IFERROR(__xludf.DUMMYFUNCTION("""COMPUTED_VALUE"""),1.0)</f>
        <v>1</v>
      </c>
    </row>
    <row r="622">
      <c r="P622" s="2">
        <f>IFERROR(__xludf.DUMMYFUNCTION("""COMPUTED_VALUE"""),11.0)</f>
        <v>11</v>
      </c>
      <c r="Q622" s="2">
        <f>IFERROR(__xludf.DUMMYFUNCTION("""COMPUTED_VALUE"""),1.0)</f>
        <v>1</v>
      </c>
    </row>
    <row r="623">
      <c r="P623" s="2">
        <f>IFERROR(__xludf.DUMMYFUNCTION("""COMPUTED_VALUE"""),11.0)</f>
        <v>11</v>
      </c>
      <c r="Q623" s="2">
        <f>IFERROR(__xludf.DUMMYFUNCTION("""COMPUTED_VALUE"""),1.0)</f>
        <v>1</v>
      </c>
    </row>
    <row r="624">
      <c r="P624" s="2">
        <f>IFERROR(__xludf.DUMMYFUNCTION("""COMPUTED_VALUE"""),11.0)</f>
        <v>11</v>
      </c>
      <c r="Q624" s="2">
        <f>IFERROR(__xludf.DUMMYFUNCTION("""COMPUTED_VALUE"""),1.0)</f>
        <v>1</v>
      </c>
    </row>
    <row r="625">
      <c r="P625" s="2">
        <f>IFERROR(__xludf.DUMMYFUNCTION("""COMPUTED_VALUE"""),11.0)</f>
        <v>11</v>
      </c>
      <c r="Q625" s="2">
        <f>IFERROR(__xludf.DUMMYFUNCTION("""COMPUTED_VALUE"""),1.0)</f>
        <v>1</v>
      </c>
    </row>
    <row r="626">
      <c r="P626" s="2">
        <f>IFERROR(__xludf.DUMMYFUNCTION("""COMPUTED_VALUE"""),11.0)</f>
        <v>11</v>
      </c>
      <c r="Q626" s="2">
        <f>IFERROR(__xludf.DUMMYFUNCTION("""COMPUTED_VALUE"""),12.0)</f>
        <v>12</v>
      </c>
    </row>
    <row r="627">
      <c r="P627" s="2">
        <f>IFERROR(__xludf.DUMMYFUNCTION("""COMPUTED_VALUE"""),11.0)</f>
        <v>11</v>
      </c>
      <c r="Q627" s="2">
        <f>IFERROR(__xludf.DUMMYFUNCTION("""COMPUTED_VALUE"""),1.0)</f>
        <v>1</v>
      </c>
    </row>
    <row r="628">
      <c r="P628" s="2">
        <f>IFERROR(__xludf.DUMMYFUNCTION("""COMPUTED_VALUE"""),11.0)</f>
        <v>11</v>
      </c>
      <c r="Q628" s="2">
        <f>IFERROR(__xludf.DUMMYFUNCTION("""COMPUTED_VALUE"""),1.0)</f>
        <v>1</v>
      </c>
    </row>
    <row r="629">
      <c r="P629" s="2">
        <f>IFERROR(__xludf.DUMMYFUNCTION("""COMPUTED_VALUE"""),11.0)</f>
        <v>11</v>
      </c>
      <c r="Q629" s="2">
        <f>IFERROR(__xludf.DUMMYFUNCTION("""COMPUTED_VALUE"""),1.0)</f>
        <v>1</v>
      </c>
    </row>
    <row r="630">
      <c r="P630" s="2">
        <f>IFERROR(__xludf.DUMMYFUNCTION("""COMPUTED_VALUE"""),11.0)</f>
        <v>11</v>
      </c>
      <c r="Q630" s="2">
        <f>IFERROR(__xludf.DUMMYFUNCTION("""COMPUTED_VALUE"""),1.0)</f>
        <v>1</v>
      </c>
    </row>
    <row r="631">
      <c r="P631" s="2">
        <f>IFERROR(__xludf.DUMMYFUNCTION("""COMPUTED_VALUE"""),11.0)</f>
        <v>11</v>
      </c>
      <c r="Q631" s="2">
        <f>IFERROR(__xludf.DUMMYFUNCTION("""COMPUTED_VALUE"""),25.0)</f>
        <v>25</v>
      </c>
    </row>
    <row r="632">
      <c r="P632" s="2">
        <f>IFERROR(__xludf.DUMMYFUNCTION("""COMPUTED_VALUE"""),11.0)</f>
        <v>11</v>
      </c>
      <c r="Q632" s="2">
        <f>IFERROR(__xludf.DUMMYFUNCTION("""COMPUTED_VALUE"""),4.0)</f>
        <v>4</v>
      </c>
    </row>
    <row r="633">
      <c r="P633" s="2">
        <f>IFERROR(__xludf.DUMMYFUNCTION("""COMPUTED_VALUE"""),11.0)</f>
        <v>11</v>
      </c>
      <c r="Q633" s="2">
        <f>IFERROR(__xludf.DUMMYFUNCTION("""COMPUTED_VALUE"""),6.0)</f>
        <v>6</v>
      </c>
    </row>
    <row r="634">
      <c r="P634" s="2">
        <f>IFERROR(__xludf.DUMMYFUNCTION("""COMPUTED_VALUE"""),11.0)</f>
        <v>11</v>
      </c>
      <c r="Q634" s="2">
        <f>IFERROR(__xludf.DUMMYFUNCTION("""COMPUTED_VALUE"""),1.0)</f>
        <v>1</v>
      </c>
    </row>
    <row r="635">
      <c r="P635" s="2">
        <f>IFERROR(__xludf.DUMMYFUNCTION("""COMPUTED_VALUE"""),11.0)</f>
        <v>11</v>
      </c>
      <c r="Q635" s="2">
        <f>IFERROR(__xludf.DUMMYFUNCTION("""COMPUTED_VALUE"""),1.0)</f>
        <v>1</v>
      </c>
    </row>
    <row r="636">
      <c r="P636" s="2">
        <f>IFERROR(__xludf.DUMMYFUNCTION("""COMPUTED_VALUE"""),11.0)</f>
        <v>11</v>
      </c>
      <c r="Q636" s="2">
        <f>IFERROR(__xludf.DUMMYFUNCTION("""COMPUTED_VALUE"""),1.0)</f>
        <v>1</v>
      </c>
    </row>
    <row r="637">
      <c r="P637" s="2">
        <f>IFERROR(__xludf.DUMMYFUNCTION("""COMPUTED_VALUE"""),11.0)</f>
        <v>11</v>
      </c>
      <c r="Q637" s="2">
        <f>IFERROR(__xludf.DUMMYFUNCTION("""COMPUTED_VALUE"""),1.0)</f>
        <v>1</v>
      </c>
    </row>
    <row r="638">
      <c r="P638" s="2">
        <f>IFERROR(__xludf.DUMMYFUNCTION("""COMPUTED_VALUE"""),11.0)</f>
        <v>11</v>
      </c>
      <c r="Q638" s="2">
        <f>IFERROR(__xludf.DUMMYFUNCTION("""COMPUTED_VALUE"""),1.0)</f>
        <v>1</v>
      </c>
    </row>
    <row r="639">
      <c r="P639" s="2">
        <f>IFERROR(__xludf.DUMMYFUNCTION("""COMPUTED_VALUE"""),11.0)</f>
        <v>11</v>
      </c>
      <c r="Q639" s="2">
        <f>IFERROR(__xludf.DUMMYFUNCTION("""COMPUTED_VALUE"""),1.0)</f>
        <v>1</v>
      </c>
    </row>
    <row r="640">
      <c r="P640" s="2">
        <f>IFERROR(__xludf.DUMMYFUNCTION("""COMPUTED_VALUE"""),11.0)</f>
        <v>11</v>
      </c>
      <c r="Q640" s="2">
        <f>IFERROR(__xludf.DUMMYFUNCTION("""COMPUTED_VALUE"""),1.0)</f>
        <v>1</v>
      </c>
    </row>
    <row r="641">
      <c r="P641" s="2">
        <f>IFERROR(__xludf.DUMMYFUNCTION("""COMPUTED_VALUE"""),11.0)</f>
        <v>11</v>
      </c>
      <c r="Q641" s="2">
        <f>IFERROR(__xludf.DUMMYFUNCTION("""COMPUTED_VALUE"""),1.0)</f>
        <v>1</v>
      </c>
    </row>
    <row r="642">
      <c r="P642" s="2">
        <f>IFERROR(__xludf.DUMMYFUNCTION("""COMPUTED_VALUE"""),11.0)</f>
        <v>11</v>
      </c>
      <c r="Q642" s="2">
        <f>IFERROR(__xludf.DUMMYFUNCTION("""COMPUTED_VALUE"""),1.0)</f>
        <v>1</v>
      </c>
    </row>
    <row r="643">
      <c r="P643" s="2">
        <f>IFERROR(__xludf.DUMMYFUNCTION("""COMPUTED_VALUE"""),11.0)</f>
        <v>11</v>
      </c>
      <c r="Q643" s="2">
        <f>IFERROR(__xludf.DUMMYFUNCTION("""COMPUTED_VALUE"""),2.0)</f>
        <v>2</v>
      </c>
    </row>
    <row r="644">
      <c r="P644" s="2">
        <f>IFERROR(__xludf.DUMMYFUNCTION("""COMPUTED_VALUE"""),11.0)</f>
        <v>11</v>
      </c>
      <c r="Q644" s="2">
        <f>IFERROR(__xludf.DUMMYFUNCTION("""COMPUTED_VALUE"""),12.0)</f>
        <v>12</v>
      </c>
    </row>
    <row r="645">
      <c r="P645" s="2">
        <f>IFERROR(__xludf.DUMMYFUNCTION("""COMPUTED_VALUE"""),11.0)</f>
        <v>11</v>
      </c>
      <c r="Q645" s="2">
        <f>IFERROR(__xludf.DUMMYFUNCTION("""COMPUTED_VALUE"""),12.0)</f>
        <v>12</v>
      </c>
    </row>
    <row r="646">
      <c r="P646" s="2">
        <f>IFERROR(__xludf.DUMMYFUNCTION("""COMPUTED_VALUE"""),11.0)</f>
        <v>11</v>
      </c>
      <c r="Q646" s="2">
        <f>IFERROR(__xludf.DUMMYFUNCTION("""COMPUTED_VALUE"""),12.0)</f>
        <v>12</v>
      </c>
    </row>
    <row r="647">
      <c r="P647" s="2">
        <f>IFERROR(__xludf.DUMMYFUNCTION("""COMPUTED_VALUE"""),11.0)</f>
        <v>11</v>
      </c>
      <c r="Q647" s="2">
        <f>IFERROR(__xludf.DUMMYFUNCTION("""COMPUTED_VALUE"""),12.0)</f>
        <v>12</v>
      </c>
    </row>
    <row r="648">
      <c r="P648" s="2">
        <f>IFERROR(__xludf.DUMMYFUNCTION("""COMPUTED_VALUE"""),11.0)</f>
        <v>11</v>
      </c>
      <c r="Q648" s="2">
        <f>IFERROR(__xludf.DUMMYFUNCTION("""COMPUTED_VALUE"""),12.0)</f>
        <v>12</v>
      </c>
    </row>
    <row r="649">
      <c r="P649" s="2">
        <f>IFERROR(__xludf.DUMMYFUNCTION("""COMPUTED_VALUE"""),11.0)</f>
        <v>11</v>
      </c>
      <c r="Q649" s="2">
        <f>IFERROR(__xludf.DUMMYFUNCTION("""COMPUTED_VALUE"""),2.0)</f>
        <v>2</v>
      </c>
    </row>
    <row r="650">
      <c r="P650" s="2">
        <f>IFERROR(__xludf.DUMMYFUNCTION("""COMPUTED_VALUE"""),11.0)</f>
        <v>11</v>
      </c>
      <c r="Q650" s="2">
        <f>IFERROR(__xludf.DUMMYFUNCTION("""COMPUTED_VALUE"""),3.0)</f>
        <v>3</v>
      </c>
    </row>
    <row r="651">
      <c r="P651" s="2">
        <f>IFERROR(__xludf.DUMMYFUNCTION("""COMPUTED_VALUE"""),11.0)</f>
        <v>11</v>
      </c>
      <c r="Q651" s="2">
        <f>IFERROR(__xludf.DUMMYFUNCTION("""COMPUTED_VALUE"""),2.0)</f>
        <v>2</v>
      </c>
    </row>
    <row r="652">
      <c r="P652" s="2">
        <f>IFERROR(__xludf.DUMMYFUNCTION("""COMPUTED_VALUE"""),11.0)</f>
        <v>11</v>
      </c>
      <c r="Q652" s="2">
        <f>IFERROR(__xludf.DUMMYFUNCTION("""COMPUTED_VALUE"""),1.0)</f>
        <v>1</v>
      </c>
    </row>
    <row r="653">
      <c r="P653" s="2">
        <f>IFERROR(__xludf.DUMMYFUNCTION("""COMPUTED_VALUE"""),11.0)</f>
        <v>11</v>
      </c>
      <c r="Q653" s="2">
        <f>IFERROR(__xludf.DUMMYFUNCTION("""COMPUTED_VALUE"""),1.0)</f>
        <v>1</v>
      </c>
    </row>
    <row r="654">
      <c r="P654" s="2">
        <f>IFERROR(__xludf.DUMMYFUNCTION("""COMPUTED_VALUE"""),11.0)</f>
        <v>11</v>
      </c>
      <c r="Q654" s="2">
        <f>IFERROR(__xludf.DUMMYFUNCTION("""COMPUTED_VALUE"""),2.0)</f>
        <v>2</v>
      </c>
    </row>
    <row r="655">
      <c r="P655" s="2">
        <f>IFERROR(__xludf.DUMMYFUNCTION("""COMPUTED_VALUE"""),11.0)</f>
        <v>11</v>
      </c>
      <c r="Q655" s="2">
        <f>IFERROR(__xludf.DUMMYFUNCTION("""COMPUTED_VALUE"""),1.0)</f>
        <v>1</v>
      </c>
    </row>
    <row r="656">
      <c r="P656" s="2">
        <f>IFERROR(__xludf.DUMMYFUNCTION("""COMPUTED_VALUE"""),11.0)</f>
        <v>11</v>
      </c>
      <c r="Q656" s="2">
        <f>IFERROR(__xludf.DUMMYFUNCTION("""COMPUTED_VALUE"""),1.0)</f>
        <v>1</v>
      </c>
    </row>
    <row r="657">
      <c r="P657" s="2">
        <f>IFERROR(__xludf.DUMMYFUNCTION("""COMPUTED_VALUE"""),11.0)</f>
        <v>11</v>
      </c>
      <c r="Q657" s="2">
        <f>IFERROR(__xludf.DUMMYFUNCTION("""COMPUTED_VALUE"""),4.0)</f>
        <v>4</v>
      </c>
    </row>
    <row r="658">
      <c r="P658" s="2">
        <f>IFERROR(__xludf.DUMMYFUNCTION("""COMPUTED_VALUE"""),11.0)</f>
        <v>11</v>
      </c>
      <c r="Q658" s="2">
        <f>IFERROR(__xludf.DUMMYFUNCTION("""COMPUTED_VALUE"""),1.0)</f>
        <v>1</v>
      </c>
    </row>
    <row r="659">
      <c r="P659" s="2">
        <f>IFERROR(__xludf.DUMMYFUNCTION("""COMPUTED_VALUE"""),11.0)</f>
        <v>11</v>
      </c>
      <c r="Q659" s="2">
        <f>IFERROR(__xludf.DUMMYFUNCTION("""COMPUTED_VALUE"""),25.0)</f>
        <v>25</v>
      </c>
    </row>
    <row r="660">
      <c r="P660" s="2">
        <f>IFERROR(__xludf.DUMMYFUNCTION("""COMPUTED_VALUE"""),11.0)</f>
        <v>11</v>
      </c>
      <c r="Q660" s="2">
        <f>IFERROR(__xludf.DUMMYFUNCTION("""COMPUTED_VALUE"""),4.0)</f>
        <v>4</v>
      </c>
    </row>
    <row r="661">
      <c r="P661" s="2">
        <f>IFERROR(__xludf.DUMMYFUNCTION("""COMPUTED_VALUE"""),11.0)</f>
        <v>11</v>
      </c>
      <c r="Q661" s="2">
        <f>IFERROR(__xludf.DUMMYFUNCTION("""COMPUTED_VALUE"""),2.0)</f>
        <v>2</v>
      </c>
    </row>
    <row r="662">
      <c r="P662" s="2">
        <f>IFERROR(__xludf.DUMMYFUNCTION("""COMPUTED_VALUE"""),11.0)</f>
        <v>11</v>
      </c>
      <c r="Q662" s="2">
        <f>IFERROR(__xludf.DUMMYFUNCTION("""COMPUTED_VALUE"""),3.0)</f>
        <v>3</v>
      </c>
    </row>
    <row r="663">
      <c r="P663" s="2">
        <f>IFERROR(__xludf.DUMMYFUNCTION("""COMPUTED_VALUE"""),11.0)</f>
        <v>11</v>
      </c>
      <c r="Q663" s="2">
        <f>IFERROR(__xludf.DUMMYFUNCTION("""COMPUTED_VALUE"""),1.0)</f>
        <v>1</v>
      </c>
    </row>
    <row r="664">
      <c r="P664" s="2">
        <f>IFERROR(__xludf.DUMMYFUNCTION("""COMPUTED_VALUE"""),11.0)</f>
        <v>11</v>
      </c>
      <c r="Q664" s="2">
        <f>IFERROR(__xludf.DUMMYFUNCTION("""COMPUTED_VALUE"""),2.0)</f>
        <v>2</v>
      </c>
    </row>
    <row r="665">
      <c r="P665" s="2">
        <f>IFERROR(__xludf.DUMMYFUNCTION("""COMPUTED_VALUE"""),11.0)</f>
        <v>11</v>
      </c>
      <c r="Q665" s="2">
        <f>IFERROR(__xludf.DUMMYFUNCTION("""COMPUTED_VALUE"""),3.0)</f>
        <v>3</v>
      </c>
    </row>
    <row r="666">
      <c r="P666" s="2">
        <f>IFERROR(__xludf.DUMMYFUNCTION("""COMPUTED_VALUE"""),11.0)</f>
        <v>11</v>
      </c>
      <c r="Q666" s="2">
        <f>IFERROR(__xludf.DUMMYFUNCTION("""COMPUTED_VALUE"""),-1.0)</f>
        <v>-1</v>
      </c>
    </row>
    <row r="667">
      <c r="P667" s="2">
        <f>IFERROR(__xludf.DUMMYFUNCTION("""COMPUTED_VALUE"""),11.0)</f>
        <v>11</v>
      </c>
      <c r="Q667" s="2">
        <f>IFERROR(__xludf.DUMMYFUNCTION("""COMPUTED_VALUE"""),1.0)</f>
        <v>1</v>
      </c>
    </row>
    <row r="668">
      <c r="P668" s="2">
        <f>IFERROR(__xludf.DUMMYFUNCTION("""COMPUTED_VALUE"""),11.0)</f>
        <v>11</v>
      </c>
      <c r="Q668" s="2">
        <f>IFERROR(__xludf.DUMMYFUNCTION("""COMPUTED_VALUE"""),12.0)</f>
        <v>12</v>
      </c>
    </row>
    <row r="669">
      <c r="P669" s="2">
        <f>IFERROR(__xludf.DUMMYFUNCTION("""COMPUTED_VALUE"""),11.0)</f>
        <v>11</v>
      </c>
      <c r="Q669" s="2">
        <f>IFERROR(__xludf.DUMMYFUNCTION("""COMPUTED_VALUE"""),4.0)</f>
        <v>4</v>
      </c>
    </row>
    <row r="670">
      <c r="P670" s="2">
        <f>IFERROR(__xludf.DUMMYFUNCTION("""COMPUTED_VALUE"""),11.0)</f>
        <v>11</v>
      </c>
      <c r="Q670" s="2">
        <f>IFERROR(__xludf.DUMMYFUNCTION("""COMPUTED_VALUE"""),5.0)</f>
        <v>5</v>
      </c>
    </row>
    <row r="671">
      <c r="P671" s="2">
        <f>IFERROR(__xludf.DUMMYFUNCTION("""COMPUTED_VALUE"""),11.0)</f>
        <v>11</v>
      </c>
      <c r="Q671" s="2">
        <f>IFERROR(__xludf.DUMMYFUNCTION("""COMPUTED_VALUE"""),4.0)</f>
        <v>4</v>
      </c>
    </row>
    <row r="672">
      <c r="P672" s="2">
        <f>IFERROR(__xludf.DUMMYFUNCTION("""COMPUTED_VALUE"""),11.0)</f>
        <v>11</v>
      </c>
      <c r="Q672" s="2">
        <f>IFERROR(__xludf.DUMMYFUNCTION("""COMPUTED_VALUE"""),7.0)</f>
        <v>7</v>
      </c>
    </row>
    <row r="673">
      <c r="P673" s="2">
        <f>IFERROR(__xludf.DUMMYFUNCTION("""COMPUTED_VALUE"""),11.0)</f>
        <v>11</v>
      </c>
      <c r="Q673" s="2">
        <f>IFERROR(__xludf.DUMMYFUNCTION("""COMPUTED_VALUE"""),8.0)</f>
        <v>8</v>
      </c>
    </row>
    <row r="674">
      <c r="P674" s="2">
        <f>IFERROR(__xludf.DUMMYFUNCTION("""COMPUTED_VALUE"""),11.0)</f>
        <v>11</v>
      </c>
      <c r="Q674" s="2">
        <f>IFERROR(__xludf.DUMMYFUNCTION("""COMPUTED_VALUE"""),6.0)</f>
        <v>6</v>
      </c>
    </row>
    <row r="675">
      <c r="P675" s="2">
        <f>IFERROR(__xludf.DUMMYFUNCTION("""COMPUTED_VALUE"""),11.0)</f>
        <v>11</v>
      </c>
      <c r="Q675" s="2">
        <f>IFERROR(__xludf.DUMMYFUNCTION("""COMPUTED_VALUE"""),1.0)</f>
        <v>1</v>
      </c>
    </row>
    <row r="676">
      <c r="P676" s="2">
        <f>IFERROR(__xludf.DUMMYFUNCTION("""COMPUTED_VALUE"""),11.0)</f>
        <v>11</v>
      </c>
      <c r="Q676" s="2">
        <f>IFERROR(__xludf.DUMMYFUNCTION("""COMPUTED_VALUE"""),1.0)</f>
        <v>1</v>
      </c>
    </row>
    <row r="677">
      <c r="P677" s="2">
        <f>IFERROR(__xludf.DUMMYFUNCTION("""COMPUTED_VALUE"""),11.0)</f>
        <v>11</v>
      </c>
      <c r="Q677" s="2">
        <f>IFERROR(__xludf.DUMMYFUNCTION("""COMPUTED_VALUE"""),1.0)</f>
        <v>1</v>
      </c>
    </row>
    <row r="678">
      <c r="P678" s="2">
        <f>IFERROR(__xludf.DUMMYFUNCTION("""COMPUTED_VALUE"""),11.0)</f>
        <v>11</v>
      </c>
      <c r="Q678" s="2">
        <f>IFERROR(__xludf.DUMMYFUNCTION("""COMPUTED_VALUE"""),1.0)</f>
        <v>1</v>
      </c>
    </row>
    <row r="679">
      <c r="P679" s="2">
        <f>IFERROR(__xludf.DUMMYFUNCTION("""COMPUTED_VALUE"""),11.0)</f>
        <v>11</v>
      </c>
      <c r="Q679" s="2">
        <f>IFERROR(__xludf.DUMMYFUNCTION("""COMPUTED_VALUE"""),2.0)</f>
        <v>2</v>
      </c>
    </row>
    <row r="680">
      <c r="P680" s="2">
        <f>IFERROR(__xludf.DUMMYFUNCTION("""COMPUTED_VALUE"""),11.0)</f>
        <v>11</v>
      </c>
      <c r="Q680" s="2">
        <f>IFERROR(__xludf.DUMMYFUNCTION("""COMPUTED_VALUE"""),1.0)</f>
        <v>1</v>
      </c>
    </row>
    <row r="681">
      <c r="P681" s="2">
        <f>IFERROR(__xludf.DUMMYFUNCTION("""COMPUTED_VALUE"""),11.0)</f>
        <v>11</v>
      </c>
      <c r="Q681" s="2">
        <f>IFERROR(__xludf.DUMMYFUNCTION("""COMPUTED_VALUE"""),12.0)</f>
        <v>12</v>
      </c>
    </row>
    <row r="682">
      <c r="P682" s="2">
        <f>IFERROR(__xludf.DUMMYFUNCTION("""COMPUTED_VALUE"""),11.0)</f>
        <v>11</v>
      </c>
      <c r="Q682" s="2">
        <f>IFERROR(__xludf.DUMMYFUNCTION("""COMPUTED_VALUE"""),48.0)</f>
        <v>48</v>
      </c>
    </row>
    <row r="683">
      <c r="P683" s="2">
        <f>IFERROR(__xludf.DUMMYFUNCTION("""COMPUTED_VALUE"""),11.0)</f>
        <v>11</v>
      </c>
      <c r="Q683" s="2">
        <f>IFERROR(__xludf.DUMMYFUNCTION("""COMPUTED_VALUE"""),48.0)</f>
        <v>48</v>
      </c>
    </row>
    <row r="684">
      <c r="P684" s="2">
        <f>IFERROR(__xludf.DUMMYFUNCTION("""COMPUTED_VALUE"""),11.0)</f>
        <v>11</v>
      </c>
      <c r="Q684" s="2">
        <f>IFERROR(__xludf.DUMMYFUNCTION("""COMPUTED_VALUE"""),60.0)</f>
        <v>60</v>
      </c>
    </row>
    <row r="685">
      <c r="P685" s="2">
        <f>IFERROR(__xludf.DUMMYFUNCTION("""COMPUTED_VALUE"""),11.0)</f>
        <v>11</v>
      </c>
      <c r="Q685" s="2">
        <f>IFERROR(__xludf.DUMMYFUNCTION("""COMPUTED_VALUE"""),6.0)</f>
        <v>6</v>
      </c>
    </row>
    <row r="686">
      <c r="P686" s="2">
        <f>IFERROR(__xludf.DUMMYFUNCTION("""COMPUTED_VALUE"""),11.0)</f>
        <v>11</v>
      </c>
      <c r="Q686" s="2">
        <f>IFERROR(__xludf.DUMMYFUNCTION("""COMPUTED_VALUE"""),6.0)</f>
        <v>6</v>
      </c>
    </row>
    <row r="687">
      <c r="P687" s="2">
        <f>IFERROR(__xludf.DUMMYFUNCTION("""COMPUTED_VALUE"""),11.0)</f>
        <v>11</v>
      </c>
      <c r="Q687" s="2">
        <f>IFERROR(__xludf.DUMMYFUNCTION("""COMPUTED_VALUE"""),3.0)</f>
        <v>3</v>
      </c>
    </row>
    <row r="688">
      <c r="P688" s="2">
        <f>IFERROR(__xludf.DUMMYFUNCTION("""COMPUTED_VALUE"""),11.0)</f>
        <v>11</v>
      </c>
      <c r="Q688" s="2">
        <f>IFERROR(__xludf.DUMMYFUNCTION("""COMPUTED_VALUE"""),6.0)</f>
        <v>6</v>
      </c>
    </row>
    <row r="689">
      <c r="P689" s="2">
        <f>IFERROR(__xludf.DUMMYFUNCTION("""COMPUTED_VALUE"""),11.0)</f>
        <v>11</v>
      </c>
      <c r="Q689" s="2">
        <f>IFERROR(__xludf.DUMMYFUNCTION("""COMPUTED_VALUE"""),3.0)</f>
        <v>3</v>
      </c>
    </row>
    <row r="690">
      <c r="P690" s="2">
        <f>IFERROR(__xludf.DUMMYFUNCTION("""COMPUTED_VALUE"""),11.0)</f>
        <v>11</v>
      </c>
      <c r="Q690" s="2">
        <f>IFERROR(__xludf.DUMMYFUNCTION("""COMPUTED_VALUE"""),24.0)</f>
        <v>24</v>
      </c>
    </row>
    <row r="691">
      <c r="P691" s="2">
        <f>IFERROR(__xludf.DUMMYFUNCTION("""COMPUTED_VALUE"""),11.0)</f>
        <v>11</v>
      </c>
      <c r="Q691" s="2">
        <f>IFERROR(__xludf.DUMMYFUNCTION("""COMPUTED_VALUE"""),24.0)</f>
        <v>24</v>
      </c>
    </row>
    <row r="692">
      <c r="P692" s="2">
        <f>IFERROR(__xludf.DUMMYFUNCTION("""COMPUTED_VALUE"""),11.0)</f>
        <v>11</v>
      </c>
      <c r="Q692" s="2">
        <f>IFERROR(__xludf.DUMMYFUNCTION("""COMPUTED_VALUE"""),12.0)</f>
        <v>12</v>
      </c>
    </row>
    <row r="693">
      <c r="P693" s="2">
        <f>IFERROR(__xludf.DUMMYFUNCTION("""COMPUTED_VALUE"""),11.0)</f>
        <v>11</v>
      </c>
      <c r="Q693" s="2">
        <f>IFERROR(__xludf.DUMMYFUNCTION("""COMPUTED_VALUE"""),24.0)</f>
        <v>24</v>
      </c>
    </row>
    <row r="694">
      <c r="P694" s="2">
        <f>IFERROR(__xludf.DUMMYFUNCTION("""COMPUTED_VALUE"""),11.0)</f>
        <v>11</v>
      </c>
      <c r="Q694" s="2">
        <f>IFERROR(__xludf.DUMMYFUNCTION("""COMPUTED_VALUE"""),12.0)</f>
        <v>12</v>
      </c>
    </row>
    <row r="695">
      <c r="P695" s="2">
        <f>IFERROR(__xludf.DUMMYFUNCTION("""COMPUTED_VALUE"""),11.0)</f>
        <v>11</v>
      </c>
      <c r="Q695" s="2">
        <f>IFERROR(__xludf.DUMMYFUNCTION("""COMPUTED_VALUE"""),6.0)</f>
        <v>6</v>
      </c>
    </row>
    <row r="696">
      <c r="P696" s="2">
        <f>IFERROR(__xludf.DUMMYFUNCTION("""COMPUTED_VALUE"""),11.0)</f>
        <v>11</v>
      </c>
      <c r="Q696" s="2">
        <f>IFERROR(__xludf.DUMMYFUNCTION("""COMPUTED_VALUE"""),6.0)</f>
        <v>6</v>
      </c>
    </row>
    <row r="697">
      <c r="P697" s="2">
        <f>IFERROR(__xludf.DUMMYFUNCTION("""COMPUTED_VALUE"""),11.0)</f>
        <v>11</v>
      </c>
      <c r="Q697" s="2">
        <f>IFERROR(__xludf.DUMMYFUNCTION("""COMPUTED_VALUE"""),9.0)</f>
        <v>9</v>
      </c>
    </row>
    <row r="698">
      <c r="P698" s="2">
        <f>IFERROR(__xludf.DUMMYFUNCTION("""COMPUTED_VALUE"""),11.0)</f>
        <v>11</v>
      </c>
      <c r="Q698" s="2">
        <f>IFERROR(__xludf.DUMMYFUNCTION("""COMPUTED_VALUE"""),2.0)</f>
        <v>2</v>
      </c>
    </row>
    <row r="699">
      <c r="P699" s="2">
        <f>IFERROR(__xludf.DUMMYFUNCTION("""COMPUTED_VALUE"""),11.0)</f>
        <v>11</v>
      </c>
      <c r="Q699" s="2">
        <f>IFERROR(__xludf.DUMMYFUNCTION("""COMPUTED_VALUE"""),30.0)</f>
        <v>30</v>
      </c>
    </row>
    <row r="700">
      <c r="P700" s="2">
        <f>IFERROR(__xludf.DUMMYFUNCTION("""COMPUTED_VALUE"""),11.0)</f>
        <v>11</v>
      </c>
      <c r="Q700" s="2">
        <f>IFERROR(__xludf.DUMMYFUNCTION("""COMPUTED_VALUE"""),12.0)</f>
        <v>12</v>
      </c>
    </row>
    <row r="701">
      <c r="P701" s="2">
        <f>IFERROR(__xludf.DUMMYFUNCTION("""COMPUTED_VALUE"""),12.0)</f>
        <v>12</v>
      </c>
      <c r="Q701" s="2">
        <f>IFERROR(__xludf.DUMMYFUNCTION("""COMPUTED_VALUE"""),1.0)</f>
        <v>1</v>
      </c>
    </row>
    <row r="702">
      <c r="P702" s="2">
        <f>IFERROR(__xludf.DUMMYFUNCTION("""COMPUTED_VALUE"""),12.0)</f>
        <v>12</v>
      </c>
      <c r="Q702" s="2">
        <f>IFERROR(__xludf.DUMMYFUNCTION("""COMPUTED_VALUE"""),1.0)</f>
        <v>1</v>
      </c>
    </row>
    <row r="703">
      <c r="P703" s="2">
        <f>IFERROR(__xludf.DUMMYFUNCTION("""COMPUTED_VALUE"""),12.0)</f>
        <v>12</v>
      </c>
      <c r="Q703" s="2">
        <f>IFERROR(__xludf.DUMMYFUNCTION("""COMPUTED_VALUE"""),1.0)</f>
        <v>1</v>
      </c>
    </row>
    <row r="704">
      <c r="P704" s="2">
        <f>IFERROR(__xludf.DUMMYFUNCTION("""COMPUTED_VALUE"""),12.0)</f>
        <v>12</v>
      </c>
      <c r="Q704" s="2">
        <f>IFERROR(__xludf.DUMMYFUNCTION("""COMPUTED_VALUE"""),4.0)</f>
        <v>4</v>
      </c>
    </row>
    <row r="705">
      <c r="P705" s="2">
        <f>IFERROR(__xludf.DUMMYFUNCTION("""COMPUTED_VALUE"""),12.0)</f>
        <v>12</v>
      </c>
      <c r="Q705" s="2">
        <f>IFERROR(__xludf.DUMMYFUNCTION("""COMPUTED_VALUE"""),6.0)</f>
        <v>6</v>
      </c>
    </row>
    <row r="706">
      <c r="P706" s="2">
        <f>IFERROR(__xludf.DUMMYFUNCTION("""COMPUTED_VALUE"""),12.0)</f>
        <v>12</v>
      </c>
      <c r="Q706" s="2">
        <f>IFERROR(__xludf.DUMMYFUNCTION("""COMPUTED_VALUE"""),6.0)</f>
        <v>6</v>
      </c>
    </row>
    <row r="707">
      <c r="P707" s="2">
        <f>IFERROR(__xludf.DUMMYFUNCTION("""COMPUTED_VALUE"""),12.0)</f>
        <v>12</v>
      </c>
      <c r="Q707" s="2">
        <f>IFERROR(__xludf.DUMMYFUNCTION("""COMPUTED_VALUE"""),1.0)</f>
        <v>1</v>
      </c>
    </row>
    <row r="708">
      <c r="P708" s="2">
        <f>IFERROR(__xludf.DUMMYFUNCTION("""COMPUTED_VALUE"""),12.0)</f>
        <v>12</v>
      </c>
      <c r="Q708" s="2">
        <f>IFERROR(__xludf.DUMMYFUNCTION("""COMPUTED_VALUE"""),2.0)</f>
        <v>2</v>
      </c>
    </row>
    <row r="709">
      <c r="P709" s="2">
        <f>IFERROR(__xludf.DUMMYFUNCTION("""COMPUTED_VALUE"""),12.0)</f>
        <v>12</v>
      </c>
      <c r="Q709" s="2">
        <f>IFERROR(__xludf.DUMMYFUNCTION("""COMPUTED_VALUE"""),1.0)</f>
        <v>1</v>
      </c>
    </row>
    <row r="710">
      <c r="P710" s="2">
        <f>IFERROR(__xludf.DUMMYFUNCTION("""COMPUTED_VALUE"""),12.0)</f>
        <v>12</v>
      </c>
      <c r="Q710" s="2">
        <f>IFERROR(__xludf.DUMMYFUNCTION("""COMPUTED_VALUE"""),1.0)</f>
        <v>1</v>
      </c>
    </row>
    <row r="711">
      <c r="P711" s="2">
        <f>IFERROR(__xludf.DUMMYFUNCTION("""COMPUTED_VALUE"""),12.0)</f>
        <v>12</v>
      </c>
      <c r="Q711" s="2">
        <f>IFERROR(__xludf.DUMMYFUNCTION("""COMPUTED_VALUE"""),1.0)</f>
        <v>1</v>
      </c>
    </row>
    <row r="712">
      <c r="P712" s="2">
        <f>IFERROR(__xludf.DUMMYFUNCTION("""COMPUTED_VALUE"""),12.0)</f>
        <v>12</v>
      </c>
      <c r="Q712" s="2">
        <f>IFERROR(__xludf.DUMMYFUNCTION("""COMPUTED_VALUE"""),1.0)</f>
        <v>1</v>
      </c>
    </row>
    <row r="713">
      <c r="P713" s="2">
        <f>IFERROR(__xludf.DUMMYFUNCTION("""COMPUTED_VALUE"""),12.0)</f>
        <v>12</v>
      </c>
      <c r="Q713" s="2">
        <f>IFERROR(__xludf.DUMMYFUNCTION("""COMPUTED_VALUE"""),12.0)</f>
        <v>12</v>
      </c>
    </row>
    <row r="714">
      <c r="P714" s="2">
        <f>IFERROR(__xludf.DUMMYFUNCTION("""COMPUTED_VALUE"""),12.0)</f>
        <v>12</v>
      </c>
      <c r="Q714" s="2">
        <f>IFERROR(__xludf.DUMMYFUNCTION("""COMPUTED_VALUE"""),2.0)</f>
        <v>2</v>
      </c>
    </row>
    <row r="715">
      <c r="P715" s="2">
        <f>IFERROR(__xludf.DUMMYFUNCTION("""COMPUTED_VALUE"""),12.0)</f>
        <v>12</v>
      </c>
      <c r="Q715" s="2">
        <f>IFERROR(__xludf.DUMMYFUNCTION("""COMPUTED_VALUE"""),1.0)</f>
        <v>1</v>
      </c>
    </row>
    <row r="716">
      <c r="P716" s="2">
        <f>IFERROR(__xludf.DUMMYFUNCTION("""COMPUTED_VALUE"""),12.0)</f>
        <v>12</v>
      </c>
      <c r="Q716" s="2">
        <f>IFERROR(__xludf.DUMMYFUNCTION("""COMPUTED_VALUE"""),1.0)</f>
        <v>1</v>
      </c>
    </row>
    <row r="717">
      <c r="P717" s="2">
        <f>IFERROR(__xludf.DUMMYFUNCTION("""COMPUTED_VALUE"""),12.0)</f>
        <v>12</v>
      </c>
      <c r="Q717" s="2">
        <f>IFERROR(__xludf.DUMMYFUNCTION("""COMPUTED_VALUE"""),2.0)</f>
        <v>2</v>
      </c>
    </row>
    <row r="718">
      <c r="P718" s="2">
        <f>IFERROR(__xludf.DUMMYFUNCTION("""COMPUTED_VALUE"""),12.0)</f>
        <v>12</v>
      </c>
      <c r="Q718" s="2">
        <f>IFERROR(__xludf.DUMMYFUNCTION("""COMPUTED_VALUE"""),12.0)</f>
        <v>12</v>
      </c>
    </row>
    <row r="719">
      <c r="P719" s="2">
        <f>IFERROR(__xludf.DUMMYFUNCTION("""COMPUTED_VALUE"""),12.0)</f>
        <v>12</v>
      </c>
      <c r="Q719" s="2">
        <f>IFERROR(__xludf.DUMMYFUNCTION("""COMPUTED_VALUE"""),2.0)</f>
        <v>2</v>
      </c>
    </row>
    <row r="720">
      <c r="P720" s="2">
        <f>IFERROR(__xludf.DUMMYFUNCTION("""COMPUTED_VALUE"""),12.0)</f>
        <v>12</v>
      </c>
      <c r="Q720" s="2">
        <f>IFERROR(__xludf.DUMMYFUNCTION("""COMPUTED_VALUE"""),2.0)</f>
        <v>2</v>
      </c>
    </row>
    <row r="721">
      <c r="P721" s="2">
        <f>IFERROR(__xludf.DUMMYFUNCTION("""COMPUTED_VALUE"""),12.0)</f>
        <v>12</v>
      </c>
      <c r="Q721" s="2">
        <f>IFERROR(__xludf.DUMMYFUNCTION("""COMPUTED_VALUE"""),-1.0)</f>
        <v>-1</v>
      </c>
    </row>
    <row r="722">
      <c r="P722" s="2">
        <f>IFERROR(__xludf.DUMMYFUNCTION("""COMPUTED_VALUE"""),12.0)</f>
        <v>12</v>
      </c>
      <c r="Q722" s="2">
        <f>IFERROR(__xludf.DUMMYFUNCTION("""COMPUTED_VALUE"""),-1.0)</f>
        <v>-1</v>
      </c>
    </row>
    <row r="723">
      <c r="P723" s="2">
        <f>IFERROR(__xludf.DUMMYFUNCTION("""COMPUTED_VALUE"""),12.0)</f>
        <v>12</v>
      </c>
      <c r="Q723" s="2">
        <f>IFERROR(__xludf.DUMMYFUNCTION("""COMPUTED_VALUE"""),-1.0)</f>
        <v>-1</v>
      </c>
    </row>
    <row r="724">
      <c r="P724" s="2">
        <f>IFERROR(__xludf.DUMMYFUNCTION("""COMPUTED_VALUE"""),12.0)</f>
        <v>12</v>
      </c>
      <c r="Q724" s="2">
        <f>IFERROR(__xludf.DUMMYFUNCTION("""COMPUTED_VALUE"""),2.0)</f>
        <v>2</v>
      </c>
    </row>
    <row r="725">
      <c r="P725" s="2">
        <f>IFERROR(__xludf.DUMMYFUNCTION("""COMPUTED_VALUE"""),12.0)</f>
        <v>12</v>
      </c>
      <c r="Q725" s="2">
        <f>IFERROR(__xludf.DUMMYFUNCTION("""COMPUTED_VALUE"""),1.0)</f>
        <v>1</v>
      </c>
    </row>
    <row r="726">
      <c r="P726" s="2">
        <f>IFERROR(__xludf.DUMMYFUNCTION("""COMPUTED_VALUE"""),12.0)</f>
        <v>12</v>
      </c>
      <c r="Q726" s="2">
        <f>IFERROR(__xludf.DUMMYFUNCTION("""COMPUTED_VALUE"""),1.0)</f>
        <v>1</v>
      </c>
    </row>
    <row r="727">
      <c r="P727" s="2">
        <f>IFERROR(__xludf.DUMMYFUNCTION("""COMPUTED_VALUE"""),12.0)</f>
        <v>12</v>
      </c>
      <c r="Q727" s="2">
        <f>IFERROR(__xludf.DUMMYFUNCTION("""COMPUTED_VALUE"""),1.0)</f>
        <v>1</v>
      </c>
    </row>
    <row r="728">
      <c r="P728" s="2">
        <f>IFERROR(__xludf.DUMMYFUNCTION("""COMPUTED_VALUE"""),12.0)</f>
        <v>12</v>
      </c>
      <c r="Q728" s="2">
        <f>IFERROR(__xludf.DUMMYFUNCTION("""COMPUTED_VALUE"""),1.0)</f>
        <v>1</v>
      </c>
    </row>
    <row r="729">
      <c r="P729" s="2">
        <f>IFERROR(__xludf.DUMMYFUNCTION("""COMPUTED_VALUE"""),12.0)</f>
        <v>12</v>
      </c>
      <c r="Q729" s="2">
        <f>IFERROR(__xludf.DUMMYFUNCTION("""COMPUTED_VALUE"""),2.0)</f>
        <v>2</v>
      </c>
    </row>
    <row r="730">
      <c r="P730" s="2">
        <f>IFERROR(__xludf.DUMMYFUNCTION("""COMPUTED_VALUE"""),12.0)</f>
        <v>12</v>
      </c>
      <c r="Q730" s="2">
        <f>IFERROR(__xludf.DUMMYFUNCTION("""COMPUTED_VALUE"""),2.0)</f>
        <v>2</v>
      </c>
    </row>
    <row r="731">
      <c r="P731" s="2">
        <f>IFERROR(__xludf.DUMMYFUNCTION("""COMPUTED_VALUE"""),12.0)</f>
        <v>12</v>
      </c>
      <c r="Q731" s="2">
        <f>IFERROR(__xludf.DUMMYFUNCTION("""COMPUTED_VALUE"""),1.0)</f>
        <v>1</v>
      </c>
    </row>
    <row r="732">
      <c r="P732" s="2">
        <f>IFERROR(__xludf.DUMMYFUNCTION("""COMPUTED_VALUE"""),12.0)</f>
        <v>12</v>
      </c>
      <c r="Q732" s="2">
        <f>IFERROR(__xludf.DUMMYFUNCTION("""COMPUTED_VALUE"""),1.0)</f>
        <v>1</v>
      </c>
    </row>
    <row r="733">
      <c r="P733" s="2">
        <f>IFERROR(__xludf.DUMMYFUNCTION("""COMPUTED_VALUE"""),12.0)</f>
        <v>12</v>
      </c>
      <c r="Q733" s="2">
        <f>IFERROR(__xludf.DUMMYFUNCTION("""COMPUTED_VALUE"""),2.0)</f>
        <v>2</v>
      </c>
    </row>
    <row r="734">
      <c r="P734" s="2">
        <f>IFERROR(__xludf.DUMMYFUNCTION("""COMPUTED_VALUE"""),12.0)</f>
        <v>12</v>
      </c>
      <c r="Q734" s="2">
        <f>IFERROR(__xludf.DUMMYFUNCTION("""COMPUTED_VALUE"""),1.0)</f>
        <v>1</v>
      </c>
    </row>
    <row r="735">
      <c r="P735" s="2">
        <f>IFERROR(__xludf.DUMMYFUNCTION("""COMPUTED_VALUE"""),12.0)</f>
        <v>12</v>
      </c>
      <c r="Q735" s="2">
        <f>IFERROR(__xludf.DUMMYFUNCTION("""COMPUTED_VALUE"""),2.0)</f>
        <v>2</v>
      </c>
    </row>
    <row r="736">
      <c r="P736" s="2">
        <f>IFERROR(__xludf.DUMMYFUNCTION("""COMPUTED_VALUE"""),12.0)</f>
        <v>12</v>
      </c>
      <c r="Q736" s="2">
        <f>IFERROR(__xludf.DUMMYFUNCTION("""COMPUTED_VALUE"""),2.0)</f>
        <v>2</v>
      </c>
    </row>
    <row r="737">
      <c r="P737" s="2">
        <f>IFERROR(__xludf.DUMMYFUNCTION("""COMPUTED_VALUE"""),12.0)</f>
        <v>12</v>
      </c>
      <c r="Q737" s="2">
        <f>IFERROR(__xludf.DUMMYFUNCTION("""COMPUTED_VALUE"""),1.0)</f>
        <v>1</v>
      </c>
    </row>
    <row r="738">
      <c r="P738" s="2">
        <f>IFERROR(__xludf.DUMMYFUNCTION("""COMPUTED_VALUE"""),12.0)</f>
        <v>12</v>
      </c>
      <c r="Q738" s="2">
        <f>IFERROR(__xludf.DUMMYFUNCTION("""COMPUTED_VALUE"""),2.0)</f>
        <v>2</v>
      </c>
    </row>
    <row r="739">
      <c r="P739" s="2">
        <f>IFERROR(__xludf.DUMMYFUNCTION("""COMPUTED_VALUE"""),12.0)</f>
        <v>12</v>
      </c>
      <c r="Q739" s="2">
        <f>IFERROR(__xludf.DUMMYFUNCTION("""COMPUTED_VALUE"""),1.0)</f>
        <v>1</v>
      </c>
    </row>
    <row r="740">
      <c r="P740" s="2">
        <f>IFERROR(__xludf.DUMMYFUNCTION("""COMPUTED_VALUE"""),12.0)</f>
        <v>12</v>
      </c>
      <c r="Q740" s="2">
        <f>IFERROR(__xludf.DUMMYFUNCTION("""COMPUTED_VALUE"""),1.0)</f>
        <v>1</v>
      </c>
    </row>
    <row r="741">
      <c r="P741" s="2">
        <f>IFERROR(__xludf.DUMMYFUNCTION("""COMPUTED_VALUE"""),12.0)</f>
        <v>12</v>
      </c>
      <c r="Q741" s="2">
        <f>IFERROR(__xludf.DUMMYFUNCTION("""COMPUTED_VALUE"""),1.0)</f>
        <v>1</v>
      </c>
    </row>
    <row r="742">
      <c r="P742" s="2">
        <f>IFERROR(__xludf.DUMMYFUNCTION("""COMPUTED_VALUE"""),12.0)</f>
        <v>12</v>
      </c>
      <c r="Q742" s="2">
        <f>IFERROR(__xludf.DUMMYFUNCTION("""COMPUTED_VALUE"""),2.0)</f>
        <v>2</v>
      </c>
    </row>
    <row r="743">
      <c r="P743" s="2">
        <f>IFERROR(__xludf.DUMMYFUNCTION("""COMPUTED_VALUE"""),12.0)</f>
        <v>12</v>
      </c>
      <c r="Q743" s="2">
        <f>IFERROR(__xludf.DUMMYFUNCTION("""COMPUTED_VALUE"""),1.0)</f>
        <v>1</v>
      </c>
    </row>
    <row r="744">
      <c r="P744" s="2">
        <f>IFERROR(__xludf.DUMMYFUNCTION("""COMPUTED_VALUE"""),12.0)</f>
        <v>12</v>
      </c>
      <c r="Q744" s="2">
        <f>IFERROR(__xludf.DUMMYFUNCTION("""COMPUTED_VALUE"""),1.0)</f>
        <v>1</v>
      </c>
    </row>
    <row r="745">
      <c r="P745" s="2">
        <f>IFERROR(__xludf.DUMMYFUNCTION("""COMPUTED_VALUE"""),12.0)</f>
        <v>12</v>
      </c>
      <c r="Q745" s="2">
        <f>IFERROR(__xludf.DUMMYFUNCTION("""COMPUTED_VALUE"""),1.0)</f>
        <v>1</v>
      </c>
    </row>
    <row r="746">
      <c r="P746" s="2">
        <f>IFERROR(__xludf.DUMMYFUNCTION("""COMPUTED_VALUE"""),12.0)</f>
        <v>12</v>
      </c>
      <c r="Q746" s="2">
        <f>IFERROR(__xludf.DUMMYFUNCTION("""COMPUTED_VALUE"""),1.0)</f>
        <v>1</v>
      </c>
    </row>
    <row r="747">
      <c r="P747" s="2">
        <f>IFERROR(__xludf.DUMMYFUNCTION("""COMPUTED_VALUE"""),12.0)</f>
        <v>12</v>
      </c>
      <c r="Q747" s="2">
        <f>IFERROR(__xludf.DUMMYFUNCTION("""COMPUTED_VALUE"""),1.0)</f>
        <v>1</v>
      </c>
    </row>
    <row r="748">
      <c r="P748" s="2">
        <f>IFERROR(__xludf.DUMMYFUNCTION("""COMPUTED_VALUE"""),12.0)</f>
        <v>12</v>
      </c>
      <c r="Q748" s="2">
        <f>IFERROR(__xludf.DUMMYFUNCTION("""COMPUTED_VALUE"""),1.0)</f>
        <v>1</v>
      </c>
    </row>
    <row r="749">
      <c r="P749" s="2">
        <f>IFERROR(__xludf.DUMMYFUNCTION("""COMPUTED_VALUE"""),12.0)</f>
        <v>12</v>
      </c>
      <c r="Q749" s="2">
        <f>IFERROR(__xludf.DUMMYFUNCTION("""COMPUTED_VALUE"""),1.0)</f>
        <v>1</v>
      </c>
    </row>
    <row r="750">
      <c r="P750" s="2">
        <f>IFERROR(__xludf.DUMMYFUNCTION("""COMPUTED_VALUE"""),12.0)</f>
        <v>12</v>
      </c>
      <c r="Q750" s="2">
        <f>IFERROR(__xludf.DUMMYFUNCTION("""COMPUTED_VALUE"""),1.0)</f>
        <v>1</v>
      </c>
    </row>
    <row r="751">
      <c r="P751" s="2">
        <f>IFERROR(__xludf.DUMMYFUNCTION("""COMPUTED_VALUE"""),12.0)</f>
        <v>12</v>
      </c>
      <c r="Q751" s="2">
        <f>IFERROR(__xludf.DUMMYFUNCTION("""COMPUTED_VALUE"""),1.0)</f>
        <v>1</v>
      </c>
    </row>
    <row r="752">
      <c r="P752" s="2">
        <f>IFERROR(__xludf.DUMMYFUNCTION("""COMPUTED_VALUE"""),12.0)</f>
        <v>12</v>
      </c>
      <c r="Q752" s="2">
        <f>IFERROR(__xludf.DUMMYFUNCTION("""COMPUTED_VALUE"""),2.0)</f>
        <v>2</v>
      </c>
    </row>
    <row r="753">
      <c r="P753" s="2">
        <f>IFERROR(__xludf.DUMMYFUNCTION("""COMPUTED_VALUE"""),12.0)</f>
        <v>12</v>
      </c>
      <c r="Q753" s="2">
        <f>IFERROR(__xludf.DUMMYFUNCTION("""COMPUTED_VALUE"""),2.0)</f>
        <v>2</v>
      </c>
    </row>
    <row r="754">
      <c r="P754" s="2">
        <f>IFERROR(__xludf.DUMMYFUNCTION("""COMPUTED_VALUE"""),12.0)</f>
        <v>12</v>
      </c>
      <c r="Q754" s="2">
        <f>IFERROR(__xludf.DUMMYFUNCTION("""COMPUTED_VALUE"""),2.0)</f>
        <v>2</v>
      </c>
    </row>
    <row r="755">
      <c r="P755" s="2">
        <f>IFERROR(__xludf.DUMMYFUNCTION("""COMPUTED_VALUE"""),12.0)</f>
        <v>12</v>
      </c>
      <c r="Q755" s="2">
        <f>IFERROR(__xludf.DUMMYFUNCTION("""COMPUTED_VALUE"""),2.0)</f>
        <v>2</v>
      </c>
    </row>
    <row r="756">
      <c r="P756" s="2">
        <f>IFERROR(__xludf.DUMMYFUNCTION("""COMPUTED_VALUE"""),12.0)</f>
        <v>12</v>
      </c>
      <c r="Q756" s="2">
        <f>IFERROR(__xludf.DUMMYFUNCTION("""COMPUTED_VALUE"""),2.0)</f>
        <v>2</v>
      </c>
    </row>
    <row r="757">
      <c r="P757" s="2">
        <f>IFERROR(__xludf.DUMMYFUNCTION("""COMPUTED_VALUE"""),12.0)</f>
        <v>12</v>
      </c>
      <c r="Q757" s="2">
        <f>IFERROR(__xludf.DUMMYFUNCTION("""COMPUTED_VALUE"""),1.0)</f>
        <v>1</v>
      </c>
    </row>
    <row r="758">
      <c r="P758" s="2">
        <f>IFERROR(__xludf.DUMMYFUNCTION("""COMPUTED_VALUE"""),12.0)</f>
        <v>12</v>
      </c>
      <c r="Q758" s="2">
        <f>IFERROR(__xludf.DUMMYFUNCTION("""COMPUTED_VALUE"""),1.0)</f>
        <v>1</v>
      </c>
    </row>
    <row r="759">
      <c r="P759" s="2">
        <f>IFERROR(__xludf.DUMMYFUNCTION("""COMPUTED_VALUE"""),12.0)</f>
        <v>12</v>
      </c>
      <c r="Q759" s="2">
        <f>IFERROR(__xludf.DUMMYFUNCTION("""COMPUTED_VALUE"""),1.0)</f>
        <v>1</v>
      </c>
    </row>
    <row r="760">
      <c r="P760" s="2">
        <f>IFERROR(__xludf.DUMMYFUNCTION("""COMPUTED_VALUE"""),12.0)</f>
        <v>12</v>
      </c>
      <c r="Q760" s="2">
        <f>IFERROR(__xludf.DUMMYFUNCTION("""COMPUTED_VALUE"""),1.0)</f>
        <v>1</v>
      </c>
    </row>
    <row r="761">
      <c r="P761" s="2">
        <f>IFERROR(__xludf.DUMMYFUNCTION("""COMPUTED_VALUE"""),12.0)</f>
        <v>12</v>
      </c>
      <c r="Q761" s="2">
        <f>IFERROR(__xludf.DUMMYFUNCTION("""COMPUTED_VALUE"""),1.0)</f>
        <v>1</v>
      </c>
    </row>
    <row r="762">
      <c r="P762" s="2">
        <f>IFERROR(__xludf.DUMMYFUNCTION("""COMPUTED_VALUE"""),12.0)</f>
        <v>12</v>
      </c>
      <c r="Q762" s="2">
        <f>IFERROR(__xludf.DUMMYFUNCTION("""COMPUTED_VALUE"""),1.0)</f>
        <v>1</v>
      </c>
    </row>
    <row r="763">
      <c r="P763" s="2">
        <f>IFERROR(__xludf.DUMMYFUNCTION("""COMPUTED_VALUE"""),12.0)</f>
        <v>12</v>
      </c>
      <c r="Q763" s="2">
        <f>IFERROR(__xludf.DUMMYFUNCTION("""COMPUTED_VALUE"""),1.0)</f>
        <v>1</v>
      </c>
    </row>
    <row r="764">
      <c r="P764" s="2">
        <f>IFERROR(__xludf.DUMMYFUNCTION("""COMPUTED_VALUE"""),12.0)</f>
        <v>12</v>
      </c>
      <c r="Q764" s="2">
        <f>IFERROR(__xludf.DUMMYFUNCTION("""COMPUTED_VALUE"""),1.0)</f>
        <v>1</v>
      </c>
    </row>
    <row r="765">
      <c r="P765" s="2">
        <f>IFERROR(__xludf.DUMMYFUNCTION("""COMPUTED_VALUE"""),12.0)</f>
        <v>12</v>
      </c>
      <c r="Q765" s="2">
        <f>IFERROR(__xludf.DUMMYFUNCTION("""COMPUTED_VALUE"""),1.0)</f>
        <v>1</v>
      </c>
    </row>
    <row r="766">
      <c r="P766" s="2">
        <f>IFERROR(__xludf.DUMMYFUNCTION("""COMPUTED_VALUE"""),12.0)</f>
        <v>12</v>
      </c>
      <c r="Q766" s="2">
        <f>IFERROR(__xludf.DUMMYFUNCTION("""COMPUTED_VALUE"""),2.0)</f>
        <v>2</v>
      </c>
    </row>
    <row r="767">
      <c r="P767" s="2">
        <f>IFERROR(__xludf.DUMMYFUNCTION("""COMPUTED_VALUE"""),12.0)</f>
        <v>12</v>
      </c>
      <c r="Q767" s="2">
        <f>IFERROR(__xludf.DUMMYFUNCTION("""COMPUTED_VALUE"""),1.0)</f>
        <v>1</v>
      </c>
    </row>
    <row r="768">
      <c r="P768" s="2">
        <f>IFERROR(__xludf.DUMMYFUNCTION("""COMPUTED_VALUE"""),12.0)</f>
        <v>12</v>
      </c>
      <c r="Q768" s="2">
        <f>IFERROR(__xludf.DUMMYFUNCTION("""COMPUTED_VALUE"""),1.0)</f>
        <v>1</v>
      </c>
    </row>
    <row r="769">
      <c r="P769" s="2">
        <f>IFERROR(__xludf.DUMMYFUNCTION("""COMPUTED_VALUE"""),12.0)</f>
        <v>12</v>
      </c>
      <c r="Q769" s="2">
        <f>IFERROR(__xludf.DUMMYFUNCTION("""COMPUTED_VALUE"""),1.0)</f>
        <v>1</v>
      </c>
    </row>
    <row r="770">
      <c r="P770" s="2">
        <f>IFERROR(__xludf.DUMMYFUNCTION("""COMPUTED_VALUE"""),12.0)</f>
        <v>12</v>
      </c>
      <c r="Q770" s="2">
        <f>IFERROR(__xludf.DUMMYFUNCTION("""COMPUTED_VALUE"""),1.0)</f>
        <v>1</v>
      </c>
    </row>
    <row r="771">
      <c r="P771" s="2">
        <f>IFERROR(__xludf.DUMMYFUNCTION("""COMPUTED_VALUE"""),12.0)</f>
        <v>12</v>
      </c>
      <c r="Q771" s="2">
        <f>IFERROR(__xludf.DUMMYFUNCTION("""COMPUTED_VALUE"""),6.0)</f>
        <v>6</v>
      </c>
    </row>
    <row r="772">
      <c r="P772" s="2">
        <f>IFERROR(__xludf.DUMMYFUNCTION("""COMPUTED_VALUE"""),12.0)</f>
        <v>12</v>
      </c>
      <c r="Q772" s="2">
        <f>IFERROR(__xludf.DUMMYFUNCTION("""COMPUTED_VALUE"""),1.0)</f>
        <v>1</v>
      </c>
    </row>
    <row r="773">
      <c r="P773" s="2">
        <f>IFERROR(__xludf.DUMMYFUNCTION("""COMPUTED_VALUE"""),12.0)</f>
        <v>12</v>
      </c>
      <c r="Q773" s="2">
        <f>IFERROR(__xludf.DUMMYFUNCTION("""COMPUTED_VALUE"""),1.0)</f>
        <v>1</v>
      </c>
    </row>
    <row r="774">
      <c r="P774" s="2">
        <f>IFERROR(__xludf.DUMMYFUNCTION("""COMPUTED_VALUE"""),12.0)</f>
        <v>12</v>
      </c>
      <c r="Q774" s="2">
        <f>IFERROR(__xludf.DUMMYFUNCTION("""COMPUTED_VALUE"""),1.0)</f>
        <v>1</v>
      </c>
    </row>
    <row r="775">
      <c r="P775" s="2">
        <f>IFERROR(__xludf.DUMMYFUNCTION("""COMPUTED_VALUE"""),12.0)</f>
        <v>12</v>
      </c>
      <c r="Q775" s="2">
        <f>IFERROR(__xludf.DUMMYFUNCTION("""COMPUTED_VALUE"""),1.0)</f>
        <v>1</v>
      </c>
    </row>
    <row r="776">
      <c r="P776" s="2">
        <f>IFERROR(__xludf.DUMMYFUNCTION("""COMPUTED_VALUE"""),12.0)</f>
        <v>12</v>
      </c>
      <c r="Q776" s="2">
        <f>IFERROR(__xludf.DUMMYFUNCTION("""COMPUTED_VALUE"""),1.0)</f>
        <v>1</v>
      </c>
    </row>
    <row r="777">
      <c r="P777" s="2">
        <f>IFERROR(__xludf.DUMMYFUNCTION("""COMPUTED_VALUE"""),12.0)</f>
        <v>12</v>
      </c>
      <c r="Q777" s="2">
        <f>IFERROR(__xludf.DUMMYFUNCTION("""COMPUTED_VALUE"""),7.0)</f>
        <v>7</v>
      </c>
    </row>
    <row r="778">
      <c r="P778" s="2">
        <f>IFERROR(__xludf.DUMMYFUNCTION("""COMPUTED_VALUE"""),12.0)</f>
        <v>12</v>
      </c>
      <c r="Q778" s="2">
        <f>IFERROR(__xludf.DUMMYFUNCTION("""COMPUTED_VALUE"""),1.0)</f>
        <v>1</v>
      </c>
    </row>
    <row r="779">
      <c r="P779" s="2">
        <f>IFERROR(__xludf.DUMMYFUNCTION("""COMPUTED_VALUE"""),12.0)</f>
        <v>12</v>
      </c>
      <c r="Q779" s="2">
        <f>IFERROR(__xludf.DUMMYFUNCTION("""COMPUTED_VALUE"""),1.0)</f>
        <v>1</v>
      </c>
    </row>
    <row r="780">
      <c r="P780" s="2">
        <f>IFERROR(__xludf.DUMMYFUNCTION("""COMPUTED_VALUE"""),12.0)</f>
        <v>12</v>
      </c>
      <c r="Q780" s="2">
        <f>IFERROR(__xludf.DUMMYFUNCTION("""COMPUTED_VALUE"""),2.0)</f>
        <v>2</v>
      </c>
    </row>
    <row r="781">
      <c r="P781" s="2">
        <f>IFERROR(__xludf.DUMMYFUNCTION("""COMPUTED_VALUE"""),12.0)</f>
        <v>12</v>
      </c>
      <c r="Q781" s="2">
        <f>IFERROR(__xludf.DUMMYFUNCTION("""COMPUTED_VALUE"""),1.0)</f>
        <v>1</v>
      </c>
    </row>
    <row r="782">
      <c r="P782" s="2">
        <f>IFERROR(__xludf.DUMMYFUNCTION("""COMPUTED_VALUE"""),12.0)</f>
        <v>12</v>
      </c>
      <c r="Q782" s="2">
        <f>IFERROR(__xludf.DUMMYFUNCTION("""COMPUTED_VALUE"""),2.0)</f>
        <v>2</v>
      </c>
    </row>
    <row r="783">
      <c r="P783" s="2">
        <f>IFERROR(__xludf.DUMMYFUNCTION("""COMPUTED_VALUE"""),12.0)</f>
        <v>12</v>
      </c>
      <c r="Q783" s="2">
        <f>IFERROR(__xludf.DUMMYFUNCTION("""COMPUTED_VALUE"""),1.0)</f>
        <v>1</v>
      </c>
    </row>
    <row r="784">
      <c r="P784" s="2">
        <f>IFERROR(__xludf.DUMMYFUNCTION("""COMPUTED_VALUE"""),12.0)</f>
        <v>12</v>
      </c>
      <c r="Q784" s="2">
        <f>IFERROR(__xludf.DUMMYFUNCTION("""COMPUTED_VALUE"""),2.0)</f>
        <v>2</v>
      </c>
    </row>
    <row r="785">
      <c r="P785" s="2">
        <f>IFERROR(__xludf.DUMMYFUNCTION("""COMPUTED_VALUE"""),12.0)</f>
        <v>12</v>
      </c>
      <c r="Q785" s="2">
        <f>IFERROR(__xludf.DUMMYFUNCTION("""COMPUTED_VALUE"""),2.0)</f>
        <v>2</v>
      </c>
    </row>
    <row r="786">
      <c r="P786" s="2">
        <f>IFERROR(__xludf.DUMMYFUNCTION("""COMPUTED_VALUE"""),12.0)</f>
        <v>12</v>
      </c>
      <c r="Q786" s="2">
        <f>IFERROR(__xludf.DUMMYFUNCTION("""COMPUTED_VALUE"""),1.0)</f>
        <v>1</v>
      </c>
    </row>
    <row r="787">
      <c r="P787" s="2">
        <f>IFERROR(__xludf.DUMMYFUNCTION("""COMPUTED_VALUE"""),12.0)</f>
        <v>12</v>
      </c>
      <c r="Q787" s="2">
        <f>IFERROR(__xludf.DUMMYFUNCTION("""COMPUTED_VALUE"""),1.0)</f>
        <v>1</v>
      </c>
    </row>
    <row r="788">
      <c r="P788" s="2">
        <f>IFERROR(__xludf.DUMMYFUNCTION("""COMPUTED_VALUE"""),12.0)</f>
        <v>12</v>
      </c>
      <c r="Q788" s="2">
        <f>IFERROR(__xludf.DUMMYFUNCTION("""COMPUTED_VALUE"""),1.0)</f>
        <v>1</v>
      </c>
    </row>
    <row r="789">
      <c r="P789" s="2">
        <f>IFERROR(__xludf.DUMMYFUNCTION("""COMPUTED_VALUE"""),12.0)</f>
        <v>12</v>
      </c>
      <c r="Q789" s="2">
        <f>IFERROR(__xludf.DUMMYFUNCTION("""COMPUTED_VALUE"""),4.0)</f>
        <v>4</v>
      </c>
    </row>
    <row r="790">
      <c r="P790" s="2">
        <f>IFERROR(__xludf.DUMMYFUNCTION("""COMPUTED_VALUE"""),12.0)</f>
        <v>12</v>
      </c>
      <c r="Q790" s="2">
        <f>IFERROR(__xludf.DUMMYFUNCTION("""COMPUTED_VALUE"""),6.0)</f>
        <v>6</v>
      </c>
    </row>
    <row r="791">
      <c r="P791" s="2">
        <f>IFERROR(__xludf.DUMMYFUNCTION("""COMPUTED_VALUE"""),12.0)</f>
        <v>12</v>
      </c>
      <c r="Q791" s="2">
        <f>IFERROR(__xludf.DUMMYFUNCTION("""COMPUTED_VALUE"""),6.0)</f>
        <v>6</v>
      </c>
    </row>
    <row r="792">
      <c r="P792" s="2">
        <f>IFERROR(__xludf.DUMMYFUNCTION("""COMPUTED_VALUE"""),12.0)</f>
        <v>12</v>
      </c>
      <c r="Q792" s="2">
        <f>IFERROR(__xludf.DUMMYFUNCTION("""COMPUTED_VALUE"""),1.0)</f>
        <v>1</v>
      </c>
    </row>
    <row r="793">
      <c r="P793" s="2">
        <f>IFERROR(__xludf.DUMMYFUNCTION("""COMPUTED_VALUE"""),12.0)</f>
        <v>12</v>
      </c>
      <c r="Q793" s="2">
        <f>IFERROR(__xludf.DUMMYFUNCTION("""COMPUTED_VALUE"""),1.0)</f>
        <v>1</v>
      </c>
    </row>
    <row r="794">
      <c r="P794" s="2">
        <f>IFERROR(__xludf.DUMMYFUNCTION("""COMPUTED_VALUE"""),12.0)</f>
        <v>12</v>
      </c>
      <c r="Q794" s="2">
        <f>IFERROR(__xludf.DUMMYFUNCTION("""COMPUTED_VALUE"""),1.0)</f>
        <v>1</v>
      </c>
    </row>
    <row r="795">
      <c r="P795" s="2">
        <f>IFERROR(__xludf.DUMMYFUNCTION("""COMPUTED_VALUE"""),12.0)</f>
        <v>12</v>
      </c>
      <c r="Q795" s="2">
        <f>IFERROR(__xludf.DUMMYFUNCTION("""COMPUTED_VALUE"""),1.0)</f>
        <v>1</v>
      </c>
    </row>
    <row r="796">
      <c r="P796" s="2">
        <f>IFERROR(__xludf.DUMMYFUNCTION("""COMPUTED_VALUE"""),12.0)</f>
        <v>12</v>
      </c>
      <c r="Q796" s="2">
        <f>IFERROR(__xludf.DUMMYFUNCTION("""COMPUTED_VALUE"""),1.0)</f>
        <v>1</v>
      </c>
    </row>
    <row r="797">
      <c r="P797" s="2">
        <f>IFERROR(__xludf.DUMMYFUNCTION("""COMPUTED_VALUE"""),12.0)</f>
        <v>12</v>
      </c>
      <c r="Q797" s="2">
        <f>IFERROR(__xludf.DUMMYFUNCTION("""COMPUTED_VALUE"""),1.0)</f>
        <v>1</v>
      </c>
    </row>
    <row r="798">
      <c r="P798" s="2">
        <f>IFERROR(__xludf.DUMMYFUNCTION("""COMPUTED_VALUE"""),12.0)</f>
        <v>12</v>
      </c>
      <c r="Q798" s="2">
        <f>IFERROR(__xludf.DUMMYFUNCTION("""COMPUTED_VALUE"""),1.0)</f>
        <v>1</v>
      </c>
    </row>
    <row r="799">
      <c r="P799" s="2">
        <f>IFERROR(__xludf.DUMMYFUNCTION("""COMPUTED_VALUE"""),12.0)</f>
        <v>12</v>
      </c>
      <c r="Q799" s="2">
        <f>IFERROR(__xludf.DUMMYFUNCTION("""COMPUTED_VALUE"""),1.0)</f>
        <v>1</v>
      </c>
    </row>
    <row r="800">
      <c r="P800" s="2">
        <f>IFERROR(__xludf.DUMMYFUNCTION("""COMPUTED_VALUE"""),12.0)</f>
        <v>12</v>
      </c>
      <c r="Q800" s="2">
        <f>IFERROR(__xludf.DUMMYFUNCTION("""COMPUTED_VALUE"""),1.0)</f>
        <v>1</v>
      </c>
    </row>
    <row r="801">
      <c r="P801" s="2">
        <f>IFERROR(__xludf.DUMMYFUNCTION("""COMPUTED_VALUE"""),12.0)</f>
        <v>12</v>
      </c>
      <c r="Q801" s="2">
        <f>IFERROR(__xludf.DUMMYFUNCTION("""COMPUTED_VALUE"""),1.0)</f>
        <v>1</v>
      </c>
    </row>
    <row r="802">
      <c r="P802" s="2">
        <f>IFERROR(__xludf.DUMMYFUNCTION("""COMPUTED_VALUE"""),12.0)</f>
        <v>12</v>
      </c>
      <c r="Q802" s="2">
        <f>IFERROR(__xludf.DUMMYFUNCTION("""COMPUTED_VALUE"""),3.0)</f>
        <v>3</v>
      </c>
    </row>
    <row r="803">
      <c r="P803" s="2">
        <f>IFERROR(__xludf.DUMMYFUNCTION("""COMPUTED_VALUE"""),12.0)</f>
        <v>12</v>
      </c>
      <c r="Q803" s="2">
        <f>IFERROR(__xludf.DUMMYFUNCTION("""COMPUTED_VALUE"""),1.0)</f>
        <v>1</v>
      </c>
    </row>
    <row r="804">
      <c r="P804" s="2">
        <f>IFERROR(__xludf.DUMMYFUNCTION("""COMPUTED_VALUE"""),12.0)</f>
        <v>12</v>
      </c>
      <c r="Q804" s="2">
        <f>IFERROR(__xludf.DUMMYFUNCTION("""COMPUTED_VALUE"""),1.0)</f>
        <v>1</v>
      </c>
    </row>
    <row r="805">
      <c r="P805" s="2">
        <f>IFERROR(__xludf.DUMMYFUNCTION("""COMPUTED_VALUE"""),12.0)</f>
        <v>12</v>
      </c>
      <c r="Q805" s="2">
        <f>IFERROR(__xludf.DUMMYFUNCTION("""COMPUTED_VALUE"""),1.0)</f>
        <v>1</v>
      </c>
    </row>
    <row r="806">
      <c r="P806" s="2">
        <f>IFERROR(__xludf.DUMMYFUNCTION("""COMPUTED_VALUE"""),12.0)</f>
        <v>12</v>
      </c>
      <c r="Q806" s="2">
        <f>IFERROR(__xludf.DUMMYFUNCTION("""COMPUTED_VALUE"""),1.0)</f>
        <v>1</v>
      </c>
    </row>
    <row r="807">
      <c r="P807" s="2">
        <f>IFERROR(__xludf.DUMMYFUNCTION("""COMPUTED_VALUE"""),12.0)</f>
        <v>12</v>
      </c>
      <c r="Q807" s="2">
        <f>IFERROR(__xludf.DUMMYFUNCTION("""COMPUTED_VALUE"""),4.0)</f>
        <v>4</v>
      </c>
    </row>
    <row r="808">
      <c r="P808" s="2">
        <f>IFERROR(__xludf.DUMMYFUNCTION("""COMPUTED_VALUE"""),12.0)</f>
        <v>12</v>
      </c>
      <c r="Q808" s="2">
        <f>IFERROR(__xludf.DUMMYFUNCTION("""COMPUTED_VALUE"""),1.0)</f>
        <v>1</v>
      </c>
    </row>
    <row r="809">
      <c r="P809" s="2">
        <f>IFERROR(__xludf.DUMMYFUNCTION("""COMPUTED_VALUE"""),12.0)</f>
        <v>12</v>
      </c>
      <c r="Q809" s="2">
        <f>IFERROR(__xludf.DUMMYFUNCTION("""COMPUTED_VALUE"""),1.0)</f>
        <v>1</v>
      </c>
    </row>
    <row r="810">
      <c r="P810" s="2">
        <f>IFERROR(__xludf.DUMMYFUNCTION("""COMPUTED_VALUE"""),12.0)</f>
        <v>12</v>
      </c>
      <c r="Q810" s="2">
        <f>IFERROR(__xludf.DUMMYFUNCTION("""COMPUTED_VALUE"""),1.0)</f>
        <v>1</v>
      </c>
    </row>
    <row r="811">
      <c r="P811" s="2">
        <f>IFERROR(__xludf.DUMMYFUNCTION("""COMPUTED_VALUE"""),12.0)</f>
        <v>12</v>
      </c>
      <c r="Q811" s="2">
        <f>IFERROR(__xludf.DUMMYFUNCTION("""COMPUTED_VALUE"""),2.0)</f>
        <v>2</v>
      </c>
    </row>
    <row r="812">
      <c r="P812" s="2">
        <f>IFERROR(__xludf.DUMMYFUNCTION("""COMPUTED_VALUE"""),12.0)</f>
        <v>12</v>
      </c>
      <c r="Q812" s="2">
        <f>IFERROR(__xludf.DUMMYFUNCTION("""COMPUTED_VALUE"""),5.0)</f>
        <v>5</v>
      </c>
    </row>
    <row r="813">
      <c r="P813" s="2">
        <f>IFERROR(__xludf.DUMMYFUNCTION("""COMPUTED_VALUE"""),12.0)</f>
        <v>12</v>
      </c>
      <c r="Q813" s="2">
        <f>IFERROR(__xludf.DUMMYFUNCTION("""COMPUTED_VALUE"""),5.0)</f>
        <v>5</v>
      </c>
    </row>
    <row r="814">
      <c r="P814" s="2">
        <f>IFERROR(__xludf.DUMMYFUNCTION("""COMPUTED_VALUE"""),12.0)</f>
        <v>12</v>
      </c>
      <c r="Q814" s="2">
        <f>IFERROR(__xludf.DUMMYFUNCTION("""COMPUTED_VALUE"""),1.0)</f>
        <v>1</v>
      </c>
    </row>
    <row r="815">
      <c r="P815" s="2">
        <f>IFERROR(__xludf.DUMMYFUNCTION("""COMPUTED_VALUE"""),12.0)</f>
        <v>12</v>
      </c>
      <c r="Q815" s="2">
        <f>IFERROR(__xludf.DUMMYFUNCTION("""COMPUTED_VALUE"""),1.0)</f>
        <v>1</v>
      </c>
    </row>
    <row r="816">
      <c r="P816" s="2">
        <f>IFERROR(__xludf.DUMMYFUNCTION("""COMPUTED_VALUE"""),12.0)</f>
        <v>12</v>
      </c>
      <c r="Q816" s="2">
        <f>IFERROR(__xludf.DUMMYFUNCTION("""COMPUTED_VALUE"""),1.0)</f>
        <v>1</v>
      </c>
    </row>
    <row r="817">
      <c r="P817" s="2">
        <f>IFERROR(__xludf.DUMMYFUNCTION("""COMPUTED_VALUE"""),12.0)</f>
        <v>12</v>
      </c>
      <c r="Q817" s="2">
        <f>IFERROR(__xludf.DUMMYFUNCTION("""COMPUTED_VALUE"""),1.0)</f>
        <v>1</v>
      </c>
    </row>
    <row r="818">
      <c r="P818" s="2">
        <f>IFERROR(__xludf.DUMMYFUNCTION("""COMPUTED_VALUE"""),12.0)</f>
        <v>12</v>
      </c>
      <c r="Q818" s="2">
        <f>IFERROR(__xludf.DUMMYFUNCTION("""COMPUTED_VALUE"""),1.0)</f>
        <v>1</v>
      </c>
    </row>
    <row r="819">
      <c r="P819" s="2">
        <f>IFERROR(__xludf.DUMMYFUNCTION("""COMPUTED_VALUE"""),12.0)</f>
        <v>12</v>
      </c>
      <c r="Q819" s="2">
        <f>IFERROR(__xludf.DUMMYFUNCTION("""COMPUTED_VALUE"""),1.0)</f>
        <v>1</v>
      </c>
    </row>
    <row r="820">
      <c r="P820" s="2">
        <f>IFERROR(__xludf.DUMMYFUNCTION("""COMPUTED_VALUE"""),12.0)</f>
        <v>12</v>
      </c>
      <c r="Q820" s="2">
        <f>IFERROR(__xludf.DUMMYFUNCTION("""COMPUTED_VALUE"""),3.0)</f>
        <v>3</v>
      </c>
    </row>
    <row r="821">
      <c r="P821" s="2">
        <f>IFERROR(__xludf.DUMMYFUNCTION("""COMPUTED_VALUE"""),12.0)</f>
        <v>12</v>
      </c>
      <c r="Q821" s="2">
        <f>IFERROR(__xludf.DUMMYFUNCTION("""COMPUTED_VALUE"""),6.0)</f>
        <v>6</v>
      </c>
    </row>
    <row r="822">
      <c r="P822" s="2">
        <f>IFERROR(__xludf.DUMMYFUNCTION("""COMPUTED_VALUE"""),12.0)</f>
        <v>12</v>
      </c>
      <c r="Q822" s="2">
        <f>IFERROR(__xludf.DUMMYFUNCTION("""COMPUTED_VALUE"""),4.0)</f>
        <v>4</v>
      </c>
    </row>
    <row r="823">
      <c r="P823" s="2">
        <f>IFERROR(__xludf.DUMMYFUNCTION("""COMPUTED_VALUE"""),12.0)</f>
        <v>12</v>
      </c>
      <c r="Q823" s="2">
        <f>IFERROR(__xludf.DUMMYFUNCTION("""COMPUTED_VALUE"""),1.0)</f>
        <v>1</v>
      </c>
    </row>
    <row r="824">
      <c r="P824" s="2">
        <f>IFERROR(__xludf.DUMMYFUNCTION("""COMPUTED_VALUE"""),12.0)</f>
        <v>12</v>
      </c>
      <c r="Q824" s="2">
        <f>IFERROR(__xludf.DUMMYFUNCTION("""COMPUTED_VALUE"""),1.0)</f>
        <v>1</v>
      </c>
    </row>
    <row r="825">
      <c r="P825" s="2">
        <f>IFERROR(__xludf.DUMMYFUNCTION("""COMPUTED_VALUE"""),12.0)</f>
        <v>12</v>
      </c>
      <c r="Q825" s="2">
        <f>IFERROR(__xludf.DUMMYFUNCTION("""COMPUTED_VALUE"""),1.0)</f>
        <v>1</v>
      </c>
    </row>
    <row r="826">
      <c r="P826" s="2">
        <f>IFERROR(__xludf.DUMMYFUNCTION("""COMPUTED_VALUE"""),12.0)</f>
        <v>12</v>
      </c>
      <c r="Q826" s="2">
        <f>IFERROR(__xludf.DUMMYFUNCTION("""COMPUTED_VALUE"""),1.0)</f>
        <v>1</v>
      </c>
    </row>
    <row r="827">
      <c r="P827" s="2">
        <f>IFERROR(__xludf.DUMMYFUNCTION("""COMPUTED_VALUE"""),12.0)</f>
        <v>12</v>
      </c>
      <c r="Q827" s="2">
        <f>IFERROR(__xludf.DUMMYFUNCTION("""COMPUTED_VALUE"""),1.0)</f>
        <v>1</v>
      </c>
    </row>
    <row r="828">
      <c r="P828" s="2">
        <f>IFERROR(__xludf.DUMMYFUNCTION("""COMPUTED_VALUE"""),12.0)</f>
        <v>12</v>
      </c>
      <c r="Q828" s="2">
        <f>IFERROR(__xludf.DUMMYFUNCTION("""COMPUTED_VALUE"""),2.0)</f>
        <v>2</v>
      </c>
    </row>
    <row r="829">
      <c r="P829" s="2">
        <f>IFERROR(__xludf.DUMMYFUNCTION("""COMPUTED_VALUE"""),12.0)</f>
        <v>12</v>
      </c>
      <c r="Q829" s="2">
        <f>IFERROR(__xludf.DUMMYFUNCTION("""COMPUTED_VALUE"""),9.0)</f>
        <v>9</v>
      </c>
    </row>
    <row r="830">
      <c r="P830" s="2">
        <f>IFERROR(__xludf.DUMMYFUNCTION("""COMPUTED_VALUE"""),12.0)</f>
        <v>12</v>
      </c>
      <c r="Q830" s="2">
        <f>IFERROR(__xludf.DUMMYFUNCTION("""COMPUTED_VALUE"""),2.0)</f>
        <v>2</v>
      </c>
    </row>
    <row r="831">
      <c r="P831" s="2">
        <f>IFERROR(__xludf.DUMMYFUNCTION("""COMPUTED_VALUE"""),12.0)</f>
        <v>12</v>
      </c>
      <c r="Q831" s="2">
        <f>IFERROR(__xludf.DUMMYFUNCTION("""COMPUTED_VALUE"""),3.0)</f>
        <v>3</v>
      </c>
    </row>
    <row r="832">
      <c r="P832" s="2">
        <f>IFERROR(__xludf.DUMMYFUNCTION("""COMPUTED_VALUE"""),12.0)</f>
        <v>12</v>
      </c>
      <c r="Q832" s="2">
        <f>IFERROR(__xludf.DUMMYFUNCTION("""COMPUTED_VALUE"""),4.0)</f>
        <v>4</v>
      </c>
    </row>
    <row r="833">
      <c r="P833" s="2">
        <f>IFERROR(__xludf.DUMMYFUNCTION("""COMPUTED_VALUE"""),12.0)</f>
        <v>12</v>
      </c>
      <c r="Q833" s="2">
        <f>IFERROR(__xludf.DUMMYFUNCTION("""COMPUTED_VALUE"""),2.0)</f>
        <v>2</v>
      </c>
    </row>
    <row r="834">
      <c r="P834" s="2">
        <f>IFERROR(__xludf.DUMMYFUNCTION("""COMPUTED_VALUE"""),12.0)</f>
        <v>12</v>
      </c>
      <c r="Q834" s="2">
        <f>IFERROR(__xludf.DUMMYFUNCTION("""COMPUTED_VALUE"""),3.0)</f>
        <v>3</v>
      </c>
    </row>
    <row r="835">
      <c r="P835" s="2">
        <f>IFERROR(__xludf.DUMMYFUNCTION("""COMPUTED_VALUE"""),12.0)</f>
        <v>12</v>
      </c>
      <c r="Q835" s="2">
        <f>IFERROR(__xludf.DUMMYFUNCTION("""COMPUTED_VALUE"""),1.0)</f>
        <v>1</v>
      </c>
    </row>
    <row r="836">
      <c r="P836" s="2">
        <f>IFERROR(__xludf.DUMMYFUNCTION("""COMPUTED_VALUE"""),12.0)</f>
        <v>12</v>
      </c>
      <c r="Q836" s="2">
        <f>IFERROR(__xludf.DUMMYFUNCTION("""COMPUTED_VALUE"""),1.0)</f>
        <v>1</v>
      </c>
    </row>
    <row r="837">
      <c r="P837" s="2">
        <f>IFERROR(__xludf.DUMMYFUNCTION("""COMPUTED_VALUE"""),12.0)</f>
        <v>12</v>
      </c>
      <c r="Q837" s="2">
        <f>IFERROR(__xludf.DUMMYFUNCTION("""COMPUTED_VALUE"""),1.0)</f>
        <v>1</v>
      </c>
    </row>
    <row r="838">
      <c r="P838" s="2">
        <f>IFERROR(__xludf.DUMMYFUNCTION("""COMPUTED_VALUE"""),12.0)</f>
        <v>12</v>
      </c>
      <c r="Q838" s="2">
        <f>IFERROR(__xludf.DUMMYFUNCTION("""COMPUTED_VALUE"""),1.0)</f>
        <v>1</v>
      </c>
    </row>
    <row r="839">
      <c r="P839" s="2">
        <f>IFERROR(__xludf.DUMMYFUNCTION("""COMPUTED_VALUE"""),12.0)</f>
        <v>12</v>
      </c>
      <c r="Q839" s="2">
        <f>IFERROR(__xludf.DUMMYFUNCTION("""COMPUTED_VALUE"""),1.0)</f>
        <v>1</v>
      </c>
    </row>
    <row r="840">
      <c r="P840" s="2">
        <f>IFERROR(__xludf.DUMMYFUNCTION("""COMPUTED_VALUE"""),12.0)</f>
        <v>12</v>
      </c>
      <c r="Q840" s="2">
        <f>IFERROR(__xludf.DUMMYFUNCTION("""COMPUTED_VALUE"""),1.0)</f>
        <v>1</v>
      </c>
    </row>
    <row r="841">
      <c r="P841" s="2">
        <f>IFERROR(__xludf.DUMMYFUNCTION("""COMPUTED_VALUE"""),12.0)</f>
        <v>12</v>
      </c>
      <c r="Q841" s="2">
        <f>IFERROR(__xludf.DUMMYFUNCTION("""COMPUTED_VALUE"""),2.0)</f>
        <v>2</v>
      </c>
    </row>
    <row r="842">
      <c r="P842" s="2">
        <f>IFERROR(__xludf.DUMMYFUNCTION("""COMPUTED_VALUE"""),12.0)</f>
        <v>12</v>
      </c>
      <c r="Q842" s="2">
        <f>IFERROR(__xludf.DUMMYFUNCTION("""COMPUTED_VALUE"""),2.0)</f>
        <v>2</v>
      </c>
    </row>
    <row r="843">
      <c r="P843" s="2">
        <f>IFERROR(__xludf.DUMMYFUNCTION("""COMPUTED_VALUE"""),12.0)</f>
        <v>12</v>
      </c>
      <c r="Q843" s="2">
        <f>IFERROR(__xludf.DUMMYFUNCTION("""COMPUTED_VALUE"""),2.0)</f>
        <v>2</v>
      </c>
    </row>
    <row r="844">
      <c r="P844" s="2">
        <f>IFERROR(__xludf.DUMMYFUNCTION("""COMPUTED_VALUE"""),12.0)</f>
        <v>12</v>
      </c>
      <c r="Q844" s="2">
        <f>IFERROR(__xludf.DUMMYFUNCTION("""COMPUTED_VALUE"""),2.0)</f>
        <v>2</v>
      </c>
    </row>
    <row r="845">
      <c r="P845" s="2">
        <f>IFERROR(__xludf.DUMMYFUNCTION("""COMPUTED_VALUE"""),12.0)</f>
        <v>12</v>
      </c>
      <c r="Q845" s="2">
        <f>IFERROR(__xludf.DUMMYFUNCTION("""COMPUTED_VALUE"""),2.0)</f>
        <v>2</v>
      </c>
    </row>
    <row r="846">
      <c r="P846" s="2">
        <f>IFERROR(__xludf.DUMMYFUNCTION("""COMPUTED_VALUE"""),12.0)</f>
        <v>12</v>
      </c>
      <c r="Q846" s="2">
        <f>IFERROR(__xludf.DUMMYFUNCTION("""COMPUTED_VALUE"""),2.0)</f>
        <v>2</v>
      </c>
    </row>
    <row r="847">
      <c r="P847" s="2">
        <f>IFERROR(__xludf.DUMMYFUNCTION("""COMPUTED_VALUE"""),12.0)</f>
        <v>12</v>
      </c>
      <c r="Q847" s="2">
        <f>IFERROR(__xludf.DUMMYFUNCTION("""COMPUTED_VALUE"""),10.0)</f>
        <v>10</v>
      </c>
    </row>
    <row r="848">
      <c r="P848" s="2">
        <f>IFERROR(__xludf.DUMMYFUNCTION("""COMPUTED_VALUE"""),12.0)</f>
        <v>12</v>
      </c>
      <c r="Q848" s="2">
        <f>IFERROR(__xludf.DUMMYFUNCTION("""COMPUTED_VALUE"""),4.0)</f>
        <v>4</v>
      </c>
    </row>
    <row r="849">
      <c r="P849" s="2">
        <f>IFERROR(__xludf.DUMMYFUNCTION("""COMPUTED_VALUE"""),12.0)</f>
        <v>12</v>
      </c>
      <c r="Q849" s="2">
        <f>IFERROR(__xludf.DUMMYFUNCTION("""COMPUTED_VALUE"""),4.0)</f>
        <v>4</v>
      </c>
    </row>
    <row r="850">
      <c r="P850" s="2">
        <f>IFERROR(__xludf.DUMMYFUNCTION("""COMPUTED_VALUE"""),12.0)</f>
        <v>12</v>
      </c>
      <c r="Q850" s="2">
        <f>IFERROR(__xludf.DUMMYFUNCTION("""COMPUTED_VALUE"""),4.0)</f>
        <v>4</v>
      </c>
    </row>
    <row r="851">
      <c r="P851" s="2">
        <f>IFERROR(__xludf.DUMMYFUNCTION("""COMPUTED_VALUE"""),12.0)</f>
        <v>12</v>
      </c>
      <c r="Q851" s="2">
        <f>IFERROR(__xludf.DUMMYFUNCTION("""COMPUTED_VALUE"""),4.0)</f>
        <v>4</v>
      </c>
    </row>
    <row r="852">
      <c r="P852" s="2">
        <f>IFERROR(__xludf.DUMMYFUNCTION("""COMPUTED_VALUE"""),12.0)</f>
        <v>12</v>
      </c>
      <c r="Q852" s="2">
        <f>IFERROR(__xludf.DUMMYFUNCTION("""COMPUTED_VALUE"""),2.0)</f>
        <v>2</v>
      </c>
    </row>
    <row r="853">
      <c r="P853" s="2">
        <f>IFERROR(__xludf.DUMMYFUNCTION("""COMPUTED_VALUE"""),12.0)</f>
        <v>12</v>
      </c>
      <c r="Q853" s="2">
        <f>IFERROR(__xludf.DUMMYFUNCTION("""COMPUTED_VALUE"""),1.0)</f>
        <v>1</v>
      </c>
    </row>
    <row r="854">
      <c r="P854" s="2">
        <f>IFERROR(__xludf.DUMMYFUNCTION("""COMPUTED_VALUE"""),12.0)</f>
        <v>12</v>
      </c>
      <c r="Q854" s="2">
        <f>IFERROR(__xludf.DUMMYFUNCTION("""COMPUTED_VALUE"""),2.0)</f>
        <v>2</v>
      </c>
    </row>
    <row r="855">
      <c r="P855" s="2">
        <f>IFERROR(__xludf.DUMMYFUNCTION("""COMPUTED_VALUE"""),12.0)</f>
        <v>12</v>
      </c>
      <c r="Q855" s="2">
        <f>IFERROR(__xludf.DUMMYFUNCTION("""COMPUTED_VALUE"""),3.0)</f>
        <v>3</v>
      </c>
    </row>
    <row r="856">
      <c r="P856" s="2">
        <f>IFERROR(__xludf.DUMMYFUNCTION("""COMPUTED_VALUE"""),12.0)</f>
        <v>12</v>
      </c>
      <c r="Q856" s="2">
        <f>IFERROR(__xludf.DUMMYFUNCTION("""COMPUTED_VALUE"""),5.0)</f>
        <v>5</v>
      </c>
    </row>
    <row r="857">
      <c r="P857" s="2">
        <f>IFERROR(__xludf.DUMMYFUNCTION("""COMPUTED_VALUE"""),12.0)</f>
        <v>12</v>
      </c>
      <c r="Q857" s="2">
        <f>IFERROR(__xludf.DUMMYFUNCTION("""COMPUTED_VALUE"""),5.0)</f>
        <v>5</v>
      </c>
    </row>
    <row r="858">
      <c r="P858" s="2">
        <f>IFERROR(__xludf.DUMMYFUNCTION("""COMPUTED_VALUE"""),12.0)</f>
        <v>12</v>
      </c>
      <c r="Q858" s="2">
        <f>IFERROR(__xludf.DUMMYFUNCTION("""COMPUTED_VALUE"""),5.0)</f>
        <v>5</v>
      </c>
    </row>
    <row r="859">
      <c r="P859" s="2">
        <f>IFERROR(__xludf.DUMMYFUNCTION("""COMPUTED_VALUE"""),12.0)</f>
        <v>12</v>
      </c>
      <c r="Q859" s="2">
        <f>IFERROR(__xludf.DUMMYFUNCTION("""COMPUTED_VALUE"""),1.0)</f>
        <v>1</v>
      </c>
    </row>
    <row r="860">
      <c r="P860" s="2">
        <f>IFERROR(__xludf.DUMMYFUNCTION("""COMPUTED_VALUE"""),12.0)</f>
        <v>12</v>
      </c>
      <c r="Q860" s="2">
        <f>IFERROR(__xludf.DUMMYFUNCTION("""COMPUTED_VALUE"""),1.0)</f>
        <v>1</v>
      </c>
    </row>
    <row r="861">
      <c r="P861" s="2">
        <f>IFERROR(__xludf.DUMMYFUNCTION("""COMPUTED_VALUE"""),12.0)</f>
        <v>12</v>
      </c>
      <c r="Q861" s="2">
        <f>IFERROR(__xludf.DUMMYFUNCTION("""COMPUTED_VALUE"""),1.0)</f>
        <v>1</v>
      </c>
    </row>
    <row r="862">
      <c r="P862" s="2">
        <f>IFERROR(__xludf.DUMMYFUNCTION("""COMPUTED_VALUE"""),12.0)</f>
        <v>12</v>
      </c>
      <c r="Q862" s="2">
        <f>IFERROR(__xludf.DUMMYFUNCTION("""COMPUTED_VALUE"""),2.0)</f>
        <v>2</v>
      </c>
    </row>
    <row r="863">
      <c r="P863" s="2">
        <f>IFERROR(__xludf.DUMMYFUNCTION("""COMPUTED_VALUE"""),12.0)</f>
        <v>12</v>
      </c>
      <c r="Q863" s="2">
        <f>IFERROR(__xludf.DUMMYFUNCTION("""COMPUTED_VALUE"""),6.0)</f>
        <v>6</v>
      </c>
    </row>
    <row r="864">
      <c r="P864" s="2">
        <f>IFERROR(__xludf.DUMMYFUNCTION("""COMPUTED_VALUE"""),12.0)</f>
        <v>12</v>
      </c>
      <c r="Q864" s="2">
        <f>IFERROR(__xludf.DUMMYFUNCTION("""COMPUTED_VALUE"""),6.0)</f>
        <v>6</v>
      </c>
    </row>
    <row r="865">
      <c r="P865" s="2">
        <f>IFERROR(__xludf.DUMMYFUNCTION("""COMPUTED_VALUE"""),12.0)</f>
        <v>12</v>
      </c>
      <c r="Q865" s="2">
        <f>IFERROR(__xludf.DUMMYFUNCTION("""COMPUTED_VALUE"""),5.0)</f>
        <v>5</v>
      </c>
    </row>
    <row r="866">
      <c r="P866" s="2">
        <f>IFERROR(__xludf.DUMMYFUNCTION("""COMPUTED_VALUE"""),12.0)</f>
        <v>12</v>
      </c>
      <c r="Q866" s="2">
        <f>IFERROR(__xludf.DUMMYFUNCTION("""COMPUTED_VALUE"""),5.0)</f>
        <v>5</v>
      </c>
    </row>
    <row r="867">
      <c r="P867" s="2">
        <f>IFERROR(__xludf.DUMMYFUNCTION("""COMPUTED_VALUE"""),12.0)</f>
        <v>12</v>
      </c>
      <c r="Q867" s="2">
        <f>IFERROR(__xludf.DUMMYFUNCTION("""COMPUTED_VALUE"""),1.0)</f>
        <v>1</v>
      </c>
    </row>
    <row r="868">
      <c r="P868" s="2">
        <f>IFERROR(__xludf.DUMMYFUNCTION("""COMPUTED_VALUE"""),12.0)</f>
        <v>12</v>
      </c>
      <c r="Q868" s="2">
        <f>IFERROR(__xludf.DUMMYFUNCTION("""COMPUTED_VALUE"""),2.0)</f>
        <v>2</v>
      </c>
    </row>
    <row r="869">
      <c r="P869" s="2">
        <f>IFERROR(__xludf.DUMMYFUNCTION("""COMPUTED_VALUE"""),12.0)</f>
        <v>12</v>
      </c>
      <c r="Q869" s="2">
        <f>IFERROR(__xludf.DUMMYFUNCTION("""COMPUTED_VALUE"""),1.0)</f>
        <v>1</v>
      </c>
    </row>
    <row r="870">
      <c r="P870" s="2">
        <f>IFERROR(__xludf.DUMMYFUNCTION("""COMPUTED_VALUE"""),12.0)</f>
        <v>12</v>
      </c>
      <c r="Q870" s="2">
        <f>IFERROR(__xludf.DUMMYFUNCTION("""COMPUTED_VALUE"""),4.0)</f>
        <v>4</v>
      </c>
    </row>
    <row r="871">
      <c r="P871" s="2">
        <f>IFERROR(__xludf.DUMMYFUNCTION("""COMPUTED_VALUE"""),12.0)</f>
        <v>12</v>
      </c>
      <c r="Q871" s="2">
        <f>IFERROR(__xludf.DUMMYFUNCTION("""COMPUTED_VALUE"""),3.0)</f>
        <v>3</v>
      </c>
    </row>
    <row r="872">
      <c r="P872" s="2">
        <f>IFERROR(__xludf.DUMMYFUNCTION("""COMPUTED_VALUE"""),12.0)</f>
        <v>12</v>
      </c>
      <c r="Q872" s="2">
        <f>IFERROR(__xludf.DUMMYFUNCTION("""COMPUTED_VALUE"""),4.0)</f>
        <v>4</v>
      </c>
    </row>
    <row r="873">
      <c r="P873" s="2">
        <f>IFERROR(__xludf.DUMMYFUNCTION("""COMPUTED_VALUE"""),12.0)</f>
        <v>12</v>
      </c>
      <c r="Q873" s="2">
        <f>IFERROR(__xludf.DUMMYFUNCTION("""COMPUTED_VALUE"""),3.0)</f>
        <v>3</v>
      </c>
    </row>
    <row r="874">
      <c r="P874" s="2">
        <f>IFERROR(__xludf.DUMMYFUNCTION("""COMPUTED_VALUE"""),12.0)</f>
        <v>12</v>
      </c>
      <c r="Q874" s="2">
        <f>IFERROR(__xludf.DUMMYFUNCTION("""COMPUTED_VALUE"""),4.0)</f>
        <v>4</v>
      </c>
    </row>
    <row r="875">
      <c r="P875" s="2">
        <f>IFERROR(__xludf.DUMMYFUNCTION("""COMPUTED_VALUE"""),12.0)</f>
        <v>12</v>
      </c>
      <c r="Q875" s="2">
        <f>IFERROR(__xludf.DUMMYFUNCTION("""COMPUTED_VALUE"""),3.0)</f>
        <v>3</v>
      </c>
    </row>
    <row r="876">
      <c r="P876" s="2">
        <f>IFERROR(__xludf.DUMMYFUNCTION("""COMPUTED_VALUE"""),12.0)</f>
        <v>12</v>
      </c>
      <c r="Q876" s="2">
        <f>IFERROR(__xludf.DUMMYFUNCTION("""COMPUTED_VALUE"""),2.0)</f>
        <v>2</v>
      </c>
    </row>
    <row r="877">
      <c r="P877" s="2">
        <f>IFERROR(__xludf.DUMMYFUNCTION("""COMPUTED_VALUE"""),12.0)</f>
        <v>12</v>
      </c>
      <c r="Q877" s="2">
        <f>IFERROR(__xludf.DUMMYFUNCTION("""COMPUTED_VALUE"""),5.0)</f>
        <v>5</v>
      </c>
    </row>
    <row r="878">
      <c r="P878" s="2">
        <f>IFERROR(__xludf.DUMMYFUNCTION("""COMPUTED_VALUE"""),12.0)</f>
        <v>12</v>
      </c>
      <c r="Q878" s="2">
        <f>IFERROR(__xludf.DUMMYFUNCTION("""COMPUTED_VALUE"""),2.0)</f>
        <v>2</v>
      </c>
    </row>
    <row r="879">
      <c r="P879" s="2">
        <f>IFERROR(__xludf.DUMMYFUNCTION("""COMPUTED_VALUE"""),12.0)</f>
        <v>12</v>
      </c>
      <c r="Q879" s="2">
        <f>IFERROR(__xludf.DUMMYFUNCTION("""COMPUTED_VALUE"""),3.0)</f>
        <v>3</v>
      </c>
    </row>
    <row r="880">
      <c r="P880" s="2">
        <f>IFERROR(__xludf.DUMMYFUNCTION("""COMPUTED_VALUE"""),12.0)</f>
        <v>12</v>
      </c>
      <c r="Q880" s="2">
        <f>IFERROR(__xludf.DUMMYFUNCTION("""COMPUTED_VALUE"""),24.0)</f>
        <v>24</v>
      </c>
    </row>
    <row r="881">
      <c r="P881" s="2">
        <f>IFERROR(__xludf.DUMMYFUNCTION("""COMPUTED_VALUE"""),12.0)</f>
        <v>12</v>
      </c>
      <c r="Q881" s="2">
        <f>IFERROR(__xludf.DUMMYFUNCTION("""COMPUTED_VALUE"""),20.0)</f>
        <v>20</v>
      </c>
    </row>
    <row r="882">
      <c r="P882" s="2">
        <f>IFERROR(__xludf.DUMMYFUNCTION("""COMPUTED_VALUE"""),12.0)</f>
        <v>12</v>
      </c>
      <c r="Q882" s="2">
        <f>IFERROR(__xludf.DUMMYFUNCTION("""COMPUTED_VALUE"""),20.0)</f>
        <v>20</v>
      </c>
    </row>
    <row r="883">
      <c r="P883" s="2">
        <f>IFERROR(__xludf.DUMMYFUNCTION("""COMPUTED_VALUE"""),12.0)</f>
        <v>12</v>
      </c>
      <c r="Q883" s="2">
        <f>IFERROR(__xludf.DUMMYFUNCTION("""COMPUTED_VALUE"""),1.0)</f>
        <v>1</v>
      </c>
    </row>
    <row r="884">
      <c r="P884" s="2">
        <f>IFERROR(__xludf.DUMMYFUNCTION("""COMPUTED_VALUE"""),12.0)</f>
        <v>12</v>
      </c>
      <c r="Q884" s="2">
        <f>IFERROR(__xludf.DUMMYFUNCTION("""COMPUTED_VALUE"""),4.0)</f>
        <v>4</v>
      </c>
    </row>
    <row r="885">
      <c r="P885" s="2">
        <f>IFERROR(__xludf.DUMMYFUNCTION("""COMPUTED_VALUE"""),12.0)</f>
        <v>12</v>
      </c>
      <c r="Q885" s="2">
        <f>IFERROR(__xludf.DUMMYFUNCTION("""COMPUTED_VALUE"""),3.0)</f>
        <v>3</v>
      </c>
    </row>
    <row r="886">
      <c r="P886" s="2">
        <f>IFERROR(__xludf.DUMMYFUNCTION("""COMPUTED_VALUE"""),12.0)</f>
        <v>12</v>
      </c>
      <c r="Q886" s="2">
        <f>IFERROR(__xludf.DUMMYFUNCTION("""COMPUTED_VALUE"""),3.0)</f>
        <v>3</v>
      </c>
    </row>
    <row r="887">
      <c r="P887" s="2">
        <f>IFERROR(__xludf.DUMMYFUNCTION("""COMPUTED_VALUE"""),12.0)</f>
        <v>12</v>
      </c>
      <c r="Q887" s="2">
        <f>IFERROR(__xludf.DUMMYFUNCTION("""COMPUTED_VALUE"""),1.0)</f>
        <v>1</v>
      </c>
    </row>
    <row r="888">
      <c r="P888" s="2">
        <f>IFERROR(__xludf.DUMMYFUNCTION("""COMPUTED_VALUE"""),12.0)</f>
        <v>12</v>
      </c>
      <c r="Q888" s="2">
        <f>IFERROR(__xludf.DUMMYFUNCTION("""COMPUTED_VALUE"""),3.0)</f>
        <v>3</v>
      </c>
    </row>
    <row r="889">
      <c r="P889" s="2">
        <f>IFERROR(__xludf.DUMMYFUNCTION("""COMPUTED_VALUE"""),12.0)</f>
        <v>12</v>
      </c>
      <c r="Q889" s="2">
        <f>IFERROR(__xludf.DUMMYFUNCTION("""COMPUTED_VALUE"""),4.0)</f>
        <v>4</v>
      </c>
    </row>
    <row r="890">
      <c r="P890" s="2">
        <f>IFERROR(__xludf.DUMMYFUNCTION("""COMPUTED_VALUE"""),12.0)</f>
        <v>12</v>
      </c>
      <c r="Q890" s="2">
        <f>IFERROR(__xludf.DUMMYFUNCTION("""COMPUTED_VALUE"""),3.0)</f>
        <v>3</v>
      </c>
    </row>
    <row r="891">
      <c r="P891" s="2">
        <f>IFERROR(__xludf.DUMMYFUNCTION("""COMPUTED_VALUE"""),12.0)</f>
        <v>12</v>
      </c>
      <c r="Q891" s="2">
        <f>IFERROR(__xludf.DUMMYFUNCTION("""COMPUTED_VALUE"""),3.0)</f>
        <v>3</v>
      </c>
    </row>
    <row r="892">
      <c r="P892" s="2">
        <f>IFERROR(__xludf.DUMMYFUNCTION("""COMPUTED_VALUE"""),12.0)</f>
        <v>12</v>
      </c>
      <c r="Q892" s="2">
        <f>IFERROR(__xludf.DUMMYFUNCTION("""COMPUTED_VALUE"""),6.0)</f>
        <v>6</v>
      </c>
    </row>
    <row r="893">
      <c r="P893" s="2">
        <f>IFERROR(__xludf.DUMMYFUNCTION("""COMPUTED_VALUE"""),12.0)</f>
        <v>12</v>
      </c>
      <c r="Q893" s="2">
        <f>IFERROR(__xludf.DUMMYFUNCTION("""COMPUTED_VALUE"""),6.0)</f>
        <v>6</v>
      </c>
    </row>
    <row r="894">
      <c r="P894" s="2">
        <f>IFERROR(__xludf.DUMMYFUNCTION("""COMPUTED_VALUE"""),12.0)</f>
        <v>12</v>
      </c>
      <c r="Q894" s="2">
        <f>IFERROR(__xludf.DUMMYFUNCTION("""COMPUTED_VALUE"""),11.0)</f>
        <v>11</v>
      </c>
    </row>
    <row r="895">
      <c r="P895" s="2">
        <f>IFERROR(__xludf.DUMMYFUNCTION("""COMPUTED_VALUE"""),12.0)</f>
        <v>12</v>
      </c>
      <c r="Q895" s="2">
        <f>IFERROR(__xludf.DUMMYFUNCTION("""COMPUTED_VALUE"""),6.0)</f>
        <v>6</v>
      </c>
    </row>
    <row r="896">
      <c r="P896" s="2">
        <f>IFERROR(__xludf.DUMMYFUNCTION("""COMPUTED_VALUE"""),12.0)</f>
        <v>12</v>
      </c>
      <c r="Q896" s="2">
        <f>IFERROR(__xludf.DUMMYFUNCTION("""COMPUTED_VALUE"""),3.0)</f>
        <v>3</v>
      </c>
    </row>
    <row r="897">
      <c r="P897" s="2">
        <f>IFERROR(__xludf.DUMMYFUNCTION("""COMPUTED_VALUE"""),12.0)</f>
        <v>12</v>
      </c>
      <c r="Q897" s="2">
        <f>IFERROR(__xludf.DUMMYFUNCTION("""COMPUTED_VALUE"""),2.0)</f>
        <v>2</v>
      </c>
    </row>
    <row r="898">
      <c r="P898" s="2">
        <f>IFERROR(__xludf.DUMMYFUNCTION("""COMPUTED_VALUE"""),12.0)</f>
        <v>12</v>
      </c>
      <c r="Q898" s="2">
        <f>IFERROR(__xludf.DUMMYFUNCTION("""COMPUTED_VALUE"""),-4.0)</f>
        <v>-4</v>
      </c>
    </row>
    <row r="899">
      <c r="P899" s="2">
        <f>IFERROR(__xludf.DUMMYFUNCTION("""COMPUTED_VALUE"""),12.0)</f>
        <v>12</v>
      </c>
      <c r="Q899" s="2">
        <f>IFERROR(__xludf.DUMMYFUNCTION("""COMPUTED_VALUE"""),-1.0)</f>
        <v>-1</v>
      </c>
    </row>
    <row r="900">
      <c r="P900" s="2">
        <f>IFERROR(__xludf.DUMMYFUNCTION("""COMPUTED_VALUE"""),12.0)</f>
        <v>12</v>
      </c>
      <c r="Q900" s="2">
        <f>IFERROR(__xludf.DUMMYFUNCTION("""COMPUTED_VALUE"""),24.0)</f>
        <v>24</v>
      </c>
    </row>
    <row r="901">
      <c r="P901" s="2">
        <f>IFERROR(__xludf.DUMMYFUNCTION("""COMPUTED_VALUE"""),12.0)</f>
        <v>12</v>
      </c>
      <c r="Q901" s="2">
        <f>IFERROR(__xludf.DUMMYFUNCTION("""COMPUTED_VALUE"""),24.0)</f>
        <v>24</v>
      </c>
    </row>
    <row r="902">
      <c r="P902" s="2">
        <f>IFERROR(__xludf.DUMMYFUNCTION("""COMPUTED_VALUE"""),12.0)</f>
        <v>12</v>
      </c>
      <c r="Q902" s="2">
        <f>IFERROR(__xludf.DUMMYFUNCTION("""COMPUTED_VALUE"""),58.0)</f>
        <v>58</v>
      </c>
    </row>
    <row r="903">
      <c r="P903" s="2">
        <f>IFERROR(__xludf.DUMMYFUNCTION("""COMPUTED_VALUE"""),12.0)</f>
        <v>12</v>
      </c>
      <c r="Q903" s="2">
        <f>IFERROR(__xludf.DUMMYFUNCTION("""COMPUTED_VALUE"""),58.0)</f>
        <v>58</v>
      </c>
    </row>
    <row r="904">
      <c r="P904" s="2">
        <f>IFERROR(__xludf.DUMMYFUNCTION("""COMPUTED_VALUE"""),12.0)</f>
        <v>12</v>
      </c>
      <c r="Q904" s="2">
        <f>IFERROR(__xludf.DUMMYFUNCTION("""COMPUTED_VALUE"""),24.0)</f>
        <v>24</v>
      </c>
    </row>
    <row r="905">
      <c r="P905" s="2">
        <f>IFERROR(__xludf.DUMMYFUNCTION("""COMPUTED_VALUE"""),12.0)</f>
        <v>12</v>
      </c>
      <c r="Q905" s="2">
        <f>IFERROR(__xludf.DUMMYFUNCTION("""COMPUTED_VALUE"""),-4.0)</f>
        <v>-4</v>
      </c>
    </row>
    <row r="906">
      <c r="P906" s="2">
        <f>IFERROR(__xludf.DUMMYFUNCTION("""COMPUTED_VALUE"""),12.0)</f>
        <v>12</v>
      </c>
      <c r="Q906" s="2">
        <f>IFERROR(__xludf.DUMMYFUNCTION("""COMPUTED_VALUE"""),160.0)</f>
        <v>160</v>
      </c>
    </row>
    <row r="907">
      <c r="P907" s="2">
        <f>IFERROR(__xludf.DUMMYFUNCTION("""COMPUTED_VALUE"""),12.0)</f>
        <v>12</v>
      </c>
      <c r="Q907" s="2">
        <f>IFERROR(__xludf.DUMMYFUNCTION("""COMPUTED_VALUE"""),160.0)</f>
        <v>160</v>
      </c>
    </row>
    <row r="908">
      <c r="P908" s="2">
        <f>IFERROR(__xludf.DUMMYFUNCTION("""COMPUTED_VALUE"""),12.0)</f>
        <v>12</v>
      </c>
      <c r="Q908" s="2">
        <f>IFERROR(__xludf.DUMMYFUNCTION("""COMPUTED_VALUE"""),48.0)</f>
        <v>48</v>
      </c>
    </row>
    <row r="909">
      <c r="P909" s="2">
        <f>IFERROR(__xludf.DUMMYFUNCTION("""COMPUTED_VALUE"""),12.0)</f>
        <v>12</v>
      </c>
      <c r="Q909" s="2">
        <f>IFERROR(__xludf.DUMMYFUNCTION("""COMPUTED_VALUE"""),192.0)</f>
        <v>192</v>
      </c>
    </row>
    <row r="910">
      <c r="P910" s="2">
        <f>IFERROR(__xludf.DUMMYFUNCTION("""COMPUTED_VALUE"""),12.0)</f>
        <v>12</v>
      </c>
      <c r="Q910" s="2">
        <f>IFERROR(__xludf.DUMMYFUNCTION("""COMPUTED_VALUE"""),96.0)</f>
        <v>96</v>
      </c>
    </row>
    <row r="911">
      <c r="P911" s="2">
        <f>IFERROR(__xludf.DUMMYFUNCTION("""COMPUTED_VALUE"""),12.0)</f>
        <v>12</v>
      </c>
      <c r="Q911" s="2">
        <f>IFERROR(__xludf.DUMMYFUNCTION("""COMPUTED_VALUE"""),24.0)</f>
        <v>24</v>
      </c>
    </row>
    <row r="912">
      <c r="P912" s="2">
        <f>IFERROR(__xludf.DUMMYFUNCTION("""COMPUTED_VALUE"""),12.0)</f>
        <v>12</v>
      </c>
      <c r="Q912" s="2">
        <f>IFERROR(__xludf.DUMMYFUNCTION("""COMPUTED_VALUE"""),20.0)</f>
        <v>20</v>
      </c>
    </row>
    <row r="913">
      <c r="P913" s="2">
        <f>IFERROR(__xludf.DUMMYFUNCTION("""COMPUTED_VALUE"""),12.0)</f>
        <v>12</v>
      </c>
      <c r="Q913" s="2">
        <f>IFERROR(__xludf.DUMMYFUNCTION("""COMPUTED_VALUE"""),96.0)</f>
        <v>96</v>
      </c>
    </row>
    <row r="914">
      <c r="P914" s="2">
        <f>IFERROR(__xludf.DUMMYFUNCTION("""COMPUTED_VALUE"""),12.0)</f>
        <v>12</v>
      </c>
      <c r="Q914" s="2">
        <f>IFERROR(__xludf.DUMMYFUNCTION("""COMPUTED_VALUE"""),72.0)</f>
        <v>72</v>
      </c>
    </row>
    <row r="915">
      <c r="P915" s="2">
        <f>IFERROR(__xludf.DUMMYFUNCTION("""COMPUTED_VALUE"""),12.0)</f>
        <v>12</v>
      </c>
      <c r="Q915" s="2">
        <f>IFERROR(__xludf.DUMMYFUNCTION("""COMPUTED_VALUE"""),144.0)</f>
        <v>144</v>
      </c>
    </row>
    <row r="916">
      <c r="P916" s="2">
        <f>IFERROR(__xludf.DUMMYFUNCTION("""COMPUTED_VALUE"""),12.0)</f>
        <v>12</v>
      </c>
      <c r="Q916" s="2">
        <f>IFERROR(__xludf.DUMMYFUNCTION("""COMPUTED_VALUE"""),60.0)</f>
        <v>60</v>
      </c>
    </row>
    <row r="917">
      <c r="P917" s="2">
        <f>IFERROR(__xludf.DUMMYFUNCTION("""COMPUTED_VALUE"""),12.0)</f>
        <v>12</v>
      </c>
      <c r="Q917" s="2">
        <f>IFERROR(__xludf.DUMMYFUNCTION("""COMPUTED_VALUE"""),60.0)</f>
        <v>60</v>
      </c>
    </row>
    <row r="918">
      <c r="P918" s="2">
        <f>IFERROR(__xludf.DUMMYFUNCTION("""COMPUTED_VALUE"""),12.0)</f>
        <v>12</v>
      </c>
      <c r="Q918" s="2">
        <f>IFERROR(__xludf.DUMMYFUNCTION("""COMPUTED_VALUE"""),60.0)</f>
        <v>60</v>
      </c>
    </row>
    <row r="919">
      <c r="P919" s="2">
        <f>IFERROR(__xludf.DUMMYFUNCTION("""COMPUTED_VALUE"""),12.0)</f>
        <v>12</v>
      </c>
      <c r="Q919" s="2">
        <f>IFERROR(__xludf.DUMMYFUNCTION("""COMPUTED_VALUE"""),100.0)</f>
        <v>100</v>
      </c>
    </row>
    <row r="920">
      <c r="P920" s="2">
        <f>IFERROR(__xludf.DUMMYFUNCTION("""COMPUTED_VALUE"""),12.0)</f>
        <v>12</v>
      </c>
      <c r="Q920" s="2">
        <f>IFERROR(__xludf.DUMMYFUNCTION("""COMPUTED_VALUE"""),96.0)</f>
        <v>96</v>
      </c>
    </row>
    <row r="921">
      <c r="P921" s="2">
        <f>IFERROR(__xludf.DUMMYFUNCTION("""COMPUTED_VALUE"""),12.0)</f>
        <v>12</v>
      </c>
      <c r="Q921" s="2">
        <f>IFERROR(__xludf.DUMMYFUNCTION("""COMPUTED_VALUE"""),30.0)</f>
        <v>30</v>
      </c>
    </row>
    <row r="922">
      <c r="P922" s="2">
        <f>IFERROR(__xludf.DUMMYFUNCTION("""COMPUTED_VALUE"""),12.0)</f>
        <v>12</v>
      </c>
      <c r="Q922" s="2">
        <f>IFERROR(__xludf.DUMMYFUNCTION("""COMPUTED_VALUE"""),180.0)</f>
        <v>180</v>
      </c>
    </row>
    <row r="923">
      <c r="P923" s="2">
        <f>IFERROR(__xludf.DUMMYFUNCTION("""COMPUTED_VALUE"""),12.0)</f>
        <v>12</v>
      </c>
      <c r="Q923" s="2">
        <f>IFERROR(__xludf.DUMMYFUNCTION("""COMPUTED_VALUE"""),216.0)</f>
        <v>216</v>
      </c>
    </row>
    <row r="924">
      <c r="P924" s="2">
        <f>IFERROR(__xludf.DUMMYFUNCTION("""COMPUTED_VALUE"""),12.0)</f>
        <v>12</v>
      </c>
      <c r="Q924" s="2">
        <f>IFERROR(__xludf.DUMMYFUNCTION("""COMPUTED_VALUE"""),48.0)</f>
        <v>48</v>
      </c>
    </row>
    <row r="925">
      <c r="P925" s="2">
        <f>IFERROR(__xludf.DUMMYFUNCTION("""COMPUTED_VALUE"""),12.0)</f>
        <v>12</v>
      </c>
      <c r="Q925" s="2">
        <f>IFERROR(__xludf.DUMMYFUNCTION("""COMPUTED_VALUE"""),-2.0)</f>
        <v>-2</v>
      </c>
    </row>
    <row r="926">
      <c r="P926" s="2">
        <f>IFERROR(__xludf.DUMMYFUNCTION("""COMPUTED_VALUE"""),12.0)</f>
        <v>12</v>
      </c>
      <c r="Q926" s="2">
        <f>IFERROR(__xludf.DUMMYFUNCTION("""COMPUTED_VALUE"""),18.0)</f>
        <v>18</v>
      </c>
    </row>
    <row r="927">
      <c r="P927" s="2">
        <f>IFERROR(__xludf.DUMMYFUNCTION("""COMPUTED_VALUE"""),12.0)</f>
        <v>12</v>
      </c>
      <c r="Q927" s="2">
        <f>IFERROR(__xludf.DUMMYFUNCTION("""COMPUTED_VALUE"""),18.0)</f>
        <v>18</v>
      </c>
    </row>
    <row r="928">
      <c r="P928" s="2">
        <f>IFERROR(__xludf.DUMMYFUNCTION("""COMPUTED_VALUE"""),12.0)</f>
        <v>12</v>
      </c>
      <c r="Q928" s="2">
        <f>IFERROR(__xludf.DUMMYFUNCTION("""COMPUTED_VALUE"""),12.0)</f>
        <v>12</v>
      </c>
    </row>
    <row r="929">
      <c r="P929" s="2">
        <f>IFERROR(__xludf.DUMMYFUNCTION("""COMPUTED_VALUE"""),12.0)</f>
        <v>12</v>
      </c>
      <c r="Q929" s="2">
        <f>IFERROR(__xludf.DUMMYFUNCTION("""COMPUTED_VALUE"""),6.0)</f>
        <v>6</v>
      </c>
    </row>
    <row r="930">
      <c r="P930" s="2">
        <f>IFERROR(__xludf.DUMMYFUNCTION("""COMPUTED_VALUE"""),12.0)</f>
        <v>12</v>
      </c>
      <c r="Q930" s="2">
        <f>IFERROR(__xludf.DUMMYFUNCTION("""COMPUTED_VALUE"""),12.0)</f>
        <v>12</v>
      </c>
    </row>
    <row r="931">
      <c r="P931" s="2">
        <f>IFERROR(__xludf.DUMMYFUNCTION("""COMPUTED_VALUE"""),12.0)</f>
        <v>12</v>
      </c>
      <c r="Q931" s="2">
        <f>IFERROR(__xludf.DUMMYFUNCTION("""COMPUTED_VALUE"""),24.0)</f>
        <v>24</v>
      </c>
    </row>
    <row r="932">
      <c r="P932" s="2">
        <f>IFERROR(__xludf.DUMMYFUNCTION("""COMPUTED_VALUE"""),12.0)</f>
        <v>12</v>
      </c>
      <c r="Q932" s="2">
        <f>IFERROR(__xludf.DUMMYFUNCTION("""COMPUTED_VALUE"""),12.0)</f>
        <v>12</v>
      </c>
    </row>
    <row r="933">
      <c r="P933" s="2">
        <f>IFERROR(__xludf.DUMMYFUNCTION("""COMPUTED_VALUE"""),12.0)</f>
        <v>12</v>
      </c>
      <c r="Q933" s="2">
        <f>IFERROR(__xludf.DUMMYFUNCTION("""COMPUTED_VALUE"""),6.0)</f>
        <v>6</v>
      </c>
    </row>
    <row r="934">
      <c r="P934" s="2">
        <f>IFERROR(__xludf.DUMMYFUNCTION("""COMPUTED_VALUE"""),12.0)</f>
        <v>12</v>
      </c>
      <c r="Q934" s="2">
        <f>IFERROR(__xludf.DUMMYFUNCTION("""COMPUTED_VALUE"""),6.0)</f>
        <v>6</v>
      </c>
    </row>
    <row r="935">
      <c r="P935" s="2">
        <f>IFERROR(__xludf.DUMMYFUNCTION("""COMPUTED_VALUE"""),12.0)</f>
        <v>12</v>
      </c>
      <c r="Q935" s="2">
        <f>IFERROR(__xludf.DUMMYFUNCTION("""COMPUTED_VALUE"""),48.0)</f>
        <v>48</v>
      </c>
    </row>
    <row r="936">
      <c r="P936" s="2">
        <f>IFERROR(__xludf.DUMMYFUNCTION("""COMPUTED_VALUE"""),12.0)</f>
        <v>12</v>
      </c>
      <c r="Q936" s="2">
        <f>IFERROR(__xludf.DUMMYFUNCTION("""COMPUTED_VALUE"""),48.0)</f>
        <v>48</v>
      </c>
    </row>
    <row r="937">
      <c r="P937" s="2">
        <f>IFERROR(__xludf.DUMMYFUNCTION("""COMPUTED_VALUE"""),12.0)</f>
        <v>12</v>
      </c>
      <c r="Q937" s="2">
        <f>IFERROR(__xludf.DUMMYFUNCTION("""COMPUTED_VALUE"""),3.0)</f>
        <v>3</v>
      </c>
    </row>
    <row r="938">
      <c r="P938" s="2">
        <f>IFERROR(__xludf.DUMMYFUNCTION("""COMPUTED_VALUE"""),12.0)</f>
        <v>12</v>
      </c>
      <c r="Q938" s="2">
        <f>IFERROR(__xludf.DUMMYFUNCTION("""COMPUTED_VALUE"""),1.0)</f>
        <v>1</v>
      </c>
    </row>
    <row r="939">
      <c r="P939" s="2">
        <f>IFERROR(__xludf.DUMMYFUNCTION("""COMPUTED_VALUE"""),12.0)</f>
        <v>12</v>
      </c>
      <c r="Q939" s="2">
        <f>IFERROR(__xludf.DUMMYFUNCTION("""COMPUTED_VALUE"""),12.0)</f>
        <v>12</v>
      </c>
    </row>
    <row r="940">
      <c r="P940" s="2">
        <f>IFERROR(__xludf.DUMMYFUNCTION("""COMPUTED_VALUE"""),12.0)</f>
        <v>12</v>
      </c>
      <c r="Q940" s="2">
        <f>IFERROR(__xludf.DUMMYFUNCTION("""COMPUTED_VALUE"""),1.0)</f>
        <v>1</v>
      </c>
    </row>
    <row r="941">
      <c r="P941" s="2">
        <f>IFERROR(__xludf.DUMMYFUNCTION("""COMPUTED_VALUE"""),12.0)</f>
        <v>12</v>
      </c>
      <c r="Q941" s="2">
        <f>IFERROR(__xludf.DUMMYFUNCTION("""COMPUTED_VALUE"""),2.0)</f>
        <v>2</v>
      </c>
    </row>
    <row r="942">
      <c r="P942" s="2">
        <f>IFERROR(__xludf.DUMMYFUNCTION("""COMPUTED_VALUE"""),12.0)</f>
        <v>12</v>
      </c>
      <c r="Q942" s="2">
        <f>IFERROR(__xludf.DUMMYFUNCTION("""COMPUTED_VALUE"""),1.0)</f>
        <v>1</v>
      </c>
    </row>
    <row r="943">
      <c r="P943" s="2">
        <f>IFERROR(__xludf.DUMMYFUNCTION("""COMPUTED_VALUE"""),12.0)</f>
        <v>12</v>
      </c>
      <c r="Q943" s="2">
        <f>IFERROR(__xludf.DUMMYFUNCTION("""COMPUTED_VALUE"""),1.0)</f>
        <v>1</v>
      </c>
    </row>
    <row r="944">
      <c r="P944" s="2">
        <f>IFERROR(__xludf.DUMMYFUNCTION("""COMPUTED_VALUE"""),12.0)</f>
        <v>12</v>
      </c>
      <c r="Q944" s="2">
        <f>IFERROR(__xludf.DUMMYFUNCTION("""COMPUTED_VALUE"""),2.0)</f>
        <v>2</v>
      </c>
    </row>
    <row r="945">
      <c r="P945" s="2">
        <f>IFERROR(__xludf.DUMMYFUNCTION("""COMPUTED_VALUE"""),12.0)</f>
        <v>12</v>
      </c>
      <c r="Q945" s="2">
        <f>IFERROR(__xludf.DUMMYFUNCTION("""COMPUTED_VALUE"""),1.0)</f>
        <v>1</v>
      </c>
    </row>
    <row r="946">
      <c r="P946" s="2">
        <f>IFERROR(__xludf.DUMMYFUNCTION("""COMPUTED_VALUE"""),12.0)</f>
        <v>12</v>
      </c>
      <c r="Q946" s="2">
        <f>IFERROR(__xludf.DUMMYFUNCTION("""COMPUTED_VALUE"""),6.0)</f>
        <v>6</v>
      </c>
    </row>
    <row r="947">
      <c r="P947" s="2">
        <f>IFERROR(__xludf.DUMMYFUNCTION("""COMPUTED_VALUE"""),12.0)</f>
        <v>12</v>
      </c>
      <c r="Q947" s="2">
        <f>IFERROR(__xludf.DUMMYFUNCTION("""COMPUTED_VALUE"""),1.0)</f>
        <v>1</v>
      </c>
    </row>
    <row r="948">
      <c r="P948" s="2">
        <f>IFERROR(__xludf.DUMMYFUNCTION("""COMPUTED_VALUE"""),12.0)</f>
        <v>12</v>
      </c>
      <c r="Q948" s="2">
        <f>IFERROR(__xludf.DUMMYFUNCTION("""COMPUTED_VALUE"""),6.0)</f>
        <v>6</v>
      </c>
    </row>
    <row r="949">
      <c r="P949" s="2">
        <f>IFERROR(__xludf.DUMMYFUNCTION("""COMPUTED_VALUE"""),12.0)</f>
        <v>12</v>
      </c>
      <c r="Q949" s="2">
        <f>IFERROR(__xludf.DUMMYFUNCTION("""COMPUTED_VALUE"""),1.0)</f>
        <v>1</v>
      </c>
    </row>
    <row r="950">
      <c r="P950" s="2">
        <f>IFERROR(__xludf.DUMMYFUNCTION("""COMPUTED_VALUE"""),12.0)</f>
        <v>12</v>
      </c>
      <c r="Q950" s="2">
        <f>IFERROR(__xludf.DUMMYFUNCTION("""COMPUTED_VALUE"""),2.0)</f>
        <v>2</v>
      </c>
    </row>
    <row r="951">
      <c r="P951" s="2">
        <f>IFERROR(__xludf.DUMMYFUNCTION("""COMPUTED_VALUE"""),12.0)</f>
        <v>12</v>
      </c>
      <c r="Q951" s="2">
        <f>IFERROR(__xludf.DUMMYFUNCTION("""COMPUTED_VALUE"""),15.0)</f>
        <v>15</v>
      </c>
    </row>
    <row r="952">
      <c r="P952" s="2">
        <f>IFERROR(__xludf.DUMMYFUNCTION("""COMPUTED_VALUE"""),12.0)</f>
        <v>12</v>
      </c>
      <c r="Q952" s="2">
        <f>IFERROR(__xludf.DUMMYFUNCTION("""COMPUTED_VALUE"""),3.0)</f>
        <v>3</v>
      </c>
    </row>
    <row r="953">
      <c r="P953" s="2">
        <f>IFERROR(__xludf.DUMMYFUNCTION("""COMPUTED_VALUE"""),12.0)</f>
        <v>12</v>
      </c>
      <c r="Q953" s="2">
        <f>IFERROR(__xludf.DUMMYFUNCTION("""COMPUTED_VALUE"""),4.0)</f>
        <v>4</v>
      </c>
    </row>
    <row r="954">
      <c r="P954" s="2">
        <f>IFERROR(__xludf.DUMMYFUNCTION("""COMPUTED_VALUE"""),12.0)</f>
        <v>12</v>
      </c>
      <c r="Q954" s="2">
        <f>IFERROR(__xludf.DUMMYFUNCTION("""COMPUTED_VALUE"""),1.0)</f>
        <v>1</v>
      </c>
    </row>
    <row r="955">
      <c r="P955" s="2">
        <f>IFERROR(__xludf.DUMMYFUNCTION("""COMPUTED_VALUE"""),12.0)</f>
        <v>12</v>
      </c>
      <c r="Q955" s="2">
        <f>IFERROR(__xludf.DUMMYFUNCTION("""COMPUTED_VALUE"""),3.0)</f>
        <v>3</v>
      </c>
    </row>
    <row r="956">
      <c r="P956" s="2">
        <f>IFERROR(__xludf.DUMMYFUNCTION("""COMPUTED_VALUE"""),12.0)</f>
        <v>12</v>
      </c>
      <c r="Q956" s="2">
        <f>IFERROR(__xludf.DUMMYFUNCTION("""COMPUTED_VALUE"""),1.0)</f>
        <v>1</v>
      </c>
    </row>
    <row r="957">
      <c r="P957" s="2">
        <f>IFERROR(__xludf.DUMMYFUNCTION("""COMPUTED_VALUE"""),12.0)</f>
        <v>12</v>
      </c>
      <c r="Q957" s="2">
        <f>IFERROR(__xludf.DUMMYFUNCTION("""COMPUTED_VALUE"""),1.0)</f>
        <v>1</v>
      </c>
    </row>
    <row r="958">
      <c r="P958" s="2">
        <f>IFERROR(__xludf.DUMMYFUNCTION("""COMPUTED_VALUE"""),12.0)</f>
        <v>12</v>
      </c>
      <c r="Q958" s="2">
        <f>IFERROR(__xludf.DUMMYFUNCTION("""COMPUTED_VALUE"""),1.0)</f>
        <v>1</v>
      </c>
    </row>
    <row r="959">
      <c r="P959" s="2">
        <f>IFERROR(__xludf.DUMMYFUNCTION("""COMPUTED_VALUE"""),12.0)</f>
        <v>12</v>
      </c>
      <c r="Q959" s="2">
        <f>IFERROR(__xludf.DUMMYFUNCTION("""COMPUTED_VALUE"""),1.0)</f>
        <v>1</v>
      </c>
    </row>
    <row r="960">
      <c r="P960" s="2">
        <f>IFERROR(__xludf.DUMMYFUNCTION("""COMPUTED_VALUE"""),12.0)</f>
        <v>12</v>
      </c>
      <c r="Q960" s="2">
        <f>IFERROR(__xludf.DUMMYFUNCTION("""COMPUTED_VALUE"""),1.0)</f>
        <v>1</v>
      </c>
    </row>
    <row r="961">
      <c r="P961" s="2">
        <f>IFERROR(__xludf.DUMMYFUNCTION("""COMPUTED_VALUE"""),12.0)</f>
        <v>12</v>
      </c>
      <c r="Q961" s="2">
        <f>IFERROR(__xludf.DUMMYFUNCTION("""COMPUTED_VALUE"""),1.0)</f>
        <v>1</v>
      </c>
    </row>
    <row r="962">
      <c r="P962" s="2">
        <f>IFERROR(__xludf.DUMMYFUNCTION("""COMPUTED_VALUE"""),12.0)</f>
        <v>12</v>
      </c>
      <c r="Q962" s="2">
        <f>IFERROR(__xludf.DUMMYFUNCTION("""COMPUTED_VALUE"""),1.0)</f>
        <v>1</v>
      </c>
    </row>
    <row r="963">
      <c r="P963" s="2">
        <f>IFERROR(__xludf.DUMMYFUNCTION("""COMPUTED_VALUE"""),12.0)</f>
        <v>12</v>
      </c>
      <c r="Q963" s="2">
        <f>IFERROR(__xludf.DUMMYFUNCTION("""COMPUTED_VALUE"""),3.0)</f>
        <v>3</v>
      </c>
    </row>
    <row r="964">
      <c r="P964" s="2">
        <f>IFERROR(__xludf.DUMMYFUNCTION("""COMPUTED_VALUE"""),12.0)</f>
        <v>12</v>
      </c>
      <c r="Q964" s="2">
        <f>IFERROR(__xludf.DUMMYFUNCTION("""COMPUTED_VALUE"""),3.0)</f>
        <v>3</v>
      </c>
    </row>
    <row r="965">
      <c r="P965" s="2">
        <f>IFERROR(__xludf.DUMMYFUNCTION("""COMPUTED_VALUE"""),12.0)</f>
        <v>12</v>
      </c>
      <c r="Q965" s="2">
        <f>IFERROR(__xludf.DUMMYFUNCTION("""COMPUTED_VALUE"""),1.0)</f>
        <v>1</v>
      </c>
    </row>
    <row r="966">
      <c r="P966" s="2">
        <f>IFERROR(__xludf.DUMMYFUNCTION("""COMPUTED_VALUE"""),12.0)</f>
        <v>12</v>
      </c>
      <c r="Q966" s="2">
        <f>IFERROR(__xludf.DUMMYFUNCTION("""COMPUTED_VALUE"""),1.0)</f>
        <v>1</v>
      </c>
    </row>
    <row r="967">
      <c r="P967" s="2">
        <f>IFERROR(__xludf.DUMMYFUNCTION("""COMPUTED_VALUE"""),12.0)</f>
        <v>12</v>
      </c>
      <c r="Q967" s="2">
        <f>IFERROR(__xludf.DUMMYFUNCTION("""COMPUTED_VALUE"""),8.0)</f>
        <v>8</v>
      </c>
    </row>
    <row r="968">
      <c r="P968" s="2">
        <f>IFERROR(__xludf.DUMMYFUNCTION("""COMPUTED_VALUE"""),12.0)</f>
        <v>12</v>
      </c>
      <c r="Q968" s="2">
        <f>IFERROR(__xludf.DUMMYFUNCTION("""COMPUTED_VALUE"""),3.0)</f>
        <v>3</v>
      </c>
    </row>
    <row r="969">
      <c r="P969" s="2">
        <f>IFERROR(__xludf.DUMMYFUNCTION("""COMPUTED_VALUE"""),12.0)</f>
        <v>12</v>
      </c>
      <c r="Q969" s="2">
        <f>IFERROR(__xludf.DUMMYFUNCTION("""COMPUTED_VALUE"""),4.0)</f>
        <v>4</v>
      </c>
    </row>
    <row r="970">
      <c r="P970" s="2">
        <f>IFERROR(__xludf.DUMMYFUNCTION("""COMPUTED_VALUE"""),12.0)</f>
        <v>12</v>
      </c>
      <c r="Q970" s="2">
        <f>IFERROR(__xludf.DUMMYFUNCTION("""COMPUTED_VALUE"""),6.0)</f>
        <v>6</v>
      </c>
    </row>
    <row r="971">
      <c r="P971" s="2">
        <f>IFERROR(__xludf.DUMMYFUNCTION("""COMPUTED_VALUE"""),12.0)</f>
        <v>12</v>
      </c>
      <c r="Q971" s="2">
        <f>IFERROR(__xludf.DUMMYFUNCTION("""COMPUTED_VALUE"""),6.0)</f>
        <v>6</v>
      </c>
    </row>
    <row r="972">
      <c r="P972" s="2">
        <f>IFERROR(__xludf.DUMMYFUNCTION("""COMPUTED_VALUE"""),12.0)</f>
        <v>12</v>
      </c>
      <c r="Q972" s="2">
        <f>IFERROR(__xludf.DUMMYFUNCTION("""COMPUTED_VALUE"""),6.0)</f>
        <v>6</v>
      </c>
    </row>
    <row r="973">
      <c r="P973" s="2">
        <f>IFERROR(__xludf.DUMMYFUNCTION("""COMPUTED_VALUE"""),12.0)</f>
        <v>12</v>
      </c>
      <c r="Q973" s="2">
        <f>IFERROR(__xludf.DUMMYFUNCTION("""COMPUTED_VALUE"""),6.0)</f>
        <v>6</v>
      </c>
    </row>
    <row r="974">
      <c r="P974" s="2">
        <f>IFERROR(__xludf.DUMMYFUNCTION("""COMPUTED_VALUE"""),12.0)</f>
        <v>12</v>
      </c>
      <c r="Q974" s="2">
        <f>IFERROR(__xludf.DUMMYFUNCTION("""COMPUTED_VALUE"""),2.0)</f>
        <v>2</v>
      </c>
    </row>
    <row r="975">
      <c r="P975" s="2">
        <f>IFERROR(__xludf.DUMMYFUNCTION("""COMPUTED_VALUE"""),12.0)</f>
        <v>12</v>
      </c>
      <c r="Q975" s="2">
        <f>IFERROR(__xludf.DUMMYFUNCTION("""COMPUTED_VALUE"""),1.0)</f>
        <v>1</v>
      </c>
    </row>
    <row r="976">
      <c r="P976" s="2">
        <f>IFERROR(__xludf.DUMMYFUNCTION("""COMPUTED_VALUE"""),12.0)</f>
        <v>12</v>
      </c>
      <c r="Q976" s="2">
        <f>IFERROR(__xludf.DUMMYFUNCTION("""COMPUTED_VALUE"""),12.0)</f>
        <v>12</v>
      </c>
    </row>
    <row r="977">
      <c r="P977" s="2">
        <f>IFERROR(__xludf.DUMMYFUNCTION("""COMPUTED_VALUE"""),12.0)</f>
        <v>12</v>
      </c>
      <c r="Q977" s="2">
        <f>IFERROR(__xludf.DUMMYFUNCTION("""COMPUTED_VALUE"""),12.0)</f>
        <v>12</v>
      </c>
    </row>
    <row r="978">
      <c r="P978" s="2">
        <f>IFERROR(__xludf.DUMMYFUNCTION("""COMPUTED_VALUE"""),12.0)</f>
        <v>12</v>
      </c>
      <c r="Q978" s="2">
        <f>IFERROR(__xludf.DUMMYFUNCTION("""COMPUTED_VALUE"""),6.0)</f>
        <v>6</v>
      </c>
    </row>
    <row r="979">
      <c r="P979" s="2">
        <f>IFERROR(__xludf.DUMMYFUNCTION("""COMPUTED_VALUE"""),12.0)</f>
        <v>12</v>
      </c>
      <c r="Q979" s="2">
        <f>IFERROR(__xludf.DUMMYFUNCTION("""COMPUTED_VALUE"""),4.0)</f>
        <v>4</v>
      </c>
    </row>
    <row r="980">
      <c r="P980" s="2">
        <f>IFERROR(__xludf.DUMMYFUNCTION("""COMPUTED_VALUE"""),12.0)</f>
        <v>12</v>
      </c>
      <c r="Q980" s="2">
        <f>IFERROR(__xludf.DUMMYFUNCTION("""COMPUTED_VALUE"""),6.0)</f>
        <v>6</v>
      </c>
    </row>
    <row r="981">
      <c r="P981" s="2">
        <f>IFERROR(__xludf.DUMMYFUNCTION("""COMPUTED_VALUE"""),12.0)</f>
        <v>12</v>
      </c>
      <c r="Q981" s="2">
        <f>IFERROR(__xludf.DUMMYFUNCTION("""COMPUTED_VALUE"""),6.0)</f>
        <v>6</v>
      </c>
    </row>
    <row r="982">
      <c r="P982" s="2">
        <f>IFERROR(__xludf.DUMMYFUNCTION("""COMPUTED_VALUE"""),12.0)</f>
        <v>12</v>
      </c>
      <c r="Q982" s="2">
        <f>IFERROR(__xludf.DUMMYFUNCTION("""COMPUTED_VALUE"""),6.0)</f>
        <v>6</v>
      </c>
    </row>
    <row r="983">
      <c r="P983" s="2">
        <f>IFERROR(__xludf.DUMMYFUNCTION("""COMPUTED_VALUE"""),12.0)</f>
        <v>12</v>
      </c>
      <c r="Q983" s="2">
        <f>IFERROR(__xludf.DUMMYFUNCTION("""COMPUTED_VALUE"""),4.0)</f>
        <v>4</v>
      </c>
    </row>
    <row r="984">
      <c r="P984" s="2">
        <f>IFERROR(__xludf.DUMMYFUNCTION("""COMPUTED_VALUE"""),12.0)</f>
        <v>12</v>
      </c>
      <c r="Q984" s="2">
        <f>IFERROR(__xludf.DUMMYFUNCTION("""COMPUTED_VALUE"""),4.0)</f>
        <v>4</v>
      </c>
    </row>
    <row r="985">
      <c r="P985" s="2">
        <f>IFERROR(__xludf.DUMMYFUNCTION("""COMPUTED_VALUE"""),12.0)</f>
        <v>12</v>
      </c>
      <c r="Q985" s="2">
        <f>IFERROR(__xludf.DUMMYFUNCTION("""COMPUTED_VALUE"""),4.0)</f>
        <v>4</v>
      </c>
    </row>
    <row r="986">
      <c r="P986" s="2">
        <f>IFERROR(__xludf.DUMMYFUNCTION("""COMPUTED_VALUE"""),12.0)</f>
        <v>12</v>
      </c>
      <c r="Q986" s="2">
        <f>IFERROR(__xludf.DUMMYFUNCTION("""COMPUTED_VALUE"""),18.0)</f>
        <v>18</v>
      </c>
    </row>
    <row r="987">
      <c r="P987" s="2">
        <f>IFERROR(__xludf.DUMMYFUNCTION("""COMPUTED_VALUE"""),12.0)</f>
        <v>12</v>
      </c>
      <c r="Q987" s="2">
        <f>IFERROR(__xludf.DUMMYFUNCTION("""COMPUTED_VALUE"""),12.0)</f>
        <v>12</v>
      </c>
    </row>
    <row r="988">
      <c r="P988" s="2">
        <f>IFERROR(__xludf.DUMMYFUNCTION("""COMPUTED_VALUE"""),12.0)</f>
        <v>12</v>
      </c>
      <c r="Q988" s="2">
        <f>IFERROR(__xludf.DUMMYFUNCTION("""COMPUTED_VALUE"""),12.0)</f>
        <v>12</v>
      </c>
    </row>
    <row r="989">
      <c r="P989" s="2">
        <f>IFERROR(__xludf.DUMMYFUNCTION("""COMPUTED_VALUE"""),12.0)</f>
        <v>12</v>
      </c>
      <c r="Q989" s="2">
        <f>IFERROR(__xludf.DUMMYFUNCTION("""COMPUTED_VALUE"""),12.0)</f>
        <v>12</v>
      </c>
    </row>
    <row r="990">
      <c r="P990" s="2">
        <f>IFERROR(__xludf.DUMMYFUNCTION("""COMPUTED_VALUE"""),12.0)</f>
        <v>12</v>
      </c>
      <c r="Q990" s="2">
        <f>IFERROR(__xludf.DUMMYFUNCTION("""COMPUTED_VALUE"""),24.0)</f>
        <v>24</v>
      </c>
    </row>
    <row r="991">
      <c r="P991" s="2">
        <f>IFERROR(__xludf.DUMMYFUNCTION("""COMPUTED_VALUE"""),12.0)</f>
        <v>12</v>
      </c>
      <c r="Q991" s="2">
        <f>IFERROR(__xludf.DUMMYFUNCTION("""COMPUTED_VALUE"""),24.0)</f>
        <v>24</v>
      </c>
    </row>
    <row r="992">
      <c r="P992" s="2">
        <f>IFERROR(__xludf.DUMMYFUNCTION("""COMPUTED_VALUE"""),12.0)</f>
        <v>12</v>
      </c>
      <c r="Q992" s="2">
        <f>IFERROR(__xludf.DUMMYFUNCTION("""COMPUTED_VALUE"""),24.0)</f>
        <v>24</v>
      </c>
    </row>
    <row r="993">
      <c r="P993" s="2">
        <f>IFERROR(__xludf.DUMMYFUNCTION("""COMPUTED_VALUE"""),12.0)</f>
        <v>12</v>
      </c>
      <c r="Q993" s="2">
        <f>IFERROR(__xludf.DUMMYFUNCTION("""COMPUTED_VALUE"""),6.0)</f>
        <v>6</v>
      </c>
    </row>
    <row r="994">
      <c r="P994" s="2">
        <f>IFERROR(__xludf.DUMMYFUNCTION("""COMPUTED_VALUE"""),12.0)</f>
        <v>12</v>
      </c>
      <c r="Q994" s="2">
        <f>IFERROR(__xludf.DUMMYFUNCTION("""COMPUTED_VALUE"""),6.0)</f>
        <v>6</v>
      </c>
    </row>
    <row r="995">
      <c r="P995" s="2">
        <f>IFERROR(__xludf.DUMMYFUNCTION("""COMPUTED_VALUE"""),12.0)</f>
        <v>12</v>
      </c>
      <c r="Q995" s="2">
        <f>IFERROR(__xludf.DUMMYFUNCTION("""COMPUTED_VALUE"""),12.0)</f>
        <v>12</v>
      </c>
    </row>
    <row r="996">
      <c r="P996" s="2">
        <f>IFERROR(__xludf.DUMMYFUNCTION("""COMPUTED_VALUE"""),12.0)</f>
        <v>12</v>
      </c>
      <c r="Q996" s="2">
        <f>IFERROR(__xludf.DUMMYFUNCTION("""COMPUTED_VALUE"""),3.0)</f>
        <v>3</v>
      </c>
    </row>
    <row r="997">
      <c r="P997" s="2">
        <f>IFERROR(__xludf.DUMMYFUNCTION("""COMPUTED_VALUE"""),12.0)</f>
        <v>12</v>
      </c>
      <c r="Q997" s="2">
        <f>IFERROR(__xludf.DUMMYFUNCTION("""COMPUTED_VALUE"""),10.0)</f>
        <v>10</v>
      </c>
    </row>
    <row r="998">
      <c r="P998" s="2">
        <f>IFERROR(__xludf.DUMMYFUNCTION("""COMPUTED_VALUE"""),12.0)</f>
        <v>12</v>
      </c>
      <c r="Q998" s="2">
        <f>IFERROR(__xludf.DUMMYFUNCTION("""COMPUTED_VALUE"""),10.0)</f>
        <v>10</v>
      </c>
    </row>
    <row r="999">
      <c r="P999" s="2">
        <f>IFERROR(__xludf.DUMMYFUNCTION("""COMPUTED_VALUE"""),12.0)</f>
        <v>12</v>
      </c>
      <c r="Q999" s="2">
        <f>IFERROR(__xludf.DUMMYFUNCTION("""COMPUTED_VALUE"""),10.0)</f>
        <v>10</v>
      </c>
    </row>
    <row r="1000">
      <c r="P1000" s="2">
        <f>IFERROR(__xludf.DUMMYFUNCTION("""COMPUTED_VALUE"""),12.0)</f>
        <v>12</v>
      </c>
      <c r="Q1000" s="2">
        <f>IFERROR(__xludf.DUMMYFUNCTION("""COMPUTED_VALUE"""),10.0)</f>
        <v>10</v>
      </c>
    </row>
    <row r="1001">
      <c r="P1001" s="2">
        <f>IFERROR(__xludf.DUMMYFUNCTION("""COMPUTED_VALUE"""),12.0)</f>
        <v>12</v>
      </c>
      <c r="Q1001" s="2">
        <f>IFERROR(__xludf.DUMMYFUNCTION("""COMPUTED_VALUE"""),100.0)</f>
        <v>100</v>
      </c>
    </row>
    <row r="1002">
      <c r="P1002" s="2">
        <f>IFERROR(__xludf.DUMMYFUNCTION("""COMPUTED_VALUE"""),12.0)</f>
        <v>12</v>
      </c>
      <c r="Q1002" s="2">
        <f>IFERROR(__xludf.DUMMYFUNCTION("""COMPUTED_VALUE"""),10.0)</f>
        <v>10</v>
      </c>
    </row>
    <row r="1003">
      <c r="P1003" s="2">
        <f>IFERROR(__xludf.DUMMYFUNCTION("""COMPUTED_VALUE"""),12.0)</f>
        <v>12</v>
      </c>
      <c r="Q1003" s="2">
        <f>IFERROR(__xludf.DUMMYFUNCTION("""COMPUTED_VALUE"""),10.0)</f>
        <v>10</v>
      </c>
    </row>
    <row r="1004">
      <c r="P1004" s="2">
        <f>IFERROR(__xludf.DUMMYFUNCTION("""COMPUTED_VALUE"""),12.0)</f>
        <v>12</v>
      </c>
      <c r="Q1004" s="2">
        <f>IFERROR(__xludf.DUMMYFUNCTION("""COMPUTED_VALUE"""),10.0)</f>
        <v>10</v>
      </c>
    </row>
    <row r="1005">
      <c r="P1005" s="2">
        <f>IFERROR(__xludf.DUMMYFUNCTION("""COMPUTED_VALUE"""),12.0)</f>
        <v>12</v>
      </c>
      <c r="Q1005" s="2">
        <f>IFERROR(__xludf.DUMMYFUNCTION("""COMPUTED_VALUE"""),20.0)</f>
        <v>20</v>
      </c>
    </row>
    <row r="1006">
      <c r="P1006" s="2">
        <f>IFERROR(__xludf.DUMMYFUNCTION("""COMPUTED_VALUE"""),12.0)</f>
        <v>12</v>
      </c>
      <c r="Q1006" s="2">
        <f>IFERROR(__xludf.DUMMYFUNCTION("""COMPUTED_VALUE"""),12.0)</f>
        <v>12</v>
      </c>
    </row>
    <row r="1007">
      <c r="P1007" s="2">
        <f>IFERROR(__xludf.DUMMYFUNCTION("""COMPUTED_VALUE"""),12.0)</f>
        <v>12</v>
      </c>
      <c r="Q1007" s="2">
        <f>IFERROR(__xludf.DUMMYFUNCTION("""COMPUTED_VALUE"""),240.0)</f>
        <v>240</v>
      </c>
    </row>
    <row r="1008">
      <c r="P1008" s="2">
        <f>IFERROR(__xludf.DUMMYFUNCTION("""COMPUTED_VALUE"""),12.0)</f>
        <v>12</v>
      </c>
      <c r="Q1008" s="2">
        <f>IFERROR(__xludf.DUMMYFUNCTION("""COMPUTED_VALUE"""),2.0)</f>
        <v>2</v>
      </c>
    </row>
    <row r="1009">
      <c r="P1009" s="2">
        <f>IFERROR(__xludf.DUMMYFUNCTION("""COMPUTED_VALUE"""),12.0)</f>
        <v>12</v>
      </c>
      <c r="Q1009" s="2">
        <f>IFERROR(__xludf.DUMMYFUNCTION("""COMPUTED_VALUE"""),2.0)</f>
        <v>2</v>
      </c>
    </row>
    <row r="1010">
      <c r="P1010" s="2">
        <f>IFERROR(__xludf.DUMMYFUNCTION("""COMPUTED_VALUE"""),12.0)</f>
        <v>12</v>
      </c>
      <c r="Q1010" s="2">
        <f>IFERROR(__xludf.DUMMYFUNCTION("""COMPUTED_VALUE"""),2.0)</f>
        <v>2</v>
      </c>
    </row>
    <row r="1011">
      <c r="P1011" s="2">
        <f>IFERROR(__xludf.DUMMYFUNCTION("""COMPUTED_VALUE"""),12.0)</f>
        <v>12</v>
      </c>
      <c r="Q1011" s="2">
        <f>IFERROR(__xludf.DUMMYFUNCTION("""COMPUTED_VALUE"""),6.0)</f>
        <v>6</v>
      </c>
    </row>
    <row r="1012">
      <c r="P1012" s="2">
        <f>IFERROR(__xludf.DUMMYFUNCTION("""COMPUTED_VALUE"""),12.0)</f>
        <v>12</v>
      </c>
      <c r="Q1012" s="2">
        <f>IFERROR(__xludf.DUMMYFUNCTION("""COMPUTED_VALUE"""),1.0)</f>
        <v>1</v>
      </c>
    </row>
    <row r="1013">
      <c r="P1013" s="2">
        <f>IFERROR(__xludf.DUMMYFUNCTION("""COMPUTED_VALUE"""),12.0)</f>
        <v>12</v>
      </c>
      <c r="Q1013" s="2">
        <f>IFERROR(__xludf.DUMMYFUNCTION("""COMPUTED_VALUE"""),3.0)</f>
        <v>3</v>
      </c>
    </row>
    <row r="1014">
      <c r="P1014" s="2">
        <f>IFERROR(__xludf.DUMMYFUNCTION("""COMPUTED_VALUE"""),12.0)</f>
        <v>12</v>
      </c>
      <c r="Q1014" s="2">
        <f>IFERROR(__xludf.DUMMYFUNCTION("""COMPUTED_VALUE"""),3.0)</f>
        <v>3</v>
      </c>
    </row>
    <row r="1015">
      <c r="P1015" s="2">
        <f>IFERROR(__xludf.DUMMYFUNCTION("""COMPUTED_VALUE"""),12.0)</f>
        <v>12</v>
      </c>
      <c r="Q1015" s="2">
        <f>IFERROR(__xludf.DUMMYFUNCTION("""COMPUTED_VALUE"""),4.0)</f>
        <v>4</v>
      </c>
    </row>
    <row r="1016">
      <c r="P1016" s="2">
        <f>IFERROR(__xludf.DUMMYFUNCTION("""COMPUTED_VALUE"""),12.0)</f>
        <v>12</v>
      </c>
      <c r="Q1016" s="2">
        <f>IFERROR(__xludf.DUMMYFUNCTION("""COMPUTED_VALUE"""),9.0)</f>
        <v>9</v>
      </c>
    </row>
    <row r="1017">
      <c r="P1017" s="2">
        <f>IFERROR(__xludf.DUMMYFUNCTION("""COMPUTED_VALUE"""),12.0)</f>
        <v>12</v>
      </c>
      <c r="Q1017" s="2">
        <f>IFERROR(__xludf.DUMMYFUNCTION("""COMPUTED_VALUE"""),6.0)</f>
        <v>6</v>
      </c>
    </row>
    <row r="1018">
      <c r="P1018" s="2">
        <f>IFERROR(__xludf.DUMMYFUNCTION("""COMPUTED_VALUE"""),12.0)</f>
        <v>12</v>
      </c>
      <c r="Q1018" s="2">
        <f>IFERROR(__xludf.DUMMYFUNCTION("""COMPUTED_VALUE"""),12.0)</f>
        <v>12</v>
      </c>
    </row>
    <row r="1019">
      <c r="P1019" s="2">
        <f>IFERROR(__xludf.DUMMYFUNCTION("""COMPUTED_VALUE"""),12.0)</f>
        <v>12</v>
      </c>
      <c r="Q1019" s="2">
        <f>IFERROR(__xludf.DUMMYFUNCTION("""COMPUTED_VALUE"""),8.0)</f>
        <v>8</v>
      </c>
    </row>
    <row r="1020">
      <c r="P1020" s="2">
        <f>IFERROR(__xludf.DUMMYFUNCTION("""COMPUTED_VALUE"""),12.0)</f>
        <v>12</v>
      </c>
      <c r="Q1020" s="2">
        <f>IFERROR(__xludf.DUMMYFUNCTION("""COMPUTED_VALUE"""),8.0)</f>
        <v>8</v>
      </c>
    </row>
    <row r="1021">
      <c r="P1021" s="2">
        <f>IFERROR(__xludf.DUMMYFUNCTION("""COMPUTED_VALUE"""),12.0)</f>
        <v>12</v>
      </c>
      <c r="Q1021" s="2">
        <f>IFERROR(__xludf.DUMMYFUNCTION("""COMPUTED_VALUE"""),3.0)</f>
        <v>3</v>
      </c>
    </row>
    <row r="1022">
      <c r="P1022" s="2">
        <f>IFERROR(__xludf.DUMMYFUNCTION("""COMPUTED_VALUE"""),12.0)</f>
        <v>12</v>
      </c>
      <c r="Q1022" s="2">
        <f>IFERROR(__xludf.DUMMYFUNCTION("""COMPUTED_VALUE"""),24.0)</f>
        <v>24</v>
      </c>
    </row>
    <row r="1023">
      <c r="P1023" s="2">
        <f>IFERROR(__xludf.DUMMYFUNCTION("""COMPUTED_VALUE"""),12.0)</f>
        <v>12</v>
      </c>
      <c r="Q1023" s="2">
        <f>IFERROR(__xludf.DUMMYFUNCTION("""COMPUTED_VALUE"""),12.0)</f>
        <v>12</v>
      </c>
    </row>
    <row r="1024">
      <c r="P1024" s="2">
        <f>IFERROR(__xludf.DUMMYFUNCTION("""COMPUTED_VALUE"""),12.0)</f>
        <v>12</v>
      </c>
      <c r="Q1024" s="2">
        <f>IFERROR(__xludf.DUMMYFUNCTION("""COMPUTED_VALUE"""),12.0)</f>
        <v>12</v>
      </c>
    </row>
    <row r="1025">
      <c r="P1025" s="2">
        <f>IFERROR(__xludf.DUMMYFUNCTION("""COMPUTED_VALUE"""),12.0)</f>
        <v>12</v>
      </c>
      <c r="Q1025" s="2">
        <f>IFERROR(__xludf.DUMMYFUNCTION("""COMPUTED_VALUE"""),12.0)</f>
        <v>12</v>
      </c>
    </row>
    <row r="1026">
      <c r="P1026" s="2">
        <f>IFERROR(__xludf.DUMMYFUNCTION("""COMPUTED_VALUE"""),12.0)</f>
        <v>12</v>
      </c>
      <c r="Q1026" s="2">
        <f>IFERROR(__xludf.DUMMYFUNCTION("""COMPUTED_VALUE"""),4.0)</f>
        <v>4</v>
      </c>
    </row>
    <row r="1027">
      <c r="P1027" s="2">
        <f>IFERROR(__xludf.DUMMYFUNCTION("""COMPUTED_VALUE"""),12.0)</f>
        <v>12</v>
      </c>
      <c r="Q1027" s="2">
        <f>IFERROR(__xludf.DUMMYFUNCTION("""COMPUTED_VALUE"""),1.0)</f>
        <v>1</v>
      </c>
    </row>
    <row r="1028">
      <c r="P1028" s="2">
        <f>IFERROR(__xludf.DUMMYFUNCTION("""COMPUTED_VALUE"""),12.0)</f>
        <v>12</v>
      </c>
      <c r="Q1028" s="2">
        <f>IFERROR(__xludf.DUMMYFUNCTION("""COMPUTED_VALUE"""),12.0)</f>
        <v>12</v>
      </c>
    </row>
    <row r="1029">
      <c r="P1029" s="2">
        <f>IFERROR(__xludf.DUMMYFUNCTION("""COMPUTED_VALUE"""),12.0)</f>
        <v>12</v>
      </c>
      <c r="Q1029" s="2">
        <f>IFERROR(__xludf.DUMMYFUNCTION("""COMPUTED_VALUE"""),3.0)</f>
        <v>3</v>
      </c>
    </row>
    <row r="1030">
      <c r="P1030" s="2">
        <f>IFERROR(__xludf.DUMMYFUNCTION("""COMPUTED_VALUE"""),12.0)</f>
        <v>12</v>
      </c>
      <c r="Q1030" s="2">
        <f>IFERROR(__xludf.DUMMYFUNCTION("""COMPUTED_VALUE"""),1.0)</f>
        <v>1</v>
      </c>
    </row>
    <row r="1031">
      <c r="P1031" s="2">
        <f>IFERROR(__xludf.DUMMYFUNCTION("""COMPUTED_VALUE"""),12.0)</f>
        <v>12</v>
      </c>
      <c r="Q1031" s="2">
        <f>IFERROR(__xludf.DUMMYFUNCTION("""COMPUTED_VALUE"""),2.0)</f>
        <v>2</v>
      </c>
    </row>
    <row r="1032">
      <c r="P1032" s="2">
        <f>IFERROR(__xludf.DUMMYFUNCTION("""COMPUTED_VALUE"""),12.0)</f>
        <v>12</v>
      </c>
      <c r="Q1032" s="2">
        <f>IFERROR(__xludf.DUMMYFUNCTION("""COMPUTED_VALUE"""),10.0)</f>
        <v>10</v>
      </c>
    </row>
    <row r="1033">
      <c r="P1033" s="2">
        <f>IFERROR(__xludf.DUMMYFUNCTION("""COMPUTED_VALUE"""),12.0)</f>
        <v>12</v>
      </c>
      <c r="Q1033" s="2">
        <f>IFERROR(__xludf.DUMMYFUNCTION("""COMPUTED_VALUE"""),3.0)</f>
        <v>3</v>
      </c>
    </row>
    <row r="1034">
      <c r="P1034" s="2">
        <f>IFERROR(__xludf.DUMMYFUNCTION("""COMPUTED_VALUE"""),12.0)</f>
        <v>12</v>
      </c>
      <c r="Q1034" s="2">
        <f>IFERROR(__xludf.DUMMYFUNCTION("""COMPUTED_VALUE"""),2.0)</f>
        <v>2</v>
      </c>
    </row>
    <row r="1035">
      <c r="P1035" s="2">
        <f>IFERROR(__xludf.DUMMYFUNCTION("""COMPUTED_VALUE"""),12.0)</f>
        <v>12</v>
      </c>
      <c r="Q1035" s="2">
        <f>IFERROR(__xludf.DUMMYFUNCTION("""COMPUTED_VALUE"""),2.0)</f>
        <v>2</v>
      </c>
    </row>
    <row r="1036">
      <c r="P1036" s="2">
        <f>IFERROR(__xludf.DUMMYFUNCTION("""COMPUTED_VALUE"""),12.0)</f>
        <v>12</v>
      </c>
      <c r="Q1036" s="2">
        <f>IFERROR(__xludf.DUMMYFUNCTION("""COMPUTED_VALUE"""),2.0)</f>
        <v>2</v>
      </c>
    </row>
    <row r="1037">
      <c r="P1037" s="2">
        <f>IFERROR(__xludf.DUMMYFUNCTION("""COMPUTED_VALUE"""),12.0)</f>
        <v>12</v>
      </c>
      <c r="Q1037" s="2">
        <f>IFERROR(__xludf.DUMMYFUNCTION("""COMPUTED_VALUE"""),1.0)</f>
        <v>1</v>
      </c>
    </row>
    <row r="1038">
      <c r="P1038" s="2">
        <f>IFERROR(__xludf.DUMMYFUNCTION("""COMPUTED_VALUE"""),12.0)</f>
        <v>12</v>
      </c>
      <c r="Q1038" s="2">
        <f>IFERROR(__xludf.DUMMYFUNCTION("""COMPUTED_VALUE"""),8.0)</f>
        <v>8</v>
      </c>
    </row>
    <row r="1039">
      <c r="P1039" s="2">
        <f>IFERROR(__xludf.DUMMYFUNCTION("""COMPUTED_VALUE"""),12.0)</f>
        <v>12</v>
      </c>
      <c r="Q1039" s="2">
        <f>IFERROR(__xludf.DUMMYFUNCTION("""COMPUTED_VALUE"""),3.0)</f>
        <v>3</v>
      </c>
    </row>
    <row r="1040">
      <c r="P1040" s="2">
        <f>IFERROR(__xludf.DUMMYFUNCTION("""COMPUTED_VALUE"""),12.0)</f>
        <v>12</v>
      </c>
      <c r="Q1040" s="2">
        <f>IFERROR(__xludf.DUMMYFUNCTION("""COMPUTED_VALUE"""),1.0)</f>
        <v>1</v>
      </c>
    </row>
    <row r="1041">
      <c r="P1041" s="2">
        <f>IFERROR(__xludf.DUMMYFUNCTION("""COMPUTED_VALUE"""),12.0)</f>
        <v>12</v>
      </c>
      <c r="Q1041" s="2">
        <f>IFERROR(__xludf.DUMMYFUNCTION("""COMPUTED_VALUE"""),6.0)</f>
        <v>6</v>
      </c>
    </row>
    <row r="1042">
      <c r="P1042" s="2">
        <f>IFERROR(__xludf.DUMMYFUNCTION("""COMPUTED_VALUE"""),12.0)</f>
        <v>12</v>
      </c>
      <c r="Q1042" s="2">
        <f>IFERROR(__xludf.DUMMYFUNCTION("""COMPUTED_VALUE"""),12.0)</f>
        <v>12</v>
      </c>
    </row>
    <row r="1043">
      <c r="P1043" s="2">
        <f>IFERROR(__xludf.DUMMYFUNCTION("""COMPUTED_VALUE"""),12.0)</f>
        <v>12</v>
      </c>
      <c r="Q1043" s="2">
        <f>IFERROR(__xludf.DUMMYFUNCTION("""COMPUTED_VALUE"""),12.0)</f>
        <v>12</v>
      </c>
    </row>
    <row r="1044">
      <c r="P1044" s="2">
        <f>IFERROR(__xludf.DUMMYFUNCTION("""COMPUTED_VALUE"""),12.0)</f>
        <v>12</v>
      </c>
      <c r="Q1044" s="2">
        <f>IFERROR(__xludf.DUMMYFUNCTION("""COMPUTED_VALUE"""),1.0)</f>
        <v>1</v>
      </c>
    </row>
    <row r="1045">
      <c r="P1045" s="2">
        <f>IFERROR(__xludf.DUMMYFUNCTION("""COMPUTED_VALUE"""),12.0)</f>
        <v>12</v>
      </c>
      <c r="Q1045" s="2">
        <f>IFERROR(__xludf.DUMMYFUNCTION("""COMPUTED_VALUE"""),5.0)</f>
        <v>5</v>
      </c>
    </row>
    <row r="1046">
      <c r="P1046" s="2">
        <f>IFERROR(__xludf.DUMMYFUNCTION("""COMPUTED_VALUE"""),12.0)</f>
        <v>12</v>
      </c>
      <c r="Q1046" s="2">
        <f>IFERROR(__xludf.DUMMYFUNCTION("""COMPUTED_VALUE"""),25.0)</f>
        <v>25</v>
      </c>
    </row>
    <row r="1047">
      <c r="P1047" s="2">
        <f>IFERROR(__xludf.DUMMYFUNCTION("""COMPUTED_VALUE"""),12.0)</f>
        <v>12</v>
      </c>
      <c r="Q1047" s="2">
        <f>IFERROR(__xludf.DUMMYFUNCTION("""COMPUTED_VALUE"""),10.0)</f>
        <v>10</v>
      </c>
    </row>
    <row r="1048">
      <c r="P1048" s="2">
        <f>IFERROR(__xludf.DUMMYFUNCTION("""COMPUTED_VALUE"""),12.0)</f>
        <v>12</v>
      </c>
      <c r="Q1048" s="2">
        <f>IFERROR(__xludf.DUMMYFUNCTION("""COMPUTED_VALUE"""),1.0)</f>
        <v>1</v>
      </c>
    </row>
    <row r="1049">
      <c r="P1049" s="2">
        <f>IFERROR(__xludf.DUMMYFUNCTION("""COMPUTED_VALUE"""),12.0)</f>
        <v>12</v>
      </c>
      <c r="Q1049" s="2">
        <f>IFERROR(__xludf.DUMMYFUNCTION("""COMPUTED_VALUE"""),12.0)</f>
        <v>12</v>
      </c>
    </row>
    <row r="1050">
      <c r="P1050" s="2">
        <f>IFERROR(__xludf.DUMMYFUNCTION("""COMPUTED_VALUE"""),12.0)</f>
        <v>12</v>
      </c>
      <c r="Q1050" s="2">
        <f>IFERROR(__xludf.DUMMYFUNCTION("""COMPUTED_VALUE"""),2.0)</f>
        <v>2</v>
      </c>
    </row>
    <row r="1051">
      <c r="P1051" s="2">
        <f>IFERROR(__xludf.DUMMYFUNCTION("""COMPUTED_VALUE"""),12.0)</f>
        <v>12</v>
      </c>
      <c r="Q1051" s="2">
        <f>IFERROR(__xludf.DUMMYFUNCTION("""COMPUTED_VALUE"""),3.0)</f>
        <v>3</v>
      </c>
    </row>
    <row r="1052">
      <c r="P1052" s="2">
        <f>IFERROR(__xludf.DUMMYFUNCTION("""COMPUTED_VALUE"""),12.0)</f>
        <v>12</v>
      </c>
      <c r="Q1052" s="2">
        <f>IFERROR(__xludf.DUMMYFUNCTION("""COMPUTED_VALUE"""),1.0)</f>
        <v>1</v>
      </c>
    </row>
    <row r="1053">
      <c r="P1053" s="2">
        <f>IFERROR(__xludf.DUMMYFUNCTION("""COMPUTED_VALUE"""),12.0)</f>
        <v>12</v>
      </c>
      <c r="Q1053" s="2">
        <f>IFERROR(__xludf.DUMMYFUNCTION("""COMPUTED_VALUE"""),3.0)</f>
        <v>3</v>
      </c>
    </row>
    <row r="1054">
      <c r="P1054" s="2">
        <f>IFERROR(__xludf.DUMMYFUNCTION("""COMPUTED_VALUE"""),12.0)</f>
        <v>12</v>
      </c>
      <c r="Q1054" s="2">
        <f>IFERROR(__xludf.DUMMYFUNCTION("""COMPUTED_VALUE"""),1.0)</f>
        <v>1</v>
      </c>
    </row>
    <row r="1055">
      <c r="P1055" s="2">
        <f>IFERROR(__xludf.DUMMYFUNCTION("""COMPUTED_VALUE"""),12.0)</f>
        <v>12</v>
      </c>
      <c r="Q1055" s="2">
        <f>IFERROR(__xludf.DUMMYFUNCTION("""COMPUTED_VALUE"""),12.0)</f>
        <v>12</v>
      </c>
    </row>
    <row r="1056">
      <c r="P1056" s="2">
        <f>IFERROR(__xludf.DUMMYFUNCTION("""COMPUTED_VALUE"""),12.0)</f>
        <v>12</v>
      </c>
      <c r="Q1056" s="2">
        <f>IFERROR(__xludf.DUMMYFUNCTION("""COMPUTED_VALUE"""),1.0)</f>
        <v>1</v>
      </c>
    </row>
    <row r="1057">
      <c r="P1057" s="2">
        <f>IFERROR(__xludf.DUMMYFUNCTION("""COMPUTED_VALUE"""),12.0)</f>
        <v>12</v>
      </c>
      <c r="Q1057" s="2">
        <f>IFERROR(__xludf.DUMMYFUNCTION("""COMPUTED_VALUE"""),6.0)</f>
        <v>6</v>
      </c>
    </row>
    <row r="1058">
      <c r="P1058" s="2">
        <f>IFERROR(__xludf.DUMMYFUNCTION("""COMPUTED_VALUE"""),12.0)</f>
        <v>12</v>
      </c>
      <c r="Q1058" s="2">
        <f>IFERROR(__xludf.DUMMYFUNCTION("""COMPUTED_VALUE"""),1.0)</f>
        <v>1</v>
      </c>
    </row>
    <row r="1059">
      <c r="P1059" s="2">
        <f>IFERROR(__xludf.DUMMYFUNCTION("""COMPUTED_VALUE"""),12.0)</f>
        <v>12</v>
      </c>
      <c r="Q1059" s="2">
        <f>IFERROR(__xludf.DUMMYFUNCTION("""COMPUTED_VALUE"""),1.0)</f>
        <v>1</v>
      </c>
    </row>
    <row r="1060">
      <c r="P1060" s="2">
        <f>IFERROR(__xludf.DUMMYFUNCTION("""COMPUTED_VALUE"""),12.0)</f>
        <v>12</v>
      </c>
      <c r="Q1060" s="2">
        <f>IFERROR(__xludf.DUMMYFUNCTION("""COMPUTED_VALUE"""),22.0)</f>
        <v>22</v>
      </c>
    </row>
    <row r="1061">
      <c r="P1061" s="2">
        <f>IFERROR(__xludf.DUMMYFUNCTION("""COMPUTED_VALUE"""),12.0)</f>
        <v>12</v>
      </c>
      <c r="Q1061" s="2">
        <f>IFERROR(__xludf.DUMMYFUNCTION("""COMPUTED_VALUE"""),1.0)</f>
        <v>1</v>
      </c>
    </row>
    <row r="1062">
      <c r="P1062" s="2">
        <f>IFERROR(__xludf.DUMMYFUNCTION("""COMPUTED_VALUE"""),12.0)</f>
        <v>12</v>
      </c>
      <c r="Q1062" s="2">
        <f>IFERROR(__xludf.DUMMYFUNCTION("""COMPUTED_VALUE"""),2.0)</f>
        <v>2</v>
      </c>
    </row>
    <row r="1063">
      <c r="P1063" s="2">
        <f>IFERROR(__xludf.DUMMYFUNCTION("""COMPUTED_VALUE"""),12.0)</f>
        <v>12</v>
      </c>
      <c r="Q1063" s="2">
        <f>IFERROR(__xludf.DUMMYFUNCTION("""COMPUTED_VALUE"""),3.0)</f>
        <v>3</v>
      </c>
    </row>
    <row r="1064">
      <c r="P1064" s="2">
        <f>IFERROR(__xludf.DUMMYFUNCTION("""COMPUTED_VALUE"""),12.0)</f>
        <v>12</v>
      </c>
      <c r="Q1064" s="2">
        <f>IFERROR(__xludf.DUMMYFUNCTION("""COMPUTED_VALUE"""),1.0)</f>
        <v>1</v>
      </c>
    </row>
    <row r="1065">
      <c r="P1065" s="2">
        <f>IFERROR(__xludf.DUMMYFUNCTION("""COMPUTED_VALUE"""),12.0)</f>
        <v>12</v>
      </c>
      <c r="Q1065" s="2">
        <f>IFERROR(__xludf.DUMMYFUNCTION("""COMPUTED_VALUE"""),1.0)</f>
        <v>1</v>
      </c>
    </row>
    <row r="1066">
      <c r="P1066" s="2">
        <f>IFERROR(__xludf.DUMMYFUNCTION("""COMPUTED_VALUE"""),12.0)</f>
        <v>12</v>
      </c>
      <c r="Q1066" s="2">
        <f>IFERROR(__xludf.DUMMYFUNCTION("""COMPUTED_VALUE"""),2.0)</f>
        <v>2</v>
      </c>
    </row>
    <row r="1067">
      <c r="P1067" s="2">
        <f>IFERROR(__xludf.DUMMYFUNCTION("""COMPUTED_VALUE"""),12.0)</f>
        <v>12</v>
      </c>
      <c r="Q1067" s="2">
        <f>IFERROR(__xludf.DUMMYFUNCTION("""COMPUTED_VALUE"""),6.0)</f>
        <v>6</v>
      </c>
    </row>
    <row r="1068">
      <c r="P1068" s="2">
        <f>IFERROR(__xludf.DUMMYFUNCTION("""COMPUTED_VALUE"""),12.0)</f>
        <v>12</v>
      </c>
      <c r="Q1068" s="2">
        <f>IFERROR(__xludf.DUMMYFUNCTION("""COMPUTED_VALUE"""),6.0)</f>
        <v>6</v>
      </c>
    </row>
    <row r="1069">
      <c r="P1069" s="2">
        <f>IFERROR(__xludf.DUMMYFUNCTION("""COMPUTED_VALUE"""),12.0)</f>
        <v>12</v>
      </c>
      <c r="Q1069" s="2">
        <f>IFERROR(__xludf.DUMMYFUNCTION("""COMPUTED_VALUE"""),6.0)</f>
        <v>6</v>
      </c>
    </row>
    <row r="1070">
      <c r="P1070" s="2">
        <f>IFERROR(__xludf.DUMMYFUNCTION("""COMPUTED_VALUE"""),12.0)</f>
        <v>12</v>
      </c>
      <c r="Q1070" s="2">
        <f>IFERROR(__xludf.DUMMYFUNCTION("""COMPUTED_VALUE"""),3.0)</f>
        <v>3</v>
      </c>
    </row>
    <row r="1071">
      <c r="P1071" s="2">
        <f>IFERROR(__xludf.DUMMYFUNCTION("""COMPUTED_VALUE"""),12.0)</f>
        <v>12</v>
      </c>
      <c r="Q1071" s="2">
        <f>IFERROR(__xludf.DUMMYFUNCTION("""COMPUTED_VALUE"""),2.0)</f>
        <v>2</v>
      </c>
    </row>
    <row r="1072">
      <c r="P1072" s="2">
        <f>IFERROR(__xludf.DUMMYFUNCTION("""COMPUTED_VALUE"""),12.0)</f>
        <v>12</v>
      </c>
      <c r="Q1072" s="2">
        <f>IFERROR(__xludf.DUMMYFUNCTION("""COMPUTED_VALUE"""),6.0)</f>
        <v>6</v>
      </c>
    </row>
    <row r="1073">
      <c r="P1073" s="2">
        <f>IFERROR(__xludf.DUMMYFUNCTION("""COMPUTED_VALUE"""),12.0)</f>
        <v>12</v>
      </c>
      <c r="Q1073" s="2">
        <f>IFERROR(__xludf.DUMMYFUNCTION("""COMPUTED_VALUE"""),3.0)</f>
        <v>3</v>
      </c>
    </row>
    <row r="1074">
      <c r="P1074" s="2">
        <f>IFERROR(__xludf.DUMMYFUNCTION("""COMPUTED_VALUE"""),12.0)</f>
        <v>12</v>
      </c>
      <c r="Q1074" s="2">
        <f>IFERROR(__xludf.DUMMYFUNCTION("""COMPUTED_VALUE"""),12.0)</f>
        <v>12</v>
      </c>
    </row>
    <row r="1075">
      <c r="P1075" s="2">
        <f>IFERROR(__xludf.DUMMYFUNCTION("""COMPUTED_VALUE"""),12.0)</f>
        <v>12</v>
      </c>
      <c r="Q1075" s="2">
        <f>IFERROR(__xludf.DUMMYFUNCTION("""COMPUTED_VALUE"""),5.0)</f>
        <v>5</v>
      </c>
    </row>
    <row r="1076">
      <c r="P1076" s="2">
        <f>IFERROR(__xludf.DUMMYFUNCTION("""COMPUTED_VALUE"""),12.0)</f>
        <v>12</v>
      </c>
      <c r="Q1076" s="2">
        <f>IFERROR(__xludf.DUMMYFUNCTION("""COMPUTED_VALUE"""),1.0)</f>
        <v>1</v>
      </c>
    </row>
    <row r="1077">
      <c r="P1077" s="2">
        <f>IFERROR(__xludf.DUMMYFUNCTION("""COMPUTED_VALUE"""),12.0)</f>
        <v>12</v>
      </c>
      <c r="Q1077" s="2">
        <f>IFERROR(__xludf.DUMMYFUNCTION("""COMPUTED_VALUE"""),1.0)</f>
        <v>1</v>
      </c>
    </row>
    <row r="1078">
      <c r="P1078" s="2">
        <f>IFERROR(__xludf.DUMMYFUNCTION("""COMPUTED_VALUE"""),12.0)</f>
        <v>12</v>
      </c>
      <c r="Q1078" s="2">
        <f>IFERROR(__xludf.DUMMYFUNCTION("""COMPUTED_VALUE"""),-2.0)</f>
        <v>-2</v>
      </c>
    </row>
    <row r="1079">
      <c r="P1079" s="2">
        <f>IFERROR(__xludf.DUMMYFUNCTION("""COMPUTED_VALUE"""),12.0)</f>
        <v>12</v>
      </c>
      <c r="Q1079" s="2">
        <f>IFERROR(__xludf.DUMMYFUNCTION("""COMPUTED_VALUE"""),2.0)</f>
        <v>2</v>
      </c>
    </row>
    <row r="1080">
      <c r="P1080" s="2">
        <f>IFERROR(__xludf.DUMMYFUNCTION("""COMPUTED_VALUE"""),12.0)</f>
        <v>12</v>
      </c>
      <c r="Q1080" s="2">
        <f>IFERROR(__xludf.DUMMYFUNCTION("""COMPUTED_VALUE"""),2.0)</f>
        <v>2</v>
      </c>
    </row>
    <row r="1081">
      <c r="P1081" s="2">
        <f>IFERROR(__xludf.DUMMYFUNCTION("""COMPUTED_VALUE"""),12.0)</f>
        <v>12</v>
      </c>
      <c r="Q1081" s="2">
        <f>IFERROR(__xludf.DUMMYFUNCTION("""COMPUTED_VALUE"""),4.0)</f>
        <v>4</v>
      </c>
    </row>
    <row r="1082">
      <c r="P1082" s="2">
        <f>IFERROR(__xludf.DUMMYFUNCTION("""COMPUTED_VALUE"""),12.0)</f>
        <v>12</v>
      </c>
      <c r="Q1082" s="2">
        <f>IFERROR(__xludf.DUMMYFUNCTION("""COMPUTED_VALUE"""),2.0)</f>
        <v>2</v>
      </c>
    </row>
    <row r="1083">
      <c r="P1083" s="2">
        <f>IFERROR(__xludf.DUMMYFUNCTION("""COMPUTED_VALUE"""),12.0)</f>
        <v>12</v>
      </c>
      <c r="Q1083" s="2">
        <f>IFERROR(__xludf.DUMMYFUNCTION("""COMPUTED_VALUE"""),2.0)</f>
        <v>2</v>
      </c>
    </row>
    <row r="1084">
      <c r="P1084" s="2">
        <f>IFERROR(__xludf.DUMMYFUNCTION("""COMPUTED_VALUE"""),12.0)</f>
        <v>12</v>
      </c>
      <c r="Q1084" s="2">
        <f>IFERROR(__xludf.DUMMYFUNCTION("""COMPUTED_VALUE"""),48.0)</f>
        <v>48</v>
      </c>
    </row>
    <row r="1085">
      <c r="P1085" s="2">
        <f>IFERROR(__xludf.DUMMYFUNCTION("""COMPUTED_VALUE"""),12.0)</f>
        <v>12</v>
      </c>
      <c r="Q1085" s="2">
        <f>IFERROR(__xludf.DUMMYFUNCTION("""COMPUTED_VALUE"""),6.0)</f>
        <v>6</v>
      </c>
    </row>
    <row r="1086">
      <c r="P1086" s="2">
        <f>IFERROR(__xludf.DUMMYFUNCTION("""COMPUTED_VALUE"""),12.0)</f>
        <v>12</v>
      </c>
      <c r="Q1086" s="2">
        <f>IFERROR(__xludf.DUMMYFUNCTION("""COMPUTED_VALUE"""),4.0)</f>
        <v>4</v>
      </c>
    </row>
    <row r="1087">
      <c r="P1087" s="2">
        <f>IFERROR(__xludf.DUMMYFUNCTION("""COMPUTED_VALUE"""),12.0)</f>
        <v>12</v>
      </c>
      <c r="Q1087" s="2">
        <f>IFERROR(__xludf.DUMMYFUNCTION("""COMPUTED_VALUE"""),12.0)</f>
        <v>12</v>
      </c>
    </row>
    <row r="1088">
      <c r="P1088" s="2">
        <f>IFERROR(__xludf.DUMMYFUNCTION("""COMPUTED_VALUE"""),12.0)</f>
        <v>12</v>
      </c>
      <c r="Q1088" s="2">
        <f>IFERROR(__xludf.DUMMYFUNCTION("""COMPUTED_VALUE"""),12.0)</f>
        <v>12</v>
      </c>
    </row>
    <row r="1089">
      <c r="P1089" s="2">
        <f>IFERROR(__xludf.DUMMYFUNCTION("""COMPUTED_VALUE"""),12.0)</f>
        <v>12</v>
      </c>
      <c r="Q1089" s="2">
        <f>IFERROR(__xludf.DUMMYFUNCTION("""COMPUTED_VALUE"""),6.0)</f>
        <v>6</v>
      </c>
    </row>
    <row r="1090">
      <c r="P1090" s="2">
        <f>IFERROR(__xludf.DUMMYFUNCTION("""COMPUTED_VALUE"""),12.0)</f>
        <v>12</v>
      </c>
      <c r="Q1090" s="2">
        <f>IFERROR(__xludf.DUMMYFUNCTION("""COMPUTED_VALUE"""),6.0)</f>
        <v>6</v>
      </c>
    </row>
    <row r="1091">
      <c r="P1091" s="2">
        <f>IFERROR(__xludf.DUMMYFUNCTION("""COMPUTED_VALUE"""),12.0)</f>
        <v>12</v>
      </c>
      <c r="Q1091" s="2">
        <f>IFERROR(__xludf.DUMMYFUNCTION("""COMPUTED_VALUE"""),6.0)</f>
        <v>6</v>
      </c>
    </row>
    <row r="1092">
      <c r="P1092" s="2">
        <f>IFERROR(__xludf.DUMMYFUNCTION("""COMPUTED_VALUE"""),12.0)</f>
        <v>12</v>
      </c>
      <c r="Q1092" s="2">
        <f>IFERROR(__xludf.DUMMYFUNCTION("""COMPUTED_VALUE"""),6.0)</f>
        <v>6</v>
      </c>
    </row>
    <row r="1093">
      <c r="P1093" s="2">
        <f>IFERROR(__xludf.DUMMYFUNCTION("""COMPUTED_VALUE"""),12.0)</f>
        <v>12</v>
      </c>
      <c r="Q1093" s="2">
        <f>IFERROR(__xludf.DUMMYFUNCTION("""COMPUTED_VALUE"""),12.0)</f>
        <v>12</v>
      </c>
    </row>
    <row r="1094">
      <c r="P1094" s="2">
        <f>IFERROR(__xludf.DUMMYFUNCTION("""COMPUTED_VALUE"""),12.0)</f>
        <v>12</v>
      </c>
      <c r="Q1094" s="2">
        <f>IFERROR(__xludf.DUMMYFUNCTION("""COMPUTED_VALUE"""),12.0)</f>
        <v>12</v>
      </c>
    </row>
    <row r="1095">
      <c r="P1095" s="2">
        <f>IFERROR(__xludf.DUMMYFUNCTION("""COMPUTED_VALUE"""),12.0)</f>
        <v>12</v>
      </c>
      <c r="Q1095" s="2">
        <f>IFERROR(__xludf.DUMMYFUNCTION("""COMPUTED_VALUE"""),12.0)</f>
        <v>12</v>
      </c>
    </row>
    <row r="1096">
      <c r="P1096" s="2">
        <f>IFERROR(__xludf.DUMMYFUNCTION("""COMPUTED_VALUE"""),12.0)</f>
        <v>12</v>
      </c>
      <c r="Q1096" s="2">
        <f>IFERROR(__xludf.DUMMYFUNCTION("""COMPUTED_VALUE"""),6.0)</f>
        <v>6</v>
      </c>
    </row>
    <row r="1097">
      <c r="P1097" s="2">
        <f>IFERROR(__xludf.DUMMYFUNCTION("""COMPUTED_VALUE"""),12.0)</f>
        <v>12</v>
      </c>
      <c r="Q1097" s="2">
        <f>IFERROR(__xludf.DUMMYFUNCTION("""COMPUTED_VALUE"""),2.0)</f>
        <v>2</v>
      </c>
    </row>
    <row r="1098">
      <c r="P1098" s="2">
        <f>IFERROR(__xludf.DUMMYFUNCTION("""COMPUTED_VALUE"""),12.0)</f>
        <v>12</v>
      </c>
      <c r="Q1098" s="2">
        <f>IFERROR(__xludf.DUMMYFUNCTION("""COMPUTED_VALUE"""),2.0)</f>
        <v>2</v>
      </c>
    </row>
    <row r="1099">
      <c r="P1099" s="2">
        <f>IFERROR(__xludf.DUMMYFUNCTION("""COMPUTED_VALUE"""),12.0)</f>
        <v>12</v>
      </c>
      <c r="Q1099" s="2">
        <f>IFERROR(__xludf.DUMMYFUNCTION("""COMPUTED_VALUE"""),2.0)</f>
        <v>2</v>
      </c>
    </row>
    <row r="1100">
      <c r="P1100" s="2">
        <f>IFERROR(__xludf.DUMMYFUNCTION("""COMPUTED_VALUE"""),12.0)</f>
        <v>12</v>
      </c>
      <c r="Q1100" s="2">
        <f>IFERROR(__xludf.DUMMYFUNCTION("""COMPUTED_VALUE"""),48.0)</f>
        <v>48</v>
      </c>
    </row>
    <row r="1101">
      <c r="P1101" s="2">
        <f>IFERROR(__xludf.DUMMYFUNCTION("""COMPUTED_VALUE"""),12.0)</f>
        <v>12</v>
      </c>
      <c r="Q1101" s="2">
        <f>IFERROR(__xludf.DUMMYFUNCTION("""COMPUTED_VALUE"""),18.0)</f>
        <v>18</v>
      </c>
    </row>
    <row r="1102">
      <c r="P1102" s="2">
        <f>IFERROR(__xludf.DUMMYFUNCTION("""COMPUTED_VALUE"""),12.0)</f>
        <v>12</v>
      </c>
      <c r="Q1102" s="2">
        <f>IFERROR(__xludf.DUMMYFUNCTION("""COMPUTED_VALUE"""),-1.0)</f>
        <v>-1</v>
      </c>
    </row>
    <row r="1103">
      <c r="P1103" s="2">
        <f>IFERROR(__xludf.DUMMYFUNCTION("""COMPUTED_VALUE"""),12.0)</f>
        <v>12</v>
      </c>
      <c r="Q1103" s="2">
        <f>IFERROR(__xludf.DUMMYFUNCTION("""COMPUTED_VALUE"""),1.0)</f>
        <v>1</v>
      </c>
    </row>
    <row r="1104">
      <c r="P1104" s="2">
        <f>IFERROR(__xludf.DUMMYFUNCTION("""COMPUTED_VALUE"""),12.0)</f>
        <v>12</v>
      </c>
      <c r="Q1104" s="2">
        <f>IFERROR(__xludf.DUMMYFUNCTION("""COMPUTED_VALUE"""),10.0)</f>
        <v>10</v>
      </c>
    </row>
    <row r="1105">
      <c r="P1105" s="2">
        <f>IFERROR(__xludf.DUMMYFUNCTION("""COMPUTED_VALUE"""),12.0)</f>
        <v>12</v>
      </c>
      <c r="Q1105" s="2">
        <f>IFERROR(__xludf.DUMMYFUNCTION("""COMPUTED_VALUE"""),10.0)</f>
        <v>10</v>
      </c>
    </row>
    <row r="1106">
      <c r="P1106" s="2">
        <f>IFERROR(__xludf.DUMMYFUNCTION("""COMPUTED_VALUE"""),12.0)</f>
        <v>12</v>
      </c>
      <c r="Q1106" s="2">
        <f>IFERROR(__xludf.DUMMYFUNCTION("""COMPUTED_VALUE"""),12.0)</f>
        <v>12</v>
      </c>
    </row>
    <row r="1107">
      <c r="P1107" s="2">
        <f>IFERROR(__xludf.DUMMYFUNCTION("""COMPUTED_VALUE"""),12.0)</f>
        <v>12</v>
      </c>
      <c r="Q1107" s="2">
        <f>IFERROR(__xludf.DUMMYFUNCTION("""COMPUTED_VALUE"""),2.0)</f>
        <v>2</v>
      </c>
    </row>
    <row r="1108">
      <c r="P1108" s="2">
        <f>IFERROR(__xludf.DUMMYFUNCTION("""COMPUTED_VALUE"""),12.0)</f>
        <v>12</v>
      </c>
      <c r="Q1108" s="2">
        <f>IFERROR(__xludf.DUMMYFUNCTION("""COMPUTED_VALUE"""),2.0)</f>
        <v>2</v>
      </c>
    </row>
    <row r="1109">
      <c r="P1109" s="2">
        <f>IFERROR(__xludf.DUMMYFUNCTION("""COMPUTED_VALUE"""),12.0)</f>
        <v>12</v>
      </c>
      <c r="Q1109" s="2">
        <f>IFERROR(__xludf.DUMMYFUNCTION("""COMPUTED_VALUE"""),4.0)</f>
        <v>4</v>
      </c>
    </row>
    <row r="1110">
      <c r="P1110" s="2">
        <f>IFERROR(__xludf.DUMMYFUNCTION("""COMPUTED_VALUE"""),12.0)</f>
        <v>12</v>
      </c>
      <c r="Q1110" s="2">
        <f>IFERROR(__xludf.DUMMYFUNCTION("""COMPUTED_VALUE"""),2.0)</f>
        <v>2</v>
      </c>
    </row>
    <row r="1111">
      <c r="P1111" s="2">
        <f>IFERROR(__xludf.DUMMYFUNCTION("""COMPUTED_VALUE"""),12.0)</f>
        <v>12</v>
      </c>
      <c r="Q1111" s="2">
        <f>IFERROR(__xludf.DUMMYFUNCTION("""COMPUTED_VALUE"""),1.0)</f>
        <v>1</v>
      </c>
    </row>
    <row r="1112">
      <c r="P1112" s="2">
        <f>IFERROR(__xludf.DUMMYFUNCTION("""COMPUTED_VALUE"""),12.0)</f>
        <v>12</v>
      </c>
      <c r="Q1112" s="2">
        <f>IFERROR(__xludf.DUMMYFUNCTION("""COMPUTED_VALUE"""),3.0)</f>
        <v>3</v>
      </c>
    </row>
    <row r="1113">
      <c r="P1113" s="2">
        <f>IFERROR(__xludf.DUMMYFUNCTION("""COMPUTED_VALUE"""),12.0)</f>
        <v>12</v>
      </c>
      <c r="Q1113" s="2">
        <f>IFERROR(__xludf.DUMMYFUNCTION("""COMPUTED_VALUE"""),2.0)</f>
        <v>2</v>
      </c>
    </row>
    <row r="1114">
      <c r="P1114" s="2">
        <f>IFERROR(__xludf.DUMMYFUNCTION("""COMPUTED_VALUE"""),12.0)</f>
        <v>12</v>
      </c>
      <c r="Q1114" s="2">
        <f>IFERROR(__xludf.DUMMYFUNCTION("""COMPUTED_VALUE"""),18.0)</f>
        <v>18</v>
      </c>
    </row>
    <row r="1115">
      <c r="P1115" s="2">
        <f>IFERROR(__xludf.DUMMYFUNCTION("""COMPUTED_VALUE"""),12.0)</f>
        <v>12</v>
      </c>
      <c r="Q1115" s="2">
        <f>IFERROR(__xludf.DUMMYFUNCTION("""COMPUTED_VALUE"""),9.0)</f>
        <v>9</v>
      </c>
    </row>
    <row r="1116">
      <c r="P1116" s="2">
        <f>IFERROR(__xludf.DUMMYFUNCTION("""COMPUTED_VALUE"""),12.0)</f>
        <v>12</v>
      </c>
      <c r="Q1116" s="2">
        <f>IFERROR(__xludf.DUMMYFUNCTION("""COMPUTED_VALUE"""),6.0)</f>
        <v>6</v>
      </c>
    </row>
    <row r="1117">
      <c r="P1117" s="2">
        <f>IFERROR(__xludf.DUMMYFUNCTION("""COMPUTED_VALUE"""),12.0)</f>
        <v>12</v>
      </c>
      <c r="Q1117" s="2">
        <f>IFERROR(__xludf.DUMMYFUNCTION("""COMPUTED_VALUE"""),6.0)</f>
        <v>6</v>
      </c>
    </row>
    <row r="1118">
      <c r="P1118" s="2">
        <f>IFERROR(__xludf.DUMMYFUNCTION("""COMPUTED_VALUE"""),12.0)</f>
        <v>12</v>
      </c>
      <c r="Q1118" s="2">
        <f>IFERROR(__xludf.DUMMYFUNCTION("""COMPUTED_VALUE"""),6.0)</f>
        <v>6</v>
      </c>
    </row>
    <row r="1119">
      <c r="P1119" s="2">
        <f>IFERROR(__xludf.DUMMYFUNCTION("""COMPUTED_VALUE"""),12.0)</f>
        <v>12</v>
      </c>
      <c r="Q1119" s="2">
        <f>IFERROR(__xludf.DUMMYFUNCTION("""COMPUTED_VALUE"""),6.0)</f>
        <v>6</v>
      </c>
    </row>
    <row r="1120">
      <c r="P1120" s="2">
        <f>IFERROR(__xludf.DUMMYFUNCTION("""COMPUTED_VALUE"""),12.0)</f>
        <v>12</v>
      </c>
      <c r="Q1120" s="2">
        <f>IFERROR(__xludf.DUMMYFUNCTION("""COMPUTED_VALUE"""),1.0)</f>
        <v>1</v>
      </c>
    </row>
    <row r="1121">
      <c r="P1121" s="2">
        <f>IFERROR(__xludf.DUMMYFUNCTION("""COMPUTED_VALUE"""),12.0)</f>
        <v>12</v>
      </c>
      <c r="Q1121" s="2">
        <f>IFERROR(__xludf.DUMMYFUNCTION("""COMPUTED_VALUE"""),1.0)</f>
        <v>1</v>
      </c>
    </row>
    <row r="1122">
      <c r="P1122" s="2">
        <f>IFERROR(__xludf.DUMMYFUNCTION("""COMPUTED_VALUE"""),12.0)</f>
        <v>12</v>
      </c>
      <c r="Q1122" s="2">
        <f>IFERROR(__xludf.DUMMYFUNCTION("""COMPUTED_VALUE"""),8.0)</f>
        <v>8</v>
      </c>
    </row>
    <row r="1123">
      <c r="P1123" s="2">
        <f>IFERROR(__xludf.DUMMYFUNCTION("""COMPUTED_VALUE"""),12.0)</f>
        <v>12</v>
      </c>
      <c r="Q1123" s="2">
        <f>IFERROR(__xludf.DUMMYFUNCTION("""COMPUTED_VALUE"""),10.0)</f>
        <v>10</v>
      </c>
    </row>
    <row r="1124">
      <c r="P1124" s="2">
        <f>IFERROR(__xludf.DUMMYFUNCTION("""COMPUTED_VALUE"""),12.0)</f>
        <v>12</v>
      </c>
      <c r="Q1124" s="2">
        <f>IFERROR(__xludf.DUMMYFUNCTION("""COMPUTED_VALUE"""),3.0)</f>
        <v>3</v>
      </c>
    </row>
    <row r="1125">
      <c r="P1125" s="2">
        <f>IFERROR(__xludf.DUMMYFUNCTION("""COMPUTED_VALUE"""),12.0)</f>
        <v>12</v>
      </c>
      <c r="Q1125" s="2">
        <f>IFERROR(__xludf.DUMMYFUNCTION("""COMPUTED_VALUE"""),2.0)</f>
        <v>2</v>
      </c>
    </row>
    <row r="1126">
      <c r="P1126" s="2">
        <f>IFERROR(__xludf.DUMMYFUNCTION("""COMPUTED_VALUE"""),12.0)</f>
        <v>12</v>
      </c>
      <c r="Q1126" s="2">
        <f>IFERROR(__xludf.DUMMYFUNCTION("""COMPUTED_VALUE"""),2.0)</f>
        <v>2</v>
      </c>
    </row>
    <row r="1127">
      <c r="P1127" s="2">
        <f>IFERROR(__xludf.DUMMYFUNCTION("""COMPUTED_VALUE"""),12.0)</f>
        <v>12</v>
      </c>
      <c r="Q1127" s="2">
        <f>IFERROR(__xludf.DUMMYFUNCTION("""COMPUTED_VALUE"""),2.0)</f>
        <v>2</v>
      </c>
    </row>
    <row r="1128">
      <c r="P1128" s="2">
        <f>IFERROR(__xludf.DUMMYFUNCTION("""COMPUTED_VALUE"""),12.0)</f>
        <v>12</v>
      </c>
      <c r="Q1128" s="2">
        <f>IFERROR(__xludf.DUMMYFUNCTION("""COMPUTED_VALUE"""),-1.0)</f>
        <v>-1</v>
      </c>
    </row>
    <row r="1129">
      <c r="P1129" s="2">
        <f>IFERROR(__xludf.DUMMYFUNCTION("""COMPUTED_VALUE"""),12.0)</f>
        <v>12</v>
      </c>
      <c r="Q1129" s="2">
        <f>IFERROR(__xludf.DUMMYFUNCTION("""COMPUTED_VALUE"""),-6.0)</f>
        <v>-6</v>
      </c>
    </row>
    <row r="1130">
      <c r="P1130" s="2">
        <f>IFERROR(__xludf.DUMMYFUNCTION("""COMPUTED_VALUE"""),12.0)</f>
        <v>12</v>
      </c>
      <c r="Q1130" s="2">
        <f>IFERROR(__xludf.DUMMYFUNCTION("""COMPUTED_VALUE"""),-3.0)</f>
        <v>-3</v>
      </c>
    </row>
    <row r="1131">
      <c r="P1131" s="2">
        <f>IFERROR(__xludf.DUMMYFUNCTION("""COMPUTED_VALUE"""),12.0)</f>
        <v>12</v>
      </c>
      <c r="Q1131" s="2">
        <f>IFERROR(__xludf.DUMMYFUNCTION("""COMPUTED_VALUE"""),-2.0)</f>
        <v>-2</v>
      </c>
    </row>
    <row r="1132">
      <c r="P1132" s="2">
        <f>IFERROR(__xludf.DUMMYFUNCTION("""COMPUTED_VALUE"""),12.0)</f>
        <v>12</v>
      </c>
      <c r="Q1132" s="2">
        <f>IFERROR(__xludf.DUMMYFUNCTION("""COMPUTED_VALUE"""),-6.0)</f>
        <v>-6</v>
      </c>
    </row>
    <row r="1133">
      <c r="P1133" s="2">
        <f>IFERROR(__xludf.DUMMYFUNCTION("""COMPUTED_VALUE"""),12.0)</f>
        <v>12</v>
      </c>
      <c r="Q1133" s="2">
        <f>IFERROR(__xludf.DUMMYFUNCTION("""COMPUTED_VALUE"""),2.0)</f>
        <v>2</v>
      </c>
    </row>
    <row r="1134">
      <c r="P1134" s="2">
        <f>IFERROR(__xludf.DUMMYFUNCTION("""COMPUTED_VALUE"""),12.0)</f>
        <v>12</v>
      </c>
      <c r="Q1134" s="2">
        <f>IFERROR(__xludf.DUMMYFUNCTION("""COMPUTED_VALUE"""),2.0)</f>
        <v>2</v>
      </c>
    </row>
    <row r="1135">
      <c r="P1135" s="2">
        <f>IFERROR(__xludf.DUMMYFUNCTION("""COMPUTED_VALUE"""),12.0)</f>
        <v>12</v>
      </c>
      <c r="Q1135" s="2">
        <f>IFERROR(__xludf.DUMMYFUNCTION("""COMPUTED_VALUE"""),4.0)</f>
        <v>4</v>
      </c>
    </row>
    <row r="1136">
      <c r="P1136" s="2">
        <f>IFERROR(__xludf.DUMMYFUNCTION("""COMPUTED_VALUE"""),12.0)</f>
        <v>12</v>
      </c>
      <c r="Q1136" s="2">
        <f>IFERROR(__xludf.DUMMYFUNCTION("""COMPUTED_VALUE"""),2.0)</f>
        <v>2</v>
      </c>
    </row>
    <row r="1137">
      <c r="P1137" s="2">
        <f>IFERROR(__xludf.DUMMYFUNCTION("""COMPUTED_VALUE"""),12.0)</f>
        <v>12</v>
      </c>
      <c r="Q1137" s="2">
        <f>IFERROR(__xludf.DUMMYFUNCTION("""COMPUTED_VALUE"""),1.0)</f>
        <v>1</v>
      </c>
    </row>
    <row r="1138">
      <c r="P1138" s="2">
        <f>IFERROR(__xludf.DUMMYFUNCTION("""COMPUTED_VALUE"""),12.0)</f>
        <v>12</v>
      </c>
      <c r="Q1138" s="2">
        <f>IFERROR(__xludf.DUMMYFUNCTION("""COMPUTED_VALUE"""),1.0)</f>
        <v>1</v>
      </c>
    </row>
    <row r="1139">
      <c r="P1139" s="2">
        <f>IFERROR(__xludf.DUMMYFUNCTION("""COMPUTED_VALUE"""),12.0)</f>
        <v>12</v>
      </c>
      <c r="Q1139" s="2">
        <f>IFERROR(__xludf.DUMMYFUNCTION("""COMPUTED_VALUE"""),8.0)</f>
        <v>8</v>
      </c>
    </row>
    <row r="1140">
      <c r="P1140" s="2">
        <f>IFERROR(__xludf.DUMMYFUNCTION("""COMPUTED_VALUE"""),12.0)</f>
        <v>12</v>
      </c>
      <c r="Q1140" s="2">
        <f>IFERROR(__xludf.DUMMYFUNCTION("""COMPUTED_VALUE"""),2.0)</f>
        <v>2</v>
      </c>
    </row>
    <row r="1141">
      <c r="P1141" s="2">
        <f>IFERROR(__xludf.DUMMYFUNCTION("""COMPUTED_VALUE"""),12.0)</f>
        <v>12</v>
      </c>
      <c r="Q1141" s="2">
        <f>IFERROR(__xludf.DUMMYFUNCTION("""COMPUTED_VALUE"""),3.0)</f>
        <v>3</v>
      </c>
    </row>
    <row r="1142">
      <c r="P1142" s="2">
        <f>IFERROR(__xludf.DUMMYFUNCTION("""COMPUTED_VALUE"""),12.0)</f>
        <v>12</v>
      </c>
      <c r="Q1142" s="2">
        <f>IFERROR(__xludf.DUMMYFUNCTION("""COMPUTED_VALUE"""),15.0)</f>
        <v>15</v>
      </c>
    </row>
    <row r="1143">
      <c r="P1143" s="2">
        <f>IFERROR(__xludf.DUMMYFUNCTION("""COMPUTED_VALUE"""),12.0)</f>
        <v>12</v>
      </c>
      <c r="Q1143" s="2">
        <f>IFERROR(__xludf.DUMMYFUNCTION("""COMPUTED_VALUE"""),3.0)</f>
        <v>3</v>
      </c>
    </row>
    <row r="1144">
      <c r="P1144" s="2">
        <f>IFERROR(__xludf.DUMMYFUNCTION("""COMPUTED_VALUE"""),12.0)</f>
        <v>12</v>
      </c>
      <c r="Q1144" s="2">
        <f>IFERROR(__xludf.DUMMYFUNCTION("""COMPUTED_VALUE"""),2.0)</f>
        <v>2</v>
      </c>
    </row>
    <row r="1145">
      <c r="P1145" s="2">
        <f>IFERROR(__xludf.DUMMYFUNCTION("""COMPUTED_VALUE"""),12.0)</f>
        <v>12</v>
      </c>
      <c r="Q1145" s="2">
        <f>IFERROR(__xludf.DUMMYFUNCTION("""COMPUTED_VALUE"""),1.0)</f>
        <v>1</v>
      </c>
    </row>
    <row r="1146">
      <c r="P1146" s="2">
        <f>IFERROR(__xludf.DUMMYFUNCTION("""COMPUTED_VALUE"""),12.0)</f>
        <v>12</v>
      </c>
      <c r="Q1146" s="2">
        <f>IFERROR(__xludf.DUMMYFUNCTION("""COMPUTED_VALUE"""),6.0)</f>
        <v>6</v>
      </c>
    </row>
    <row r="1147">
      <c r="P1147" s="2">
        <f>IFERROR(__xludf.DUMMYFUNCTION("""COMPUTED_VALUE"""),12.0)</f>
        <v>12</v>
      </c>
      <c r="Q1147" s="2">
        <f>IFERROR(__xludf.DUMMYFUNCTION("""COMPUTED_VALUE"""),24.0)</f>
        <v>24</v>
      </c>
    </row>
    <row r="1148">
      <c r="P1148" s="2">
        <f>IFERROR(__xludf.DUMMYFUNCTION("""COMPUTED_VALUE"""),12.0)</f>
        <v>12</v>
      </c>
      <c r="Q1148" s="2">
        <f>IFERROR(__xludf.DUMMYFUNCTION("""COMPUTED_VALUE"""),2.0)</f>
        <v>2</v>
      </c>
    </row>
    <row r="1149">
      <c r="P1149" s="2">
        <f>IFERROR(__xludf.DUMMYFUNCTION("""COMPUTED_VALUE"""),12.0)</f>
        <v>12</v>
      </c>
      <c r="Q1149" s="2">
        <f>IFERROR(__xludf.DUMMYFUNCTION("""COMPUTED_VALUE"""),2.0)</f>
        <v>2</v>
      </c>
    </row>
    <row r="1150">
      <c r="P1150" s="2">
        <f>IFERROR(__xludf.DUMMYFUNCTION("""COMPUTED_VALUE"""),12.0)</f>
        <v>12</v>
      </c>
      <c r="Q1150" s="2">
        <f>IFERROR(__xludf.DUMMYFUNCTION("""COMPUTED_VALUE"""),2.0)</f>
        <v>2</v>
      </c>
    </row>
    <row r="1151">
      <c r="P1151" s="2">
        <f>IFERROR(__xludf.DUMMYFUNCTION("""COMPUTED_VALUE"""),12.0)</f>
        <v>12</v>
      </c>
      <c r="Q1151" s="2">
        <f>IFERROR(__xludf.DUMMYFUNCTION("""COMPUTED_VALUE"""),1.0)</f>
        <v>1</v>
      </c>
    </row>
    <row r="1152">
      <c r="P1152" s="2">
        <f>IFERROR(__xludf.DUMMYFUNCTION("""COMPUTED_VALUE"""),12.0)</f>
        <v>12</v>
      </c>
      <c r="Q1152" s="2">
        <f>IFERROR(__xludf.DUMMYFUNCTION("""COMPUTED_VALUE"""),2.0)</f>
        <v>2</v>
      </c>
    </row>
    <row r="1153">
      <c r="P1153" s="2">
        <f>IFERROR(__xludf.DUMMYFUNCTION("""COMPUTED_VALUE"""),12.0)</f>
        <v>12</v>
      </c>
      <c r="Q1153" s="2">
        <f>IFERROR(__xludf.DUMMYFUNCTION("""COMPUTED_VALUE"""),1.0)</f>
        <v>1</v>
      </c>
    </row>
    <row r="1154">
      <c r="P1154" s="2">
        <f>IFERROR(__xludf.DUMMYFUNCTION("""COMPUTED_VALUE"""),12.0)</f>
        <v>12</v>
      </c>
      <c r="Q1154" s="2">
        <f>IFERROR(__xludf.DUMMYFUNCTION("""COMPUTED_VALUE"""),2.0)</f>
        <v>2</v>
      </c>
    </row>
    <row r="1155">
      <c r="P1155" s="2">
        <f>IFERROR(__xludf.DUMMYFUNCTION("""COMPUTED_VALUE"""),12.0)</f>
        <v>12</v>
      </c>
      <c r="Q1155" s="2">
        <f>IFERROR(__xludf.DUMMYFUNCTION("""COMPUTED_VALUE"""),1.0)</f>
        <v>1</v>
      </c>
    </row>
    <row r="1156">
      <c r="P1156" s="2">
        <f>IFERROR(__xludf.DUMMYFUNCTION("""COMPUTED_VALUE"""),12.0)</f>
        <v>12</v>
      </c>
      <c r="Q1156" s="2">
        <f>IFERROR(__xludf.DUMMYFUNCTION("""COMPUTED_VALUE"""),1.0)</f>
        <v>1</v>
      </c>
    </row>
    <row r="1157">
      <c r="P1157" s="2">
        <f>IFERROR(__xludf.DUMMYFUNCTION("""COMPUTED_VALUE"""),12.0)</f>
        <v>12</v>
      </c>
      <c r="Q1157" s="2">
        <f>IFERROR(__xludf.DUMMYFUNCTION("""COMPUTED_VALUE"""),1.0)</f>
        <v>1</v>
      </c>
    </row>
    <row r="1158">
      <c r="P1158" s="2">
        <f>IFERROR(__xludf.DUMMYFUNCTION("""COMPUTED_VALUE"""),12.0)</f>
        <v>12</v>
      </c>
      <c r="Q1158" s="2">
        <f>IFERROR(__xludf.DUMMYFUNCTION("""COMPUTED_VALUE"""),1.0)</f>
        <v>1</v>
      </c>
    </row>
    <row r="1159">
      <c r="P1159" s="2">
        <f>IFERROR(__xludf.DUMMYFUNCTION("""COMPUTED_VALUE"""),12.0)</f>
        <v>12</v>
      </c>
      <c r="Q1159" s="2">
        <f>IFERROR(__xludf.DUMMYFUNCTION("""COMPUTED_VALUE"""),2.0)</f>
        <v>2</v>
      </c>
    </row>
    <row r="1160">
      <c r="P1160" s="2">
        <f>IFERROR(__xludf.DUMMYFUNCTION("""COMPUTED_VALUE"""),12.0)</f>
        <v>12</v>
      </c>
      <c r="Q1160" s="2">
        <f>IFERROR(__xludf.DUMMYFUNCTION("""COMPUTED_VALUE"""),5.0)</f>
        <v>5</v>
      </c>
    </row>
    <row r="1161">
      <c r="P1161" s="2">
        <f>IFERROR(__xludf.DUMMYFUNCTION("""COMPUTED_VALUE"""),12.0)</f>
        <v>12</v>
      </c>
      <c r="Q1161" s="2">
        <f>IFERROR(__xludf.DUMMYFUNCTION("""COMPUTED_VALUE"""),2.0)</f>
        <v>2</v>
      </c>
    </row>
    <row r="1162">
      <c r="P1162" s="2">
        <f>IFERROR(__xludf.DUMMYFUNCTION("""COMPUTED_VALUE"""),12.0)</f>
        <v>12</v>
      </c>
      <c r="Q1162" s="2">
        <f>IFERROR(__xludf.DUMMYFUNCTION("""COMPUTED_VALUE"""),1.0)</f>
        <v>1</v>
      </c>
    </row>
    <row r="1163">
      <c r="P1163" s="2">
        <f>IFERROR(__xludf.DUMMYFUNCTION("""COMPUTED_VALUE"""),12.0)</f>
        <v>12</v>
      </c>
      <c r="Q1163" s="2">
        <f>IFERROR(__xludf.DUMMYFUNCTION("""COMPUTED_VALUE"""),2.0)</f>
        <v>2</v>
      </c>
    </row>
    <row r="1164">
      <c r="P1164" s="2">
        <f>IFERROR(__xludf.DUMMYFUNCTION("""COMPUTED_VALUE"""),12.0)</f>
        <v>12</v>
      </c>
      <c r="Q1164" s="2">
        <f>IFERROR(__xludf.DUMMYFUNCTION("""COMPUTED_VALUE"""),2.0)</f>
        <v>2</v>
      </c>
    </row>
    <row r="1165">
      <c r="P1165" s="2">
        <f>IFERROR(__xludf.DUMMYFUNCTION("""COMPUTED_VALUE"""),12.0)</f>
        <v>12</v>
      </c>
      <c r="Q1165" s="2">
        <f>IFERROR(__xludf.DUMMYFUNCTION("""COMPUTED_VALUE"""),2.0)</f>
        <v>2</v>
      </c>
    </row>
    <row r="1166">
      <c r="P1166" s="2">
        <f>IFERROR(__xludf.DUMMYFUNCTION("""COMPUTED_VALUE"""),12.0)</f>
        <v>12</v>
      </c>
      <c r="Q1166" s="2">
        <f>IFERROR(__xludf.DUMMYFUNCTION("""COMPUTED_VALUE"""),1.0)</f>
        <v>1</v>
      </c>
    </row>
    <row r="1167">
      <c r="P1167" s="2">
        <f>IFERROR(__xludf.DUMMYFUNCTION("""COMPUTED_VALUE"""),12.0)</f>
        <v>12</v>
      </c>
      <c r="Q1167" s="2">
        <f>IFERROR(__xludf.DUMMYFUNCTION("""COMPUTED_VALUE"""),1.0)</f>
        <v>1</v>
      </c>
    </row>
    <row r="1168">
      <c r="P1168" s="2">
        <f>IFERROR(__xludf.DUMMYFUNCTION("""COMPUTED_VALUE"""),12.0)</f>
        <v>12</v>
      </c>
      <c r="Q1168" s="2">
        <f>IFERROR(__xludf.DUMMYFUNCTION("""COMPUTED_VALUE"""),1.0)</f>
        <v>1</v>
      </c>
    </row>
    <row r="1169">
      <c r="P1169" s="2">
        <f>IFERROR(__xludf.DUMMYFUNCTION("""COMPUTED_VALUE"""),12.0)</f>
        <v>12</v>
      </c>
      <c r="Q1169" s="2">
        <f>IFERROR(__xludf.DUMMYFUNCTION("""COMPUTED_VALUE"""),2.0)</f>
        <v>2</v>
      </c>
    </row>
    <row r="1170">
      <c r="P1170" s="2">
        <f>IFERROR(__xludf.DUMMYFUNCTION("""COMPUTED_VALUE"""),12.0)</f>
        <v>12</v>
      </c>
      <c r="Q1170" s="2">
        <f>IFERROR(__xludf.DUMMYFUNCTION("""COMPUTED_VALUE"""),3.0)</f>
        <v>3</v>
      </c>
    </row>
    <row r="1171">
      <c r="P1171" s="2">
        <f>IFERROR(__xludf.DUMMYFUNCTION("""COMPUTED_VALUE"""),12.0)</f>
        <v>12</v>
      </c>
      <c r="Q1171" s="2">
        <f>IFERROR(__xludf.DUMMYFUNCTION("""COMPUTED_VALUE"""),2.0)</f>
        <v>2</v>
      </c>
    </row>
    <row r="1172">
      <c r="P1172" s="2">
        <f>IFERROR(__xludf.DUMMYFUNCTION("""COMPUTED_VALUE"""),12.0)</f>
        <v>12</v>
      </c>
      <c r="Q1172" s="2">
        <f>IFERROR(__xludf.DUMMYFUNCTION("""COMPUTED_VALUE"""),6.0)</f>
        <v>6</v>
      </c>
    </row>
    <row r="1173">
      <c r="P1173" s="2">
        <f>IFERROR(__xludf.DUMMYFUNCTION("""COMPUTED_VALUE"""),12.0)</f>
        <v>12</v>
      </c>
      <c r="Q1173" s="2">
        <f>IFERROR(__xludf.DUMMYFUNCTION("""COMPUTED_VALUE"""),2.0)</f>
        <v>2</v>
      </c>
    </row>
    <row r="1174">
      <c r="P1174" s="2">
        <f>IFERROR(__xludf.DUMMYFUNCTION("""COMPUTED_VALUE"""),12.0)</f>
        <v>12</v>
      </c>
      <c r="Q1174" s="2">
        <f>IFERROR(__xludf.DUMMYFUNCTION("""COMPUTED_VALUE"""),1.0)</f>
        <v>1</v>
      </c>
    </row>
    <row r="1175">
      <c r="P1175" s="2">
        <f>IFERROR(__xludf.DUMMYFUNCTION("""COMPUTED_VALUE"""),12.0)</f>
        <v>12</v>
      </c>
      <c r="Q1175" s="2">
        <f>IFERROR(__xludf.DUMMYFUNCTION("""COMPUTED_VALUE"""),1.0)</f>
        <v>1</v>
      </c>
    </row>
    <row r="1176">
      <c r="P1176" s="2">
        <f>IFERROR(__xludf.DUMMYFUNCTION("""COMPUTED_VALUE"""),12.0)</f>
        <v>12</v>
      </c>
      <c r="Q1176" s="2">
        <f>IFERROR(__xludf.DUMMYFUNCTION("""COMPUTED_VALUE"""),4.0)</f>
        <v>4</v>
      </c>
    </row>
    <row r="1177">
      <c r="P1177" s="2">
        <f>IFERROR(__xludf.DUMMYFUNCTION("""COMPUTED_VALUE"""),12.0)</f>
        <v>12</v>
      </c>
      <c r="Q1177" s="2">
        <f>IFERROR(__xludf.DUMMYFUNCTION("""COMPUTED_VALUE"""),4.0)</f>
        <v>4</v>
      </c>
    </row>
    <row r="1178">
      <c r="P1178" s="2">
        <f>IFERROR(__xludf.DUMMYFUNCTION("""COMPUTED_VALUE"""),12.0)</f>
        <v>12</v>
      </c>
      <c r="Q1178" s="2">
        <f>IFERROR(__xludf.DUMMYFUNCTION("""COMPUTED_VALUE"""),2.0)</f>
        <v>2</v>
      </c>
    </row>
    <row r="1179">
      <c r="P1179" s="2">
        <f>IFERROR(__xludf.DUMMYFUNCTION("""COMPUTED_VALUE"""),12.0)</f>
        <v>12</v>
      </c>
      <c r="Q1179" s="2">
        <f>IFERROR(__xludf.DUMMYFUNCTION("""COMPUTED_VALUE"""),1.0)</f>
        <v>1</v>
      </c>
    </row>
    <row r="1180">
      <c r="P1180" s="2">
        <f>IFERROR(__xludf.DUMMYFUNCTION("""COMPUTED_VALUE"""),12.0)</f>
        <v>12</v>
      </c>
      <c r="Q1180" s="2">
        <f>IFERROR(__xludf.DUMMYFUNCTION("""COMPUTED_VALUE"""),2.0)</f>
        <v>2</v>
      </c>
    </row>
    <row r="1181">
      <c r="P1181" s="2">
        <f>IFERROR(__xludf.DUMMYFUNCTION("""COMPUTED_VALUE"""),12.0)</f>
        <v>12</v>
      </c>
      <c r="Q1181" s="2">
        <f>IFERROR(__xludf.DUMMYFUNCTION("""COMPUTED_VALUE"""),1.0)</f>
        <v>1</v>
      </c>
    </row>
    <row r="1182">
      <c r="P1182" s="2">
        <f>IFERROR(__xludf.DUMMYFUNCTION("""COMPUTED_VALUE"""),12.0)</f>
        <v>12</v>
      </c>
      <c r="Q1182" s="2">
        <f>IFERROR(__xludf.DUMMYFUNCTION("""COMPUTED_VALUE"""),2.0)</f>
        <v>2</v>
      </c>
    </row>
    <row r="1183">
      <c r="P1183" s="2">
        <f>IFERROR(__xludf.DUMMYFUNCTION("""COMPUTED_VALUE"""),12.0)</f>
        <v>12</v>
      </c>
      <c r="Q1183" s="2">
        <f>IFERROR(__xludf.DUMMYFUNCTION("""COMPUTED_VALUE"""),1.0)</f>
        <v>1</v>
      </c>
    </row>
    <row r="1184">
      <c r="P1184" s="2">
        <f>IFERROR(__xludf.DUMMYFUNCTION("""COMPUTED_VALUE"""),12.0)</f>
        <v>12</v>
      </c>
      <c r="Q1184" s="2">
        <f>IFERROR(__xludf.DUMMYFUNCTION("""COMPUTED_VALUE"""),3.0)</f>
        <v>3</v>
      </c>
    </row>
    <row r="1185">
      <c r="P1185" s="2">
        <f>IFERROR(__xludf.DUMMYFUNCTION("""COMPUTED_VALUE"""),12.0)</f>
        <v>12</v>
      </c>
      <c r="Q1185" s="2">
        <f>IFERROR(__xludf.DUMMYFUNCTION("""COMPUTED_VALUE"""),6.0)</f>
        <v>6</v>
      </c>
    </row>
    <row r="1186">
      <c r="P1186" s="2">
        <f>IFERROR(__xludf.DUMMYFUNCTION("""COMPUTED_VALUE"""),12.0)</f>
        <v>12</v>
      </c>
      <c r="Q1186" s="2">
        <f>IFERROR(__xludf.DUMMYFUNCTION("""COMPUTED_VALUE"""),2.0)</f>
        <v>2</v>
      </c>
    </row>
    <row r="1187">
      <c r="P1187" s="2">
        <f>IFERROR(__xludf.DUMMYFUNCTION("""COMPUTED_VALUE"""),12.0)</f>
        <v>12</v>
      </c>
      <c r="Q1187" s="2">
        <f>IFERROR(__xludf.DUMMYFUNCTION("""COMPUTED_VALUE"""),4.0)</f>
        <v>4</v>
      </c>
    </row>
    <row r="1188">
      <c r="P1188" s="2">
        <f>IFERROR(__xludf.DUMMYFUNCTION("""COMPUTED_VALUE"""),12.0)</f>
        <v>12</v>
      </c>
      <c r="Q1188" s="2">
        <f>IFERROR(__xludf.DUMMYFUNCTION("""COMPUTED_VALUE"""),2.0)</f>
        <v>2</v>
      </c>
    </row>
    <row r="1189">
      <c r="P1189" s="2">
        <f>IFERROR(__xludf.DUMMYFUNCTION("""COMPUTED_VALUE"""),12.0)</f>
        <v>12</v>
      </c>
      <c r="Q1189" s="2">
        <f>IFERROR(__xludf.DUMMYFUNCTION("""COMPUTED_VALUE"""),8.0)</f>
        <v>8</v>
      </c>
    </row>
    <row r="1190">
      <c r="P1190" s="2">
        <f>IFERROR(__xludf.DUMMYFUNCTION("""COMPUTED_VALUE"""),12.0)</f>
        <v>12</v>
      </c>
      <c r="Q1190" s="2">
        <f>IFERROR(__xludf.DUMMYFUNCTION("""COMPUTED_VALUE"""),4.0)</f>
        <v>4</v>
      </c>
    </row>
    <row r="1191">
      <c r="P1191" s="2">
        <f>IFERROR(__xludf.DUMMYFUNCTION("""COMPUTED_VALUE"""),12.0)</f>
        <v>12</v>
      </c>
      <c r="Q1191" s="2">
        <f>IFERROR(__xludf.DUMMYFUNCTION("""COMPUTED_VALUE"""),12.0)</f>
        <v>12</v>
      </c>
    </row>
    <row r="1192">
      <c r="P1192" s="2">
        <f>IFERROR(__xludf.DUMMYFUNCTION("""COMPUTED_VALUE"""),12.0)</f>
        <v>12</v>
      </c>
      <c r="Q1192" s="2">
        <f>IFERROR(__xludf.DUMMYFUNCTION("""COMPUTED_VALUE"""),25.0)</f>
        <v>25</v>
      </c>
    </row>
    <row r="1193">
      <c r="P1193" s="2">
        <f>IFERROR(__xludf.DUMMYFUNCTION("""COMPUTED_VALUE"""),12.0)</f>
        <v>12</v>
      </c>
      <c r="Q1193" s="2">
        <f>IFERROR(__xludf.DUMMYFUNCTION("""COMPUTED_VALUE"""),25.0)</f>
        <v>25</v>
      </c>
    </row>
    <row r="1194">
      <c r="P1194" s="2">
        <f>IFERROR(__xludf.DUMMYFUNCTION("""COMPUTED_VALUE"""),12.0)</f>
        <v>12</v>
      </c>
      <c r="Q1194" s="2">
        <f>IFERROR(__xludf.DUMMYFUNCTION("""COMPUTED_VALUE"""),192.0)</f>
        <v>192</v>
      </c>
    </row>
    <row r="1195">
      <c r="P1195" s="2">
        <f>IFERROR(__xludf.DUMMYFUNCTION("""COMPUTED_VALUE"""),12.0)</f>
        <v>12</v>
      </c>
      <c r="Q1195" s="2">
        <f>IFERROR(__xludf.DUMMYFUNCTION("""COMPUTED_VALUE"""),24.0)</f>
        <v>24</v>
      </c>
    </row>
    <row r="1196">
      <c r="P1196" s="2">
        <f>IFERROR(__xludf.DUMMYFUNCTION("""COMPUTED_VALUE"""),12.0)</f>
        <v>12</v>
      </c>
      <c r="Q1196" s="2">
        <f>IFERROR(__xludf.DUMMYFUNCTION("""COMPUTED_VALUE"""),12.0)</f>
        <v>12</v>
      </c>
    </row>
    <row r="1197">
      <c r="P1197" s="2">
        <f>IFERROR(__xludf.DUMMYFUNCTION("""COMPUTED_VALUE"""),12.0)</f>
        <v>12</v>
      </c>
      <c r="Q1197" s="2">
        <f>IFERROR(__xludf.DUMMYFUNCTION("""COMPUTED_VALUE"""),6.0)</f>
        <v>6</v>
      </c>
    </row>
    <row r="1198">
      <c r="P1198" s="2">
        <f>IFERROR(__xludf.DUMMYFUNCTION("""COMPUTED_VALUE"""),12.0)</f>
        <v>12</v>
      </c>
      <c r="Q1198" s="2">
        <f>IFERROR(__xludf.DUMMYFUNCTION("""COMPUTED_VALUE"""),2.0)</f>
        <v>2</v>
      </c>
    </row>
    <row r="1199">
      <c r="P1199" s="2">
        <f>IFERROR(__xludf.DUMMYFUNCTION("""COMPUTED_VALUE"""),12.0)</f>
        <v>12</v>
      </c>
      <c r="Q1199" s="2">
        <f>IFERROR(__xludf.DUMMYFUNCTION("""COMPUTED_VALUE"""),12.0)</f>
        <v>12</v>
      </c>
    </row>
    <row r="1200">
      <c r="P1200" s="2">
        <f>IFERROR(__xludf.DUMMYFUNCTION("""COMPUTED_VALUE"""),12.0)</f>
        <v>12</v>
      </c>
      <c r="Q1200" s="2">
        <f>IFERROR(__xludf.DUMMYFUNCTION("""COMPUTED_VALUE"""),24.0)</f>
        <v>24</v>
      </c>
    </row>
    <row r="1201">
      <c r="P1201" s="2">
        <f>IFERROR(__xludf.DUMMYFUNCTION("""COMPUTED_VALUE"""),12.0)</f>
        <v>12</v>
      </c>
      <c r="Q1201" s="2">
        <f>IFERROR(__xludf.DUMMYFUNCTION("""COMPUTED_VALUE"""),16.0)</f>
        <v>16</v>
      </c>
    </row>
    <row r="1202">
      <c r="P1202" s="2">
        <f>IFERROR(__xludf.DUMMYFUNCTION("""COMPUTED_VALUE"""),12.0)</f>
        <v>12</v>
      </c>
      <c r="Q1202" s="2">
        <f>IFERROR(__xludf.DUMMYFUNCTION("""COMPUTED_VALUE"""),20.0)</f>
        <v>20</v>
      </c>
    </row>
    <row r="1203">
      <c r="P1203" s="2">
        <f>IFERROR(__xludf.DUMMYFUNCTION("""COMPUTED_VALUE"""),12.0)</f>
        <v>12</v>
      </c>
      <c r="Q1203" s="2">
        <f>IFERROR(__xludf.DUMMYFUNCTION("""COMPUTED_VALUE"""),10.0)</f>
        <v>10</v>
      </c>
    </row>
    <row r="1204">
      <c r="P1204" s="2">
        <f>IFERROR(__xludf.DUMMYFUNCTION("""COMPUTED_VALUE"""),12.0)</f>
        <v>12</v>
      </c>
      <c r="Q1204" s="2">
        <f>IFERROR(__xludf.DUMMYFUNCTION("""COMPUTED_VALUE"""),12.0)</f>
        <v>12</v>
      </c>
    </row>
    <row r="1205">
      <c r="P1205" s="2">
        <f>IFERROR(__xludf.DUMMYFUNCTION("""COMPUTED_VALUE"""),12.0)</f>
        <v>12</v>
      </c>
      <c r="Q1205" s="2">
        <f>IFERROR(__xludf.DUMMYFUNCTION("""COMPUTED_VALUE"""),10.0)</f>
        <v>10</v>
      </c>
    </row>
    <row r="1206">
      <c r="P1206" s="2">
        <f>IFERROR(__xludf.DUMMYFUNCTION("""COMPUTED_VALUE"""),12.0)</f>
        <v>12</v>
      </c>
      <c r="Q1206" s="2">
        <f>IFERROR(__xludf.DUMMYFUNCTION("""COMPUTED_VALUE"""),10.0)</f>
        <v>10</v>
      </c>
    </row>
    <row r="1207">
      <c r="P1207" s="2">
        <f>IFERROR(__xludf.DUMMYFUNCTION("""COMPUTED_VALUE"""),12.0)</f>
        <v>12</v>
      </c>
      <c r="Q1207" s="2">
        <f>IFERROR(__xludf.DUMMYFUNCTION("""COMPUTED_VALUE"""),8.0)</f>
        <v>8</v>
      </c>
    </row>
    <row r="1208">
      <c r="P1208" s="2">
        <f>IFERROR(__xludf.DUMMYFUNCTION("""COMPUTED_VALUE"""),12.0)</f>
        <v>12</v>
      </c>
      <c r="Q1208" s="2">
        <f>IFERROR(__xludf.DUMMYFUNCTION("""COMPUTED_VALUE"""),6.0)</f>
        <v>6</v>
      </c>
    </row>
    <row r="1209">
      <c r="P1209" s="2">
        <f>IFERROR(__xludf.DUMMYFUNCTION("""COMPUTED_VALUE"""),12.0)</f>
        <v>12</v>
      </c>
      <c r="Q1209" s="2">
        <f>IFERROR(__xludf.DUMMYFUNCTION("""COMPUTED_VALUE"""),6.0)</f>
        <v>6</v>
      </c>
    </row>
    <row r="1210">
      <c r="P1210" s="2">
        <f>IFERROR(__xludf.DUMMYFUNCTION("""COMPUTED_VALUE"""),12.0)</f>
        <v>12</v>
      </c>
      <c r="Q1210" s="2">
        <f>IFERROR(__xludf.DUMMYFUNCTION("""COMPUTED_VALUE"""),6.0)</f>
        <v>6</v>
      </c>
    </row>
    <row r="1211">
      <c r="P1211" s="2">
        <f>IFERROR(__xludf.DUMMYFUNCTION("""COMPUTED_VALUE"""),12.0)</f>
        <v>12</v>
      </c>
      <c r="Q1211" s="2">
        <f>IFERROR(__xludf.DUMMYFUNCTION("""COMPUTED_VALUE"""),4.0)</f>
        <v>4</v>
      </c>
    </row>
    <row r="1212">
      <c r="P1212" s="2">
        <f>IFERROR(__xludf.DUMMYFUNCTION("""COMPUTED_VALUE"""),12.0)</f>
        <v>12</v>
      </c>
      <c r="Q1212" s="2">
        <f>IFERROR(__xludf.DUMMYFUNCTION("""COMPUTED_VALUE"""),72.0)</f>
        <v>72</v>
      </c>
    </row>
    <row r="1213">
      <c r="P1213" s="2">
        <f>IFERROR(__xludf.DUMMYFUNCTION("""COMPUTED_VALUE"""),12.0)</f>
        <v>12</v>
      </c>
      <c r="Q1213" s="2">
        <f>IFERROR(__xludf.DUMMYFUNCTION("""COMPUTED_VALUE"""),6.0)</f>
        <v>6</v>
      </c>
    </row>
    <row r="1214">
      <c r="P1214" s="2">
        <f>IFERROR(__xludf.DUMMYFUNCTION("""COMPUTED_VALUE"""),12.0)</f>
        <v>12</v>
      </c>
      <c r="Q1214" s="2">
        <f>IFERROR(__xludf.DUMMYFUNCTION("""COMPUTED_VALUE"""),12.0)</f>
        <v>12</v>
      </c>
    </row>
    <row r="1215">
      <c r="P1215" s="2">
        <f>IFERROR(__xludf.DUMMYFUNCTION("""COMPUTED_VALUE"""),12.0)</f>
        <v>12</v>
      </c>
      <c r="Q1215" s="2">
        <f>IFERROR(__xludf.DUMMYFUNCTION("""COMPUTED_VALUE"""),64.0)</f>
        <v>64</v>
      </c>
    </row>
    <row r="1216">
      <c r="P1216" s="2">
        <f>IFERROR(__xludf.DUMMYFUNCTION("""COMPUTED_VALUE"""),12.0)</f>
        <v>12</v>
      </c>
      <c r="Q1216" s="2">
        <f>IFERROR(__xludf.DUMMYFUNCTION("""COMPUTED_VALUE"""),2.0)</f>
        <v>2</v>
      </c>
    </row>
    <row r="1217">
      <c r="P1217" s="2">
        <f>IFERROR(__xludf.DUMMYFUNCTION("""COMPUTED_VALUE"""),12.0)</f>
        <v>12</v>
      </c>
      <c r="Q1217" s="2">
        <f>IFERROR(__xludf.DUMMYFUNCTION("""COMPUTED_VALUE"""),1.0)</f>
        <v>1</v>
      </c>
    </row>
    <row r="1218">
      <c r="P1218" s="2">
        <f>IFERROR(__xludf.DUMMYFUNCTION("""COMPUTED_VALUE"""),12.0)</f>
        <v>12</v>
      </c>
      <c r="Q1218" s="2">
        <f>IFERROR(__xludf.DUMMYFUNCTION("""COMPUTED_VALUE"""),1.0)</f>
        <v>1</v>
      </c>
    </row>
    <row r="1219">
      <c r="P1219" s="2">
        <f>IFERROR(__xludf.DUMMYFUNCTION("""COMPUTED_VALUE"""),12.0)</f>
        <v>12</v>
      </c>
      <c r="Q1219" s="2">
        <f>IFERROR(__xludf.DUMMYFUNCTION("""COMPUTED_VALUE"""),1.0)</f>
        <v>1</v>
      </c>
    </row>
    <row r="1220">
      <c r="P1220" s="2">
        <f>IFERROR(__xludf.DUMMYFUNCTION("""COMPUTED_VALUE"""),12.0)</f>
        <v>12</v>
      </c>
      <c r="Q1220" s="2">
        <f>IFERROR(__xludf.DUMMYFUNCTION("""COMPUTED_VALUE"""),1.0)</f>
        <v>1</v>
      </c>
    </row>
    <row r="1221">
      <c r="P1221" s="2">
        <f>IFERROR(__xludf.DUMMYFUNCTION("""COMPUTED_VALUE"""),12.0)</f>
        <v>12</v>
      </c>
      <c r="Q1221" s="2">
        <f>IFERROR(__xludf.DUMMYFUNCTION("""COMPUTED_VALUE"""),6.0)</f>
        <v>6</v>
      </c>
    </row>
    <row r="1222">
      <c r="P1222" s="2">
        <f>IFERROR(__xludf.DUMMYFUNCTION("""COMPUTED_VALUE"""),12.0)</f>
        <v>12</v>
      </c>
      <c r="Q1222" s="2">
        <f>IFERROR(__xludf.DUMMYFUNCTION("""COMPUTED_VALUE"""),2.0)</f>
        <v>2</v>
      </c>
    </row>
    <row r="1223">
      <c r="P1223" s="2">
        <f>IFERROR(__xludf.DUMMYFUNCTION("""COMPUTED_VALUE"""),12.0)</f>
        <v>12</v>
      </c>
      <c r="Q1223" s="2">
        <f>IFERROR(__xludf.DUMMYFUNCTION("""COMPUTED_VALUE"""),12.0)</f>
        <v>12</v>
      </c>
    </row>
    <row r="1224">
      <c r="P1224" s="2">
        <f>IFERROR(__xludf.DUMMYFUNCTION("""COMPUTED_VALUE"""),12.0)</f>
        <v>12</v>
      </c>
      <c r="Q1224" s="2">
        <f>IFERROR(__xludf.DUMMYFUNCTION("""COMPUTED_VALUE"""),288.0)</f>
        <v>288</v>
      </c>
    </row>
    <row r="1225">
      <c r="P1225" s="2">
        <f>IFERROR(__xludf.DUMMYFUNCTION("""COMPUTED_VALUE"""),12.0)</f>
        <v>12</v>
      </c>
      <c r="Q1225" s="2">
        <f>IFERROR(__xludf.DUMMYFUNCTION("""COMPUTED_VALUE"""),108.0)</f>
        <v>108</v>
      </c>
    </row>
    <row r="1226">
      <c r="P1226" s="2">
        <f>IFERROR(__xludf.DUMMYFUNCTION("""COMPUTED_VALUE"""),12.0)</f>
        <v>12</v>
      </c>
      <c r="Q1226" s="2">
        <f>IFERROR(__xludf.DUMMYFUNCTION("""COMPUTED_VALUE"""),288.0)</f>
        <v>288</v>
      </c>
    </row>
    <row r="1227">
      <c r="P1227" s="2">
        <f>IFERROR(__xludf.DUMMYFUNCTION("""COMPUTED_VALUE"""),12.0)</f>
        <v>12</v>
      </c>
      <c r="Q1227" s="2">
        <f>IFERROR(__xludf.DUMMYFUNCTION("""COMPUTED_VALUE"""),33.0)</f>
        <v>33</v>
      </c>
    </row>
    <row r="1228">
      <c r="P1228" s="2">
        <f>IFERROR(__xludf.DUMMYFUNCTION("""COMPUTED_VALUE"""),12.0)</f>
        <v>12</v>
      </c>
      <c r="Q1228" s="2">
        <f>IFERROR(__xludf.DUMMYFUNCTION("""COMPUTED_VALUE"""),1.0)</f>
        <v>1</v>
      </c>
    </row>
    <row r="1229">
      <c r="P1229" s="2">
        <f>IFERROR(__xludf.DUMMYFUNCTION("""COMPUTED_VALUE"""),12.0)</f>
        <v>12</v>
      </c>
      <c r="Q1229" s="2">
        <f>IFERROR(__xludf.DUMMYFUNCTION("""COMPUTED_VALUE"""),12.0)</f>
        <v>12</v>
      </c>
    </row>
    <row r="1230">
      <c r="P1230" s="2">
        <f>IFERROR(__xludf.DUMMYFUNCTION("""COMPUTED_VALUE"""),12.0)</f>
        <v>12</v>
      </c>
      <c r="Q1230" s="2">
        <f>IFERROR(__xludf.DUMMYFUNCTION("""COMPUTED_VALUE"""),3.0)</f>
        <v>3</v>
      </c>
    </row>
    <row r="1231">
      <c r="P1231" s="2">
        <f>IFERROR(__xludf.DUMMYFUNCTION("""COMPUTED_VALUE"""),12.0)</f>
        <v>12</v>
      </c>
      <c r="Q1231" s="2">
        <f>IFERROR(__xludf.DUMMYFUNCTION("""COMPUTED_VALUE"""),100.0)</f>
        <v>100</v>
      </c>
    </row>
    <row r="1232">
      <c r="P1232" s="2">
        <f>IFERROR(__xludf.DUMMYFUNCTION("""COMPUTED_VALUE"""),12.0)</f>
        <v>12</v>
      </c>
      <c r="Q1232" s="2">
        <f>IFERROR(__xludf.DUMMYFUNCTION("""COMPUTED_VALUE"""),12.0)</f>
        <v>12</v>
      </c>
    </row>
    <row r="1233">
      <c r="P1233" s="2">
        <f>IFERROR(__xludf.DUMMYFUNCTION("""COMPUTED_VALUE"""),12.0)</f>
        <v>12</v>
      </c>
      <c r="Q1233" s="2">
        <f>IFERROR(__xludf.DUMMYFUNCTION("""COMPUTED_VALUE"""),8.0)</f>
        <v>8</v>
      </c>
    </row>
    <row r="1234">
      <c r="P1234" s="2">
        <f>IFERROR(__xludf.DUMMYFUNCTION("""COMPUTED_VALUE"""),12.0)</f>
        <v>12</v>
      </c>
      <c r="Q1234" s="2">
        <f>IFERROR(__xludf.DUMMYFUNCTION("""COMPUTED_VALUE"""),12.0)</f>
        <v>12</v>
      </c>
    </row>
    <row r="1235">
      <c r="P1235" s="2">
        <f>IFERROR(__xludf.DUMMYFUNCTION("""COMPUTED_VALUE"""),12.0)</f>
        <v>12</v>
      </c>
      <c r="Q1235" s="2">
        <f>IFERROR(__xludf.DUMMYFUNCTION("""COMPUTED_VALUE"""),36.0)</f>
        <v>36</v>
      </c>
    </row>
    <row r="1236">
      <c r="P1236" s="2">
        <f>IFERROR(__xludf.DUMMYFUNCTION("""COMPUTED_VALUE"""),12.0)</f>
        <v>12</v>
      </c>
      <c r="Q1236" s="2">
        <f>IFERROR(__xludf.DUMMYFUNCTION("""COMPUTED_VALUE"""),12.0)</f>
        <v>12</v>
      </c>
    </row>
    <row r="1237">
      <c r="P1237" s="2">
        <f>IFERROR(__xludf.DUMMYFUNCTION("""COMPUTED_VALUE"""),12.0)</f>
        <v>12</v>
      </c>
      <c r="Q1237" s="2">
        <f>IFERROR(__xludf.DUMMYFUNCTION("""COMPUTED_VALUE"""),1.0)</f>
        <v>1</v>
      </c>
    </row>
    <row r="1238">
      <c r="P1238" s="2">
        <f>IFERROR(__xludf.DUMMYFUNCTION("""COMPUTED_VALUE"""),12.0)</f>
        <v>12</v>
      </c>
      <c r="Q1238" s="2">
        <f>IFERROR(__xludf.DUMMYFUNCTION("""COMPUTED_VALUE"""),1.0)</f>
        <v>1</v>
      </c>
    </row>
    <row r="1239">
      <c r="P1239" s="2">
        <f>IFERROR(__xludf.DUMMYFUNCTION("""COMPUTED_VALUE"""),12.0)</f>
        <v>12</v>
      </c>
      <c r="Q1239" s="2">
        <f>IFERROR(__xludf.DUMMYFUNCTION("""COMPUTED_VALUE"""),3.0)</f>
        <v>3</v>
      </c>
    </row>
    <row r="1240">
      <c r="P1240" s="2">
        <f>IFERROR(__xludf.DUMMYFUNCTION("""COMPUTED_VALUE"""),12.0)</f>
        <v>12</v>
      </c>
      <c r="Q1240" s="2">
        <f>IFERROR(__xludf.DUMMYFUNCTION("""COMPUTED_VALUE"""),90.0)</f>
        <v>90</v>
      </c>
    </row>
    <row r="1241">
      <c r="P1241" s="2">
        <f>IFERROR(__xludf.DUMMYFUNCTION("""COMPUTED_VALUE"""),12.0)</f>
        <v>12</v>
      </c>
      <c r="Q1241" s="2">
        <f>IFERROR(__xludf.DUMMYFUNCTION("""COMPUTED_VALUE"""),3.0)</f>
        <v>3</v>
      </c>
    </row>
    <row r="1242">
      <c r="P1242" s="2">
        <f>IFERROR(__xludf.DUMMYFUNCTION("""COMPUTED_VALUE"""),12.0)</f>
        <v>12</v>
      </c>
      <c r="Q1242" s="2">
        <f>IFERROR(__xludf.DUMMYFUNCTION("""COMPUTED_VALUE"""),48.0)</f>
        <v>48</v>
      </c>
    </row>
    <row r="1243">
      <c r="P1243" s="2">
        <f>IFERROR(__xludf.DUMMYFUNCTION("""COMPUTED_VALUE"""),12.0)</f>
        <v>12</v>
      </c>
      <c r="Q1243" s="2">
        <f>IFERROR(__xludf.DUMMYFUNCTION("""COMPUTED_VALUE"""),48.0)</f>
        <v>48</v>
      </c>
    </row>
    <row r="1244">
      <c r="P1244" s="2">
        <f>IFERROR(__xludf.DUMMYFUNCTION("""COMPUTED_VALUE"""),12.0)</f>
        <v>12</v>
      </c>
      <c r="Q1244" s="2">
        <f>IFERROR(__xludf.DUMMYFUNCTION("""COMPUTED_VALUE"""),48.0)</f>
        <v>48</v>
      </c>
    </row>
    <row r="1245">
      <c r="P1245" s="2">
        <f>IFERROR(__xludf.DUMMYFUNCTION("""COMPUTED_VALUE"""),12.0)</f>
        <v>12</v>
      </c>
      <c r="Q1245" s="2">
        <f>IFERROR(__xludf.DUMMYFUNCTION("""COMPUTED_VALUE"""),24.0)</f>
        <v>24</v>
      </c>
    </row>
    <row r="1246">
      <c r="P1246" s="2">
        <f>IFERROR(__xludf.DUMMYFUNCTION("""COMPUTED_VALUE"""),12.0)</f>
        <v>12</v>
      </c>
      <c r="Q1246" s="2">
        <f>IFERROR(__xludf.DUMMYFUNCTION("""COMPUTED_VALUE"""),81.0)</f>
        <v>81</v>
      </c>
    </row>
    <row r="1247">
      <c r="P1247" s="2">
        <f>IFERROR(__xludf.DUMMYFUNCTION("""COMPUTED_VALUE"""),12.0)</f>
        <v>12</v>
      </c>
      <c r="Q1247" s="2">
        <f>IFERROR(__xludf.DUMMYFUNCTION("""COMPUTED_VALUE"""),24.0)</f>
        <v>24</v>
      </c>
    </row>
    <row r="1248">
      <c r="P1248" s="2">
        <f>IFERROR(__xludf.DUMMYFUNCTION("""COMPUTED_VALUE"""),12.0)</f>
        <v>12</v>
      </c>
      <c r="Q1248" s="2">
        <f>IFERROR(__xludf.DUMMYFUNCTION("""COMPUTED_VALUE"""),12.0)</f>
        <v>12</v>
      </c>
    </row>
    <row r="1249">
      <c r="P1249" s="2">
        <f>IFERROR(__xludf.DUMMYFUNCTION("""COMPUTED_VALUE"""),12.0)</f>
        <v>12</v>
      </c>
      <c r="Q1249" s="2">
        <f>IFERROR(__xludf.DUMMYFUNCTION("""COMPUTED_VALUE"""),24.0)</f>
        <v>24</v>
      </c>
    </row>
    <row r="1250">
      <c r="P1250" s="2">
        <f>IFERROR(__xludf.DUMMYFUNCTION("""COMPUTED_VALUE"""),12.0)</f>
        <v>12</v>
      </c>
      <c r="Q1250" s="2">
        <f>IFERROR(__xludf.DUMMYFUNCTION("""COMPUTED_VALUE"""),24.0)</f>
        <v>24</v>
      </c>
    </row>
    <row r="1251">
      <c r="P1251" s="2">
        <f>IFERROR(__xludf.DUMMYFUNCTION("""COMPUTED_VALUE"""),12.0)</f>
        <v>12</v>
      </c>
      <c r="Q1251" s="2">
        <f>IFERROR(__xludf.DUMMYFUNCTION("""COMPUTED_VALUE"""),1.0)</f>
        <v>1</v>
      </c>
    </row>
    <row r="1252">
      <c r="P1252" s="2">
        <f>IFERROR(__xludf.DUMMYFUNCTION("""COMPUTED_VALUE"""),12.0)</f>
        <v>12</v>
      </c>
      <c r="Q1252" s="2">
        <f>IFERROR(__xludf.DUMMYFUNCTION("""COMPUTED_VALUE"""),96.0)</f>
        <v>96</v>
      </c>
    </row>
    <row r="1253">
      <c r="P1253" s="2">
        <f>IFERROR(__xludf.DUMMYFUNCTION("""COMPUTED_VALUE"""),12.0)</f>
        <v>12</v>
      </c>
      <c r="Q1253" s="2">
        <f>IFERROR(__xludf.DUMMYFUNCTION("""COMPUTED_VALUE"""),144.0)</f>
        <v>144</v>
      </c>
    </row>
    <row r="1254">
      <c r="P1254" s="2">
        <f>IFERROR(__xludf.DUMMYFUNCTION("""COMPUTED_VALUE"""),12.0)</f>
        <v>12</v>
      </c>
      <c r="Q1254" s="2">
        <f>IFERROR(__xludf.DUMMYFUNCTION("""COMPUTED_VALUE"""),25.0)</f>
        <v>25</v>
      </c>
    </row>
    <row r="1255">
      <c r="P1255" s="2">
        <f>IFERROR(__xludf.DUMMYFUNCTION("""COMPUTED_VALUE"""),12.0)</f>
        <v>12</v>
      </c>
      <c r="Q1255" s="2">
        <f>IFERROR(__xludf.DUMMYFUNCTION("""COMPUTED_VALUE"""),6.0)</f>
        <v>6</v>
      </c>
    </row>
    <row r="1256">
      <c r="P1256" s="2">
        <f>IFERROR(__xludf.DUMMYFUNCTION("""COMPUTED_VALUE"""),12.0)</f>
        <v>12</v>
      </c>
      <c r="Q1256" s="2">
        <f>IFERROR(__xludf.DUMMYFUNCTION("""COMPUTED_VALUE"""),6.0)</f>
        <v>6</v>
      </c>
    </row>
    <row r="1257">
      <c r="P1257" s="2">
        <f>IFERROR(__xludf.DUMMYFUNCTION("""COMPUTED_VALUE"""),12.0)</f>
        <v>12</v>
      </c>
      <c r="Q1257" s="2">
        <f>IFERROR(__xludf.DUMMYFUNCTION("""COMPUTED_VALUE"""),6.0)</f>
        <v>6</v>
      </c>
    </row>
    <row r="1258">
      <c r="P1258" s="2">
        <f>IFERROR(__xludf.DUMMYFUNCTION("""COMPUTED_VALUE"""),12.0)</f>
        <v>12</v>
      </c>
      <c r="Q1258" s="2">
        <f>IFERROR(__xludf.DUMMYFUNCTION("""COMPUTED_VALUE"""),6.0)</f>
        <v>6</v>
      </c>
    </row>
    <row r="1259">
      <c r="P1259" s="2">
        <f>IFERROR(__xludf.DUMMYFUNCTION("""COMPUTED_VALUE"""),12.0)</f>
        <v>12</v>
      </c>
      <c r="Q1259" s="2">
        <f>IFERROR(__xludf.DUMMYFUNCTION("""COMPUTED_VALUE"""),6.0)</f>
        <v>6</v>
      </c>
    </row>
    <row r="1260">
      <c r="P1260" s="2">
        <f>IFERROR(__xludf.DUMMYFUNCTION("""COMPUTED_VALUE"""),12.0)</f>
        <v>12</v>
      </c>
      <c r="Q1260" s="2">
        <f>IFERROR(__xludf.DUMMYFUNCTION("""COMPUTED_VALUE"""),6.0)</f>
        <v>6</v>
      </c>
    </row>
    <row r="1261">
      <c r="P1261" s="2">
        <f>IFERROR(__xludf.DUMMYFUNCTION("""COMPUTED_VALUE"""),12.0)</f>
        <v>12</v>
      </c>
      <c r="Q1261" s="2">
        <f>IFERROR(__xludf.DUMMYFUNCTION("""COMPUTED_VALUE"""),6.0)</f>
        <v>6</v>
      </c>
    </row>
    <row r="1262">
      <c r="P1262" s="2">
        <f>IFERROR(__xludf.DUMMYFUNCTION("""COMPUTED_VALUE"""),12.0)</f>
        <v>12</v>
      </c>
      <c r="Q1262" s="2">
        <f>IFERROR(__xludf.DUMMYFUNCTION("""COMPUTED_VALUE"""),48.0)</f>
        <v>48</v>
      </c>
    </row>
    <row r="1263">
      <c r="P1263" s="2">
        <f>IFERROR(__xludf.DUMMYFUNCTION("""COMPUTED_VALUE"""),12.0)</f>
        <v>12</v>
      </c>
      <c r="Q1263" s="2">
        <f>IFERROR(__xludf.DUMMYFUNCTION("""COMPUTED_VALUE"""),6.0)</f>
        <v>6</v>
      </c>
    </row>
    <row r="1264">
      <c r="P1264" s="2">
        <f>IFERROR(__xludf.DUMMYFUNCTION("""COMPUTED_VALUE"""),12.0)</f>
        <v>12</v>
      </c>
      <c r="Q1264" s="2">
        <f>IFERROR(__xludf.DUMMYFUNCTION("""COMPUTED_VALUE"""),6.0)</f>
        <v>6</v>
      </c>
    </row>
    <row r="1265">
      <c r="P1265" s="2">
        <f>IFERROR(__xludf.DUMMYFUNCTION("""COMPUTED_VALUE"""),12.0)</f>
        <v>12</v>
      </c>
      <c r="Q1265" s="2">
        <f>IFERROR(__xludf.DUMMYFUNCTION("""COMPUTED_VALUE"""),6.0)</f>
        <v>6</v>
      </c>
    </row>
    <row r="1266">
      <c r="P1266" s="2">
        <f>IFERROR(__xludf.DUMMYFUNCTION("""COMPUTED_VALUE"""),12.0)</f>
        <v>12</v>
      </c>
      <c r="Q1266" s="2">
        <f>IFERROR(__xludf.DUMMYFUNCTION("""COMPUTED_VALUE"""),16.0)</f>
        <v>16</v>
      </c>
    </row>
    <row r="1267">
      <c r="P1267" s="2">
        <f>IFERROR(__xludf.DUMMYFUNCTION("""COMPUTED_VALUE"""),12.0)</f>
        <v>12</v>
      </c>
      <c r="Q1267" s="2">
        <f>IFERROR(__xludf.DUMMYFUNCTION("""COMPUTED_VALUE"""),16.0)</f>
        <v>16</v>
      </c>
    </row>
    <row r="1268">
      <c r="P1268" s="2">
        <f>IFERROR(__xludf.DUMMYFUNCTION("""COMPUTED_VALUE"""),12.0)</f>
        <v>12</v>
      </c>
      <c r="Q1268" s="2">
        <f>IFERROR(__xludf.DUMMYFUNCTION("""COMPUTED_VALUE"""),1.0)</f>
        <v>1</v>
      </c>
    </row>
    <row r="1269">
      <c r="P1269" s="2">
        <f>IFERROR(__xludf.DUMMYFUNCTION("""COMPUTED_VALUE"""),12.0)</f>
        <v>12</v>
      </c>
      <c r="Q1269" s="2">
        <f>IFERROR(__xludf.DUMMYFUNCTION("""COMPUTED_VALUE"""),6.0)</f>
        <v>6</v>
      </c>
    </row>
    <row r="1270">
      <c r="P1270" s="2">
        <f>IFERROR(__xludf.DUMMYFUNCTION("""COMPUTED_VALUE"""),12.0)</f>
        <v>12</v>
      </c>
      <c r="Q1270" s="2">
        <f>IFERROR(__xludf.DUMMYFUNCTION("""COMPUTED_VALUE"""),6.0)</f>
        <v>6</v>
      </c>
    </row>
    <row r="1271">
      <c r="P1271" s="2">
        <f>IFERROR(__xludf.DUMMYFUNCTION("""COMPUTED_VALUE"""),12.0)</f>
        <v>12</v>
      </c>
      <c r="Q1271" s="2">
        <f>IFERROR(__xludf.DUMMYFUNCTION("""COMPUTED_VALUE"""),3.0)</f>
        <v>3</v>
      </c>
    </row>
    <row r="1272">
      <c r="P1272" s="2">
        <f>IFERROR(__xludf.DUMMYFUNCTION("""COMPUTED_VALUE"""),12.0)</f>
        <v>12</v>
      </c>
      <c r="Q1272" s="2">
        <f>IFERROR(__xludf.DUMMYFUNCTION("""COMPUTED_VALUE"""),3.0)</f>
        <v>3</v>
      </c>
    </row>
    <row r="1273">
      <c r="P1273" s="2">
        <f>IFERROR(__xludf.DUMMYFUNCTION("""COMPUTED_VALUE"""),12.0)</f>
        <v>12</v>
      </c>
      <c r="Q1273" s="2">
        <f>IFERROR(__xludf.DUMMYFUNCTION("""COMPUTED_VALUE"""),6.0)</f>
        <v>6</v>
      </c>
    </row>
    <row r="1274">
      <c r="P1274" s="2">
        <f>IFERROR(__xludf.DUMMYFUNCTION("""COMPUTED_VALUE"""),12.0)</f>
        <v>12</v>
      </c>
      <c r="Q1274" s="2">
        <f>IFERROR(__xludf.DUMMYFUNCTION("""COMPUTED_VALUE"""),6.0)</f>
        <v>6</v>
      </c>
    </row>
    <row r="1275">
      <c r="P1275" s="2">
        <f>IFERROR(__xludf.DUMMYFUNCTION("""COMPUTED_VALUE"""),12.0)</f>
        <v>12</v>
      </c>
      <c r="Q1275" s="2">
        <f>IFERROR(__xludf.DUMMYFUNCTION("""COMPUTED_VALUE"""),12.0)</f>
        <v>12</v>
      </c>
    </row>
    <row r="1276">
      <c r="P1276" s="2">
        <f>IFERROR(__xludf.DUMMYFUNCTION("""COMPUTED_VALUE"""),12.0)</f>
        <v>12</v>
      </c>
      <c r="Q1276" s="2">
        <f>IFERROR(__xludf.DUMMYFUNCTION("""COMPUTED_VALUE"""),48.0)</f>
        <v>48</v>
      </c>
    </row>
    <row r="1277">
      <c r="P1277" s="2">
        <f>IFERROR(__xludf.DUMMYFUNCTION("""COMPUTED_VALUE"""),12.0)</f>
        <v>12</v>
      </c>
      <c r="Q1277" s="2">
        <f>IFERROR(__xludf.DUMMYFUNCTION("""COMPUTED_VALUE"""),7.0)</f>
        <v>7</v>
      </c>
    </row>
    <row r="1278">
      <c r="P1278" s="2">
        <f>IFERROR(__xludf.DUMMYFUNCTION("""COMPUTED_VALUE"""),12.0)</f>
        <v>12</v>
      </c>
      <c r="Q1278" s="2">
        <f>IFERROR(__xludf.DUMMYFUNCTION("""COMPUTED_VALUE"""),1.0)</f>
        <v>1</v>
      </c>
    </row>
    <row r="1279">
      <c r="P1279" s="2">
        <f>IFERROR(__xludf.DUMMYFUNCTION("""COMPUTED_VALUE"""),12.0)</f>
        <v>12</v>
      </c>
      <c r="Q1279" s="2">
        <f>IFERROR(__xludf.DUMMYFUNCTION("""COMPUTED_VALUE"""),8.0)</f>
        <v>8</v>
      </c>
    </row>
    <row r="1280">
      <c r="P1280" s="2">
        <f>IFERROR(__xludf.DUMMYFUNCTION("""COMPUTED_VALUE"""),12.0)</f>
        <v>12</v>
      </c>
      <c r="Q1280" s="2">
        <f>IFERROR(__xludf.DUMMYFUNCTION("""COMPUTED_VALUE"""),1.0)</f>
        <v>1</v>
      </c>
    </row>
    <row r="1281">
      <c r="P1281" s="2">
        <f>IFERROR(__xludf.DUMMYFUNCTION("""COMPUTED_VALUE"""),13.0)</f>
        <v>13</v>
      </c>
      <c r="Q1281" s="2">
        <f>IFERROR(__xludf.DUMMYFUNCTION("""COMPUTED_VALUE"""),1.0)</f>
        <v>1</v>
      </c>
    </row>
    <row r="1282">
      <c r="P1282" s="2">
        <f>IFERROR(__xludf.DUMMYFUNCTION("""COMPUTED_VALUE"""),13.0)</f>
        <v>13</v>
      </c>
      <c r="Q1282" s="2">
        <f>IFERROR(__xludf.DUMMYFUNCTION("""COMPUTED_VALUE"""),1.0)</f>
        <v>1</v>
      </c>
    </row>
    <row r="1283">
      <c r="P1283" s="2">
        <f>IFERROR(__xludf.DUMMYFUNCTION("""COMPUTED_VALUE"""),13.0)</f>
        <v>13</v>
      </c>
      <c r="Q1283" s="2">
        <f>IFERROR(__xludf.DUMMYFUNCTION("""COMPUTED_VALUE"""),1.0)</f>
        <v>1</v>
      </c>
    </row>
    <row r="1284">
      <c r="P1284" s="2">
        <f>IFERROR(__xludf.DUMMYFUNCTION("""COMPUTED_VALUE"""),13.0)</f>
        <v>13</v>
      </c>
      <c r="Q1284" s="2">
        <f>IFERROR(__xludf.DUMMYFUNCTION("""COMPUTED_VALUE"""),1.0)</f>
        <v>1</v>
      </c>
    </row>
    <row r="1285">
      <c r="P1285" s="2">
        <f>IFERROR(__xludf.DUMMYFUNCTION("""COMPUTED_VALUE"""),13.0)</f>
        <v>13</v>
      </c>
      <c r="Q1285" s="2">
        <f>IFERROR(__xludf.DUMMYFUNCTION("""COMPUTED_VALUE"""),1.0)</f>
        <v>1</v>
      </c>
    </row>
    <row r="1286">
      <c r="P1286" s="2">
        <f>IFERROR(__xludf.DUMMYFUNCTION("""COMPUTED_VALUE"""),13.0)</f>
        <v>13</v>
      </c>
      <c r="Q1286" s="2">
        <f>IFERROR(__xludf.DUMMYFUNCTION("""COMPUTED_VALUE"""),1.0)</f>
        <v>1</v>
      </c>
    </row>
    <row r="1287">
      <c r="P1287" s="2">
        <f>IFERROR(__xludf.DUMMYFUNCTION("""COMPUTED_VALUE"""),13.0)</f>
        <v>13</v>
      </c>
      <c r="Q1287" s="2">
        <f>IFERROR(__xludf.DUMMYFUNCTION("""COMPUTED_VALUE"""),1.0)</f>
        <v>1</v>
      </c>
    </row>
    <row r="1288">
      <c r="P1288" s="2">
        <f>IFERROR(__xludf.DUMMYFUNCTION("""COMPUTED_VALUE"""),13.0)</f>
        <v>13</v>
      </c>
      <c r="Q1288" s="2">
        <f>IFERROR(__xludf.DUMMYFUNCTION("""COMPUTED_VALUE"""),1.0)</f>
        <v>1</v>
      </c>
    </row>
    <row r="1289">
      <c r="P1289" s="2">
        <f>IFERROR(__xludf.DUMMYFUNCTION("""COMPUTED_VALUE"""),13.0)</f>
        <v>13</v>
      </c>
      <c r="Q1289" s="2">
        <f>IFERROR(__xludf.DUMMYFUNCTION("""COMPUTED_VALUE"""),1.0)</f>
        <v>1</v>
      </c>
    </row>
    <row r="1290">
      <c r="P1290" s="2">
        <f>IFERROR(__xludf.DUMMYFUNCTION("""COMPUTED_VALUE"""),13.0)</f>
        <v>13</v>
      </c>
      <c r="Q1290" s="2">
        <f>IFERROR(__xludf.DUMMYFUNCTION("""COMPUTED_VALUE"""),1.0)</f>
        <v>1</v>
      </c>
    </row>
    <row r="1291">
      <c r="P1291" s="2">
        <f>IFERROR(__xludf.DUMMYFUNCTION("""COMPUTED_VALUE"""),13.0)</f>
        <v>13</v>
      </c>
      <c r="Q1291" s="2">
        <f>IFERROR(__xludf.DUMMYFUNCTION("""COMPUTED_VALUE"""),12.0)</f>
        <v>12</v>
      </c>
    </row>
    <row r="1292">
      <c r="P1292" s="2">
        <f>IFERROR(__xludf.DUMMYFUNCTION("""COMPUTED_VALUE"""),13.0)</f>
        <v>13</v>
      </c>
      <c r="Q1292" s="2">
        <f>IFERROR(__xludf.DUMMYFUNCTION("""COMPUTED_VALUE"""),1.0)</f>
        <v>1</v>
      </c>
    </row>
    <row r="1293">
      <c r="P1293" s="2">
        <f>IFERROR(__xludf.DUMMYFUNCTION("""COMPUTED_VALUE"""),13.0)</f>
        <v>13</v>
      </c>
      <c r="Q1293" s="2">
        <f>IFERROR(__xludf.DUMMYFUNCTION("""COMPUTED_VALUE"""),30.0)</f>
        <v>30</v>
      </c>
    </row>
    <row r="1294">
      <c r="P1294" s="2">
        <f>IFERROR(__xludf.DUMMYFUNCTION("""COMPUTED_VALUE"""),13.0)</f>
        <v>13</v>
      </c>
      <c r="Q1294" s="2">
        <f>IFERROR(__xludf.DUMMYFUNCTION("""COMPUTED_VALUE"""),2.0)</f>
        <v>2</v>
      </c>
    </row>
    <row r="1295">
      <c r="P1295" s="2">
        <f>IFERROR(__xludf.DUMMYFUNCTION("""COMPUTED_VALUE"""),13.0)</f>
        <v>13</v>
      </c>
      <c r="Q1295" s="2">
        <f>IFERROR(__xludf.DUMMYFUNCTION("""COMPUTED_VALUE"""),2.0)</f>
        <v>2</v>
      </c>
    </row>
    <row r="1296">
      <c r="P1296" s="2">
        <f>IFERROR(__xludf.DUMMYFUNCTION("""COMPUTED_VALUE"""),13.0)</f>
        <v>13</v>
      </c>
      <c r="Q1296" s="2">
        <f>IFERROR(__xludf.DUMMYFUNCTION("""COMPUTED_VALUE"""),1.0)</f>
        <v>1</v>
      </c>
    </row>
    <row r="1297">
      <c r="P1297" s="2">
        <f>IFERROR(__xludf.DUMMYFUNCTION("""COMPUTED_VALUE"""),13.0)</f>
        <v>13</v>
      </c>
      <c r="Q1297" s="2">
        <f>IFERROR(__xludf.DUMMYFUNCTION("""COMPUTED_VALUE"""),1.0)</f>
        <v>1</v>
      </c>
    </row>
    <row r="1298">
      <c r="P1298" s="2">
        <f>IFERROR(__xludf.DUMMYFUNCTION("""COMPUTED_VALUE"""),13.0)</f>
        <v>13</v>
      </c>
      <c r="Q1298" s="2">
        <f>IFERROR(__xludf.DUMMYFUNCTION("""COMPUTED_VALUE"""),1.0)</f>
        <v>1</v>
      </c>
    </row>
    <row r="1299">
      <c r="P1299" s="2">
        <f>IFERROR(__xludf.DUMMYFUNCTION("""COMPUTED_VALUE"""),13.0)</f>
        <v>13</v>
      </c>
      <c r="Q1299" s="2">
        <f>IFERROR(__xludf.DUMMYFUNCTION("""COMPUTED_VALUE"""),1.0)</f>
        <v>1</v>
      </c>
    </row>
    <row r="1300">
      <c r="P1300" s="2">
        <f>IFERROR(__xludf.DUMMYFUNCTION("""COMPUTED_VALUE"""),13.0)</f>
        <v>13</v>
      </c>
      <c r="Q1300" s="2">
        <f>IFERROR(__xludf.DUMMYFUNCTION("""COMPUTED_VALUE"""),1.0)</f>
        <v>1</v>
      </c>
    </row>
    <row r="1301">
      <c r="P1301" s="2">
        <f>IFERROR(__xludf.DUMMYFUNCTION("""COMPUTED_VALUE"""),13.0)</f>
        <v>13</v>
      </c>
      <c r="Q1301" s="2">
        <f>IFERROR(__xludf.DUMMYFUNCTION("""COMPUTED_VALUE"""),1.0)</f>
        <v>1</v>
      </c>
    </row>
    <row r="1302">
      <c r="P1302" s="2">
        <f>IFERROR(__xludf.DUMMYFUNCTION("""COMPUTED_VALUE"""),13.0)</f>
        <v>13</v>
      </c>
      <c r="Q1302" s="2">
        <f>IFERROR(__xludf.DUMMYFUNCTION("""COMPUTED_VALUE"""),1.0)</f>
        <v>1</v>
      </c>
    </row>
    <row r="1303">
      <c r="P1303" s="2">
        <f>IFERROR(__xludf.DUMMYFUNCTION("""COMPUTED_VALUE"""),13.0)</f>
        <v>13</v>
      </c>
      <c r="Q1303" s="2">
        <f>IFERROR(__xludf.DUMMYFUNCTION("""COMPUTED_VALUE"""),2.0)</f>
        <v>2</v>
      </c>
    </row>
    <row r="1304">
      <c r="P1304" s="2">
        <f>IFERROR(__xludf.DUMMYFUNCTION("""COMPUTED_VALUE"""),13.0)</f>
        <v>13</v>
      </c>
      <c r="Q1304" s="2">
        <f>IFERROR(__xludf.DUMMYFUNCTION("""COMPUTED_VALUE"""),2.0)</f>
        <v>2</v>
      </c>
    </row>
    <row r="1305">
      <c r="P1305" s="2">
        <f>IFERROR(__xludf.DUMMYFUNCTION("""COMPUTED_VALUE"""),13.0)</f>
        <v>13</v>
      </c>
      <c r="Q1305" s="2">
        <f>IFERROR(__xludf.DUMMYFUNCTION("""COMPUTED_VALUE"""),1.0)</f>
        <v>1</v>
      </c>
    </row>
    <row r="1306">
      <c r="P1306" s="2">
        <f>IFERROR(__xludf.DUMMYFUNCTION("""COMPUTED_VALUE"""),13.0)</f>
        <v>13</v>
      </c>
      <c r="Q1306" s="2">
        <f>IFERROR(__xludf.DUMMYFUNCTION("""COMPUTED_VALUE"""),1.0)</f>
        <v>1</v>
      </c>
    </row>
    <row r="1307">
      <c r="P1307" s="2">
        <f>IFERROR(__xludf.DUMMYFUNCTION("""COMPUTED_VALUE"""),13.0)</f>
        <v>13</v>
      </c>
      <c r="Q1307" s="2">
        <f>IFERROR(__xludf.DUMMYFUNCTION("""COMPUTED_VALUE"""),1.0)</f>
        <v>1</v>
      </c>
    </row>
    <row r="1308">
      <c r="P1308" s="2">
        <f>IFERROR(__xludf.DUMMYFUNCTION("""COMPUTED_VALUE"""),13.0)</f>
        <v>13</v>
      </c>
      <c r="Q1308" s="2">
        <f>IFERROR(__xludf.DUMMYFUNCTION("""COMPUTED_VALUE"""),1.0)</f>
        <v>1</v>
      </c>
    </row>
    <row r="1309">
      <c r="P1309" s="2">
        <f>IFERROR(__xludf.DUMMYFUNCTION("""COMPUTED_VALUE"""),13.0)</f>
        <v>13</v>
      </c>
      <c r="Q1309" s="2">
        <f>IFERROR(__xludf.DUMMYFUNCTION("""COMPUTED_VALUE"""),1.0)</f>
        <v>1</v>
      </c>
    </row>
    <row r="1310">
      <c r="P1310" s="2">
        <f>IFERROR(__xludf.DUMMYFUNCTION("""COMPUTED_VALUE"""),13.0)</f>
        <v>13</v>
      </c>
      <c r="Q1310" s="2">
        <f>IFERROR(__xludf.DUMMYFUNCTION("""COMPUTED_VALUE"""),1.0)</f>
        <v>1</v>
      </c>
    </row>
    <row r="1311">
      <c r="P1311" s="2">
        <f>IFERROR(__xludf.DUMMYFUNCTION("""COMPUTED_VALUE"""),13.0)</f>
        <v>13</v>
      </c>
      <c r="Q1311" s="2">
        <f>IFERROR(__xludf.DUMMYFUNCTION("""COMPUTED_VALUE"""),1.0)</f>
        <v>1</v>
      </c>
    </row>
    <row r="1312">
      <c r="P1312" s="2">
        <f>IFERROR(__xludf.DUMMYFUNCTION("""COMPUTED_VALUE"""),13.0)</f>
        <v>13</v>
      </c>
      <c r="Q1312" s="2">
        <f>IFERROR(__xludf.DUMMYFUNCTION("""COMPUTED_VALUE"""),1.0)</f>
        <v>1</v>
      </c>
    </row>
    <row r="1313">
      <c r="P1313" s="2">
        <f>IFERROR(__xludf.DUMMYFUNCTION("""COMPUTED_VALUE"""),13.0)</f>
        <v>13</v>
      </c>
      <c r="Q1313" s="2">
        <f>IFERROR(__xludf.DUMMYFUNCTION("""COMPUTED_VALUE"""),1.0)</f>
        <v>1</v>
      </c>
    </row>
    <row r="1314">
      <c r="P1314" s="2">
        <f>IFERROR(__xludf.DUMMYFUNCTION("""COMPUTED_VALUE"""),13.0)</f>
        <v>13</v>
      </c>
      <c r="Q1314" s="2">
        <f>IFERROR(__xludf.DUMMYFUNCTION("""COMPUTED_VALUE"""),1.0)</f>
        <v>1</v>
      </c>
    </row>
    <row r="1315">
      <c r="P1315" s="2">
        <f>IFERROR(__xludf.DUMMYFUNCTION("""COMPUTED_VALUE"""),13.0)</f>
        <v>13</v>
      </c>
      <c r="Q1315" s="2">
        <f>IFERROR(__xludf.DUMMYFUNCTION("""COMPUTED_VALUE"""),2.0)</f>
        <v>2</v>
      </c>
    </row>
    <row r="1316">
      <c r="P1316" s="2">
        <f>IFERROR(__xludf.DUMMYFUNCTION("""COMPUTED_VALUE"""),13.0)</f>
        <v>13</v>
      </c>
      <c r="Q1316" s="2">
        <f>IFERROR(__xludf.DUMMYFUNCTION("""COMPUTED_VALUE"""),24.0)</f>
        <v>24</v>
      </c>
    </row>
    <row r="1317">
      <c r="P1317" s="2">
        <f>IFERROR(__xludf.DUMMYFUNCTION("""COMPUTED_VALUE"""),13.0)</f>
        <v>13</v>
      </c>
      <c r="Q1317" s="2">
        <f>IFERROR(__xludf.DUMMYFUNCTION("""COMPUTED_VALUE"""),1.0)</f>
        <v>1</v>
      </c>
    </row>
    <row r="1318">
      <c r="P1318" s="2">
        <f>IFERROR(__xludf.DUMMYFUNCTION("""COMPUTED_VALUE"""),13.0)</f>
        <v>13</v>
      </c>
      <c r="Q1318" s="2">
        <f>IFERROR(__xludf.DUMMYFUNCTION("""COMPUTED_VALUE"""),1.0)</f>
        <v>1</v>
      </c>
    </row>
    <row r="1319">
      <c r="P1319" s="2">
        <f>IFERROR(__xludf.DUMMYFUNCTION("""COMPUTED_VALUE"""),13.0)</f>
        <v>13</v>
      </c>
      <c r="Q1319" s="2">
        <f>IFERROR(__xludf.DUMMYFUNCTION("""COMPUTED_VALUE"""),1.0)</f>
        <v>1</v>
      </c>
    </row>
    <row r="1320">
      <c r="P1320" s="2">
        <f>IFERROR(__xludf.DUMMYFUNCTION("""COMPUTED_VALUE"""),13.0)</f>
        <v>13</v>
      </c>
      <c r="Q1320" s="2">
        <f>IFERROR(__xludf.DUMMYFUNCTION("""COMPUTED_VALUE"""),-24.0)</f>
        <v>-24</v>
      </c>
    </row>
    <row r="1321">
      <c r="P1321" s="2">
        <f>IFERROR(__xludf.DUMMYFUNCTION("""COMPUTED_VALUE"""),13.0)</f>
        <v>13</v>
      </c>
      <c r="Q1321" s="2">
        <f>IFERROR(__xludf.DUMMYFUNCTION("""COMPUTED_VALUE"""),-24.0)</f>
        <v>-24</v>
      </c>
    </row>
    <row r="1322">
      <c r="P1322" s="2">
        <f>IFERROR(__xludf.DUMMYFUNCTION("""COMPUTED_VALUE"""),13.0)</f>
        <v>13</v>
      </c>
      <c r="Q1322" s="2">
        <f>IFERROR(__xludf.DUMMYFUNCTION("""COMPUTED_VALUE"""),-12.0)</f>
        <v>-12</v>
      </c>
    </row>
    <row r="1323">
      <c r="P1323" s="2">
        <f>IFERROR(__xludf.DUMMYFUNCTION("""COMPUTED_VALUE"""),13.0)</f>
        <v>13</v>
      </c>
      <c r="Q1323" s="2">
        <f>IFERROR(__xludf.DUMMYFUNCTION("""COMPUTED_VALUE"""),-24.0)</f>
        <v>-24</v>
      </c>
    </row>
    <row r="1324">
      <c r="P1324" s="2">
        <f>IFERROR(__xludf.DUMMYFUNCTION("""COMPUTED_VALUE"""),13.0)</f>
        <v>13</v>
      </c>
      <c r="Q1324" s="2">
        <f>IFERROR(__xludf.DUMMYFUNCTION("""COMPUTED_VALUE"""),-81.0)</f>
        <v>-81</v>
      </c>
    </row>
    <row r="1325">
      <c r="P1325" s="2">
        <f>IFERROR(__xludf.DUMMYFUNCTION("""COMPUTED_VALUE"""),13.0)</f>
        <v>13</v>
      </c>
      <c r="Q1325" s="2">
        <f>IFERROR(__xludf.DUMMYFUNCTION("""COMPUTED_VALUE"""),-24.0)</f>
        <v>-24</v>
      </c>
    </row>
    <row r="1326">
      <c r="P1326" s="2">
        <f>IFERROR(__xludf.DUMMYFUNCTION("""COMPUTED_VALUE"""),13.0)</f>
        <v>13</v>
      </c>
      <c r="Q1326" s="2">
        <f>IFERROR(__xludf.DUMMYFUNCTION("""COMPUTED_VALUE"""),-48.0)</f>
        <v>-48</v>
      </c>
    </row>
    <row r="1327">
      <c r="P1327" s="2">
        <f>IFERROR(__xludf.DUMMYFUNCTION("""COMPUTED_VALUE"""),13.0)</f>
        <v>13</v>
      </c>
      <c r="Q1327" s="2">
        <f>IFERROR(__xludf.DUMMYFUNCTION("""COMPUTED_VALUE"""),-3.0)</f>
        <v>-3</v>
      </c>
    </row>
    <row r="1328">
      <c r="P1328" s="2">
        <f>IFERROR(__xludf.DUMMYFUNCTION("""COMPUTED_VALUE"""),13.0)</f>
        <v>13</v>
      </c>
      <c r="Q1328" s="2">
        <f>IFERROR(__xludf.DUMMYFUNCTION("""COMPUTED_VALUE"""),-12.0)</f>
        <v>-12</v>
      </c>
    </row>
    <row r="1329">
      <c r="P1329" s="2">
        <f>IFERROR(__xludf.DUMMYFUNCTION("""COMPUTED_VALUE"""),13.0)</f>
        <v>13</v>
      </c>
      <c r="Q1329" s="2">
        <f>IFERROR(__xludf.DUMMYFUNCTION("""COMPUTED_VALUE"""),36.0)</f>
        <v>36</v>
      </c>
    </row>
    <row r="1330">
      <c r="P1330" s="2">
        <f>IFERROR(__xludf.DUMMYFUNCTION("""COMPUTED_VALUE"""),13.0)</f>
        <v>13</v>
      </c>
      <c r="Q1330" s="2">
        <f>IFERROR(__xludf.DUMMYFUNCTION("""COMPUTED_VALUE"""),12.0)</f>
        <v>12</v>
      </c>
    </row>
    <row r="1331">
      <c r="P1331" s="2">
        <f>IFERROR(__xludf.DUMMYFUNCTION("""COMPUTED_VALUE"""),13.0)</f>
        <v>13</v>
      </c>
      <c r="Q1331" s="2">
        <f>IFERROR(__xludf.DUMMYFUNCTION("""COMPUTED_VALUE"""),12.0)</f>
        <v>12</v>
      </c>
    </row>
    <row r="1332">
      <c r="P1332" s="2">
        <f>IFERROR(__xludf.DUMMYFUNCTION("""COMPUTED_VALUE"""),13.0)</f>
        <v>13</v>
      </c>
      <c r="Q1332" s="2">
        <f>IFERROR(__xludf.DUMMYFUNCTION("""COMPUTED_VALUE"""),2.0)</f>
        <v>2</v>
      </c>
    </row>
    <row r="1333">
      <c r="P1333" s="2">
        <f>IFERROR(__xludf.DUMMYFUNCTION("""COMPUTED_VALUE"""),13.0)</f>
        <v>13</v>
      </c>
      <c r="Q1333" s="2">
        <f>IFERROR(__xludf.DUMMYFUNCTION("""COMPUTED_VALUE"""),12.0)</f>
        <v>12</v>
      </c>
    </row>
    <row r="1334">
      <c r="P1334" s="2">
        <f>IFERROR(__xludf.DUMMYFUNCTION("""COMPUTED_VALUE"""),13.0)</f>
        <v>13</v>
      </c>
      <c r="Q1334" s="2">
        <f>IFERROR(__xludf.DUMMYFUNCTION("""COMPUTED_VALUE"""),81.0)</f>
        <v>81</v>
      </c>
    </row>
    <row r="1335">
      <c r="P1335" s="2">
        <f>IFERROR(__xludf.DUMMYFUNCTION("""COMPUTED_VALUE"""),13.0)</f>
        <v>13</v>
      </c>
      <c r="Q1335" s="2">
        <f>IFERROR(__xludf.DUMMYFUNCTION("""COMPUTED_VALUE"""),24.0)</f>
        <v>24</v>
      </c>
    </row>
    <row r="1336">
      <c r="P1336" s="2">
        <f>IFERROR(__xludf.DUMMYFUNCTION("""COMPUTED_VALUE"""),13.0)</f>
        <v>13</v>
      </c>
      <c r="Q1336" s="2">
        <f>IFERROR(__xludf.DUMMYFUNCTION("""COMPUTED_VALUE"""),48.0)</f>
        <v>48</v>
      </c>
    </row>
    <row r="1337">
      <c r="P1337" s="2">
        <f>IFERROR(__xludf.DUMMYFUNCTION("""COMPUTED_VALUE"""),13.0)</f>
        <v>13</v>
      </c>
      <c r="Q1337" s="2">
        <f>IFERROR(__xludf.DUMMYFUNCTION("""COMPUTED_VALUE"""),3.0)</f>
        <v>3</v>
      </c>
    </row>
    <row r="1338">
      <c r="P1338" s="2">
        <f>IFERROR(__xludf.DUMMYFUNCTION("""COMPUTED_VALUE"""),13.0)</f>
        <v>13</v>
      </c>
      <c r="Q1338" s="2">
        <f>IFERROR(__xludf.DUMMYFUNCTION("""COMPUTED_VALUE"""),12.0)</f>
        <v>12</v>
      </c>
    </row>
    <row r="1339">
      <c r="P1339" s="2">
        <f>IFERROR(__xludf.DUMMYFUNCTION("""COMPUTED_VALUE"""),13.0)</f>
        <v>13</v>
      </c>
      <c r="Q1339" s="2">
        <f>IFERROR(__xludf.DUMMYFUNCTION("""COMPUTED_VALUE"""),24.0)</f>
        <v>24</v>
      </c>
    </row>
    <row r="1340">
      <c r="P1340" s="2">
        <f>IFERROR(__xludf.DUMMYFUNCTION("""COMPUTED_VALUE"""),13.0)</f>
        <v>13</v>
      </c>
      <c r="Q1340" s="2">
        <f>IFERROR(__xludf.DUMMYFUNCTION("""COMPUTED_VALUE"""),24.0)</f>
        <v>24</v>
      </c>
    </row>
    <row r="1341">
      <c r="P1341" s="2">
        <f>IFERROR(__xludf.DUMMYFUNCTION("""COMPUTED_VALUE"""),13.0)</f>
        <v>13</v>
      </c>
      <c r="Q1341" s="2">
        <f>IFERROR(__xludf.DUMMYFUNCTION("""COMPUTED_VALUE"""),12.0)</f>
        <v>12</v>
      </c>
    </row>
    <row r="1342">
      <c r="P1342" s="2">
        <f>IFERROR(__xludf.DUMMYFUNCTION("""COMPUTED_VALUE"""),13.0)</f>
        <v>13</v>
      </c>
      <c r="Q1342" s="2">
        <f>IFERROR(__xludf.DUMMYFUNCTION("""COMPUTED_VALUE"""),24.0)</f>
        <v>24</v>
      </c>
    </row>
    <row r="1343">
      <c r="P1343" s="2">
        <f>IFERROR(__xludf.DUMMYFUNCTION("""COMPUTED_VALUE"""),13.0)</f>
        <v>13</v>
      </c>
      <c r="Q1343" s="2">
        <f>IFERROR(__xludf.DUMMYFUNCTION("""COMPUTED_VALUE"""),-12.0)</f>
        <v>-12</v>
      </c>
    </row>
    <row r="1344">
      <c r="P1344" s="2">
        <f>IFERROR(__xludf.DUMMYFUNCTION("""COMPUTED_VALUE"""),13.0)</f>
        <v>13</v>
      </c>
      <c r="Q1344" s="2">
        <f>IFERROR(__xludf.DUMMYFUNCTION("""COMPUTED_VALUE"""),6.0)</f>
        <v>6</v>
      </c>
    </row>
    <row r="1345">
      <c r="P1345" s="2">
        <f>IFERROR(__xludf.DUMMYFUNCTION("""COMPUTED_VALUE"""),13.0)</f>
        <v>13</v>
      </c>
      <c r="Q1345" s="2">
        <f>IFERROR(__xludf.DUMMYFUNCTION("""COMPUTED_VALUE"""),3.0)</f>
        <v>3</v>
      </c>
    </row>
    <row r="1346">
      <c r="P1346" s="2">
        <f>IFERROR(__xludf.DUMMYFUNCTION("""COMPUTED_VALUE"""),13.0)</f>
        <v>13</v>
      </c>
      <c r="Q1346" s="2">
        <f>IFERROR(__xludf.DUMMYFUNCTION("""COMPUTED_VALUE"""),2.0)</f>
        <v>2</v>
      </c>
    </row>
    <row r="1347">
      <c r="P1347" s="2">
        <f>IFERROR(__xludf.DUMMYFUNCTION("""COMPUTED_VALUE"""),13.0)</f>
        <v>13</v>
      </c>
      <c r="Q1347" s="2">
        <f>IFERROR(__xludf.DUMMYFUNCTION("""COMPUTED_VALUE"""),4.0)</f>
        <v>4</v>
      </c>
    </row>
    <row r="1348">
      <c r="P1348" s="2">
        <f>IFERROR(__xludf.DUMMYFUNCTION("""COMPUTED_VALUE"""),13.0)</f>
        <v>13</v>
      </c>
      <c r="Q1348" s="2">
        <f>IFERROR(__xludf.DUMMYFUNCTION("""COMPUTED_VALUE"""),2.0)</f>
        <v>2</v>
      </c>
    </row>
    <row r="1349">
      <c r="P1349" s="2">
        <f>IFERROR(__xludf.DUMMYFUNCTION("""COMPUTED_VALUE"""),13.0)</f>
        <v>13</v>
      </c>
      <c r="Q1349" s="2">
        <f>IFERROR(__xludf.DUMMYFUNCTION("""COMPUTED_VALUE"""),2.0)</f>
        <v>2</v>
      </c>
    </row>
    <row r="1350">
      <c r="P1350" s="2">
        <f>IFERROR(__xludf.DUMMYFUNCTION("""COMPUTED_VALUE"""),13.0)</f>
        <v>13</v>
      </c>
      <c r="Q1350" s="2">
        <f>IFERROR(__xludf.DUMMYFUNCTION("""COMPUTED_VALUE"""),8.0)</f>
        <v>8</v>
      </c>
    </row>
    <row r="1351">
      <c r="P1351" s="2">
        <f>IFERROR(__xludf.DUMMYFUNCTION("""COMPUTED_VALUE"""),13.0)</f>
        <v>13</v>
      </c>
      <c r="Q1351" s="2">
        <f>IFERROR(__xludf.DUMMYFUNCTION("""COMPUTED_VALUE"""),8.0)</f>
        <v>8</v>
      </c>
    </row>
    <row r="1352">
      <c r="P1352" s="2">
        <f>IFERROR(__xludf.DUMMYFUNCTION("""COMPUTED_VALUE"""),13.0)</f>
        <v>13</v>
      </c>
      <c r="Q1352" s="2">
        <f>IFERROR(__xludf.DUMMYFUNCTION("""COMPUTED_VALUE"""),2.0)</f>
        <v>2</v>
      </c>
    </row>
    <row r="1353">
      <c r="P1353" s="2">
        <f>IFERROR(__xludf.DUMMYFUNCTION("""COMPUTED_VALUE"""),13.0)</f>
        <v>13</v>
      </c>
      <c r="Q1353" s="2">
        <f>IFERROR(__xludf.DUMMYFUNCTION("""COMPUTED_VALUE"""),4.0)</f>
        <v>4</v>
      </c>
    </row>
    <row r="1354">
      <c r="P1354" s="2">
        <f>IFERROR(__xludf.DUMMYFUNCTION("""COMPUTED_VALUE"""),13.0)</f>
        <v>13</v>
      </c>
      <c r="Q1354" s="2">
        <f>IFERROR(__xludf.DUMMYFUNCTION("""COMPUTED_VALUE"""),6.0)</f>
        <v>6</v>
      </c>
    </row>
    <row r="1355">
      <c r="P1355" s="2">
        <f>IFERROR(__xludf.DUMMYFUNCTION("""COMPUTED_VALUE"""),13.0)</f>
        <v>13</v>
      </c>
      <c r="Q1355" s="2">
        <f>IFERROR(__xludf.DUMMYFUNCTION("""COMPUTED_VALUE"""),6.0)</f>
        <v>6</v>
      </c>
    </row>
    <row r="1356">
      <c r="P1356" s="2">
        <f>IFERROR(__xludf.DUMMYFUNCTION("""COMPUTED_VALUE"""),13.0)</f>
        <v>13</v>
      </c>
      <c r="Q1356" s="2">
        <f>IFERROR(__xludf.DUMMYFUNCTION("""COMPUTED_VALUE"""),6.0)</f>
        <v>6</v>
      </c>
    </row>
    <row r="1357">
      <c r="P1357" s="2">
        <f>IFERROR(__xludf.DUMMYFUNCTION("""COMPUTED_VALUE"""),13.0)</f>
        <v>13</v>
      </c>
      <c r="Q1357" s="2">
        <f>IFERROR(__xludf.DUMMYFUNCTION("""COMPUTED_VALUE"""),4.0)</f>
        <v>4</v>
      </c>
    </row>
    <row r="1358">
      <c r="P1358" s="2">
        <f>IFERROR(__xludf.DUMMYFUNCTION("""COMPUTED_VALUE"""),13.0)</f>
        <v>13</v>
      </c>
      <c r="Q1358" s="2">
        <f>IFERROR(__xludf.DUMMYFUNCTION("""COMPUTED_VALUE"""),12.0)</f>
        <v>12</v>
      </c>
    </row>
    <row r="1359">
      <c r="P1359" s="2">
        <f>IFERROR(__xludf.DUMMYFUNCTION("""COMPUTED_VALUE"""),13.0)</f>
        <v>13</v>
      </c>
      <c r="Q1359" s="2">
        <f>IFERROR(__xludf.DUMMYFUNCTION("""COMPUTED_VALUE"""),6.0)</f>
        <v>6</v>
      </c>
    </row>
    <row r="1360">
      <c r="P1360" s="2">
        <f>IFERROR(__xludf.DUMMYFUNCTION("""COMPUTED_VALUE"""),13.0)</f>
        <v>13</v>
      </c>
      <c r="Q1360" s="2">
        <f>IFERROR(__xludf.DUMMYFUNCTION("""COMPUTED_VALUE"""),2.0)</f>
        <v>2</v>
      </c>
    </row>
    <row r="1361">
      <c r="P1361" s="2">
        <f>IFERROR(__xludf.DUMMYFUNCTION("""COMPUTED_VALUE"""),13.0)</f>
        <v>13</v>
      </c>
      <c r="Q1361" s="2">
        <f>IFERROR(__xludf.DUMMYFUNCTION("""COMPUTED_VALUE"""),24.0)</f>
        <v>24</v>
      </c>
    </row>
    <row r="1362">
      <c r="P1362" s="2">
        <f>IFERROR(__xludf.DUMMYFUNCTION("""COMPUTED_VALUE"""),13.0)</f>
        <v>13</v>
      </c>
      <c r="Q1362" s="2">
        <f>IFERROR(__xludf.DUMMYFUNCTION("""COMPUTED_VALUE"""),24.0)</f>
        <v>24</v>
      </c>
    </row>
    <row r="1363">
      <c r="P1363" s="2">
        <f>IFERROR(__xludf.DUMMYFUNCTION("""COMPUTED_VALUE"""),13.0)</f>
        <v>13</v>
      </c>
      <c r="Q1363" s="2">
        <f>IFERROR(__xludf.DUMMYFUNCTION("""COMPUTED_VALUE"""),24.0)</f>
        <v>24</v>
      </c>
    </row>
    <row r="1364">
      <c r="P1364" s="2">
        <f>IFERROR(__xludf.DUMMYFUNCTION("""COMPUTED_VALUE"""),13.0)</f>
        <v>13</v>
      </c>
      <c r="Q1364" s="2">
        <f>IFERROR(__xludf.DUMMYFUNCTION("""COMPUTED_VALUE"""),12.0)</f>
        <v>12</v>
      </c>
    </row>
    <row r="1365">
      <c r="P1365" s="2">
        <f>IFERROR(__xludf.DUMMYFUNCTION("""COMPUTED_VALUE"""),13.0)</f>
        <v>13</v>
      </c>
      <c r="Q1365" s="2">
        <f>IFERROR(__xludf.DUMMYFUNCTION("""COMPUTED_VALUE"""),6.0)</f>
        <v>6</v>
      </c>
    </row>
    <row r="1366">
      <c r="P1366" s="2">
        <f>IFERROR(__xludf.DUMMYFUNCTION("""COMPUTED_VALUE"""),13.0)</f>
        <v>13</v>
      </c>
      <c r="Q1366" s="2">
        <f>IFERROR(__xludf.DUMMYFUNCTION("""COMPUTED_VALUE"""),4.0)</f>
        <v>4</v>
      </c>
    </row>
    <row r="1367">
      <c r="P1367" s="2">
        <f>IFERROR(__xludf.DUMMYFUNCTION("""COMPUTED_VALUE"""),13.0)</f>
        <v>13</v>
      </c>
      <c r="Q1367" s="2">
        <f>IFERROR(__xludf.DUMMYFUNCTION("""COMPUTED_VALUE"""),2.0)</f>
        <v>2</v>
      </c>
    </row>
    <row r="1368">
      <c r="P1368" s="2">
        <f>IFERROR(__xludf.DUMMYFUNCTION("""COMPUTED_VALUE"""),13.0)</f>
        <v>13</v>
      </c>
      <c r="Q1368" s="2">
        <f>IFERROR(__xludf.DUMMYFUNCTION("""COMPUTED_VALUE"""),1.0)</f>
        <v>1</v>
      </c>
    </row>
    <row r="1369">
      <c r="P1369" s="2">
        <f>IFERROR(__xludf.DUMMYFUNCTION("""COMPUTED_VALUE"""),13.0)</f>
        <v>13</v>
      </c>
      <c r="Q1369" s="2">
        <f>IFERROR(__xludf.DUMMYFUNCTION("""COMPUTED_VALUE"""),1.0)</f>
        <v>1</v>
      </c>
    </row>
    <row r="1370">
      <c r="P1370" s="2">
        <f>IFERROR(__xludf.DUMMYFUNCTION("""COMPUTED_VALUE"""),13.0)</f>
        <v>13</v>
      </c>
      <c r="Q1370" s="2">
        <f>IFERROR(__xludf.DUMMYFUNCTION("""COMPUTED_VALUE"""),2.0)</f>
        <v>2</v>
      </c>
    </row>
    <row r="1371">
      <c r="P1371" s="2">
        <f>IFERROR(__xludf.DUMMYFUNCTION("""COMPUTED_VALUE"""),13.0)</f>
        <v>13</v>
      </c>
      <c r="Q1371" s="2">
        <f>IFERROR(__xludf.DUMMYFUNCTION("""COMPUTED_VALUE"""),2.0)</f>
        <v>2</v>
      </c>
    </row>
    <row r="1372">
      <c r="P1372" s="2">
        <f>IFERROR(__xludf.DUMMYFUNCTION("""COMPUTED_VALUE"""),13.0)</f>
        <v>13</v>
      </c>
      <c r="Q1372" s="2">
        <f>IFERROR(__xludf.DUMMYFUNCTION("""COMPUTED_VALUE"""),1.0)</f>
        <v>1</v>
      </c>
    </row>
    <row r="1373">
      <c r="P1373" s="2">
        <f>IFERROR(__xludf.DUMMYFUNCTION("""COMPUTED_VALUE"""),13.0)</f>
        <v>13</v>
      </c>
      <c r="Q1373" s="2">
        <f>IFERROR(__xludf.DUMMYFUNCTION("""COMPUTED_VALUE"""),6.0)</f>
        <v>6</v>
      </c>
    </row>
    <row r="1374">
      <c r="P1374" s="2">
        <f>IFERROR(__xludf.DUMMYFUNCTION("""COMPUTED_VALUE"""),13.0)</f>
        <v>13</v>
      </c>
      <c r="Q1374" s="2">
        <f>IFERROR(__xludf.DUMMYFUNCTION("""COMPUTED_VALUE"""),1.0)</f>
        <v>1</v>
      </c>
    </row>
    <row r="1375">
      <c r="P1375" s="2">
        <f>IFERROR(__xludf.DUMMYFUNCTION("""COMPUTED_VALUE"""),13.0)</f>
        <v>13</v>
      </c>
      <c r="Q1375" s="2">
        <f>IFERROR(__xludf.DUMMYFUNCTION("""COMPUTED_VALUE"""),24.0)</f>
        <v>24</v>
      </c>
    </row>
    <row r="1376">
      <c r="P1376" s="2">
        <f>IFERROR(__xludf.DUMMYFUNCTION("""COMPUTED_VALUE"""),13.0)</f>
        <v>13</v>
      </c>
      <c r="Q1376" s="2">
        <f>IFERROR(__xludf.DUMMYFUNCTION("""COMPUTED_VALUE"""),5.0)</f>
        <v>5</v>
      </c>
    </row>
    <row r="1377">
      <c r="P1377" s="2">
        <f>IFERROR(__xludf.DUMMYFUNCTION("""COMPUTED_VALUE"""),13.0)</f>
        <v>13</v>
      </c>
      <c r="Q1377" s="2">
        <f>IFERROR(__xludf.DUMMYFUNCTION("""COMPUTED_VALUE"""),36.0)</f>
        <v>36</v>
      </c>
    </row>
    <row r="1378">
      <c r="P1378" s="2">
        <f>IFERROR(__xludf.DUMMYFUNCTION("""COMPUTED_VALUE"""),13.0)</f>
        <v>13</v>
      </c>
      <c r="Q1378" s="2">
        <f>IFERROR(__xludf.DUMMYFUNCTION("""COMPUTED_VALUE"""),12.0)</f>
        <v>12</v>
      </c>
    </row>
    <row r="1379">
      <c r="P1379" s="2">
        <f>IFERROR(__xludf.DUMMYFUNCTION("""COMPUTED_VALUE"""),13.0)</f>
        <v>13</v>
      </c>
      <c r="Q1379" s="2">
        <f>IFERROR(__xludf.DUMMYFUNCTION("""COMPUTED_VALUE"""),1.0)</f>
        <v>1</v>
      </c>
    </row>
    <row r="1380">
      <c r="P1380" s="2">
        <f>IFERROR(__xludf.DUMMYFUNCTION("""COMPUTED_VALUE"""),13.0)</f>
        <v>13</v>
      </c>
      <c r="Q1380" s="2">
        <f>IFERROR(__xludf.DUMMYFUNCTION("""COMPUTED_VALUE"""),36.0)</f>
        <v>36</v>
      </c>
    </row>
    <row r="1381">
      <c r="P1381" s="2">
        <f>IFERROR(__xludf.DUMMYFUNCTION("""COMPUTED_VALUE"""),13.0)</f>
        <v>13</v>
      </c>
      <c r="Q1381" s="2">
        <f>IFERROR(__xludf.DUMMYFUNCTION("""COMPUTED_VALUE"""),48.0)</f>
        <v>48</v>
      </c>
    </row>
    <row r="1382">
      <c r="P1382" s="2">
        <f>IFERROR(__xludf.DUMMYFUNCTION("""COMPUTED_VALUE"""),13.0)</f>
        <v>13</v>
      </c>
      <c r="Q1382" s="2">
        <f>IFERROR(__xludf.DUMMYFUNCTION("""COMPUTED_VALUE"""),36.0)</f>
        <v>36</v>
      </c>
    </row>
    <row r="1383">
      <c r="P1383" s="2">
        <f>IFERROR(__xludf.DUMMYFUNCTION("""COMPUTED_VALUE"""),13.0)</f>
        <v>13</v>
      </c>
      <c r="Q1383" s="2">
        <f>IFERROR(__xludf.DUMMYFUNCTION("""COMPUTED_VALUE"""),48.0)</f>
        <v>48</v>
      </c>
    </row>
    <row r="1384">
      <c r="P1384" s="2">
        <f>IFERROR(__xludf.DUMMYFUNCTION("""COMPUTED_VALUE"""),13.0)</f>
        <v>13</v>
      </c>
      <c r="Q1384" s="2">
        <f>IFERROR(__xludf.DUMMYFUNCTION("""COMPUTED_VALUE"""),2.0)</f>
        <v>2</v>
      </c>
    </row>
    <row r="1385">
      <c r="P1385" s="2">
        <f>IFERROR(__xludf.DUMMYFUNCTION("""COMPUTED_VALUE"""),13.0)</f>
        <v>13</v>
      </c>
      <c r="Q1385" s="2">
        <f>IFERROR(__xludf.DUMMYFUNCTION("""COMPUTED_VALUE"""),6.0)</f>
        <v>6</v>
      </c>
    </row>
    <row r="1386">
      <c r="P1386" s="2">
        <f>IFERROR(__xludf.DUMMYFUNCTION("""COMPUTED_VALUE"""),13.0)</f>
        <v>13</v>
      </c>
      <c r="Q1386" s="2">
        <f>IFERROR(__xludf.DUMMYFUNCTION("""COMPUTED_VALUE"""),36.0)</f>
        <v>36</v>
      </c>
    </row>
    <row r="1387">
      <c r="P1387" s="2">
        <f>IFERROR(__xludf.DUMMYFUNCTION("""COMPUTED_VALUE"""),13.0)</f>
        <v>13</v>
      </c>
      <c r="Q1387" s="2">
        <f>IFERROR(__xludf.DUMMYFUNCTION("""COMPUTED_VALUE"""),12.0)</f>
        <v>12</v>
      </c>
    </row>
    <row r="1388">
      <c r="P1388" s="2">
        <f>IFERROR(__xludf.DUMMYFUNCTION("""COMPUTED_VALUE"""),13.0)</f>
        <v>13</v>
      </c>
      <c r="Q1388" s="2">
        <f>IFERROR(__xludf.DUMMYFUNCTION("""COMPUTED_VALUE"""),1.0)</f>
        <v>1</v>
      </c>
    </row>
    <row r="1389">
      <c r="P1389" s="2">
        <f>IFERROR(__xludf.DUMMYFUNCTION("""COMPUTED_VALUE"""),13.0)</f>
        <v>13</v>
      </c>
      <c r="Q1389" s="2">
        <f>IFERROR(__xludf.DUMMYFUNCTION("""COMPUTED_VALUE"""),1.0)</f>
        <v>1</v>
      </c>
    </row>
    <row r="1390">
      <c r="P1390" s="2">
        <f>IFERROR(__xludf.DUMMYFUNCTION("""COMPUTED_VALUE"""),13.0)</f>
        <v>13</v>
      </c>
      <c r="Q1390" s="2">
        <f>IFERROR(__xludf.DUMMYFUNCTION("""COMPUTED_VALUE"""),-1.0)</f>
        <v>-1</v>
      </c>
    </row>
    <row r="1391">
      <c r="P1391" s="2">
        <f>IFERROR(__xludf.DUMMYFUNCTION("""COMPUTED_VALUE"""),13.0)</f>
        <v>13</v>
      </c>
      <c r="Q1391" s="2">
        <f>IFERROR(__xludf.DUMMYFUNCTION("""COMPUTED_VALUE"""),-1.0)</f>
        <v>-1</v>
      </c>
    </row>
    <row r="1392">
      <c r="P1392" s="2">
        <f>IFERROR(__xludf.DUMMYFUNCTION("""COMPUTED_VALUE"""),13.0)</f>
        <v>13</v>
      </c>
      <c r="Q1392" s="2">
        <f>IFERROR(__xludf.DUMMYFUNCTION("""COMPUTED_VALUE"""),-1.0)</f>
        <v>-1</v>
      </c>
    </row>
    <row r="1393">
      <c r="P1393" s="2">
        <f>IFERROR(__xludf.DUMMYFUNCTION("""COMPUTED_VALUE"""),13.0)</f>
        <v>13</v>
      </c>
      <c r="Q1393" s="2">
        <f>IFERROR(__xludf.DUMMYFUNCTION("""COMPUTED_VALUE"""),-1.0)</f>
        <v>-1</v>
      </c>
    </row>
    <row r="1394">
      <c r="P1394" s="2">
        <f>IFERROR(__xludf.DUMMYFUNCTION("""COMPUTED_VALUE"""),13.0)</f>
        <v>13</v>
      </c>
      <c r="Q1394" s="2">
        <f>IFERROR(__xludf.DUMMYFUNCTION("""COMPUTED_VALUE"""),-1.0)</f>
        <v>-1</v>
      </c>
    </row>
    <row r="1395">
      <c r="P1395" s="2">
        <f>IFERROR(__xludf.DUMMYFUNCTION("""COMPUTED_VALUE"""),13.0)</f>
        <v>13</v>
      </c>
      <c r="Q1395" s="2">
        <f>IFERROR(__xludf.DUMMYFUNCTION("""COMPUTED_VALUE"""),-1.0)</f>
        <v>-1</v>
      </c>
    </row>
    <row r="1396">
      <c r="P1396" s="2">
        <f>IFERROR(__xludf.DUMMYFUNCTION("""COMPUTED_VALUE"""),13.0)</f>
        <v>13</v>
      </c>
      <c r="Q1396" s="2">
        <f>IFERROR(__xludf.DUMMYFUNCTION("""COMPUTED_VALUE"""),-1.0)</f>
        <v>-1</v>
      </c>
    </row>
    <row r="1397">
      <c r="P1397" s="2">
        <f>IFERROR(__xludf.DUMMYFUNCTION("""COMPUTED_VALUE"""),13.0)</f>
        <v>13</v>
      </c>
      <c r="Q1397" s="2">
        <f>IFERROR(__xludf.DUMMYFUNCTION("""COMPUTED_VALUE"""),-1.0)</f>
        <v>-1</v>
      </c>
    </row>
    <row r="1398">
      <c r="P1398" s="2">
        <f>IFERROR(__xludf.DUMMYFUNCTION("""COMPUTED_VALUE"""),13.0)</f>
        <v>13</v>
      </c>
      <c r="Q1398" s="2">
        <f>IFERROR(__xludf.DUMMYFUNCTION("""COMPUTED_VALUE"""),2.0)</f>
        <v>2</v>
      </c>
    </row>
    <row r="1399">
      <c r="P1399" s="2">
        <f>IFERROR(__xludf.DUMMYFUNCTION("""COMPUTED_VALUE"""),13.0)</f>
        <v>13</v>
      </c>
      <c r="Q1399" s="2">
        <f>IFERROR(__xludf.DUMMYFUNCTION("""COMPUTED_VALUE"""),1.0)</f>
        <v>1</v>
      </c>
    </row>
    <row r="1400">
      <c r="P1400" s="2">
        <f>IFERROR(__xludf.DUMMYFUNCTION("""COMPUTED_VALUE"""),13.0)</f>
        <v>13</v>
      </c>
      <c r="Q1400" s="2">
        <f>IFERROR(__xludf.DUMMYFUNCTION("""COMPUTED_VALUE"""),1.0)</f>
        <v>1</v>
      </c>
    </row>
    <row r="1401">
      <c r="P1401" s="2">
        <f>IFERROR(__xludf.DUMMYFUNCTION("""COMPUTED_VALUE"""),13.0)</f>
        <v>13</v>
      </c>
      <c r="Q1401" s="2">
        <f>IFERROR(__xludf.DUMMYFUNCTION("""COMPUTED_VALUE"""),1.0)</f>
        <v>1</v>
      </c>
    </row>
    <row r="1402">
      <c r="P1402" s="2">
        <f>IFERROR(__xludf.DUMMYFUNCTION("""COMPUTED_VALUE"""),13.0)</f>
        <v>13</v>
      </c>
      <c r="Q1402" s="2">
        <f>IFERROR(__xludf.DUMMYFUNCTION("""COMPUTED_VALUE"""),1.0)</f>
        <v>1</v>
      </c>
    </row>
    <row r="1403">
      <c r="P1403" s="2">
        <f>IFERROR(__xludf.DUMMYFUNCTION("""COMPUTED_VALUE"""),13.0)</f>
        <v>13</v>
      </c>
      <c r="Q1403" s="2">
        <f>IFERROR(__xludf.DUMMYFUNCTION("""COMPUTED_VALUE"""),2.0)</f>
        <v>2</v>
      </c>
    </row>
    <row r="1404">
      <c r="P1404" s="2">
        <f>IFERROR(__xludf.DUMMYFUNCTION("""COMPUTED_VALUE"""),13.0)</f>
        <v>13</v>
      </c>
      <c r="Q1404" s="2">
        <f>IFERROR(__xludf.DUMMYFUNCTION("""COMPUTED_VALUE"""),5.0)</f>
        <v>5</v>
      </c>
    </row>
    <row r="1405">
      <c r="P1405" s="2">
        <f>IFERROR(__xludf.DUMMYFUNCTION("""COMPUTED_VALUE"""),13.0)</f>
        <v>13</v>
      </c>
      <c r="Q1405" s="2">
        <f>IFERROR(__xludf.DUMMYFUNCTION("""COMPUTED_VALUE"""),4.0)</f>
        <v>4</v>
      </c>
    </row>
    <row r="1406">
      <c r="P1406" s="2">
        <f>IFERROR(__xludf.DUMMYFUNCTION("""COMPUTED_VALUE"""),13.0)</f>
        <v>13</v>
      </c>
      <c r="Q1406" s="2">
        <f>IFERROR(__xludf.DUMMYFUNCTION("""COMPUTED_VALUE"""),8.0)</f>
        <v>8</v>
      </c>
    </row>
    <row r="1407">
      <c r="P1407" s="2">
        <f>IFERROR(__xludf.DUMMYFUNCTION("""COMPUTED_VALUE"""),13.0)</f>
        <v>13</v>
      </c>
      <c r="Q1407" s="2">
        <f>IFERROR(__xludf.DUMMYFUNCTION("""COMPUTED_VALUE"""),1.0)</f>
        <v>1</v>
      </c>
    </row>
    <row r="1408">
      <c r="P1408" s="2">
        <f>IFERROR(__xludf.DUMMYFUNCTION("""COMPUTED_VALUE"""),13.0)</f>
        <v>13</v>
      </c>
      <c r="Q1408" s="2">
        <f>IFERROR(__xludf.DUMMYFUNCTION("""COMPUTED_VALUE"""),2.0)</f>
        <v>2</v>
      </c>
    </row>
    <row r="1409">
      <c r="P1409" s="2">
        <f>IFERROR(__xludf.DUMMYFUNCTION("""COMPUTED_VALUE"""),13.0)</f>
        <v>13</v>
      </c>
      <c r="Q1409" s="2">
        <f>IFERROR(__xludf.DUMMYFUNCTION("""COMPUTED_VALUE"""),1.0)</f>
        <v>1</v>
      </c>
    </row>
    <row r="1410">
      <c r="P1410" s="2">
        <f>IFERROR(__xludf.DUMMYFUNCTION("""COMPUTED_VALUE"""),13.0)</f>
        <v>13</v>
      </c>
      <c r="Q1410" s="2">
        <f>IFERROR(__xludf.DUMMYFUNCTION("""COMPUTED_VALUE"""),2.0)</f>
        <v>2</v>
      </c>
    </row>
    <row r="1411">
      <c r="P1411" s="2">
        <f>IFERROR(__xludf.DUMMYFUNCTION("""COMPUTED_VALUE"""),13.0)</f>
        <v>13</v>
      </c>
      <c r="Q1411" s="2">
        <f>IFERROR(__xludf.DUMMYFUNCTION("""COMPUTED_VALUE"""),1.0)</f>
        <v>1</v>
      </c>
    </row>
    <row r="1412">
      <c r="P1412" s="2">
        <f>IFERROR(__xludf.DUMMYFUNCTION("""COMPUTED_VALUE"""),13.0)</f>
        <v>13</v>
      </c>
      <c r="Q1412" s="2">
        <f>IFERROR(__xludf.DUMMYFUNCTION("""COMPUTED_VALUE"""),1.0)</f>
        <v>1</v>
      </c>
    </row>
    <row r="1413">
      <c r="P1413" s="2">
        <f>IFERROR(__xludf.DUMMYFUNCTION("""COMPUTED_VALUE"""),13.0)</f>
        <v>13</v>
      </c>
      <c r="Q1413" s="2">
        <f>IFERROR(__xludf.DUMMYFUNCTION("""COMPUTED_VALUE"""),1.0)</f>
        <v>1</v>
      </c>
    </row>
    <row r="1414">
      <c r="P1414" s="2">
        <f>IFERROR(__xludf.DUMMYFUNCTION("""COMPUTED_VALUE"""),13.0)</f>
        <v>13</v>
      </c>
      <c r="Q1414" s="2">
        <f>IFERROR(__xludf.DUMMYFUNCTION("""COMPUTED_VALUE"""),1.0)</f>
        <v>1</v>
      </c>
    </row>
    <row r="1415">
      <c r="P1415" s="2">
        <f>IFERROR(__xludf.DUMMYFUNCTION("""COMPUTED_VALUE"""),13.0)</f>
        <v>13</v>
      </c>
      <c r="Q1415" s="2">
        <f>IFERROR(__xludf.DUMMYFUNCTION("""COMPUTED_VALUE"""),1.0)</f>
        <v>1</v>
      </c>
    </row>
    <row r="1416">
      <c r="P1416" s="2">
        <f>IFERROR(__xludf.DUMMYFUNCTION("""COMPUTED_VALUE"""),13.0)</f>
        <v>13</v>
      </c>
      <c r="Q1416" s="2">
        <f>IFERROR(__xludf.DUMMYFUNCTION("""COMPUTED_VALUE"""),1.0)</f>
        <v>1</v>
      </c>
    </row>
    <row r="1417">
      <c r="P1417" s="2">
        <f>IFERROR(__xludf.DUMMYFUNCTION("""COMPUTED_VALUE"""),13.0)</f>
        <v>13</v>
      </c>
      <c r="Q1417" s="2">
        <f>IFERROR(__xludf.DUMMYFUNCTION("""COMPUTED_VALUE"""),2.0)</f>
        <v>2</v>
      </c>
    </row>
    <row r="1418">
      <c r="P1418" s="2">
        <f>IFERROR(__xludf.DUMMYFUNCTION("""COMPUTED_VALUE"""),13.0)</f>
        <v>13</v>
      </c>
      <c r="Q1418" s="2">
        <f>IFERROR(__xludf.DUMMYFUNCTION("""COMPUTED_VALUE"""),1.0)</f>
        <v>1</v>
      </c>
    </row>
    <row r="1419">
      <c r="P1419" s="2">
        <f>IFERROR(__xludf.DUMMYFUNCTION("""COMPUTED_VALUE"""),13.0)</f>
        <v>13</v>
      </c>
      <c r="Q1419" s="2">
        <f>IFERROR(__xludf.DUMMYFUNCTION("""COMPUTED_VALUE"""),1.0)</f>
        <v>1</v>
      </c>
    </row>
    <row r="1420">
      <c r="P1420" s="2">
        <f>IFERROR(__xludf.DUMMYFUNCTION("""COMPUTED_VALUE"""),13.0)</f>
        <v>13</v>
      </c>
      <c r="Q1420" s="2">
        <f>IFERROR(__xludf.DUMMYFUNCTION("""COMPUTED_VALUE"""),1.0)</f>
        <v>1</v>
      </c>
    </row>
    <row r="1421">
      <c r="P1421" s="2">
        <f>IFERROR(__xludf.DUMMYFUNCTION("""COMPUTED_VALUE"""),13.0)</f>
        <v>13</v>
      </c>
      <c r="Q1421" s="2">
        <f>IFERROR(__xludf.DUMMYFUNCTION("""COMPUTED_VALUE"""),1.0)</f>
        <v>1</v>
      </c>
    </row>
    <row r="1422">
      <c r="P1422" s="2">
        <f>IFERROR(__xludf.DUMMYFUNCTION("""COMPUTED_VALUE"""),13.0)</f>
        <v>13</v>
      </c>
      <c r="Q1422" s="2">
        <f>IFERROR(__xludf.DUMMYFUNCTION("""COMPUTED_VALUE"""),1.0)</f>
        <v>1</v>
      </c>
    </row>
    <row r="1423">
      <c r="P1423" s="2">
        <f>IFERROR(__xludf.DUMMYFUNCTION("""COMPUTED_VALUE"""),13.0)</f>
        <v>13</v>
      </c>
      <c r="Q1423" s="2">
        <f>IFERROR(__xludf.DUMMYFUNCTION("""COMPUTED_VALUE"""),2.0)</f>
        <v>2</v>
      </c>
    </row>
    <row r="1424">
      <c r="P1424" s="2">
        <f>IFERROR(__xludf.DUMMYFUNCTION("""COMPUTED_VALUE"""),13.0)</f>
        <v>13</v>
      </c>
      <c r="Q1424" s="2">
        <f>IFERROR(__xludf.DUMMYFUNCTION("""COMPUTED_VALUE"""),1.0)</f>
        <v>1</v>
      </c>
    </row>
    <row r="1425">
      <c r="P1425" s="2">
        <f>IFERROR(__xludf.DUMMYFUNCTION("""COMPUTED_VALUE"""),13.0)</f>
        <v>13</v>
      </c>
      <c r="Q1425" s="2">
        <f>IFERROR(__xludf.DUMMYFUNCTION("""COMPUTED_VALUE"""),1.0)</f>
        <v>1</v>
      </c>
    </row>
    <row r="1426">
      <c r="P1426" s="2">
        <f>IFERROR(__xludf.DUMMYFUNCTION("""COMPUTED_VALUE"""),13.0)</f>
        <v>13</v>
      </c>
      <c r="Q1426" s="2">
        <f>IFERROR(__xludf.DUMMYFUNCTION("""COMPUTED_VALUE"""),1.0)</f>
        <v>1</v>
      </c>
    </row>
    <row r="1427">
      <c r="P1427" s="2">
        <f>IFERROR(__xludf.DUMMYFUNCTION("""COMPUTED_VALUE"""),13.0)</f>
        <v>13</v>
      </c>
      <c r="Q1427" s="2">
        <f>IFERROR(__xludf.DUMMYFUNCTION("""COMPUTED_VALUE"""),1.0)</f>
        <v>1</v>
      </c>
    </row>
    <row r="1428">
      <c r="P1428" s="2">
        <f>IFERROR(__xludf.DUMMYFUNCTION("""COMPUTED_VALUE"""),13.0)</f>
        <v>13</v>
      </c>
      <c r="Q1428" s="2">
        <f>IFERROR(__xludf.DUMMYFUNCTION("""COMPUTED_VALUE"""),5.0)</f>
        <v>5</v>
      </c>
    </row>
    <row r="1429">
      <c r="P1429" s="2">
        <f>IFERROR(__xludf.DUMMYFUNCTION("""COMPUTED_VALUE"""),13.0)</f>
        <v>13</v>
      </c>
      <c r="Q1429" s="2">
        <f>IFERROR(__xludf.DUMMYFUNCTION("""COMPUTED_VALUE"""),1.0)</f>
        <v>1</v>
      </c>
    </row>
    <row r="1430">
      <c r="P1430" s="2">
        <f>IFERROR(__xludf.DUMMYFUNCTION("""COMPUTED_VALUE"""),13.0)</f>
        <v>13</v>
      </c>
      <c r="Q1430" s="2">
        <f>IFERROR(__xludf.DUMMYFUNCTION("""COMPUTED_VALUE"""),2.0)</f>
        <v>2</v>
      </c>
    </row>
    <row r="1431">
      <c r="P1431" s="2">
        <f>IFERROR(__xludf.DUMMYFUNCTION("""COMPUTED_VALUE"""),13.0)</f>
        <v>13</v>
      </c>
      <c r="Q1431" s="2">
        <f>IFERROR(__xludf.DUMMYFUNCTION("""COMPUTED_VALUE"""),2.0)</f>
        <v>2</v>
      </c>
    </row>
    <row r="1432">
      <c r="P1432" s="2">
        <f>IFERROR(__xludf.DUMMYFUNCTION("""COMPUTED_VALUE"""),13.0)</f>
        <v>13</v>
      </c>
      <c r="Q1432" s="2">
        <f>IFERROR(__xludf.DUMMYFUNCTION("""COMPUTED_VALUE"""),2.0)</f>
        <v>2</v>
      </c>
    </row>
    <row r="1433">
      <c r="P1433" s="2">
        <f>IFERROR(__xludf.DUMMYFUNCTION("""COMPUTED_VALUE"""),13.0)</f>
        <v>13</v>
      </c>
      <c r="Q1433" s="2">
        <f>IFERROR(__xludf.DUMMYFUNCTION("""COMPUTED_VALUE"""),1.0)</f>
        <v>1</v>
      </c>
    </row>
    <row r="1434">
      <c r="P1434" s="2">
        <f>IFERROR(__xludf.DUMMYFUNCTION("""COMPUTED_VALUE"""),13.0)</f>
        <v>13</v>
      </c>
      <c r="Q1434" s="2">
        <f>IFERROR(__xludf.DUMMYFUNCTION("""COMPUTED_VALUE"""),1.0)</f>
        <v>1</v>
      </c>
    </row>
    <row r="1435">
      <c r="P1435" s="2">
        <f>IFERROR(__xludf.DUMMYFUNCTION("""COMPUTED_VALUE"""),13.0)</f>
        <v>13</v>
      </c>
      <c r="Q1435" s="2">
        <f>IFERROR(__xludf.DUMMYFUNCTION("""COMPUTED_VALUE"""),2.0)</f>
        <v>2</v>
      </c>
    </row>
    <row r="1436">
      <c r="P1436" s="2">
        <f>IFERROR(__xludf.DUMMYFUNCTION("""COMPUTED_VALUE"""),13.0)</f>
        <v>13</v>
      </c>
      <c r="Q1436" s="2">
        <f>IFERROR(__xludf.DUMMYFUNCTION("""COMPUTED_VALUE"""),2.0)</f>
        <v>2</v>
      </c>
    </row>
    <row r="1437">
      <c r="P1437" s="2">
        <f>IFERROR(__xludf.DUMMYFUNCTION("""COMPUTED_VALUE"""),13.0)</f>
        <v>13</v>
      </c>
      <c r="Q1437" s="2">
        <f>IFERROR(__xludf.DUMMYFUNCTION("""COMPUTED_VALUE"""),2.0)</f>
        <v>2</v>
      </c>
    </row>
    <row r="1438">
      <c r="P1438" s="2">
        <f>IFERROR(__xludf.DUMMYFUNCTION("""COMPUTED_VALUE"""),13.0)</f>
        <v>13</v>
      </c>
      <c r="Q1438" s="2">
        <f>IFERROR(__xludf.DUMMYFUNCTION("""COMPUTED_VALUE"""),12.0)</f>
        <v>12</v>
      </c>
    </row>
    <row r="1439">
      <c r="P1439" s="2">
        <f>IFERROR(__xludf.DUMMYFUNCTION("""COMPUTED_VALUE"""),13.0)</f>
        <v>13</v>
      </c>
      <c r="Q1439" s="2">
        <f>IFERROR(__xludf.DUMMYFUNCTION("""COMPUTED_VALUE"""),12.0)</f>
        <v>12</v>
      </c>
    </row>
    <row r="1440">
      <c r="P1440" s="2">
        <f>IFERROR(__xludf.DUMMYFUNCTION("""COMPUTED_VALUE"""),13.0)</f>
        <v>13</v>
      </c>
      <c r="Q1440" s="2">
        <f>IFERROR(__xludf.DUMMYFUNCTION("""COMPUTED_VALUE"""),12.0)</f>
        <v>12</v>
      </c>
    </row>
    <row r="1441">
      <c r="P1441" s="2">
        <f>IFERROR(__xludf.DUMMYFUNCTION("""COMPUTED_VALUE"""),13.0)</f>
        <v>13</v>
      </c>
      <c r="Q1441" s="2">
        <f>IFERROR(__xludf.DUMMYFUNCTION("""COMPUTED_VALUE"""),12.0)</f>
        <v>12</v>
      </c>
    </row>
    <row r="1442">
      <c r="P1442" s="2">
        <f>IFERROR(__xludf.DUMMYFUNCTION("""COMPUTED_VALUE"""),13.0)</f>
        <v>13</v>
      </c>
      <c r="Q1442" s="2">
        <f>IFERROR(__xludf.DUMMYFUNCTION("""COMPUTED_VALUE"""),2.0)</f>
        <v>2</v>
      </c>
    </row>
    <row r="1443">
      <c r="P1443" s="2">
        <f>IFERROR(__xludf.DUMMYFUNCTION("""COMPUTED_VALUE"""),13.0)</f>
        <v>13</v>
      </c>
      <c r="Q1443" s="2">
        <f>IFERROR(__xludf.DUMMYFUNCTION("""COMPUTED_VALUE"""),2.0)</f>
        <v>2</v>
      </c>
    </row>
    <row r="1444">
      <c r="P1444" s="2">
        <f>IFERROR(__xludf.DUMMYFUNCTION("""COMPUTED_VALUE"""),13.0)</f>
        <v>13</v>
      </c>
      <c r="Q1444" s="2">
        <f>IFERROR(__xludf.DUMMYFUNCTION("""COMPUTED_VALUE"""),5.0)</f>
        <v>5</v>
      </c>
    </row>
    <row r="1445">
      <c r="P1445" s="2">
        <f>IFERROR(__xludf.DUMMYFUNCTION("""COMPUTED_VALUE"""),13.0)</f>
        <v>13</v>
      </c>
      <c r="Q1445" s="2">
        <f>IFERROR(__xludf.DUMMYFUNCTION("""COMPUTED_VALUE"""),2.0)</f>
        <v>2</v>
      </c>
    </row>
    <row r="1446">
      <c r="P1446" s="2">
        <f>IFERROR(__xludf.DUMMYFUNCTION("""COMPUTED_VALUE"""),13.0)</f>
        <v>13</v>
      </c>
      <c r="Q1446" s="2">
        <f>IFERROR(__xludf.DUMMYFUNCTION("""COMPUTED_VALUE"""),2.0)</f>
        <v>2</v>
      </c>
    </row>
    <row r="1447">
      <c r="P1447" s="2">
        <f>IFERROR(__xludf.DUMMYFUNCTION("""COMPUTED_VALUE"""),13.0)</f>
        <v>13</v>
      </c>
      <c r="Q1447" s="2">
        <f>IFERROR(__xludf.DUMMYFUNCTION("""COMPUTED_VALUE"""),2.0)</f>
        <v>2</v>
      </c>
    </row>
    <row r="1448">
      <c r="P1448" s="2">
        <f>IFERROR(__xludf.DUMMYFUNCTION("""COMPUTED_VALUE"""),13.0)</f>
        <v>13</v>
      </c>
      <c r="Q1448" s="2">
        <f>IFERROR(__xludf.DUMMYFUNCTION("""COMPUTED_VALUE"""),2.0)</f>
        <v>2</v>
      </c>
    </row>
    <row r="1449">
      <c r="P1449" s="2">
        <f>IFERROR(__xludf.DUMMYFUNCTION("""COMPUTED_VALUE"""),13.0)</f>
        <v>13</v>
      </c>
      <c r="Q1449" s="2">
        <f>IFERROR(__xludf.DUMMYFUNCTION("""COMPUTED_VALUE"""),1.0)</f>
        <v>1</v>
      </c>
    </row>
    <row r="1450">
      <c r="P1450" s="2">
        <f>IFERROR(__xludf.DUMMYFUNCTION("""COMPUTED_VALUE"""),13.0)</f>
        <v>13</v>
      </c>
      <c r="Q1450" s="2">
        <f>IFERROR(__xludf.DUMMYFUNCTION("""COMPUTED_VALUE"""),1.0)</f>
        <v>1</v>
      </c>
    </row>
    <row r="1451">
      <c r="P1451" s="2">
        <f>IFERROR(__xludf.DUMMYFUNCTION("""COMPUTED_VALUE"""),13.0)</f>
        <v>13</v>
      </c>
      <c r="Q1451" s="2">
        <f>IFERROR(__xludf.DUMMYFUNCTION("""COMPUTED_VALUE"""),1.0)</f>
        <v>1</v>
      </c>
    </row>
    <row r="1452">
      <c r="P1452" s="2">
        <f>IFERROR(__xludf.DUMMYFUNCTION("""COMPUTED_VALUE"""),13.0)</f>
        <v>13</v>
      </c>
      <c r="Q1452" s="2">
        <f>IFERROR(__xludf.DUMMYFUNCTION("""COMPUTED_VALUE"""),1.0)</f>
        <v>1</v>
      </c>
    </row>
    <row r="1453">
      <c r="P1453" s="2">
        <f>IFERROR(__xludf.DUMMYFUNCTION("""COMPUTED_VALUE"""),13.0)</f>
        <v>13</v>
      </c>
      <c r="Q1453" s="2">
        <f>IFERROR(__xludf.DUMMYFUNCTION("""COMPUTED_VALUE"""),1.0)</f>
        <v>1</v>
      </c>
    </row>
    <row r="1454">
      <c r="P1454" s="2">
        <f>IFERROR(__xludf.DUMMYFUNCTION("""COMPUTED_VALUE"""),13.0)</f>
        <v>13</v>
      </c>
      <c r="Q1454" s="2">
        <f>IFERROR(__xludf.DUMMYFUNCTION("""COMPUTED_VALUE"""),1.0)</f>
        <v>1</v>
      </c>
    </row>
    <row r="1455">
      <c r="P1455" s="2">
        <f>IFERROR(__xludf.DUMMYFUNCTION("""COMPUTED_VALUE"""),13.0)</f>
        <v>13</v>
      </c>
      <c r="Q1455" s="2">
        <f>IFERROR(__xludf.DUMMYFUNCTION("""COMPUTED_VALUE"""),1.0)</f>
        <v>1</v>
      </c>
    </row>
    <row r="1456">
      <c r="P1456" s="2">
        <f>IFERROR(__xludf.DUMMYFUNCTION("""COMPUTED_VALUE"""),13.0)</f>
        <v>13</v>
      </c>
      <c r="Q1456" s="2">
        <f>IFERROR(__xludf.DUMMYFUNCTION("""COMPUTED_VALUE"""),1.0)</f>
        <v>1</v>
      </c>
    </row>
    <row r="1457">
      <c r="P1457" s="2">
        <f>IFERROR(__xludf.DUMMYFUNCTION("""COMPUTED_VALUE"""),13.0)</f>
        <v>13</v>
      </c>
      <c r="Q1457" s="2">
        <f>IFERROR(__xludf.DUMMYFUNCTION("""COMPUTED_VALUE"""),1.0)</f>
        <v>1</v>
      </c>
    </row>
    <row r="1458">
      <c r="P1458" s="2">
        <f>IFERROR(__xludf.DUMMYFUNCTION("""COMPUTED_VALUE"""),13.0)</f>
        <v>13</v>
      </c>
      <c r="Q1458" s="2">
        <f>IFERROR(__xludf.DUMMYFUNCTION("""COMPUTED_VALUE"""),1.0)</f>
        <v>1</v>
      </c>
    </row>
    <row r="1459">
      <c r="P1459" s="2">
        <f>IFERROR(__xludf.DUMMYFUNCTION("""COMPUTED_VALUE"""),13.0)</f>
        <v>13</v>
      </c>
      <c r="Q1459" s="2">
        <f>IFERROR(__xludf.DUMMYFUNCTION("""COMPUTED_VALUE"""),6.0)</f>
        <v>6</v>
      </c>
    </row>
    <row r="1460">
      <c r="P1460" s="2">
        <f>IFERROR(__xludf.DUMMYFUNCTION("""COMPUTED_VALUE"""),13.0)</f>
        <v>13</v>
      </c>
      <c r="Q1460" s="2">
        <f>IFERROR(__xludf.DUMMYFUNCTION("""COMPUTED_VALUE"""),6.0)</f>
        <v>6</v>
      </c>
    </row>
    <row r="1461">
      <c r="P1461" s="2">
        <f>IFERROR(__xludf.DUMMYFUNCTION("""COMPUTED_VALUE"""),13.0)</f>
        <v>13</v>
      </c>
      <c r="Q1461" s="2">
        <f>IFERROR(__xludf.DUMMYFUNCTION("""COMPUTED_VALUE"""),6.0)</f>
        <v>6</v>
      </c>
    </row>
    <row r="1462">
      <c r="P1462" s="2">
        <f>IFERROR(__xludf.DUMMYFUNCTION("""COMPUTED_VALUE"""),13.0)</f>
        <v>13</v>
      </c>
      <c r="Q1462" s="2">
        <f>IFERROR(__xludf.DUMMYFUNCTION("""COMPUTED_VALUE"""),1.0)</f>
        <v>1</v>
      </c>
    </row>
    <row r="1463">
      <c r="P1463" s="2">
        <f>IFERROR(__xludf.DUMMYFUNCTION("""COMPUTED_VALUE"""),13.0)</f>
        <v>13</v>
      </c>
      <c r="Q1463" s="2">
        <f>IFERROR(__xludf.DUMMYFUNCTION("""COMPUTED_VALUE"""),6.0)</f>
        <v>6</v>
      </c>
    </row>
    <row r="1464">
      <c r="P1464" s="2">
        <f>IFERROR(__xludf.DUMMYFUNCTION("""COMPUTED_VALUE"""),13.0)</f>
        <v>13</v>
      </c>
      <c r="Q1464" s="2">
        <f>IFERROR(__xludf.DUMMYFUNCTION("""COMPUTED_VALUE"""),4.0)</f>
        <v>4</v>
      </c>
    </row>
    <row r="1465">
      <c r="P1465" s="2">
        <f>IFERROR(__xludf.DUMMYFUNCTION("""COMPUTED_VALUE"""),13.0)</f>
        <v>13</v>
      </c>
      <c r="Q1465" s="2">
        <f>IFERROR(__xludf.DUMMYFUNCTION("""COMPUTED_VALUE"""),6.0)</f>
        <v>6</v>
      </c>
    </row>
    <row r="1466">
      <c r="P1466" s="2">
        <f>IFERROR(__xludf.DUMMYFUNCTION("""COMPUTED_VALUE"""),13.0)</f>
        <v>13</v>
      </c>
      <c r="Q1466" s="2">
        <f>IFERROR(__xludf.DUMMYFUNCTION("""COMPUTED_VALUE"""),1.0)</f>
        <v>1</v>
      </c>
    </row>
    <row r="1467">
      <c r="P1467" s="2">
        <f>IFERROR(__xludf.DUMMYFUNCTION("""COMPUTED_VALUE"""),13.0)</f>
        <v>13</v>
      </c>
      <c r="Q1467" s="2">
        <f>IFERROR(__xludf.DUMMYFUNCTION("""COMPUTED_VALUE"""),5.0)</f>
        <v>5</v>
      </c>
    </row>
    <row r="1468">
      <c r="P1468" s="2">
        <f>IFERROR(__xludf.DUMMYFUNCTION("""COMPUTED_VALUE"""),13.0)</f>
        <v>13</v>
      </c>
      <c r="Q1468" s="2">
        <f>IFERROR(__xludf.DUMMYFUNCTION("""COMPUTED_VALUE"""),3.0)</f>
        <v>3</v>
      </c>
    </row>
    <row r="1469">
      <c r="P1469" s="2">
        <f>IFERROR(__xludf.DUMMYFUNCTION("""COMPUTED_VALUE"""),13.0)</f>
        <v>13</v>
      </c>
      <c r="Q1469" s="2">
        <f>IFERROR(__xludf.DUMMYFUNCTION("""COMPUTED_VALUE"""),5.0)</f>
        <v>5</v>
      </c>
    </row>
    <row r="1470">
      <c r="P1470" s="2">
        <f>IFERROR(__xludf.DUMMYFUNCTION("""COMPUTED_VALUE"""),13.0)</f>
        <v>13</v>
      </c>
      <c r="Q1470" s="2">
        <f>IFERROR(__xludf.DUMMYFUNCTION("""COMPUTED_VALUE"""),5.0)</f>
        <v>5</v>
      </c>
    </row>
    <row r="1471">
      <c r="P1471" s="2">
        <f>IFERROR(__xludf.DUMMYFUNCTION("""COMPUTED_VALUE"""),13.0)</f>
        <v>13</v>
      </c>
      <c r="Q1471" s="2">
        <f>IFERROR(__xludf.DUMMYFUNCTION("""COMPUTED_VALUE"""),5.0)</f>
        <v>5</v>
      </c>
    </row>
    <row r="1472">
      <c r="P1472" s="2">
        <f>IFERROR(__xludf.DUMMYFUNCTION("""COMPUTED_VALUE"""),13.0)</f>
        <v>13</v>
      </c>
      <c r="Q1472" s="2">
        <f>IFERROR(__xludf.DUMMYFUNCTION("""COMPUTED_VALUE"""),2.0)</f>
        <v>2</v>
      </c>
    </row>
    <row r="1473">
      <c r="P1473" s="2">
        <f>IFERROR(__xludf.DUMMYFUNCTION("""COMPUTED_VALUE"""),13.0)</f>
        <v>13</v>
      </c>
      <c r="Q1473" s="2">
        <f>IFERROR(__xludf.DUMMYFUNCTION("""COMPUTED_VALUE"""),2.0)</f>
        <v>2</v>
      </c>
    </row>
    <row r="1474">
      <c r="P1474" s="2">
        <f>IFERROR(__xludf.DUMMYFUNCTION("""COMPUTED_VALUE"""),13.0)</f>
        <v>13</v>
      </c>
      <c r="Q1474" s="2">
        <f>IFERROR(__xludf.DUMMYFUNCTION("""COMPUTED_VALUE"""),2.0)</f>
        <v>2</v>
      </c>
    </row>
    <row r="1475">
      <c r="P1475" s="2">
        <f>IFERROR(__xludf.DUMMYFUNCTION("""COMPUTED_VALUE"""),13.0)</f>
        <v>13</v>
      </c>
      <c r="Q1475" s="2">
        <f>IFERROR(__xludf.DUMMYFUNCTION("""COMPUTED_VALUE"""),1.0)</f>
        <v>1</v>
      </c>
    </row>
    <row r="1476">
      <c r="P1476" s="2">
        <f>IFERROR(__xludf.DUMMYFUNCTION("""COMPUTED_VALUE"""),13.0)</f>
        <v>13</v>
      </c>
      <c r="Q1476" s="2">
        <f>IFERROR(__xludf.DUMMYFUNCTION("""COMPUTED_VALUE"""),12.0)</f>
        <v>12</v>
      </c>
    </row>
    <row r="1477">
      <c r="P1477" s="2">
        <f>IFERROR(__xludf.DUMMYFUNCTION("""COMPUTED_VALUE"""),13.0)</f>
        <v>13</v>
      </c>
      <c r="Q1477" s="2">
        <f>IFERROR(__xludf.DUMMYFUNCTION("""COMPUTED_VALUE"""),1.0)</f>
        <v>1</v>
      </c>
    </row>
    <row r="1478">
      <c r="P1478" s="2">
        <f>IFERROR(__xludf.DUMMYFUNCTION("""COMPUTED_VALUE"""),13.0)</f>
        <v>13</v>
      </c>
      <c r="Q1478" s="2">
        <f>IFERROR(__xludf.DUMMYFUNCTION("""COMPUTED_VALUE"""),1.0)</f>
        <v>1</v>
      </c>
    </row>
    <row r="1479">
      <c r="P1479" s="2">
        <f>IFERROR(__xludf.DUMMYFUNCTION("""COMPUTED_VALUE"""),13.0)</f>
        <v>13</v>
      </c>
      <c r="Q1479" s="2">
        <f>IFERROR(__xludf.DUMMYFUNCTION("""COMPUTED_VALUE"""),1.0)</f>
        <v>1</v>
      </c>
    </row>
    <row r="1480">
      <c r="P1480" s="2">
        <f>IFERROR(__xludf.DUMMYFUNCTION("""COMPUTED_VALUE"""),13.0)</f>
        <v>13</v>
      </c>
      <c r="Q1480" s="2">
        <f>IFERROR(__xludf.DUMMYFUNCTION("""COMPUTED_VALUE"""),2.0)</f>
        <v>2</v>
      </c>
    </row>
    <row r="1481">
      <c r="P1481" s="2">
        <f>IFERROR(__xludf.DUMMYFUNCTION("""COMPUTED_VALUE"""),13.0)</f>
        <v>13</v>
      </c>
      <c r="Q1481" s="2">
        <f>IFERROR(__xludf.DUMMYFUNCTION("""COMPUTED_VALUE"""),2.0)</f>
        <v>2</v>
      </c>
    </row>
    <row r="1482">
      <c r="P1482" s="2">
        <f>IFERROR(__xludf.DUMMYFUNCTION("""COMPUTED_VALUE"""),13.0)</f>
        <v>13</v>
      </c>
      <c r="Q1482" s="2">
        <f>IFERROR(__xludf.DUMMYFUNCTION("""COMPUTED_VALUE"""),2.0)</f>
        <v>2</v>
      </c>
    </row>
    <row r="1483">
      <c r="P1483" s="2">
        <f>IFERROR(__xludf.DUMMYFUNCTION("""COMPUTED_VALUE"""),13.0)</f>
        <v>13</v>
      </c>
      <c r="Q1483" s="2">
        <f>IFERROR(__xludf.DUMMYFUNCTION("""COMPUTED_VALUE"""),2.0)</f>
        <v>2</v>
      </c>
    </row>
    <row r="1484">
      <c r="P1484" s="2">
        <f>IFERROR(__xludf.DUMMYFUNCTION("""COMPUTED_VALUE"""),13.0)</f>
        <v>13</v>
      </c>
      <c r="Q1484" s="2">
        <f>IFERROR(__xludf.DUMMYFUNCTION("""COMPUTED_VALUE"""),2.0)</f>
        <v>2</v>
      </c>
    </row>
    <row r="1485">
      <c r="P1485" s="2">
        <f>IFERROR(__xludf.DUMMYFUNCTION("""COMPUTED_VALUE"""),13.0)</f>
        <v>13</v>
      </c>
      <c r="Q1485" s="2">
        <f>IFERROR(__xludf.DUMMYFUNCTION("""COMPUTED_VALUE"""),2.0)</f>
        <v>2</v>
      </c>
    </row>
    <row r="1486">
      <c r="P1486" s="2">
        <f>IFERROR(__xludf.DUMMYFUNCTION("""COMPUTED_VALUE"""),13.0)</f>
        <v>13</v>
      </c>
      <c r="Q1486" s="2">
        <f>IFERROR(__xludf.DUMMYFUNCTION("""COMPUTED_VALUE"""),2.0)</f>
        <v>2</v>
      </c>
    </row>
    <row r="1487">
      <c r="P1487" s="2">
        <f>IFERROR(__xludf.DUMMYFUNCTION("""COMPUTED_VALUE"""),13.0)</f>
        <v>13</v>
      </c>
      <c r="Q1487" s="2">
        <f>IFERROR(__xludf.DUMMYFUNCTION("""COMPUTED_VALUE"""),3.0)</f>
        <v>3</v>
      </c>
    </row>
    <row r="1488">
      <c r="P1488" s="2">
        <f>IFERROR(__xludf.DUMMYFUNCTION("""COMPUTED_VALUE"""),13.0)</f>
        <v>13</v>
      </c>
      <c r="Q1488" s="2">
        <f>IFERROR(__xludf.DUMMYFUNCTION("""COMPUTED_VALUE"""),24.0)</f>
        <v>24</v>
      </c>
    </row>
    <row r="1489">
      <c r="P1489" s="2">
        <f>IFERROR(__xludf.DUMMYFUNCTION("""COMPUTED_VALUE"""),13.0)</f>
        <v>13</v>
      </c>
      <c r="Q1489" s="2">
        <f>IFERROR(__xludf.DUMMYFUNCTION("""COMPUTED_VALUE"""),12.0)</f>
        <v>12</v>
      </c>
    </row>
    <row r="1490">
      <c r="P1490" s="2">
        <f>IFERROR(__xludf.DUMMYFUNCTION("""COMPUTED_VALUE"""),13.0)</f>
        <v>13</v>
      </c>
      <c r="Q1490" s="2">
        <f>IFERROR(__xludf.DUMMYFUNCTION("""COMPUTED_VALUE"""),1.0)</f>
        <v>1</v>
      </c>
    </row>
    <row r="1491">
      <c r="P1491" s="2">
        <f>IFERROR(__xludf.DUMMYFUNCTION("""COMPUTED_VALUE"""),13.0)</f>
        <v>13</v>
      </c>
      <c r="Q1491" s="2">
        <f>IFERROR(__xludf.DUMMYFUNCTION("""COMPUTED_VALUE"""),12.0)</f>
        <v>12</v>
      </c>
    </row>
    <row r="1492">
      <c r="P1492" s="2">
        <f>IFERROR(__xludf.DUMMYFUNCTION("""COMPUTED_VALUE"""),13.0)</f>
        <v>13</v>
      </c>
      <c r="Q1492" s="2">
        <f>IFERROR(__xludf.DUMMYFUNCTION("""COMPUTED_VALUE"""),12.0)</f>
        <v>12</v>
      </c>
    </row>
    <row r="1493">
      <c r="P1493" s="2">
        <f>IFERROR(__xludf.DUMMYFUNCTION("""COMPUTED_VALUE"""),13.0)</f>
        <v>13</v>
      </c>
      <c r="Q1493" s="2">
        <f>IFERROR(__xludf.DUMMYFUNCTION("""COMPUTED_VALUE"""),6.0)</f>
        <v>6</v>
      </c>
    </row>
    <row r="1494">
      <c r="P1494" s="2">
        <f>IFERROR(__xludf.DUMMYFUNCTION("""COMPUTED_VALUE"""),13.0)</f>
        <v>13</v>
      </c>
      <c r="Q1494" s="2">
        <f>IFERROR(__xludf.DUMMYFUNCTION("""COMPUTED_VALUE"""),24.0)</f>
        <v>24</v>
      </c>
    </row>
    <row r="1495">
      <c r="P1495" s="2">
        <f>IFERROR(__xludf.DUMMYFUNCTION("""COMPUTED_VALUE"""),13.0)</f>
        <v>13</v>
      </c>
      <c r="Q1495" s="2">
        <f>IFERROR(__xludf.DUMMYFUNCTION("""COMPUTED_VALUE"""),3.0)</f>
        <v>3</v>
      </c>
    </row>
    <row r="1496">
      <c r="P1496" s="2">
        <f>IFERROR(__xludf.DUMMYFUNCTION("""COMPUTED_VALUE"""),13.0)</f>
        <v>13</v>
      </c>
      <c r="Q1496" s="2">
        <f>IFERROR(__xludf.DUMMYFUNCTION("""COMPUTED_VALUE"""),4.0)</f>
        <v>4</v>
      </c>
    </row>
    <row r="1497">
      <c r="P1497" s="2">
        <f>IFERROR(__xludf.DUMMYFUNCTION("""COMPUTED_VALUE"""),13.0)</f>
        <v>13</v>
      </c>
      <c r="Q1497" s="2">
        <f>IFERROR(__xludf.DUMMYFUNCTION("""COMPUTED_VALUE"""),5.0)</f>
        <v>5</v>
      </c>
    </row>
    <row r="1498">
      <c r="P1498" s="2">
        <f>IFERROR(__xludf.DUMMYFUNCTION("""COMPUTED_VALUE"""),13.0)</f>
        <v>13</v>
      </c>
      <c r="Q1498" s="2">
        <f>IFERROR(__xludf.DUMMYFUNCTION("""COMPUTED_VALUE"""),12.0)</f>
        <v>12</v>
      </c>
    </row>
    <row r="1499">
      <c r="P1499" s="2">
        <f>IFERROR(__xludf.DUMMYFUNCTION("""COMPUTED_VALUE"""),13.0)</f>
        <v>13</v>
      </c>
      <c r="Q1499" s="2">
        <f>IFERROR(__xludf.DUMMYFUNCTION("""COMPUTED_VALUE"""),1.0)</f>
        <v>1</v>
      </c>
    </row>
    <row r="1500">
      <c r="P1500" s="2">
        <f>IFERROR(__xludf.DUMMYFUNCTION("""COMPUTED_VALUE"""),13.0)</f>
        <v>13</v>
      </c>
      <c r="Q1500" s="2">
        <f>IFERROR(__xludf.DUMMYFUNCTION("""COMPUTED_VALUE"""),30.0)</f>
        <v>30</v>
      </c>
    </row>
    <row r="1501">
      <c r="P1501" s="2">
        <f>IFERROR(__xludf.DUMMYFUNCTION("""COMPUTED_VALUE"""),13.0)</f>
        <v>13</v>
      </c>
      <c r="Q1501" s="2">
        <f>IFERROR(__xludf.DUMMYFUNCTION("""COMPUTED_VALUE"""),1.0)</f>
        <v>1</v>
      </c>
    </row>
    <row r="1502">
      <c r="P1502" s="2">
        <f>IFERROR(__xludf.DUMMYFUNCTION("""COMPUTED_VALUE"""),13.0)</f>
        <v>13</v>
      </c>
      <c r="Q1502" s="2">
        <f>IFERROR(__xludf.DUMMYFUNCTION("""COMPUTED_VALUE"""),12.0)</f>
        <v>12</v>
      </c>
    </row>
    <row r="1503">
      <c r="P1503" s="2">
        <f>IFERROR(__xludf.DUMMYFUNCTION("""COMPUTED_VALUE"""),13.0)</f>
        <v>13</v>
      </c>
      <c r="Q1503" s="2">
        <f>IFERROR(__xludf.DUMMYFUNCTION("""COMPUTED_VALUE"""),12.0)</f>
        <v>12</v>
      </c>
    </row>
    <row r="1504">
      <c r="P1504" s="2">
        <f>IFERROR(__xludf.DUMMYFUNCTION("""COMPUTED_VALUE"""),13.0)</f>
        <v>13</v>
      </c>
      <c r="Q1504" s="2">
        <f>IFERROR(__xludf.DUMMYFUNCTION("""COMPUTED_VALUE"""),4.0)</f>
        <v>4</v>
      </c>
    </row>
    <row r="1505">
      <c r="P1505" s="2">
        <f>IFERROR(__xludf.DUMMYFUNCTION("""COMPUTED_VALUE"""),13.0)</f>
        <v>13</v>
      </c>
      <c r="Q1505" s="2">
        <f>IFERROR(__xludf.DUMMYFUNCTION("""COMPUTED_VALUE"""),1.0)</f>
        <v>1</v>
      </c>
    </row>
    <row r="1506">
      <c r="P1506" s="2">
        <f>IFERROR(__xludf.DUMMYFUNCTION("""COMPUTED_VALUE"""),13.0)</f>
        <v>13</v>
      </c>
      <c r="Q1506" s="2">
        <f>IFERROR(__xludf.DUMMYFUNCTION("""COMPUTED_VALUE"""),4.0)</f>
        <v>4</v>
      </c>
    </row>
    <row r="1507">
      <c r="P1507" s="2">
        <f>IFERROR(__xludf.DUMMYFUNCTION("""COMPUTED_VALUE"""),13.0)</f>
        <v>13</v>
      </c>
      <c r="Q1507" s="2">
        <f>IFERROR(__xludf.DUMMYFUNCTION("""COMPUTED_VALUE"""),4.0)</f>
        <v>4</v>
      </c>
    </row>
    <row r="1508">
      <c r="P1508" s="2">
        <f>IFERROR(__xludf.DUMMYFUNCTION("""COMPUTED_VALUE"""),13.0)</f>
        <v>13</v>
      </c>
      <c r="Q1508" s="2">
        <f>IFERROR(__xludf.DUMMYFUNCTION("""COMPUTED_VALUE"""),4.0)</f>
        <v>4</v>
      </c>
    </row>
    <row r="1509">
      <c r="P1509" s="2">
        <f>IFERROR(__xludf.DUMMYFUNCTION("""COMPUTED_VALUE"""),13.0)</f>
        <v>13</v>
      </c>
      <c r="Q1509" s="2">
        <f>IFERROR(__xludf.DUMMYFUNCTION("""COMPUTED_VALUE"""),11.0)</f>
        <v>11</v>
      </c>
    </row>
    <row r="1510">
      <c r="P1510" s="2">
        <f>IFERROR(__xludf.DUMMYFUNCTION("""COMPUTED_VALUE"""),13.0)</f>
        <v>13</v>
      </c>
      <c r="Q1510" s="2">
        <f>IFERROR(__xludf.DUMMYFUNCTION("""COMPUTED_VALUE"""),3.0)</f>
        <v>3</v>
      </c>
    </row>
    <row r="1511">
      <c r="P1511" s="2">
        <f>IFERROR(__xludf.DUMMYFUNCTION("""COMPUTED_VALUE"""),13.0)</f>
        <v>13</v>
      </c>
      <c r="Q1511" s="2">
        <f>IFERROR(__xludf.DUMMYFUNCTION("""COMPUTED_VALUE"""),7.0)</f>
        <v>7</v>
      </c>
    </row>
    <row r="1512">
      <c r="P1512" s="2">
        <f>IFERROR(__xludf.DUMMYFUNCTION("""COMPUTED_VALUE"""),13.0)</f>
        <v>13</v>
      </c>
      <c r="Q1512" s="2">
        <f>IFERROR(__xludf.DUMMYFUNCTION("""COMPUTED_VALUE"""),60.0)</f>
        <v>60</v>
      </c>
    </row>
    <row r="1513">
      <c r="P1513" s="2">
        <f>IFERROR(__xludf.DUMMYFUNCTION("""COMPUTED_VALUE"""),13.0)</f>
        <v>13</v>
      </c>
      <c r="Q1513" s="2">
        <f>IFERROR(__xludf.DUMMYFUNCTION("""COMPUTED_VALUE"""),6.0)</f>
        <v>6</v>
      </c>
    </row>
    <row r="1514">
      <c r="P1514" s="2">
        <f>IFERROR(__xludf.DUMMYFUNCTION("""COMPUTED_VALUE"""),13.0)</f>
        <v>13</v>
      </c>
      <c r="Q1514" s="2">
        <f>IFERROR(__xludf.DUMMYFUNCTION("""COMPUTED_VALUE"""),6.0)</f>
        <v>6</v>
      </c>
    </row>
    <row r="1515">
      <c r="P1515" s="2">
        <f>IFERROR(__xludf.DUMMYFUNCTION("""COMPUTED_VALUE"""),13.0)</f>
        <v>13</v>
      </c>
      <c r="Q1515" s="2">
        <f>IFERROR(__xludf.DUMMYFUNCTION("""COMPUTED_VALUE"""),12.0)</f>
        <v>12</v>
      </c>
    </row>
    <row r="1516">
      <c r="P1516" s="2">
        <f>IFERROR(__xludf.DUMMYFUNCTION("""COMPUTED_VALUE"""),13.0)</f>
        <v>13</v>
      </c>
      <c r="Q1516" s="2">
        <f>IFERROR(__xludf.DUMMYFUNCTION("""COMPUTED_VALUE"""),4.0)</f>
        <v>4</v>
      </c>
    </row>
    <row r="1517">
      <c r="P1517" s="2">
        <f>IFERROR(__xludf.DUMMYFUNCTION("""COMPUTED_VALUE"""),13.0)</f>
        <v>13</v>
      </c>
      <c r="Q1517" s="2">
        <f>IFERROR(__xludf.DUMMYFUNCTION("""COMPUTED_VALUE"""),3.0)</f>
        <v>3</v>
      </c>
    </row>
    <row r="1518">
      <c r="P1518" s="2">
        <f>IFERROR(__xludf.DUMMYFUNCTION("""COMPUTED_VALUE"""),13.0)</f>
        <v>13</v>
      </c>
      <c r="Q1518" s="2">
        <f>IFERROR(__xludf.DUMMYFUNCTION("""COMPUTED_VALUE"""),3.0)</f>
        <v>3</v>
      </c>
    </row>
    <row r="1519">
      <c r="P1519" s="2">
        <f>IFERROR(__xludf.DUMMYFUNCTION("""COMPUTED_VALUE"""),13.0)</f>
        <v>13</v>
      </c>
      <c r="Q1519" s="2">
        <f>IFERROR(__xludf.DUMMYFUNCTION("""COMPUTED_VALUE"""),2.0)</f>
        <v>2</v>
      </c>
    </row>
    <row r="1520">
      <c r="P1520" s="2">
        <f>IFERROR(__xludf.DUMMYFUNCTION("""COMPUTED_VALUE"""),13.0)</f>
        <v>13</v>
      </c>
      <c r="Q1520" s="2">
        <f>IFERROR(__xludf.DUMMYFUNCTION("""COMPUTED_VALUE"""),2.0)</f>
        <v>2</v>
      </c>
    </row>
    <row r="1521">
      <c r="P1521" s="2">
        <f>IFERROR(__xludf.DUMMYFUNCTION("""COMPUTED_VALUE"""),13.0)</f>
        <v>13</v>
      </c>
      <c r="Q1521" s="2">
        <f>IFERROR(__xludf.DUMMYFUNCTION("""COMPUTED_VALUE"""),2.0)</f>
        <v>2</v>
      </c>
    </row>
    <row r="1522">
      <c r="P1522" s="2">
        <f>IFERROR(__xludf.DUMMYFUNCTION("""COMPUTED_VALUE"""),13.0)</f>
        <v>13</v>
      </c>
      <c r="Q1522" s="2">
        <f>IFERROR(__xludf.DUMMYFUNCTION("""COMPUTED_VALUE"""),2.0)</f>
        <v>2</v>
      </c>
    </row>
    <row r="1523">
      <c r="P1523" s="2">
        <f>IFERROR(__xludf.DUMMYFUNCTION("""COMPUTED_VALUE"""),13.0)</f>
        <v>13</v>
      </c>
      <c r="Q1523" s="2">
        <f>IFERROR(__xludf.DUMMYFUNCTION("""COMPUTED_VALUE"""),2.0)</f>
        <v>2</v>
      </c>
    </row>
    <row r="1524">
      <c r="P1524" s="2">
        <f>IFERROR(__xludf.DUMMYFUNCTION("""COMPUTED_VALUE"""),13.0)</f>
        <v>13</v>
      </c>
      <c r="Q1524" s="2">
        <f>IFERROR(__xludf.DUMMYFUNCTION("""COMPUTED_VALUE"""),2.0)</f>
        <v>2</v>
      </c>
    </row>
    <row r="1525">
      <c r="P1525" s="2">
        <f>IFERROR(__xludf.DUMMYFUNCTION("""COMPUTED_VALUE"""),13.0)</f>
        <v>13</v>
      </c>
      <c r="Q1525" s="2">
        <f>IFERROR(__xludf.DUMMYFUNCTION("""COMPUTED_VALUE"""),1.0)</f>
        <v>1</v>
      </c>
    </row>
    <row r="1526">
      <c r="P1526" s="2">
        <f>IFERROR(__xludf.DUMMYFUNCTION("""COMPUTED_VALUE"""),13.0)</f>
        <v>13</v>
      </c>
      <c r="Q1526" s="2">
        <f>IFERROR(__xludf.DUMMYFUNCTION("""COMPUTED_VALUE"""),2.0)</f>
        <v>2</v>
      </c>
    </row>
    <row r="1527">
      <c r="P1527" s="2">
        <f>IFERROR(__xludf.DUMMYFUNCTION("""COMPUTED_VALUE"""),13.0)</f>
        <v>13</v>
      </c>
      <c r="Q1527" s="2">
        <f>IFERROR(__xludf.DUMMYFUNCTION("""COMPUTED_VALUE"""),2.0)</f>
        <v>2</v>
      </c>
    </row>
    <row r="1528">
      <c r="P1528" s="2">
        <f>IFERROR(__xludf.DUMMYFUNCTION("""COMPUTED_VALUE"""),13.0)</f>
        <v>13</v>
      </c>
      <c r="Q1528" s="2">
        <f>IFERROR(__xludf.DUMMYFUNCTION("""COMPUTED_VALUE"""),2.0)</f>
        <v>2</v>
      </c>
    </row>
    <row r="1529">
      <c r="P1529" s="2">
        <f>IFERROR(__xludf.DUMMYFUNCTION("""COMPUTED_VALUE"""),13.0)</f>
        <v>13</v>
      </c>
      <c r="Q1529" s="2">
        <f>IFERROR(__xludf.DUMMYFUNCTION("""COMPUTED_VALUE"""),2.0)</f>
        <v>2</v>
      </c>
    </row>
    <row r="1530">
      <c r="P1530" s="2">
        <f>IFERROR(__xludf.DUMMYFUNCTION("""COMPUTED_VALUE"""),13.0)</f>
        <v>13</v>
      </c>
      <c r="Q1530" s="2">
        <f>IFERROR(__xludf.DUMMYFUNCTION("""COMPUTED_VALUE"""),2.0)</f>
        <v>2</v>
      </c>
    </row>
    <row r="1531">
      <c r="P1531" s="2">
        <f>IFERROR(__xludf.DUMMYFUNCTION("""COMPUTED_VALUE"""),13.0)</f>
        <v>13</v>
      </c>
      <c r="Q1531" s="2">
        <f>IFERROR(__xludf.DUMMYFUNCTION("""COMPUTED_VALUE"""),2.0)</f>
        <v>2</v>
      </c>
    </row>
    <row r="1532">
      <c r="P1532" s="2">
        <f>IFERROR(__xludf.DUMMYFUNCTION("""COMPUTED_VALUE"""),13.0)</f>
        <v>13</v>
      </c>
      <c r="Q1532" s="2">
        <f>IFERROR(__xludf.DUMMYFUNCTION("""COMPUTED_VALUE"""),4.0)</f>
        <v>4</v>
      </c>
    </row>
    <row r="1533">
      <c r="P1533" s="2">
        <f>IFERROR(__xludf.DUMMYFUNCTION("""COMPUTED_VALUE"""),13.0)</f>
        <v>13</v>
      </c>
      <c r="Q1533" s="2">
        <f>IFERROR(__xludf.DUMMYFUNCTION("""COMPUTED_VALUE"""),4.0)</f>
        <v>4</v>
      </c>
    </row>
    <row r="1534">
      <c r="P1534" s="2">
        <f>IFERROR(__xludf.DUMMYFUNCTION("""COMPUTED_VALUE"""),13.0)</f>
        <v>13</v>
      </c>
      <c r="Q1534" s="2">
        <f>IFERROR(__xludf.DUMMYFUNCTION("""COMPUTED_VALUE"""),2.0)</f>
        <v>2</v>
      </c>
    </row>
    <row r="1535">
      <c r="P1535" s="2">
        <f>IFERROR(__xludf.DUMMYFUNCTION("""COMPUTED_VALUE"""),13.0)</f>
        <v>13</v>
      </c>
      <c r="Q1535" s="2">
        <f>IFERROR(__xludf.DUMMYFUNCTION("""COMPUTED_VALUE"""),2.0)</f>
        <v>2</v>
      </c>
    </row>
    <row r="1536">
      <c r="P1536" s="2">
        <f>IFERROR(__xludf.DUMMYFUNCTION("""COMPUTED_VALUE"""),13.0)</f>
        <v>13</v>
      </c>
      <c r="Q1536" s="2">
        <f>IFERROR(__xludf.DUMMYFUNCTION("""COMPUTED_VALUE"""),2.0)</f>
        <v>2</v>
      </c>
    </row>
    <row r="1537">
      <c r="P1537" s="2">
        <f>IFERROR(__xludf.DUMMYFUNCTION("""COMPUTED_VALUE"""),13.0)</f>
        <v>13</v>
      </c>
      <c r="Q1537" s="2">
        <f>IFERROR(__xludf.DUMMYFUNCTION("""COMPUTED_VALUE"""),2.0)</f>
        <v>2</v>
      </c>
    </row>
    <row r="1538">
      <c r="P1538" s="2">
        <f>IFERROR(__xludf.DUMMYFUNCTION("""COMPUTED_VALUE"""),13.0)</f>
        <v>13</v>
      </c>
      <c r="Q1538" s="2">
        <f>IFERROR(__xludf.DUMMYFUNCTION("""COMPUTED_VALUE"""),12.0)</f>
        <v>12</v>
      </c>
    </row>
    <row r="1539">
      <c r="P1539" s="2">
        <f>IFERROR(__xludf.DUMMYFUNCTION("""COMPUTED_VALUE"""),13.0)</f>
        <v>13</v>
      </c>
      <c r="Q1539" s="2">
        <f>IFERROR(__xludf.DUMMYFUNCTION("""COMPUTED_VALUE"""),12.0)</f>
        <v>12</v>
      </c>
    </row>
    <row r="1540">
      <c r="P1540" s="2">
        <f>IFERROR(__xludf.DUMMYFUNCTION("""COMPUTED_VALUE"""),13.0)</f>
        <v>13</v>
      </c>
      <c r="Q1540" s="2">
        <f>IFERROR(__xludf.DUMMYFUNCTION("""COMPUTED_VALUE"""),12.0)</f>
        <v>12</v>
      </c>
    </row>
    <row r="1541">
      <c r="P1541" s="2">
        <f>IFERROR(__xludf.DUMMYFUNCTION("""COMPUTED_VALUE"""),13.0)</f>
        <v>13</v>
      </c>
      <c r="Q1541" s="2">
        <f>IFERROR(__xludf.DUMMYFUNCTION("""COMPUTED_VALUE"""),3.0)</f>
        <v>3</v>
      </c>
    </row>
    <row r="1542">
      <c r="P1542" s="2">
        <f>IFERROR(__xludf.DUMMYFUNCTION("""COMPUTED_VALUE"""),13.0)</f>
        <v>13</v>
      </c>
      <c r="Q1542" s="2">
        <f>IFERROR(__xludf.DUMMYFUNCTION("""COMPUTED_VALUE"""),3.0)</f>
        <v>3</v>
      </c>
    </row>
    <row r="1543">
      <c r="P1543" s="2">
        <f>IFERROR(__xludf.DUMMYFUNCTION("""COMPUTED_VALUE"""),13.0)</f>
        <v>13</v>
      </c>
      <c r="Q1543" s="2">
        <f>IFERROR(__xludf.DUMMYFUNCTION("""COMPUTED_VALUE"""),2.0)</f>
        <v>2</v>
      </c>
    </row>
    <row r="1544">
      <c r="P1544" s="2">
        <f>IFERROR(__xludf.DUMMYFUNCTION("""COMPUTED_VALUE"""),13.0)</f>
        <v>13</v>
      </c>
      <c r="Q1544" s="2">
        <f>IFERROR(__xludf.DUMMYFUNCTION("""COMPUTED_VALUE"""),1.0)</f>
        <v>1</v>
      </c>
    </row>
    <row r="1545">
      <c r="P1545" s="2">
        <f>IFERROR(__xludf.DUMMYFUNCTION("""COMPUTED_VALUE"""),13.0)</f>
        <v>13</v>
      </c>
      <c r="Q1545" s="2">
        <f>IFERROR(__xludf.DUMMYFUNCTION("""COMPUTED_VALUE"""),1.0)</f>
        <v>1</v>
      </c>
    </row>
    <row r="1546">
      <c r="P1546" s="2">
        <f>IFERROR(__xludf.DUMMYFUNCTION("""COMPUTED_VALUE"""),13.0)</f>
        <v>13</v>
      </c>
      <c r="Q1546" s="2">
        <f>IFERROR(__xludf.DUMMYFUNCTION("""COMPUTED_VALUE"""),1.0)</f>
        <v>1</v>
      </c>
    </row>
    <row r="1547">
      <c r="P1547" s="2">
        <f>IFERROR(__xludf.DUMMYFUNCTION("""COMPUTED_VALUE"""),13.0)</f>
        <v>13</v>
      </c>
      <c r="Q1547" s="2">
        <f>IFERROR(__xludf.DUMMYFUNCTION("""COMPUTED_VALUE"""),1.0)</f>
        <v>1</v>
      </c>
    </row>
    <row r="1548">
      <c r="P1548" s="2">
        <f>IFERROR(__xludf.DUMMYFUNCTION("""COMPUTED_VALUE"""),13.0)</f>
        <v>13</v>
      </c>
      <c r="Q1548" s="2">
        <f>IFERROR(__xludf.DUMMYFUNCTION("""COMPUTED_VALUE"""),10.0)</f>
        <v>10</v>
      </c>
    </row>
    <row r="1549">
      <c r="P1549" s="2">
        <f>IFERROR(__xludf.DUMMYFUNCTION("""COMPUTED_VALUE"""),13.0)</f>
        <v>13</v>
      </c>
      <c r="Q1549" s="2">
        <f>IFERROR(__xludf.DUMMYFUNCTION("""COMPUTED_VALUE"""),10.0)</f>
        <v>10</v>
      </c>
    </row>
    <row r="1550">
      <c r="P1550" s="2">
        <f>IFERROR(__xludf.DUMMYFUNCTION("""COMPUTED_VALUE"""),13.0)</f>
        <v>13</v>
      </c>
      <c r="Q1550" s="2">
        <f>IFERROR(__xludf.DUMMYFUNCTION("""COMPUTED_VALUE"""),2.0)</f>
        <v>2</v>
      </c>
    </row>
    <row r="1551">
      <c r="P1551" s="2">
        <f>IFERROR(__xludf.DUMMYFUNCTION("""COMPUTED_VALUE"""),13.0)</f>
        <v>13</v>
      </c>
      <c r="Q1551" s="2">
        <f>IFERROR(__xludf.DUMMYFUNCTION("""COMPUTED_VALUE"""),2.0)</f>
        <v>2</v>
      </c>
    </row>
    <row r="1552">
      <c r="P1552" s="2">
        <f>IFERROR(__xludf.DUMMYFUNCTION("""COMPUTED_VALUE"""),13.0)</f>
        <v>13</v>
      </c>
      <c r="Q1552" s="2">
        <f>IFERROR(__xludf.DUMMYFUNCTION("""COMPUTED_VALUE"""),2.0)</f>
        <v>2</v>
      </c>
    </row>
    <row r="1553">
      <c r="P1553" s="2">
        <f>IFERROR(__xludf.DUMMYFUNCTION("""COMPUTED_VALUE"""),13.0)</f>
        <v>13</v>
      </c>
      <c r="Q1553" s="2">
        <f>IFERROR(__xludf.DUMMYFUNCTION("""COMPUTED_VALUE"""),2.0)</f>
        <v>2</v>
      </c>
    </row>
    <row r="1554">
      <c r="P1554" s="2">
        <f>IFERROR(__xludf.DUMMYFUNCTION("""COMPUTED_VALUE"""),13.0)</f>
        <v>13</v>
      </c>
      <c r="Q1554" s="2">
        <f>IFERROR(__xludf.DUMMYFUNCTION("""COMPUTED_VALUE"""),10.0)</f>
        <v>10</v>
      </c>
    </row>
    <row r="1555">
      <c r="P1555" s="2">
        <f>IFERROR(__xludf.DUMMYFUNCTION("""COMPUTED_VALUE"""),13.0)</f>
        <v>13</v>
      </c>
      <c r="Q1555" s="2">
        <f>IFERROR(__xludf.DUMMYFUNCTION("""COMPUTED_VALUE"""),12.0)</f>
        <v>12</v>
      </c>
    </row>
    <row r="1556">
      <c r="P1556" s="2">
        <f>IFERROR(__xludf.DUMMYFUNCTION("""COMPUTED_VALUE"""),13.0)</f>
        <v>13</v>
      </c>
      <c r="Q1556" s="2">
        <f>IFERROR(__xludf.DUMMYFUNCTION("""COMPUTED_VALUE"""),24.0)</f>
        <v>24</v>
      </c>
    </row>
    <row r="1557">
      <c r="P1557" s="2">
        <f>IFERROR(__xludf.DUMMYFUNCTION("""COMPUTED_VALUE"""),13.0)</f>
        <v>13</v>
      </c>
      <c r="Q1557" s="2">
        <f>IFERROR(__xludf.DUMMYFUNCTION("""COMPUTED_VALUE"""),24.0)</f>
        <v>24</v>
      </c>
    </row>
    <row r="1558">
      <c r="P1558" s="2">
        <f>IFERROR(__xludf.DUMMYFUNCTION("""COMPUTED_VALUE"""),13.0)</f>
        <v>13</v>
      </c>
      <c r="Q1558" s="2">
        <f>IFERROR(__xludf.DUMMYFUNCTION("""COMPUTED_VALUE"""),3.0)</f>
        <v>3</v>
      </c>
    </row>
    <row r="1559">
      <c r="P1559" s="2">
        <f>IFERROR(__xludf.DUMMYFUNCTION("""COMPUTED_VALUE"""),13.0)</f>
        <v>13</v>
      </c>
      <c r="Q1559" s="2">
        <f>IFERROR(__xludf.DUMMYFUNCTION("""COMPUTED_VALUE"""),4.0)</f>
        <v>4</v>
      </c>
    </row>
    <row r="1560">
      <c r="P1560" s="2">
        <f>IFERROR(__xludf.DUMMYFUNCTION("""COMPUTED_VALUE"""),13.0)</f>
        <v>13</v>
      </c>
      <c r="Q1560" s="2">
        <f>IFERROR(__xludf.DUMMYFUNCTION("""COMPUTED_VALUE"""),2.0)</f>
        <v>2</v>
      </c>
    </row>
    <row r="1561">
      <c r="P1561" s="2">
        <f>IFERROR(__xludf.DUMMYFUNCTION("""COMPUTED_VALUE"""),13.0)</f>
        <v>13</v>
      </c>
      <c r="Q1561" s="2">
        <f>IFERROR(__xludf.DUMMYFUNCTION("""COMPUTED_VALUE"""),2.0)</f>
        <v>2</v>
      </c>
    </row>
    <row r="1562">
      <c r="P1562" s="2">
        <f>IFERROR(__xludf.DUMMYFUNCTION("""COMPUTED_VALUE"""),13.0)</f>
        <v>13</v>
      </c>
      <c r="Q1562" s="2">
        <f>IFERROR(__xludf.DUMMYFUNCTION("""COMPUTED_VALUE"""),2.0)</f>
        <v>2</v>
      </c>
    </row>
    <row r="1563">
      <c r="P1563" s="2">
        <f>IFERROR(__xludf.DUMMYFUNCTION("""COMPUTED_VALUE"""),13.0)</f>
        <v>13</v>
      </c>
      <c r="Q1563" s="2">
        <f>IFERROR(__xludf.DUMMYFUNCTION("""COMPUTED_VALUE"""),5.0)</f>
        <v>5</v>
      </c>
    </row>
    <row r="1564">
      <c r="P1564" s="2">
        <f>IFERROR(__xludf.DUMMYFUNCTION("""COMPUTED_VALUE"""),13.0)</f>
        <v>13</v>
      </c>
      <c r="Q1564" s="2">
        <f>IFERROR(__xludf.DUMMYFUNCTION("""COMPUTED_VALUE"""),2.0)</f>
        <v>2</v>
      </c>
    </row>
    <row r="1565">
      <c r="P1565" s="2">
        <f>IFERROR(__xludf.DUMMYFUNCTION("""COMPUTED_VALUE"""),13.0)</f>
        <v>13</v>
      </c>
      <c r="Q1565" s="2">
        <f>IFERROR(__xludf.DUMMYFUNCTION("""COMPUTED_VALUE"""),1.0)</f>
        <v>1</v>
      </c>
    </row>
    <row r="1566">
      <c r="P1566" s="2">
        <f>IFERROR(__xludf.DUMMYFUNCTION("""COMPUTED_VALUE"""),13.0)</f>
        <v>13</v>
      </c>
      <c r="Q1566" s="2">
        <f>IFERROR(__xludf.DUMMYFUNCTION("""COMPUTED_VALUE"""),3.0)</f>
        <v>3</v>
      </c>
    </row>
    <row r="1567">
      <c r="P1567" s="2">
        <f>IFERROR(__xludf.DUMMYFUNCTION("""COMPUTED_VALUE"""),13.0)</f>
        <v>13</v>
      </c>
      <c r="Q1567" s="2">
        <f>IFERROR(__xludf.DUMMYFUNCTION("""COMPUTED_VALUE"""),1.0)</f>
        <v>1</v>
      </c>
    </row>
    <row r="1568">
      <c r="P1568" s="2">
        <f>IFERROR(__xludf.DUMMYFUNCTION("""COMPUTED_VALUE"""),13.0)</f>
        <v>13</v>
      </c>
      <c r="Q1568" s="2">
        <f>IFERROR(__xludf.DUMMYFUNCTION("""COMPUTED_VALUE"""),3.0)</f>
        <v>3</v>
      </c>
    </row>
    <row r="1569">
      <c r="P1569" s="2">
        <f>IFERROR(__xludf.DUMMYFUNCTION("""COMPUTED_VALUE"""),13.0)</f>
        <v>13</v>
      </c>
      <c r="Q1569" s="2">
        <f>IFERROR(__xludf.DUMMYFUNCTION("""COMPUTED_VALUE"""),3.0)</f>
        <v>3</v>
      </c>
    </row>
    <row r="1570">
      <c r="P1570" s="2">
        <f>IFERROR(__xludf.DUMMYFUNCTION("""COMPUTED_VALUE"""),13.0)</f>
        <v>13</v>
      </c>
      <c r="Q1570" s="2">
        <f>IFERROR(__xludf.DUMMYFUNCTION("""COMPUTED_VALUE"""),3.0)</f>
        <v>3</v>
      </c>
    </row>
    <row r="1571">
      <c r="P1571" s="2">
        <f>IFERROR(__xludf.DUMMYFUNCTION("""COMPUTED_VALUE"""),13.0)</f>
        <v>13</v>
      </c>
      <c r="Q1571" s="2">
        <f>IFERROR(__xludf.DUMMYFUNCTION("""COMPUTED_VALUE"""),4.0)</f>
        <v>4</v>
      </c>
    </row>
    <row r="1572">
      <c r="P1572" s="2">
        <f>IFERROR(__xludf.DUMMYFUNCTION("""COMPUTED_VALUE"""),13.0)</f>
        <v>13</v>
      </c>
      <c r="Q1572" s="2">
        <f>IFERROR(__xludf.DUMMYFUNCTION("""COMPUTED_VALUE"""),4.0)</f>
        <v>4</v>
      </c>
    </row>
    <row r="1573">
      <c r="P1573" s="2">
        <f>IFERROR(__xludf.DUMMYFUNCTION("""COMPUTED_VALUE"""),13.0)</f>
        <v>13</v>
      </c>
      <c r="Q1573" s="2">
        <f>IFERROR(__xludf.DUMMYFUNCTION("""COMPUTED_VALUE"""),6.0)</f>
        <v>6</v>
      </c>
    </row>
    <row r="1574">
      <c r="P1574" s="2">
        <f>IFERROR(__xludf.DUMMYFUNCTION("""COMPUTED_VALUE"""),13.0)</f>
        <v>13</v>
      </c>
      <c r="Q1574" s="2">
        <f>IFERROR(__xludf.DUMMYFUNCTION("""COMPUTED_VALUE"""),2.0)</f>
        <v>2</v>
      </c>
    </row>
    <row r="1575">
      <c r="P1575" s="2">
        <f>IFERROR(__xludf.DUMMYFUNCTION("""COMPUTED_VALUE"""),13.0)</f>
        <v>13</v>
      </c>
      <c r="Q1575" s="2">
        <f>IFERROR(__xludf.DUMMYFUNCTION("""COMPUTED_VALUE"""),2.0)</f>
        <v>2</v>
      </c>
    </row>
    <row r="1576">
      <c r="P1576" s="2">
        <f>IFERROR(__xludf.DUMMYFUNCTION("""COMPUTED_VALUE"""),13.0)</f>
        <v>13</v>
      </c>
      <c r="Q1576" s="2">
        <f>IFERROR(__xludf.DUMMYFUNCTION("""COMPUTED_VALUE"""),2.0)</f>
        <v>2</v>
      </c>
    </row>
    <row r="1577">
      <c r="P1577" s="2">
        <f>IFERROR(__xludf.DUMMYFUNCTION("""COMPUTED_VALUE"""),13.0)</f>
        <v>13</v>
      </c>
      <c r="Q1577" s="2">
        <f>IFERROR(__xludf.DUMMYFUNCTION("""COMPUTED_VALUE"""),1.0)</f>
        <v>1</v>
      </c>
    </row>
    <row r="1578">
      <c r="P1578" s="2">
        <f>IFERROR(__xludf.DUMMYFUNCTION("""COMPUTED_VALUE"""),13.0)</f>
        <v>13</v>
      </c>
      <c r="Q1578" s="2">
        <f>IFERROR(__xludf.DUMMYFUNCTION("""COMPUTED_VALUE"""),1.0)</f>
        <v>1</v>
      </c>
    </row>
    <row r="1579">
      <c r="P1579" s="2">
        <f>IFERROR(__xludf.DUMMYFUNCTION("""COMPUTED_VALUE"""),13.0)</f>
        <v>13</v>
      </c>
      <c r="Q1579" s="2">
        <f>IFERROR(__xludf.DUMMYFUNCTION("""COMPUTED_VALUE"""),1.0)</f>
        <v>1</v>
      </c>
    </row>
    <row r="1580">
      <c r="P1580" s="2">
        <f>IFERROR(__xludf.DUMMYFUNCTION("""COMPUTED_VALUE"""),13.0)</f>
        <v>13</v>
      </c>
      <c r="Q1580" s="2">
        <f>IFERROR(__xludf.DUMMYFUNCTION("""COMPUTED_VALUE"""),3.0)</f>
        <v>3</v>
      </c>
    </row>
    <row r="1581">
      <c r="P1581" s="2">
        <f>IFERROR(__xludf.DUMMYFUNCTION("""COMPUTED_VALUE"""),13.0)</f>
        <v>13</v>
      </c>
      <c r="Q1581" s="2">
        <f>IFERROR(__xludf.DUMMYFUNCTION("""COMPUTED_VALUE"""),1.0)</f>
        <v>1</v>
      </c>
    </row>
    <row r="1582">
      <c r="P1582" s="2">
        <f>IFERROR(__xludf.DUMMYFUNCTION("""COMPUTED_VALUE"""),13.0)</f>
        <v>13</v>
      </c>
      <c r="Q1582" s="2">
        <f>IFERROR(__xludf.DUMMYFUNCTION("""COMPUTED_VALUE"""),1.0)</f>
        <v>1</v>
      </c>
    </row>
    <row r="1583">
      <c r="P1583" s="2">
        <f>IFERROR(__xludf.DUMMYFUNCTION("""COMPUTED_VALUE"""),13.0)</f>
        <v>13</v>
      </c>
      <c r="Q1583" s="2">
        <f>IFERROR(__xludf.DUMMYFUNCTION("""COMPUTED_VALUE"""),2.0)</f>
        <v>2</v>
      </c>
    </row>
    <row r="1584">
      <c r="P1584" s="2">
        <f>IFERROR(__xludf.DUMMYFUNCTION("""COMPUTED_VALUE"""),13.0)</f>
        <v>13</v>
      </c>
      <c r="Q1584" s="2">
        <f>IFERROR(__xludf.DUMMYFUNCTION("""COMPUTED_VALUE"""),3.0)</f>
        <v>3</v>
      </c>
    </row>
    <row r="1585">
      <c r="P1585" s="2">
        <f>IFERROR(__xludf.DUMMYFUNCTION("""COMPUTED_VALUE"""),13.0)</f>
        <v>13</v>
      </c>
      <c r="Q1585" s="2">
        <f>IFERROR(__xludf.DUMMYFUNCTION("""COMPUTED_VALUE"""),2.0)</f>
        <v>2</v>
      </c>
    </row>
    <row r="1586">
      <c r="P1586" s="2">
        <f>IFERROR(__xludf.DUMMYFUNCTION("""COMPUTED_VALUE"""),13.0)</f>
        <v>13</v>
      </c>
      <c r="Q1586" s="2">
        <f>IFERROR(__xludf.DUMMYFUNCTION("""COMPUTED_VALUE"""),25.0)</f>
        <v>25</v>
      </c>
    </row>
    <row r="1587">
      <c r="P1587" s="2">
        <f>IFERROR(__xludf.DUMMYFUNCTION("""COMPUTED_VALUE"""),13.0)</f>
        <v>13</v>
      </c>
      <c r="Q1587" s="2">
        <f>IFERROR(__xludf.DUMMYFUNCTION("""COMPUTED_VALUE"""),2.0)</f>
        <v>2</v>
      </c>
    </row>
    <row r="1588">
      <c r="P1588" s="2">
        <f>IFERROR(__xludf.DUMMYFUNCTION("""COMPUTED_VALUE"""),13.0)</f>
        <v>13</v>
      </c>
      <c r="Q1588" s="2">
        <f>IFERROR(__xludf.DUMMYFUNCTION("""COMPUTED_VALUE"""),4.0)</f>
        <v>4</v>
      </c>
    </row>
    <row r="1589">
      <c r="P1589" s="2">
        <f>IFERROR(__xludf.DUMMYFUNCTION("""COMPUTED_VALUE"""),13.0)</f>
        <v>13</v>
      </c>
      <c r="Q1589" s="2">
        <f>IFERROR(__xludf.DUMMYFUNCTION("""COMPUTED_VALUE"""),6.0)</f>
        <v>6</v>
      </c>
    </row>
    <row r="1590">
      <c r="P1590" s="2">
        <f>IFERROR(__xludf.DUMMYFUNCTION("""COMPUTED_VALUE"""),13.0)</f>
        <v>13</v>
      </c>
      <c r="Q1590" s="2">
        <f>IFERROR(__xludf.DUMMYFUNCTION("""COMPUTED_VALUE"""),6.0)</f>
        <v>6</v>
      </c>
    </row>
    <row r="1591">
      <c r="P1591" s="2">
        <f>IFERROR(__xludf.DUMMYFUNCTION("""COMPUTED_VALUE"""),13.0)</f>
        <v>13</v>
      </c>
      <c r="Q1591" s="2">
        <f>IFERROR(__xludf.DUMMYFUNCTION("""COMPUTED_VALUE"""),4.0)</f>
        <v>4</v>
      </c>
    </row>
    <row r="1592">
      <c r="P1592" s="2">
        <f>IFERROR(__xludf.DUMMYFUNCTION("""COMPUTED_VALUE"""),13.0)</f>
        <v>13</v>
      </c>
      <c r="Q1592" s="2">
        <f>IFERROR(__xludf.DUMMYFUNCTION("""COMPUTED_VALUE"""),4.0)</f>
        <v>4</v>
      </c>
    </row>
    <row r="1593">
      <c r="P1593" s="2">
        <f>IFERROR(__xludf.DUMMYFUNCTION("""COMPUTED_VALUE"""),13.0)</f>
        <v>13</v>
      </c>
      <c r="Q1593" s="2">
        <f>IFERROR(__xludf.DUMMYFUNCTION("""COMPUTED_VALUE"""),4.0)</f>
        <v>4</v>
      </c>
    </row>
    <row r="1594">
      <c r="P1594" s="2">
        <f>IFERROR(__xludf.DUMMYFUNCTION("""COMPUTED_VALUE"""),13.0)</f>
        <v>13</v>
      </c>
      <c r="Q1594" s="2">
        <f>IFERROR(__xludf.DUMMYFUNCTION("""COMPUTED_VALUE"""),10.0)</f>
        <v>10</v>
      </c>
    </row>
    <row r="1595">
      <c r="P1595" s="2">
        <f>IFERROR(__xludf.DUMMYFUNCTION("""COMPUTED_VALUE"""),13.0)</f>
        <v>13</v>
      </c>
      <c r="Q1595" s="2">
        <f>IFERROR(__xludf.DUMMYFUNCTION("""COMPUTED_VALUE"""),10.0)</f>
        <v>10</v>
      </c>
    </row>
    <row r="1596">
      <c r="P1596" s="2">
        <f>IFERROR(__xludf.DUMMYFUNCTION("""COMPUTED_VALUE"""),13.0)</f>
        <v>13</v>
      </c>
      <c r="Q1596" s="2">
        <f>IFERROR(__xludf.DUMMYFUNCTION("""COMPUTED_VALUE"""),10.0)</f>
        <v>10</v>
      </c>
    </row>
    <row r="1597">
      <c r="P1597" s="2">
        <f>IFERROR(__xludf.DUMMYFUNCTION("""COMPUTED_VALUE"""),13.0)</f>
        <v>13</v>
      </c>
      <c r="Q1597" s="2">
        <f>IFERROR(__xludf.DUMMYFUNCTION("""COMPUTED_VALUE"""),10.0)</f>
        <v>10</v>
      </c>
    </row>
    <row r="1598">
      <c r="P1598" s="2">
        <f>IFERROR(__xludf.DUMMYFUNCTION("""COMPUTED_VALUE"""),13.0)</f>
        <v>13</v>
      </c>
      <c r="Q1598" s="2">
        <f>IFERROR(__xludf.DUMMYFUNCTION("""COMPUTED_VALUE"""),12.0)</f>
        <v>12</v>
      </c>
    </row>
    <row r="1599">
      <c r="P1599" s="2">
        <f>IFERROR(__xludf.DUMMYFUNCTION("""COMPUTED_VALUE"""),13.0)</f>
        <v>13</v>
      </c>
      <c r="Q1599" s="2">
        <f>IFERROR(__xludf.DUMMYFUNCTION("""COMPUTED_VALUE"""),3.0)</f>
        <v>3</v>
      </c>
    </row>
    <row r="1600">
      <c r="P1600" s="2">
        <f>IFERROR(__xludf.DUMMYFUNCTION("""COMPUTED_VALUE"""),13.0)</f>
        <v>13</v>
      </c>
      <c r="Q1600" s="2">
        <f>IFERROR(__xludf.DUMMYFUNCTION("""COMPUTED_VALUE"""),1.0)</f>
        <v>1</v>
      </c>
    </row>
    <row r="1601">
      <c r="P1601" s="2">
        <f>IFERROR(__xludf.DUMMYFUNCTION("""COMPUTED_VALUE"""),13.0)</f>
        <v>13</v>
      </c>
      <c r="Q1601" s="2">
        <f>IFERROR(__xludf.DUMMYFUNCTION("""COMPUTED_VALUE"""),4.0)</f>
        <v>4</v>
      </c>
    </row>
    <row r="1602">
      <c r="P1602" s="2">
        <f>IFERROR(__xludf.DUMMYFUNCTION("""COMPUTED_VALUE"""),13.0)</f>
        <v>13</v>
      </c>
      <c r="Q1602" s="2">
        <f>IFERROR(__xludf.DUMMYFUNCTION("""COMPUTED_VALUE"""),10.0)</f>
        <v>10</v>
      </c>
    </row>
    <row r="1603">
      <c r="P1603" s="2">
        <f>IFERROR(__xludf.DUMMYFUNCTION("""COMPUTED_VALUE"""),13.0)</f>
        <v>13</v>
      </c>
      <c r="Q1603" s="2">
        <f>IFERROR(__xludf.DUMMYFUNCTION("""COMPUTED_VALUE"""),2.0)</f>
        <v>2</v>
      </c>
    </row>
    <row r="1604">
      <c r="P1604" s="2">
        <f>IFERROR(__xludf.DUMMYFUNCTION("""COMPUTED_VALUE"""),13.0)</f>
        <v>13</v>
      </c>
      <c r="Q1604" s="2">
        <f>IFERROR(__xludf.DUMMYFUNCTION("""COMPUTED_VALUE"""),3.0)</f>
        <v>3</v>
      </c>
    </row>
    <row r="1605">
      <c r="P1605" s="2">
        <f>IFERROR(__xludf.DUMMYFUNCTION("""COMPUTED_VALUE"""),13.0)</f>
        <v>13</v>
      </c>
      <c r="Q1605" s="2">
        <f>IFERROR(__xludf.DUMMYFUNCTION("""COMPUTED_VALUE"""),3.0)</f>
        <v>3</v>
      </c>
    </row>
    <row r="1606">
      <c r="P1606" s="2">
        <f>IFERROR(__xludf.DUMMYFUNCTION("""COMPUTED_VALUE"""),13.0)</f>
        <v>13</v>
      </c>
      <c r="Q1606" s="2">
        <f>IFERROR(__xludf.DUMMYFUNCTION("""COMPUTED_VALUE"""),3.0)</f>
        <v>3</v>
      </c>
    </row>
    <row r="1607">
      <c r="P1607" s="2">
        <f>IFERROR(__xludf.DUMMYFUNCTION("""COMPUTED_VALUE"""),13.0)</f>
        <v>13</v>
      </c>
      <c r="Q1607" s="2">
        <f>IFERROR(__xludf.DUMMYFUNCTION("""COMPUTED_VALUE"""),96.0)</f>
        <v>96</v>
      </c>
    </row>
    <row r="1608">
      <c r="P1608" s="2">
        <f>IFERROR(__xludf.DUMMYFUNCTION("""COMPUTED_VALUE"""),13.0)</f>
        <v>13</v>
      </c>
      <c r="Q1608" s="2">
        <f>IFERROR(__xludf.DUMMYFUNCTION("""COMPUTED_VALUE"""),3.0)</f>
        <v>3</v>
      </c>
    </row>
    <row r="1609">
      <c r="P1609" s="2">
        <f>IFERROR(__xludf.DUMMYFUNCTION("""COMPUTED_VALUE"""),13.0)</f>
        <v>13</v>
      </c>
      <c r="Q1609" s="2">
        <f>IFERROR(__xludf.DUMMYFUNCTION("""COMPUTED_VALUE"""),6.0)</f>
        <v>6</v>
      </c>
    </row>
    <row r="1610">
      <c r="P1610" s="2">
        <f>IFERROR(__xludf.DUMMYFUNCTION("""COMPUTED_VALUE"""),13.0)</f>
        <v>13</v>
      </c>
      <c r="Q1610" s="2">
        <f>IFERROR(__xludf.DUMMYFUNCTION("""COMPUTED_VALUE"""),12.0)</f>
        <v>12</v>
      </c>
    </row>
    <row r="1611">
      <c r="P1611" s="2">
        <f>IFERROR(__xludf.DUMMYFUNCTION("""COMPUTED_VALUE"""),13.0)</f>
        <v>13</v>
      </c>
      <c r="Q1611" s="2">
        <f>IFERROR(__xludf.DUMMYFUNCTION("""COMPUTED_VALUE"""),12.0)</f>
        <v>12</v>
      </c>
    </row>
    <row r="1612">
      <c r="P1612" s="2">
        <f>IFERROR(__xludf.DUMMYFUNCTION("""COMPUTED_VALUE"""),13.0)</f>
        <v>13</v>
      </c>
      <c r="Q1612" s="2">
        <f>IFERROR(__xludf.DUMMYFUNCTION("""COMPUTED_VALUE"""),6.0)</f>
        <v>6</v>
      </c>
    </row>
    <row r="1613">
      <c r="P1613" s="2">
        <f>IFERROR(__xludf.DUMMYFUNCTION("""COMPUTED_VALUE"""),13.0)</f>
        <v>13</v>
      </c>
      <c r="Q1613" s="2">
        <f>IFERROR(__xludf.DUMMYFUNCTION("""COMPUTED_VALUE"""),6.0)</f>
        <v>6</v>
      </c>
    </row>
    <row r="1614">
      <c r="P1614" s="2">
        <f>IFERROR(__xludf.DUMMYFUNCTION("""COMPUTED_VALUE"""),13.0)</f>
        <v>13</v>
      </c>
      <c r="Q1614" s="2">
        <f>IFERROR(__xludf.DUMMYFUNCTION("""COMPUTED_VALUE"""),8.0)</f>
        <v>8</v>
      </c>
    </row>
    <row r="1615">
      <c r="P1615" s="2">
        <f>IFERROR(__xludf.DUMMYFUNCTION("""COMPUTED_VALUE"""),13.0)</f>
        <v>13</v>
      </c>
      <c r="Q1615" s="2">
        <f>IFERROR(__xludf.DUMMYFUNCTION("""COMPUTED_VALUE"""),8.0)</f>
        <v>8</v>
      </c>
    </row>
    <row r="1616">
      <c r="P1616" s="2">
        <f>IFERROR(__xludf.DUMMYFUNCTION("""COMPUTED_VALUE"""),13.0)</f>
        <v>13</v>
      </c>
      <c r="Q1616" s="2">
        <f>IFERROR(__xludf.DUMMYFUNCTION("""COMPUTED_VALUE"""),6.0)</f>
        <v>6</v>
      </c>
    </row>
    <row r="1617">
      <c r="P1617" s="2">
        <f>IFERROR(__xludf.DUMMYFUNCTION("""COMPUTED_VALUE"""),13.0)</f>
        <v>13</v>
      </c>
      <c r="Q1617" s="2">
        <f>IFERROR(__xludf.DUMMYFUNCTION("""COMPUTED_VALUE"""),12.0)</f>
        <v>12</v>
      </c>
    </row>
    <row r="1618">
      <c r="P1618" s="2">
        <f>IFERROR(__xludf.DUMMYFUNCTION("""COMPUTED_VALUE"""),13.0)</f>
        <v>13</v>
      </c>
      <c r="Q1618" s="2">
        <f>IFERROR(__xludf.DUMMYFUNCTION("""COMPUTED_VALUE"""),12.0)</f>
        <v>12</v>
      </c>
    </row>
    <row r="1619">
      <c r="P1619" s="2">
        <f>IFERROR(__xludf.DUMMYFUNCTION("""COMPUTED_VALUE"""),13.0)</f>
        <v>13</v>
      </c>
      <c r="Q1619" s="2">
        <f>IFERROR(__xludf.DUMMYFUNCTION("""COMPUTED_VALUE"""),1.0)</f>
        <v>1</v>
      </c>
    </row>
    <row r="1620">
      <c r="P1620" s="2">
        <f>IFERROR(__xludf.DUMMYFUNCTION("""COMPUTED_VALUE"""),13.0)</f>
        <v>13</v>
      </c>
      <c r="Q1620" s="2">
        <f>IFERROR(__xludf.DUMMYFUNCTION("""COMPUTED_VALUE"""),2.0)</f>
        <v>2</v>
      </c>
    </row>
    <row r="1621">
      <c r="P1621" s="2">
        <f>IFERROR(__xludf.DUMMYFUNCTION("""COMPUTED_VALUE"""),13.0)</f>
        <v>13</v>
      </c>
      <c r="Q1621" s="2">
        <f>IFERROR(__xludf.DUMMYFUNCTION("""COMPUTED_VALUE"""),2.0)</f>
        <v>2</v>
      </c>
    </row>
    <row r="1622">
      <c r="P1622" s="2">
        <f>IFERROR(__xludf.DUMMYFUNCTION("""COMPUTED_VALUE"""),13.0)</f>
        <v>13</v>
      </c>
      <c r="Q1622" s="2">
        <f>IFERROR(__xludf.DUMMYFUNCTION("""COMPUTED_VALUE"""),48.0)</f>
        <v>48</v>
      </c>
    </row>
    <row r="1623">
      <c r="P1623" s="2">
        <f>IFERROR(__xludf.DUMMYFUNCTION("""COMPUTED_VALUE"""),13.0)</f>
        <v>13</v>
      </c>
      <c r="Q1623" s="2">
        <f>IFERROR(__xludf.DUMMYFUNCTION("""COMPUTED_VALUE"""),12.0)</f>
        <v>12</v>
      </c>
    </row>
    <row r="1624">
      <c r="P1624" s="2">
        <f>IFERROR(__xludf.DUMMYFUNCTION("""COMPUTED_VALUE"""),13.0)</f>
        <v>13</v>
      </c>
      <c r="Q1624" s="2">
        <f>IFERROR(__xludf.DUMMYFUNCTION("""COMPUTED_VALUE"""),24.0)</f>
        <v>24</v>
      </c>
    </row>
    <row r="1625">
      <c r="P1625" s="2">
        <f>IFERROR(__xludf.DUMMYFUNCTION("""COMPUTED_VALUE"""),13.0)</f>
        <v>13</v>
      </c>
      <c r="Q1625" s="2">
        <f>IFERROR(__xludf.DUMMYFUNCTION("""COMPUTED_VALUE"""),6.0)</f>
        <v>6</v>
      </c>
    </row>
    <row r="1626">
      <c r="P1626" s="2">
        <f>IFERROR(__xludf.DUMMYFUNCTION("""COMPUTED_VALUE"""),13.0)</f>
        <v>13</v>
      </c>
      <c r="Q1626" s="2">
        <f>IFERROR(__xludf.DUMMYFUNCTION("""COMPUTED_VALUE"""),6.0)</f>
        <v>6</v>
      </c>
    </row>
    <row r="1627">
      <c r="P1627" s="2">
        <f>IFERROR(__xludf.DUMMYFUNCTION("""COMPUTED_VALUE"""),13.0)</f>
        <v>13</v>
      </c>
      <c r="Q1627" s="2">
        <f>IFERROR(__xludf.DUMMYFUNCTION("""COMPUTED_VALUE"""),6.0)</f>
        <v>6</v>
      </c>
    </row>
    <row r="1628">
      <c r="P1628" s="2">
        <f>IFERROR(__xludf.DUMMYFUNCTION("""COMPUTED_VALUE"""),13.0)</f>
        <v>13</v>
      </c>
      <c r="Q1628" s="2">
        <f>IFERROR(__xludf.DUMMYFUNCTION("""COMPUTED_VALUE"""),6.0)</f>
        <v>6</v>
      </c>
    </row>
    <row r="1629">
      <c r="P1629" s="2">
        <f>IFERROR(__xludf.DUMMYFUNCTION("""COMPUTED_VALUE"""),13.0)</f>
        <v>13</v>
      </c>
      <c r="Q1629" s="2">
        <f>IFERROR(__xludf.DUMMYFUNCTION("""COMPUTED_VALUE"""),-3.0)</f>
        <v>-3</v>
      </c>
    </row>
    <row r="1630">
      <c r="P1630" s="2">
        <f>IFERROR(__xludf.DUMMYFUNCTION("""COMPUTED_VALUE"""),13.0)</f>
        <v>13</v>
      </c>
      <c r="Q1630" s="2">
        <f>IFERROR(__xludf.DUMMYFUNCTION("""COMPUTED_VALUE"""),-48.0)</f>
        <v>-48</v>
      </c>
    </row>
    <row r="1631">
      <c r="P1631" s="2">
        <f>IFERROR(__xludf.DUMMYFUNCTION("""COMPUTED_VALUE"""),13.0)</f>
        <v>13</v>
      </c>
      <c r="Q1631" s="2">
        <f>IFERROR(__xludf.DUMMYFUNCTION("""COMPUTED_VALUE"""),-1.0)</f>
        <v>-1</v>
      </c>
    </row>
    <row r="1632">
      <c r="P1632" s="2">
        <f>IFERROR(__xludf.DUMMYFUNCTION("""COMPUTED_VALUE"""),13.0)</f>
        <v>13</v>
      </c>
      <c r="Q1632" s="2">
        <f>IFERROR(__xludf.DUMMYFUNCTION("""COMPUTED_VALUE"""),5.0)</f>
        <v>5</v>
      </c>
    </row>
    <row r="1633">
      <c r="P1633" s="2">
        <f>IFERROR(__xludf.DUMMYFUNCTION("""COMPUTED_VALUE"""),13.0)</f>
        <v>13</v>
      </c>
      <c r="Q1633" s="2">
        <f>IFERROR(__xludf.DUMMYFUNCTION("""COMPUTED_VALUE"""),17.0)</f>
        <v>17</v>
      </c>
    </row>
    <row r="1634">
      <c r="P1634" s="2">
        <f>IFERROR(__xludf.DUMMYFUNCTION("""COMPUTED_VALUE"""),13.0)</f>
        <v>13</v>
      </c>
      <c r="Q1634" s="2">
        <f>IFERROR(__xludf.DUMMYFUNCTION("""COMPUTED_VALUE"""),1.0)</f>
        <v>1</v>
      </c>
    </row>
    <row r="1635">
      <c r="P1635" s="2">
        <f>IFERROR(__xludf.DUMMYFUNCTION("""COMPUTED_VALUE"""),13.0)</f>
        <v>13</v>
      </c>
      <c r="Q1635" s="2">
        <f>IFERROR(__xludf.DUMMYFUNCTION("""COMPUTED_VALUE"""),8.0)</f>
        <v>8</v>
      </c>
    </row>
    <row r="1636">
      <c r="P1636" s="2">
        <f>IFERROR(__xludf.DUMMYFUNCTION("""COMPUTED_VALUE"""),13.0)</f>
        <v>13</v>
      </c>
      <c r="Q1636" s="2">
        <f>IFERROR(__xludf.DUMMYFUNCTION("""COMPUTED_VALUE"""),24.0)</f>
        <v>24</v>
      </c>
    </row>
    <row r="1637">
      <c r="P1637" s="2">
        <f>IFERROR(__xludf.DUMMYFUNCTION("""COMPUTED_VALUE"""),13.0)</f>
        <v>13</v>
      </c>
      <c r="Q1637" s="2">
        <f>IFERROR(__xludf.DUMMYFUNCTION("""COMPUTED_VALUE"""),12.0)</f>
        <v>12</v>
      </c>
    </row>
    <row r="1638">
      <c r="P1638" s="2">
        <f>IFERROR(__xludf.DUMMYFUNCTION("""COMPUTED_VALUE"""),13.0)</f>
        <v>13</v>
      </c>
      <c r="Q1638" s="2">
        <f>IFERROR(__xludf.DUMMYFUNCTION("""COMPUTED_VALUE"""),5.0)</f>
        <v>5</v>
      </c>
    </row>
    <row r="1639">
      <c r="P1639" s="2">
        <f>IFERROR(__xludf.DUMMYFUNCTION("""COMPUTED_VALUE"""),13.0)</f>
        <v>13</v>
      </c>
      <c r="Q1639" s="2">
        <f>IFERROR(__xludf.DUMMYFUNCTION("""COMPUTED_VALUE"""),24.0)</f>
        <v>24</v>
      </c>
    </row>
    <row r="1640">
      <c r="P1640" s="2">
        <f>IFERROR(__xludf.DUMMYFUNCTION("""COMPUTED_VALUE"""),13.0)</f>
        <v>13</v>
      </c>
      <c r="Q1640" s="2">
        <f>IFERROR(__xludf.DUMMYFUNCTION("""COMPUTED_VALUE"""),10.0)</f>
        <v>10</v>
      </c>
    </row>
    <row r="1641">
      <c r="P1641" s="2">
        <f>IFERROR(__xludf.DUMMYFUNCTION("""COMPUTED_VALUE"""),13.0)</f>
        <v>13</v>
      </c>
      <c r="Q1641" s="2">
        <f>IFERROR(__xludf.DUMMYFUNCTION("""COMPUTED_VALUE"""),12.0)</f>
        <v>12</v>
      </c>
    </row>
    <row r="1642">
      <c r="P1642" s="2">
        <f>IFERROR(__xludf.DUMMYFUNCTION("""COMPUTED_VALUE"""),13.0)</f>
        <v>13</v>
      </c>
      <c r="Q1642" s="2">
        <f>IFERROR(__xludf.DUMMYFUNCTION("""COMPUTED_VALUE"""),24.0)</f>
        <v>24</v>
      </c>
    </row>
    <row r="1643">
      <c r="P1643" s="2">
        <f>IFERROR(__xludf.DUMMYFUNCTION("""COMPUTED_VALUE"""),13.0)</f>
        <v>13</v>
      </c>
      <c r="Q1643" s="2">
        <f>IFERROR(__xludf.DUMMYFUNCTION("""COMPUTED_VALUE"""),3.0)</f>
        <v>3</v>
      </c>
    </row>
    <row r="1644">
      <c r="P1644" s="2">
        <f>IFERROR(__xludf.DUMMYFUNCTION("""COMPUTED_VALUE"""),13.0)</f>
        <v>13</v>
      </c>
      <c r="Q1644" s="2">
        <f>IFERROR(__xludf.DUMMYFUNCTION("""COMPUTED_VALUE"""),3.0)</f>
        <v>3</v>
      </c>
    </row>
    <row r="1645">
      <c r="P1645" s="2">
        <f>IFERROR(__xludf.DUMMYFUNCTION("""COMPUTED_VALUE"""),13.0)</f>
        <v>13</v>
      </c>
      <c r="Q1645" s="2">
        <f>IFERROR(__xludf.DUMMYFUNCTION("""COMPUTED_VALUE"""),5.0)</f>
        <v>5</v>
      </c>
    </row>
    <row r="1646">
      <c r="P1646" s="2">
        <f>IFERROR(__xludf.DUMMYFUNCTION("""COMPUTED_VALUE"""),13.0)</f>
        <v>13</v>
      </c>
      <c r="Q1646" s="2">
        <f>IFERROR(__xludf.DUMMYFUNCTION("""COMPUTED_VALUE"""),6.0)</f>
        <v>6</v>
      </c>
    </row>
    <row r="1647">
      <c r="P1647" s="2">
        <f>IFERROR(__xludf.DUMMYFUNCTION("""COMPUTED_VALUE"""),13.0)</f>
        <v>13</v>
      </c>
      <c r="Q1647" s="2">
        <f>IFERROR(__xludf.DUMMYFUNCTION("""COMPUTED_VALUE"""),18.0)</f>
        <v>18</v>
      </c>
    </row>
    <row r="1648">
      <c r="P1648" s="2">
        <f>IFERROR(__xludf.DUMMYFUNCTION("""COMPUTED_VALUE"""),13.0)</f>
        <v>13</v>
      </c>
      <c r="Q1648" s="2">
        <f>IFERROR(__xludf.DUMMYFUNCTION("""COMPUTED_VALUE"""),1.0)</f>
        <v>1</v>
      </c>
    </row>
    <row r="1649">
      <c r="P1649" s="2">
        <f>IFERROR(__xludf.DUMMYFUNCTION("""COMPUTED_VALUE"""),13.0)</f>
        <v>13</v>
      </c>
      <c r="Q1649" s="2">
        <f>IFERROR(__xludf.DUMMYFUNCTION("""COMPUTED_VALUE"""),-1.0)</f>
        <v>-1</v>
      </c>
    </row>
    <row r="1650">
      <c r="P1650" s="2">
        <f>IFERROR(__xludf.DUMMYFUNCTION("""COMPUTED_VALUE"""),13.0)</f>
        <v>13</v>
      </c>
      <c r="Q1650" s="2">
        <f>IFERROR(__xludf.DUMMYFUNCTION("""COMPUTED_VALUE"""),2.0)</f>
        <v>2</v>
      </c>
    </row>
    <row r="1651">
      <c r="P1651" s="2">
        <f>IFERROR(__xludf.DUMMYFUNCTION("""COMPUTED_VALUE"""),13.0)</f>
        <v>13</v>
      </c>
      <c r="Q1651" s="2">
        <f>IFERROR(__xludf.DUMMYFUNCTION("""COMPUTED_VALUE"""),1.0)</f>
        <v>1</v>
      </c>
    </row>
    <row r="1652">
      <c r="P1652" s="2">
        <f>IFERROR(__xludf.DUMMYFUNCTION("""COMPUTED_VALUE"""),13.0)</f>
        <v>13</v>
      </c>
      <c r="Q1652" s="2">
        <f>IFERROR(__xludf.DUMMYFUNCTION("""COMPUTED_VALUE"""),1.0)</f>
        <v>1</v>
      </c>
    </row>
    <row r="1653">
      <c r="P1653" s="2">
        <f>IFERROR(__xludf.DUMMYFUNCTION("""COMPUTED_VALUE"""),13.0)</f>
        <v>13</v>
      </c>
      <c r="Q1653" s="2">
        <f>IFERROR(__xludf.DUMMYFUNCTION("""COMPUTED_VALUE"""),9.0)</f>
        <v>9</v>
      </c>
    </row>
    <row r="1654">
      <c r="P1654" s="2">
        <f>IFERROR(__xludf.DUMMYFUNCTION("""COMPUTED_VALUE"""),13.0)</f>
        <v>13</v>
      </c>
      <c r="Q1654" s="2">
        <f>IFERROR(__xludf.DUMMYFUNCTION("""COMPUTED_VALUE"""),9.0)</f>
        <v>9</v>
      </c>
    </row>
    <row r="1655">
      <c r="P1655" s="2">
        <f>IFERROR(__xludf.DUMMYFUNCTION("""COMPUTED_VALUE"""),13.0)</f>
        <v>13</v>
      </c>
      <c r="Q1655" s="2">
        <f>IFERROR(__xludf.DUMMYFUNCTION("""COMPUTED_VALUE"""),1.0)</f>
        <v>1</v>
      </c>
    </row>
    <row r="1656">
      <c r="P1656" s="2">
        <f>IFERROR(__xludf.DUMMYFUNCTION("""COMPUTED_VALUE"""),13.0)</f>
        <v>13</v>
      </c>
      <c r="Q1656" s="2">
        <f>IFERROR(__xludf.DUMMYFUNCTION("""COMPUTED_VALUE"""),2.0)</f>
        <v>2</v>
      </c>
    </row>
    <row r="1657">
      <c r="P1657" s="2">
        <f>IFERROR(__xludf.DUMMYFUNCTION("""COMPUTED_VALUE"""),13.0)</f>
        <v>13</v>
      </c>
      <c r="Q1657" s="2">
        <f>IFERROR(__xludf.DUMMYFUNCTION("""COMPUTED_VALUE"""),4.0)</f>
        <v>4</v>
      </c>
    </row>
    <row r="1658">
      <c r="P1658" s="2">
        <f>IFERROR(__xludf.DUMMYFUNCTION("""COMPUTED_VALUE"""),13.0)</f>
        <v>13</v>
      </c>
      <c r="Q1658" s="2">
        <f>IFERROR(__xludf.DUMMYFUNCTION("""COMPUTED_VALUE"""),4.0)</f>
        <v>4</v>
      </c>
    </row>
    <row r="1659">
      <c r="P1659" s="2">
        <f>IFERROR(__xludf.DUMMYFUNCTION("""COMPUTED_VALUE"""),13.0)</f>
        <v>13</v>
      </c>
      <c r="Q1659" s="2">
        <f>IFERROR(__xludf.DUMMYFUNCTION("""COMPUTED_VALUE"""),4.0)</f>
        <v>4</v>
      </c>
    </row>
    <row r="1660">
      <c r="P1660" s="2">
        <f>IFERROR(__xludf.DUMMYFUNCTION("""COMPUTED_VALUE"""),13.0)</f>
        <v>13</v>
      </c>
      <c r="Q1660" s="2">
        <f>IFERROR(__xludf.DUMMYFUNCTION("""COMPUTED_VALUE"""),4.0)</f>
        <v>4</v>
      </c>
    </row>
    <row r="1661">
      <c r="P1661" s="2">
        <f>IFERROR(__xludf.DUMMYFUNCTION("""COMPUTED_VALUE"""),13.0)</f>
        <v>13</v>
      </c>
      <c r="Q1661" s="2">
        <f>IFERROR(__xludf.DUMMYFUNCTION("""COMPUTED_VALUE"""),3.0)</f>
        <v>3</v>
      </c>
    </row>
    <row r="1662">
      <c r="P1662" s="2">
        <f>IFERROR(__xludf.DUMMYFUNCTION("""COMPUTED_VALUE"""),13.0)</f>
        <v>13</v>
      </c>
      <c r="Q1662" s="2">
        <f>IFERROR(__xludf.DUMMYFUNCTION("""COMPUTED_VALUE"""),2.0)</f>
        <v>2</v>
      </c>
    </row>
    <row r="1663">
      <c r="P1663" s="2">
        <f>IFERROR(__xludf.DUMMYFUNCTION("""COMPUTED_VALUE"""),13.0)</f>
        <v>13</v>
      </c>
      <c r="Q1663" s="2">
        <f>IFERROR(__xludf.DUMMYFUNCTION("""COMPUTED_VALUE"""),3.0)</f>
        <v>3</v>
      </c>
    </row>
    <row r="1664">
      <c r="P1664" s="2">
        <f>IFERROR(__xludf.DUMMYFUNCTION("""COMPUTED_VALUE"""),13.0)</f>
        <v>13</v>
      </c>
      <c r="Q1664" s="2">
        <f>IFERROR(__xludf.DUMMYFUNCTION("""COMPUTED_VALUE"""),3.0)</f>
        <v>3</v>
      </c>
    </row>
    <row r="1665">
      <c r="P1665" s="2">
        <f>IFERROR(__xludf.DUMMYFUNCTION("""COMPUTED_VALUE"""),13.0)</f>
        <v>13</v>
      </c>
      <c r="Q1665" s="2">
        <f>IFERROR(__xludf.DUMMYFUNCTION("""COMPUTED_VALUE"""),2.0)</f>
        <v>2</v>
      </c>
    </row>
    <row r="1666">
      <c r="P1666" s="2">
        <f>IFERROR(__xludf.DUMMYFUNCTION("""COMPUTED_VALUE"""),13.0)</f>
        <v>13</v>
      </c>
      <c r="Q1666" s="2">
        <f>IFERROR(__xludf.DUMMYFUNCTION("""COMPUTED_VALUE"""),25.0)</f>
        <v>25</v>
      </c>
    </row>
    <row r="1667">
      <c r="P1667" s="2">
        <f>IFERROR(__xludf.DUMMYFUNCTION("""COMPUTED_VALUE"""),13.0)</f>
        <v>13</v>
      </c>
      <c r="Q1667" s="2">
        <f>IFERROR(__xludf.DUMMYFUNCTION("""COMPUTED_VALUE"""),25.0)</f>
        <v>25</v>
      </c>
    </row>
    <row r="1668">
      <c r="P1668" s="2">
        <f>IFERROR(__xludf.DUMMYFUNCTION("""COMPUTED_VALUE"""),13.0)</f>
        <v>13</v>
      </c>
      <c r="Q1668" s="2">
        <f>IFERROR(__xludf.DUMMYFUNCTION("""COMPUTED_VALUE"""),25.0)</f>
        <v>25</v>
      </c>
    </row>
    <row r="1669">
      <c r="P1669" s="2">
        <f>IFERROR(__xludf.DUMMYFUNCTION("""COMPUTED_VALUE"""),13.0)</f>
        <v>13</v>
      </c>
      <c r="Q1669" s="2">
        <f>IFERROR(__xludf.DUMMYFUNCTION("""COMPUTED_VALUE"""),1.0)</f>
        <v>1</v>
      </c>
    </row>
    <row r="1670">
      <c r="P1670" s="2">
        <f>IFERROR(__xludf.DUMMYFUNCTION("""COMPUTED_VALUE"""),13.0)</f>
        <v>13</v>
      </c>
      <c r="Q1670" s="2">
        <f>IFERROR(__xludf.DUMMYFUNCTION("""COMPUTED_VALUE"""),1.0)</f>
        <v>1</v>
      </c>
    </row>
    <row r="1671">
      <c r="P1671" s="2">
        <f>IFERROR(__xludf.DUMMYFUNCTION("""COMPUTED_VALUE"""),13.0)</f>
        <v>13</v>
      </c>
      <c r="Q1671" s="2">
        <f>IFERROR(__xludf.DUMMYFUNCTION("""COMPUTED_VALUE"""),4.0)</f>
        <v>4</v>
      </c>
    </row>
    <row r="1672">
      <c r="P1672" s="2">
        <f>IFERROR(__xludf.DUMMYFUNCTION("""COMPUTED_VALUE"""),13.0)</f>
        <v>13</v>
      </c>
      <c r="Q1672" s="2">
        <f>IFERROR(__xludf.DUMMYFUNCTION("""COMPUTED_VALUE"""),4.0)</f>
        <v>4</v>
      </c>
    </row>
    <row r="1673">
      <c r="P1673" s="2">
        <f>IFERROR(__xludf.DUMMYFUNCTION("""COMPUTED_VALUE"""),13.0)</f>
        <v>13</v>
      </c>
      <c r="Q1673" s="2">
        <f>IFERROR(__xludf.DUMMYFUNCTION("""COMPUTED_VALUE"""),1.0)</f>
        <v>1</v>
      </c>
    </row>
    <row r="1674">
      <c r="P1674" s="2">
        <f>IFERROR(__xludf.DUMMYFUNCTION("""COMPUTED_VALUE"""),13.0)</f>
        <v>13</v>
      </c>
      <c r="Q1674" s="2">
        <f>IFERROR(__xludf.DUMMYFUNCTION("""COMPUTED_VALUE"""),4.0)</f>
        <v>4</v>
      </c>
    </row>
    <row r="1675">
      <c r="P1675" s="2">
        <f>IFERROR(__xludf.DUMMYFUNCTION("""COMPUTED_VALUE"""),13.0)</f>
        <v>13</v>
      </c>
      <c r="Q1675" s="2">
        <f>IFERROR(__xludf.DUMMYFUNCTION("""COMPUTED_VALUE"""),1.0)</f>
        <v>1</v>
      </c>
    </row>
    <row r="1676">
      <c r="P1676" s="2">
        <f>IFERROR(__xludf.DUMMYFUNCTION("""COMPUTED_VALUE"""),13.0)</f>
        <v>13</v>
      </c>
      <c r="Q1676" s="2">
        <f>IFERROR(__xludf.DUMMYFUNCTION("""COMPUTED_VALUE"""),1.0)</f>
        <v>1</v>
      </c>
    </row>
    <row r="1677">
      <c r="P1677" s="2">
        <f>IFERROR(__xludf.DUMMYFUNCTION("""COMPUTED_VALUE"""),13.0)</f>
        <v>13</v>
      </c>
      <c r="Q1677" s="2">
        <f>IFERROR(__xludf.DUMMYFUNCTION("""COMPUTED_VALUE"""),4.0)</f>
        <v>4</v>
      </c>
    </row>
    <row r="1678">
      <c r="P1678" s="2">
        <f>IFERROR(__xludf.DUMMYFUNCTION("""COMPUTED_VALUE"""),13.0)</f>
        <v>13</v>
      </c>
      <c r="Q1678" s="2">
        <f>IFERROR(__xludf.DUMMYFUNCTION("""COMPUTED_VALUE"""),2.0)</f>
        <v>2</v>
      </c>
    </row>
    <row r="1679">
      <c r="P1679" s="2">
        <f>IFERROR(__xludf.DUMMYFUNCTION("""COMPUTED_VALUE"""),13.0)</f>
        <v>13</v>
      </c>
      <c r="Q1679" s="2">
        <f>IFERROR(__xludf.DUMMYFUNCTION("""COMPUTED_VALUE"""),4.0)</f>
        <v>4</v>
      </c>
    </row>
    <row r="1680">
      <c r="P1680" s="2">
        <f>IFERROR(__xludf.DUMMYFUNCTION("""COMPUTED_VALUE"""),13.0)</f>
        <v>13</v>
      </c>
      <c r="Q1680" s="2">
        <f>IFERROR(__xludf.DUMMYFUNCTION("""COMPUTED_VALUE"""),4.0)</f>
        <v>4</v>
      </c>
    </row>
    <row r="1681">
      <c r="P1681" s="2">
        <f>IFERROR(__xludf.DUMMYFUNCTION("""COMPUTED_VALUE"""),13.0)</f>
        <v>13</v>
      </c>
      <c r="Q1681" s="2">
        <f>IFERROR(__xludf.DUMMYFUNCTION("""COMPUTED_VALUE"""),4.0)</f>
        <v>4</v>
      </c>
    </row>
    <row r="1682">
      <c r="P1682" s="2">
        <f>IFERROR(__xludf.DUMMYFUNCTION("""COMPUTED_VALUE"""),13.0)</f>
        <v>13</v>
      </c>
      <c r="Q1682" s="2">
        <f>IFERROR(__xludf.DUMMYFUNCTION("""COMPUTED_VALUE"""),12.0)</f>
        <v>12</v>
      </c>
    </row>
    <row r="1683">
      <c r="P1683" s="2">
        <f>IFERROR(__xludf.DUMMYFUNCTION("""COMPUTED_VALUE"""),13.0)</f>
        <v>13</v>
      </c>
      <c r="Q1683" s="2">
        <f>IFERROR(__xludf.DUMMYFUNCTION("""COMPUTED_VALUE"""),1.0)</f>
        <v>1</v>
      </c>
    </row>
    <row r="1684">
      <c r="P1684" s="2">
        <f>IFERROR(__xludf.DUMMYFUNCTION("""COMPUTED_VALUE"""),13.0)</f>
        <v>13</v>
      </c>
      <c r="Q1684" s="2">
        <f>IFERROR(__xludf.DUMMYFUNCTION("""COMPUTED_VALUE"""),24.0)</f>
        <v>24</v>
      </c>
    </row>
    <row r="1685">
      <c r="P1685" s="2">
        <f>IFERROR(__xludf.DUMMYFUNCTION("""COMPUTED_VALUE"""),13.0)</f>
        <v>13</v>
      </c>
      <c r="Q1685" s="2">
        <f>IFERROR(__xludf.DUMMYFUNCTION("""COMPUTED_VALUE"""),24.0)</f>
        <v>24</v>
      </c>
    </row>
    <row r="1686">
      <c r="P1686" s="2">
        <f>IFERROR(__xludf.DUMMYFUNCTION("""COMPUTED_VALUE"""),13.0)</f>
        <v>13</v>
      </c>
      <c r="Q1686" s="2">
        <f>IFERROR(__xludf.DUMMYFUNCTION("""COMPUTED_VALUE"""),24.0)</f>
        <v>24</v>
      </c>
    </row>
    <row r="1687">
      <c r="P1687" s="2">
        <f>IFERROR(__xludf.DUMMYFUNCTION("""COMPUTED_VALUE"""),13.0)</f>
        <v>13</v>
      </c>
      <c r="Q1687" s="2">
        <f>IFERROR(__xludf.DUMMYFUNCTION("""COMPUTED_VALUE"""),24.0)</f>
        <v>24</v>
      </c>
    </row>
    <row r="1688">
      <c r="P1688" s="2">
        <f>IFERROR(__xludf.DUMMYFUNCTION("""COMPUTED_VALUE"""),13.0)</f>
        <v>13</v>
      </c>
      <c r="Q1688" s="2">
        <f>IFERROR(__xludf.DUMMYFUNCTION("""COMPUTED_VALUE"""),24.0)</f>
        <v>24</v>
      </c>
    </row>
    <row r="1689">
      <c r="P1689" s="2">
        <f>IFERROR(__xludf.DUMMYFUNCTION("""COMPUTED_VALUE"""),13.0)</f>
        <v>13</v>
      </c>
      <c r="Q1689" s="2">
        <f>IFERROR(__xludf.DUMMYFUNCTION("""COMPUTED_VALUE"""),24.0)</f>
        <v>24</v>
      </c>
    </row>
    <row r="1690">
      <c r="P1690" s="2">
        <f>IFERROR(__xludf.DUMMYFUNCTION("""COMPUTED_VALUE"""),13.0)</f>
        <v>13</v>
      </c>
      <c r="Q1690" s="2">
        <f>IFERROR(__xludf.DUMMYFUNCTION("""COMPUTED_VALUE"""),24.0)</f>
        <v>24</v>
      </c>
    </row>
    <row r="1691">
      <c r="P1691" s="2">
        <f>IFERROR(__xludf.DUMMYFUNCTION("""COMPUTED_VALUE"""),13.0)</f>
        <v>13</v>
      </c>
      <c r="Q1691" s="2">
        <f>IFERROR(__xludf.DUMMYFUNCTION("""COMPUTED_VALUE"""),108.0)</f>
        <v>108</v>
      </c>
    </row>
    <row r="1692">
      <c r="P1692" s="2">
        <f>IFERROR(__xludf.DUMMYFUNCTION("""COMPUTED_VALUE"""),13.0)</f>
        <v>13</v>
      </c>
      <c r="Q1692" s="2">
        <f>IFERROR(__xludf.DUMMYFUNCTION("""COMPUTED_VALUE"""),-1.0)</f>
        <v>-1</v>
      </c>
    </row>
    <row r="1693">
      <c r="P1693" s="2">
        <f>IFERROR(__xludf.DUMMYFUNCTION("""COMPUTED_VALUE"""),13.0)</f>
        <v>13</v>
      </c>
      <c r="Q1693" s="2">
        <f>IFERROR(__xludf.DUMMYFUNCTION("""COMPUTED_VALUE"""),-1.0)</f>
        <v>-1</v>
      </c>
    </row>
    <row r="1694">
      <c r="P1694" s="2">
        <f>IFERROR(__xludf.DUMMYFUNCTION("""COMPUTED_VALUE"""),13.0)</f>
        <v>13</v>
      </c>
      <c r="Q1694" s="2">
        <f>IFERROR(__xludf.DUMMYFUNCTION("""COMPUTED_VALUE"""),-2.0)</f>
        <v>-2</v>
      </c>
    </row>
    <row r="1695">
      <c r="P1695" s="2">
        <f>IFERROR(__xludf.DUMMYFUNCTION("""COMPUTED_VALUE"""),13.0)</f>
        <v>13</v>
      </c>
      <c r="Q1695" s="2">
        <f>IFERROR(__xludf.DUMMYFUNCTION("""COMPUTED_VALUE"""),-1.0)</f>
        <v>-1</v>
      </c>
    </row>
    <row r="1696">
      <c r="P1696" s="2">
        <f>IFERROR(__xludf.DUMMYFUNCTION("""COMPUTED_VALUE"""),13.0)</f>
        <v>13</v>
      </c>
      <c r="Q1696" s="2">
        <f>IFERROR(__xludf.DUMMYFUNCTION("""COMPUTED_VALUE"""),10.0)</f>
        <v>10</v>
      </c>
    </row>
    <row r="1697">
      <c r="P1697" s="2">
        <f>IFERROR(__xludf.DUMMYFUNCTION("""COMPUTED_VALUE"""),13.0)</f>
        <v>13</v>
      </c>
      <c r="Q1697" s="2">
        <f>IFERROR(__xludf.DUMMYFUNCTION("""COMPUTED_VALUE"""),2.0)</f>
        <v>2</v>
      </c>
    </row>
    <row r="1698">
      <c r="P1698" s="2">
        <f>IFERROR(__xludf.DUMMYFUNCTION("""COMPUTED_VALUE"""),13.0)</f>
        <v>13</v>
      </c>
      <c r="Q1698" s="2">
        <f>IFERROR(__xludf.DUMMYFUNCTION("""COMPUTED_VALUE"""),72.0)</f>
        <v>72</v>
      </c>
    </row>
    <row r="1699">
      <c r="P1699" s="2">
        <f>IFERROR(__xludf.DUMMYFUNCTION("""COMPUTED_VALUE"""),13.0)</f>
        <v>13</v>
      </c>
      <c r="Q1699" s="2">
        <f>IFERROR(__xludf.DUMMYFUNCTION("""COMPUTED_VALUE"""),1.0)</f>
        <v>1</v>
      </c>
    </row>
    <row r="1700">
      <c r="P1700" s="2">
        <f>IFERROR(__xludf.DUMMYFUNCTION("""COMPUTED_VALUE"""),13.0)</f>
        <v>13</v>
      </c>
      <c r="Q1700" s="2">
        <f>IFERROR(__xludf.DUMMYFUNCTION("""COMPUTED_VALUE"""),2.0)</f>
        <v>2</v>
      </c>
    </row>
    <row r="1701">
      <c r="P1701" s="2">
        <f>IFERROR(__xludf.DUMMYFUNCTION("""COMPUTED_VALUE"""),13.0)</f>
        <v>13</v>
      </c>
      <c r="Q1701" s="2">
        <f>IFERROR(__xludf.DUMMYFUNCTION("""COMPUTED_VALUE"""),2.0)</f>
        <v>2</v>
      </c>
    </row>
    <row r="1702">
      <c r="P1702" s="2">
        <f>IFERROR(__xludf.DUMMYFUNCTION("""COMPUTED_VALUE"""),13.0)</f>
        <v>13</v>
      </c>
      <c r="Q1702" s="2">
        <f>IFERROR(__xludf.DUMMYFUNCTION("""COMPUTED_VALUE"""),12.0)</f>
        <v>12</v>
      </c>
    </row>
    <row r="1703">
      <c r="P1703" s="2">
        <f>IFERROR(__xludf.DUMMYFUNCTION("""COMPUTED_VALUE"""),13.0)</f>
        <v>13</v>
      </c>
      <c r="Q1703" s="2">
        <f>IFERROR(__xludf.DUMMYFUNCTION("""COMPUTED_VALUE"""),18.0)</f>
        <v>18</v>
      </c>
    </row>
    <row r="1704">
      <c r="P1704" s="2">
        <f>IFERROR(__xludf.DUMMYFUNCTION("""COMPUTED_VALUE"""),13.0)</f>
        <v>13</v>
      </c>
      <c r="Q1704" s="2">
        <f>IFERROR(__xludf.DUMMYFUNCTION("""COMPUTED_VALUE"""),6.0)</f>
        <v>6</v>
      </c>
    </row>
    <row r="1705">
      <c r="P1705" s="2">
        <f>IFERROR(__xludf.DUMMYFUNCTION("""COMPUTED_VALUE"""),13.0)</f>
        <v>13</v>
      </c>
      <c r="Q1705" s="2">
        <f>IFERROR(__xludf.DUMMYFUNCTION("""COMPUTED_VALUE"""),1.0)</f>
        <v>1</v>
      </c>
    </row>
    <row r="1706">
      <c r="P1706" s="2">
        <f>IFERROR(__xludf.DUMMYFUNCTION("""COMPUTED_VALUE"""),13.0)</f>
        <v>13</v>
      </c>
      <c r="Q1706" s="2">
        <f>IFERROR(__xludf.DUMMYFUNCTION("""COMPUTED_VALUE"""),1.0)</f>
        <v>1</v>
      </c>
    </row>
    <row r="1707">
      <c r="P1707" s="2">
        <f>IFERROR(__xludf.DUMMYFUNCTION("""COMPUTED_VALUE"""),13.0)</f>
        <v>13</v>
      </c>
      <c r="Q1707" s="2">
        <f>IFERROR(__xludf.DUMMYFUNCTION("""COMPUTED_VALUE"""),8.0)</f>
        <v>8</v>
      </c>
    </row>
    <row r="1708">
      <c r="P1708" s="2">
        <f>IFERROR(__xludf.DUMMYFUNCTION("""COMPUTED_VALUE"""),13.0)</f>
        <v>13</v>
      </c>
      <c r="Q1708" s="2">
        <f>IFERROR(__xludf.DUMMYFUNCTION("""COMPUTED_VALUE"""),1.0)</f>
        <v>1</v>
      </c>
    </row>
    <row r="1709">
      <c r="P1709" s="2">
        <f>IFERROR(__xludf.DUMMYFUNCTION("""COMPUTED_VALUE"""),13.0)</f>
        <v>13</v>
      </c>
      <c r="Q1709" s="2">
        <f>IFERROR(__xludf.DUMMYFUNCTION("""COMPUTED_VALUE"""),1.0)</f>
        <v>1</v>
      </c>
    </row>
    <row r="1710">
      <c r="P1710" s="2">
        <f>IFERROR(__xludf.DUMMYFUNCTION("""COMPUTED_VALUE"""),13.0)</f>
        <v>13</v>
      </c>
      <c r="Q1710" s="2">
        <f>IFERROR(__xludf.DUMMYFUNCTION("""COMPUTED_VALUE"""),1.0)</f>
        <v>1</v>
      </c>
    </row>
    <row r="1711">
      <c r="P1711" s="2">
        <f>IFERROR(__xludf.DUMMYFUNCTION("""COMPUTED_VALUE"""),13.0)</f>
        <v>13</v>
      </c>
      <c r="Q1711" s="2">
        <f>IFERROR(__xludf.DUMMYFUNCTION("""COMPUTED_VALUE"""),12.0)</f>
        <v>12</v>
      </c>
    </row>
    <row r="1712">
      <c r="P1712" s="2">
        <f>IFERROR(__xludf.DUMMYFUNCTION("""COMPUTED_VALUE"""),13.0)</f>
        <v>13</v>
      </c>
      <c r="Q1712" s="2">
        <f>IFERROR(__xludf.DUMMYFUNCTION("""COMPUTED_VALUE"""),64.0)</f>
        <v>64</v>
      </c>
    </row>
    <row r="1713">
      <c r="P1713" s="2">
        <f>IFERROR(__xludf.DUMMYFUNCTION("""COMPUTED_VALUE"""),13.0)</f>
        <v>13</v>
      </c>
      <c r="Q1713" s="2">
        <f>IFERROR(__xludf.DUMMYFUNCTION("""COMPUTED_VALUE"""),36.0)</f>
        <v>36</v>
      </c>
    </row>
    <row r="1714">
      <c r="P1714" s="2">
        <f>IFERROR(__xludf.DUMMYFUNCTION("""COMPUTED_VALUE"""),13.0)</f>
        <v>13</v>
      </c>
      <c r="Q1714" s="2">
        <f>IFERROR(__xludf.DUMMYFUNCTION("""COMPUTED_VALUE"""),12.0)</f>
        <v>12</v>
      </c>
    </row>
    <row r="1715">
      <c r="P1715" s="2">
        <f>IFERROR(__xludf.DUMMYFUNCTION("""COMPUTED_VALUE"""),13.0)</f>
        <v>13</v>
      </c>
      <c r="Q1715" s="2">
        <f>IFERROR(__xludf.DUMMYFUNCTION("""COMPUTED_VALUE"""),1.0)</f>
        <v>1</v>
      </c>
    </row>
    <row r="1716">
      <c r="P1716" s="2">
        <f>IFERROR(__xludf.DUMMYFUNCTION("""COMPUTED_VALUE"""),13.0)</f>
        <v>13</v>
      </c>
      <c r="Q1716" s="2">
        <f>IFERROR(__xludf.DUMMYFUNCTION("""COMPUTED_VALUE"""),24.0)</f>
        <v>24</v>
      </c>
    </row>
    <row r="1717">
      <c r="P1717" s="2">
        <f>IFERROR(__xludf.DUMMYFUNCTION("""COMPUTED_VALUE"""),13.0)</f>
        <v>13</v>
      </c>
      <c r="Q1717" s="2">
        <f>IFERROR(__xludf.DUMMYFUNCTION("""COMPUTED_VALUE"""),24.0)</f>
        <v>24</v>
      </c>
    </row>
    <row r="1718">
      <c r="P1718" s="2">
        <f>IFERROR(__xludf.DUMMYFUNCTION("""COMPUTED_VALUE"""),13.0)</f>
        <v>13</v>
      </c>
      <c r="Q1718" s="2">
        <f>IFERROR(__xludf.DUMMYFUNCTION("""COMPUTED_VALUE"""),16.0)</f>
        <v>16</v>
      </c>
    </row>
    <row r="1719">
      <c r="P1719" s="2">
        <f>IFERROR(__xludf.DUMMYFUNCTION("""COMPUTED_VALUE"""),13.0)</f>
        <v>13</v>
      </c>
      <c r="Q1719" s="2">
        <f>IFERROR(__xludf.DUMMYFUNCTION("""COMPUTED_VALUE"""),3.0)</f>
        <v>3</v>
      </c>
    </row>
    <row r="1720">
      <c r="P1720" s="2">
        <f>IFERROR(__xludf.DUMMYFUNCTION("""COMPUTED_VALUE"""),13.0)</f>
        <v>13</v>
      </c>
      <c r="Q1720" s="2">
        <f>IFERROR(__xludf.DUMMYFUNCTION("""COMPUTED_VALUE"""),36.0)</f>
        <v>36</v>
      </c>
    </row>
    <row r="1721">
      <c r="P1721" s="2">
        <f>IFERROR(__xludf.DUMMYFUNCTION("""COMPUTED_VALUE"""),13.0)</f>
        <v>13</v>
      </c>
      <c r="Q1721" s="2">
        <f>IFERROR(__xludf.DUMMYFUNCTION("""COMPUTED_VALUE"""),24.0)</f>
        <v>24</v>
      </c>
    </row>
    <row r="1722">
      <c r="P1722" s="2">
        <f>IFERROR(__xludf.DUMMYFUNCTION("""COMPUTED_VALUE"""),13.0)</f>
        <v>13</v>
      </c>
      <c r="Q1722" s="2">
        <f>IFERROR(__xludf.DUMMYFUNCTION("""COMPUTED_VALUE"""),18.0)</f>
        <v>18</v>
      </c>
    </row>
    <row r="1723">
      <c r="P1723" s="2">
        <f>IFERROR(__xludf.DUMMYFUNCTION("""COMPUTED_VALUE"""),13.0)</f>
        <v>13</v>
      </c>
      <c r="Q1723" s="2">
        <f>IFERROR(__xludf.DUMMYFUNCTION("""COMPUTED_VALUE"""),8.0)</f>
        <v>8</v>
      </c>
    </row>
    <row r="1724">
      <c r="P1724" s="2">
        <f>IFERROR(__xludf.DUMMYFUNCTION("""COMPUTED_VALUE"""),13.0)</f>
        <v>13</v>
      </c>
      <c r="Q1724" s="2">
        <f>IFERROR(__xludf.DUMMYFUNCTION("""COMPUTED_VALUE"""),8.0)</f>
        <v>8</v>
      </c>
    </row>
    <row r="1725">
      <c r="P1725" s="2">
        <f>IFERROR(__xludf.DUMMYFUNCTION("""COMPUTED_VALUE"""),13.0)</f>
        <v>13</v>
      </c>
      <c r="Q1725" s="2">
        <f>IFERROR(__xludf.DUMMYFUNCTION("""COMPUTED_VALUE"""),4.0)</f>
        <v>4</v>
      </c>
    </row>
    <row r="1726">
      <c r="P1726" s="2">
        <f>IFERROR(__xludf.DUMMYFUNCTION("""COMPUTED_VALUE"""),13.0)</f>
        <v>13</v>
      </c>
      <c r="Q1726" s="2">
        <f>IFERROR(__xludf.DUMMYFUNCTION("""COMPUTED_VALUE"""),-5.0)</f>
        <v>-5</v>
      </c>
    </row>
    <row r="1727">
      <c r="P1727" s="2">
        <f>IFERROR(__xludf.DUMMYFUNCTION("""COMPUTED_VALUE"""),14.0)</f>
        <v>14</v>
      </c>
      <c r="Q1727" s="2">
        <f>IFERROR(__xludf.DUMMYFUNCTION("""COMPUTED_VALUE"""),-2.0)</f>
        <v>-2</v>
      </c>
    </row>
    <row r="1728">
      <c r="P1728" s="2">
        <f>IFERROR(__xludf.DUMMYFUNCTION("""COMPUTED_VALUE"""),14.0)</f>
        <v>14</v>
      </c>
      <c r="Q1728" s="2">
        <f>IFERROR(__xludf.DUMMYFUNCTION("""COMPUTED_VALUE"""),-2.0)</f>
        <v>-2</v>
      </c>
    </row>
    <row r="1729">
      <c r="P1729" s="2">
        <f>IFERROR(__xludf.DUMMYFUNCTION("""COMPUTED_VALUE"""),14.0)</f>
        <v>14</v>
      </c>
      <c r="Q1729" s="2">
        <f>IFERROR(__xludf.DUMMYFUNCTION("""COMPUTED_VALUE"""),-1.0)</f>
        <v>-1</v>
      </c>
    </row>
    <row r="1730">
      <c r="P1730" s="2">
        <f>IFERROR(__xludf.DUMMYFUNCTION("""COMPUTED_VALUE"""),14.0)</f>
        <v>14</v>
      </c>
      <c r="Q1730" s="2">
        <f>IFERROR(__xludf.DUMMYFUNCTION("""COMPUTED_VALUE"""),-1.0)</f>
        <v>-1</v>
      </c>
    </row>
    <row r="1731">
      <c r="P1731" s="2">
        <f>IFERROR(__xludf.DUMMYFUNCTION("""COMPUTED_VALUE"""),14.0)</f>
        <v>14</v>
      </c>
      <c r="Q1731" s="2">
        <f>IFERROR(__xludf.DUMMYFUNCTION("""COMPUTED_VALUE"""),-1.0)</f>
        <v>-1</v>
      </c>
    </row>
    <row r="1732">
      <c r="P1732" s="2">
        <f>IFERROR(__xludf.DUMMYFUNCTION("""COMPUTED_VALUE"""),14.0)</f>
        <v>14</v>
      </c>
      <c r="Q1732" s="2">
        <f>IFERROR(__xludf.DUMMYFUNCTION("""COMPUTED_VALUE"""),12.0)</f>
        <v>12</v>
      </c>
    </row>
    <row r="1733">
      <c r="P1733" s="2">
        <f>IFERROR(__xludf.DUMMYFUNCTION("""COMPUTED_VALUE"""),14.0)</f>
        <v>14</v>
      </c>
      <c r="Q1733" s="2">
        <f>IFERROR(__xludf.DUMMYFUNCTION("""COMPUTED_VALUE"""),6.0)</f>
        <v>6</v>
      </c>
    </row>
    <row r="1734">
      <c r="P1734" s="2">
        <f>IFERROR(__xludf.DUMMYFUNCTION("""COMPUTED_VALUE"""),14.0)</f>
        <v>14</v>
      </c>
      <c r="Q1734" s="2">
        <f>IFERROR(__xludf.DUMMYFUNCTION("""COMPUTED_VALUE"""),7.0)</f>
        <v>7</v>
      </c>
    </row>
    <row r="1735">
      <c r="P1735" s="2">
        <f>IFERROR(__xludf.DUMMYFUNCTION("""COMPUTED_VALUE"""),14.0)</f>
        <v>14</v>
      </c>
      <c r="Q1735" s="2">
        <f>IFERROR(__xludf.DUMMYFUNCTION("""COMPUTED_VALUE"""),1.0)</f>
        <v>1</v>
      </c>
    </row>
    <row r="1736">
      <c r="P1736" s="2">
        <f>IFERROR(__xludf.DUMMYFUNCTION("""COMPUTED_VALUE"""),14.0)</f>
        <v>14</v>
      </c>
      <c r="Q1736" s="2">
        <f>IFERROR(__xludf.DUMMYFUNCTION("""COMPUTED_VALUE"""),2.0)</f>
        <v>2</v>
      </c>
    </row>
    <row r="1737">
      <c r="P1737" s="2">
        <f>IFERROR(__xludf.DUMMYFUNCTION("""COMPUTED_VALUE"""),14.0)</f>
        <v>14</v>
      </c>
      <c r="Q1737" s="2">
        <f>IFERROR(__xludf.DUMMYFUNCTION("""COMPUTED_VALUE"""),2.0)</f>
        <v>2</v>
      </c>
    </row>
    <row r="1738">
      <c r="P1738" s="2">
        <f>IFERROR(__xludf.DUMMYFUNCTION("""COMPUTED_VALUE"""),14.0)</f>
        <v>14</v>
      </c>
      <c r="Q1738" s="2">
        <f>IFERROR(__xludf.DUMMYFUNCTION("""COMPUTED_VALUE"""),1.0)</f>
        <v>1</v>
      </c>
    </row>
    <row r="1739">
      <c r="P1739" s="2">
        <f>IFERROR(__xludf.DUMMYFUNCTION("""COMPUTED_VALUE"""),14.0)</f>
        <v>14</v>
      </c>
      <c r="Q1739" s="2">
        <f>IFERROR(__xludf.DUMMYFUNCTION("""COMPUTED_VALUE"""),1.0)</f>
        <v>1</v>
      </c>
    </row>
    <row r="1740">
      <c r="P1740" s="2">
        <f>IFERROR(__xludf.DUMMYFUNCTION("""COMPUTED_VALUE"""),14.0)</f>
        <v>14</v>
      </c>
      <c r="Q1740" s="2">
        <f>IFERROR(__xludf.DUMMYFUNCTION("""COMPUTED_VALUE"""),2.0)</f>
        <v>2</v>
      </c>
    </row>
    <row r="1741">
      <c r="P1741" s="2">
        <f>IFERROR(__xludf.DUMMYFUNCTION("""COMPUTED_VALUE"""),14.0)</f>
        <v>14</v>
      </c>
      <c r="Q1741" s="2">
        <f>IFERROR(__xludf.DUMMYFUNCTION("""COMPUTED_VALUE"""),2.0)</f>
        <v>2</v>
      </c>
    </row>
    <row r="1742">
      <c r="P1742" s="2">
        <f>IFERROR(__xludf.DUMMYFUNCTION("""COMPUTED_VALUE"""),14.0)</f>
        <v>14</v>
      </c>
      <c r="Q1742" s="2">
        <f>IFERROR(__xludf.DUMMYFUNCTION("""COMPUTED_VALUE"""),2.0)</f>
        <v>2</v>
      </c>
    </row>
    <row r="1743">
      <c r="P1743" s="2">
        <f>IFERROR(__xludf.DUMMYFUNCTION("""COMPUTED_VALUE"""),14.0)</f>
        <v>14</v>
      </c>
      <c r="Q1743" s="2">
        <f>IFERROR(__xludf.DUMMYFUNCTION("""COMPUTED_VALUE"""),2.0)</f>
        <v>2</v>
      </c>
    </row>
    <row r="1744">
      <c r="P1744" s="2">
        <f>IFERROR(__xludf.DUMMYFUNCTION("""COMPUTED_VALUE"""),14.0)</f>
        <v>14</v>
      </c>
      <c r="Q1744" s="2">
        <f>IFERROR(__xludf.DUMMYFUNCTION("""COMPUTED_VALUE"""),2.0)</f>
        <v>2</v>
      </c>
    </row>
    <row r="1745">
      <c r="P1745" s="2">
        <f>IFERROR(__xludf.DUMMYFUNCTION("""COMPUTED_VALUE"""),14.0)</f>
        <v>14</v>
      </c>
      <c r="Q1745" s="2">
        <f>IFERROR(__xludf.DUMMYFUNCTION("""COMPUTED_VALUE"""),2.0)</f>
        <v>2</v>
      </c>
    </row>
    <row r="1746">
      <c r="P1746" s="2">
        <f>IFERROR(__xludf.DUMMYFUNCTION("""COMPUTED_VALUE"""),14.0)</f>
        <v>14</v>
      </c>
      <c r="Q1746" s="2">
        <f>IFERROR(__xludf.DUMMYFUNCTION("""COMPUTED_VALUE"""),12.0)</f>
        <v>12</v>
      </c>
    </row>
    <row r="1747">
      <c r="P1747" s="2">
        <f>IFERROR(__xludf.DUMMYFUNCTION("""COMPUTED_VALUE"""),14.0)</f>
        <v>14</v>
      </c>
      <c r="Q1747" s="2">
        <f>IFERROR(__xludf.DUMMYFUNCTION("""COMPUTED_VALUE"""),2.0)</f>
        <v>2</v>
      </c>
    </row>
    <row r="1748">
      <c r="P1748" s="2">
        <f>IFERROR(__xludf.DUMMYFUNCTION("""COMPUTED_VALUE"""),14.0)</f>
        <v>14</v>
      </c>
      <c r="Q1748" s="2">
        <f>IFERROR(__xludf.DUMMYFUNCTION("""COMPUTED_VALUE"""),12.0)</f>
        <v>12</v>
      </c>
    </row>
    <row r="1749">
      <c r="P1749" s="2">
        <f>IFERROR(__xludf.DUMMYFUNCTION("""COMPUTED_VALUE"""),14.0)</f>
        <v>14</v>
      </c>
      <c r="Q1749" s="2">
        <f>IFERROR(__xludf.DUMMYFUNCTION("""COMPUTED_VALUE"""),6.0)</f>
        <v>6</v>
      </c>
    </row>
    <row r="1750">
      <c r="P1750" s="2">
        <f>IFERROR(__xludf.DUMMYFUNCTION("""COMPUTED_VALUE"""),14.0)</f>
        <v>14</v>
      </c>
      <c r="Q1750" s="2">
        <f>IFERROR(__xludf.DUMMYFUNCTION("""COMPUTED_VALUE"""),1.0)</f>
        <v>1</v>
      </c>
    </row>
    <row r="1751">
      <c r="P1751" s="2">
        <f>IFERROR(__xludf.DUMMYFUNCTION("""COMPUTED_VALUE"""),14.0)</f>
        <v>14</v>
      </c>
      <c r="Q1751" s="2">
        <f>IFERROR(__xludf.DUMMYFUNCTION("""COMPUTED_VALUE"""),1.0)</f>
        <v>1</v>
      </c>
    </row>
    <row r="1752">
      <c r="P1752" s="2">
        <f>IFERROR(__xludf.DUMMYFUNCTION("""COMPUTED_VALUE"""),14.0)</f>
        <v>14</v>
      </c>
      <c r="Q1752" s="2">
        <f>IFERROR(__xludf.DUMMYFUNCTION("""COMPUTED_VALUE"""),2.0)</f>
        <v>2</v>
      </c>
    </row>
    <row r="1753">
      <c r="P1753" s="2">
        <f>IFERROR(__xludf.DUMMYFUNCTION("""COMPUTED_VALUE"""),14.0)</f>
        <v>14</v>
      </c>
      <c r="Q1753" s="2">
        <f>IFERROR(__xludf.DUMMYFUNCTION("""COMPUTED_VALUE"""),2.0)</f>
        <v>2</v>
      </c>
    </row>
    <row r="1754">
      <c r="P1754" s="2">
        <f>IFERROR(__xludf.DUMMYFUNCTION("""COMPUTED_VALUE"""),14.0)</f>
        <v>14</v>
      </c>
      <c r="Q1754" s="2">
        <f>IFERROR(__xludf.DUMMYFUNCTION("""COMPUTED_VALUE"""),1.0)</f>
        <v>1</v>
      </c>
    </row>
    <row r="1755">
      <c r="P1755" s="2">
        <f>IFERROR(__xludf.DUMMYFUNCTION("""COMPUTED_VALUE"""),14.0)</f>
        <v>14</v>
      </c>
      <c r="Q1755" s="2">
        <f>IFERROR(__xludf.DUMMYFUNCTION("""COMPUTED_VALUE"""),1.0)</f>
        <v>1</v>
      </c>
    </row>
    <row r="1756">
      <c r="P1756" s="2">
        <f>IFERROR(__xludf.DUMMYFUNCTION("""COMPUTED_VALUE"""),14.0)</f>
        <v>14</v>
      </c>
      <c r="Q1756" s="2">
        <f>IFERROR(__xludf.DUMMYFUNCTION("""COMPUTED_VALUE"""),1.0)</f>
        <v>1</v>
      </c>
    </row>
    <row r="1757">
      <c r="P1757" s="2">
        <f>IFERROR(__xludf.DUMMYFUNCTION("""COMPUTED_VALUE"""),14.0)</f>
        <v>14</v>
      </c>
      <c r="Q1757" s="2">
        <f>IFERROR(__xludf.DUMMYFUNCTION("""COMPUTED_VALUE"""),1.0)</f>
        <v>1</v>
      </c>
    </row>
    <row r="1758">
      <c r="P1758" s="2">
        <f>IFERROR(__xludf.DUMMYFUNCTION("""COMPUTED_VALUE"""),14.0)</f>
        <v>14</v>
      </c>
      <c r="Q1758" s="2">
        <f>IFERROR(__xludf.DUMMYFUNCTION("""COMPUTED_VALUE"""),1.0)</f>
        <v>1</v>
      </c>
    </row>
    <row r="1759">
      <c r="P1759" s="2">
        <f>IFERROR(__xludf.DUMMYFUNCTION("""COMPUTED_VALUE"""),14.0)</f>
        <v>14</v>
      </c>
      <c r="Q1759" s="2">
        <f>IFERROR(__xludf.DUMMYFUNCTION("""COMPUTED_VALUE"""),-3.0)</f>
        <v>-3</v>
      </c>
    </row>
    <row r="1760">
      <c r="P1760" s="2">
        <f>IFERROR(__xludf.DUMMYFUNCTION("""COMPUTED_VALUE"""),14.0)</f>
        <v>14</v>
      </c>
      <c r="Q1760" s="2">
        <f>IFERROR(__xludf.DUMMYFUNCTION("""COMPUTED_VALUE"""),3.0)</f>
        <v>3</v>
      </c>
    </row>
    <row r="1761">
      <c r="P1761" s="2">
        <f>IFERROR(__xludf.DUMMYFUNCTION("""COMPUTED_VALUE"""),14.0)</f>
        <v>14</v>
      </c>
      <c r="Q1761" s="2">
        <f>IFERROR(__xludf.DUMMYFUNCTION("""COMPUTED_VALUE"""),12.0)</f>
        <v>12</v>
      </c>
    </row>
    <row r="1762">
      <c r="P1762" s="2">
        <f>IFERROR(__xludf.DUMMYFUNCTION("""COMPUTED_VALUE"""),14.0)</f>
        <v>14</v>
      </c>
      <c r="Q1762" s="2">
        <f>IFERROR(__xludf.DUMMYFUNCTION("""COMPUTED_VALUE"""),1.0)</f>
        <v>1</v>
      </c>
    </row>
    <row r="1763">
      <c r="P1763" s="2">
        <f>IFERROR(__xludf.DUMMYFUNCTION("""COMPUTED_VALUE"""),14.0)</f>
        <v>14</v>
      </c>
      <c r="Q1763" s="2">
        <f>IFERROR(__xludf.DUMMYFUNCTION("""COMPUTED_VALUE"""),8.0)</f>
        <v>8</v>
      </c>
    </row>
    <row r="1764">
      <c r="P1764" s="2">
        <f>IFERROR(__xludf.DUMMYFUNCTION("""COMPUTED_VALUE"""),14.0)</f>
        <v>14</v>
      </c>
      <c r="Q1764" s="2">
        <f>IFERROR(__xludf.DUMMYFUNCTION("""COMPUTED_VALUE"""),1.0)</f>
        <v>1</v>
      </c>
    </row>
    <row r="1765">
      <c r="P1765" s="2">
        <f>IFERROR(__xludf.DUMMYFUNCTION("""COMPUTED_VALUE"""),14.0)</f>
        <v>14</v>
      </c>
      <c r="Q1765" s="2">
        <f>IFERROR(__xludf.DUMMYFUNCTION("""COMPUTED_VALUE"""),3.0)</f>
        <v>3</v>
      </c>
    </row>
    <row r="1766">
      <c r="P1766" s="2">
        <f>IFERROR(__xludf.DUMMYFUNCTION("""COMPUTED_VALUE"""),14.0)</f>
        <v>14</v>
      </c>
      <c r="Q1766" s="2">
        <f>IFERROR(__xludf.DUMMYFUNCTION("""COMPUTED_VALUE"""),2.0)</f>
        <v>2</v>
      </c>
    </row>
    <row r="1767">
      <c r="P1767" s="2">
        <f>IFERROR(__xludf.DUMMYFUNCTION("""COMPUTED_VALUE"""),14.0)</f>
        <v>14</v>
      </c>
      <c r="Q1767" s="2">
        <f>IFERROR(__xludf.DUMMYFUNCTION("""COMPUTED_VALUE"""),2.0)</f>
        <v>2</v>
      </c>
    </row>
    <row r="1768">
      <c r="P1768" s="2">
        <f>IFERROR(__xludf.DUMMYFUNCTION("""COMPUTED_VALUE"""),14.0)</f>
        <v>14</v>
      </c>
      <c r="Q1768" s="2">
        <f>IFERROR(__xludf.DUMMYFUNCTION("""COMPUTED_VALUE"""),4.0)</f>
        <v>4</v>
      </c>
    </row>
    <row r="1769">
      <c r="P1769" s="2">
        <f>IFERROR(__xludf.DUMMYFUNCTION("""COMPUTED_VALUE"""),14.0)</f>
        <v>14</v>
      </c>
      <c r="Q1769" s="2">
        <f>IFERROR(__xludf.DUMMYFUNCTION("""COMPUTED_VALUE"""),6.0)</f>
        <v>6</v>
      </c>
    </row>
    <row r="1770">
      <c r="P1770" s="2">
        <f>IFERROR(__xludf.DUMMYFUNCTION("""COMPUTED_VALUE"""),14.0)</f>
        <v>14</v>
      </c>
      <c r="Q1770" s="2">
        <f>IFERROR(__xludf.DUMMYFUNCTION("""COMPUTED_VALUE"""),4.0)</f>
        <v>4</v>
      </c>
    </row>
    <row r="1771">
      <c r="P1771" s="2">
        <f>IFERROR(__xludf.DUMMYFUNCTION("""COMPUTED_VALUE"""),14.0)</f>
        <v>14</v>
      </c>
      <c r="Q1771" s="2">
        <f>IFERROR(__xludf.DUMMYFUNCTION("""COMPUTED_VALUE"""),4.0)</f>
        <v>4</v>
      </c>
    </row>
    <row r="1772">
      <c r="P1772" s="2">
        <f>IFERROR(__xludf.DUMMYFUNCTION("""COMPUTED_VALUE"""),14.0)</f>
        <v>14</v>
      </c>
      <c r="Q1772" s="2">
        <f>IFERROR(__xludf.DUMMYFUNCTION("""COMPUTED_VALUE"""),1.0)</f>
        <v>1</v>
      </c>
    </row>
    <row r="1773">
      <c r="P1773" s="2">
        <f>IFERROR(__xludf.DUMMYFUNCTION("""COMPUTED_VALUE"""),14.0)</f>
        <v>14</v>
      </c>
      <c r="Q1773" s="2">
        <f>IFERROR(__xludf.DUMMYFUNCTION("""COMPUTED_VALUE"""),2.0)</f>
        <v>2</v>
      </c>
    </row>
    <row r="1774">
      <c r="P1774" s="2">
        <f>IFERROR(__xludf.DUMMYFUNCTION("""COMPUTED_VALUE"""),14.0)</f>
        <v>14</v>
      </c>
      <c r="Q1774" s="2">
        <f>IFERROR(__xludf.DUMMYFUNCTION("""COMPUTED_VALUE"""),1.0)</f>
        <v>1</v>
      </c>
    </row>
    <row r="1775">
      <c r="P1775" s="2">
        <f>IFERROR(__xludf.DUMMYFUNCTION("""COMPUTED_VALUE"""),14.0)</f>
        <v>14</v>
      </c>
      <c r="Q1775" s="2">
        <f>IFERROR(__xludf.DUMMYFUNCTION("""COMPUTED_VALUE"""),1.0)</f>
        <v>1</v>
      </c>
    </row>
    <row r="1776">
      <c r="P1776" s="2">
        <f>IFERROR(__xludf.DUMMYFUNCTION("""COMPUTED_VALUE"""),14.0)</f>
        <v>14</v>
      </c>
      <c r="Q1776" s="2">
        <f>IFERROR(__xludf.DUMMYFUNCTION("""COMPUTED_VALUE"""),1.0)</f>
        <v>1</v>
      </c>
    </row>
    <row r="1777">
      <c r="P1777" s="2">
        <f>IFERROR(__xludf.DUMMYFUNCTION("""COMPUTED_VALUE"""),14.0)</f>
        <v>14</v>
      </c>
      <c r="Q1777" s="2">
        <f>IFERROR(__xludf.DUMMYFUNCTION("""COMPUTED_VALUE"""),2.0)</f>
        <v>2</v>
      </c>
    </row>
    <row r="1778">
      <c r="P1778" s="2">
        <f>IFERROR(__xludf.DUMMYFUNCTION("""COMPUTED_VALUE"""),14.0)</f>
        <v>14</v>
      </c>
      <c r="Q1778" s="2">
        <f>IFERROR(__xludf.DUMMYFUNCTION("""COMPUTED_VALUE"""),4.0)</f>
        <v>4</v>
      </c>
    </row>
    <row r="1779">
      <c r="P1779" s="2">
        <f>IFERROR(__xludf.DUMMYFUNCTION("""COMPUTED_VALUE"""),14.0)</f>
        <v>14</v>
      </c>
      <c r="Q1779" s="2">
        <f>IFERROR(__xludf.DUMMYFUNCTION("""COMPUTED_VALUE"""),4.0)</f>
        <v>4</v>
      </c>
    </row>
    <row r="1780">
      <c r="P1780" s="2">
        <f>IFERROR(__xludf.DUMMYFUNCTION("""COMPUTED_VALUE"""),14.0)</f>
        <v>14</v>
      </c>
      <c r="Q1780" s="2">
        <f>IFERROR(__xludf.DUMMYFUNCTION("""COMPUTED_VALUE"""),2.0)</f>
        <v>2</v>
      </c>
    </row>
    <row r="1781">
      <c r="P1781" s="2">
        <f>IFERROR(__xludf.DUMMYFUNCTION("""COMPUTED_VALUE"""),14.0)</f>
        <v>14</v>
      </c>
      <c r="Q1781" s="2">
        <f>IFERROR(__xludf.DUMMYFUNCTION("""COMPUTED_VALUE"""),2.0)</f>
        <v>2</v>
      </c>
    </row>
    <row r="1782">
      <c r="P1782" s="2">
        <f>IFERROR(__xludf.DUMMYFUNCTION("""COMPUTED_VALUE"""),14.0)</f>
        <v>14</v>
      </c>
      <c r="Q1782" s="2">
        <f>IFERROR(__xludf.DUMMYFUNCTION("""COMPUTED_VALUE"""),3.0)</f>
        <v>3</v>
      </c>
    </row>
    <row r="1783">
      <c r="P1783" s="2">
        <f>IFERROR(__xludf.DUMMYFUNCTION("""COMPUTED_VALUE"""),14.0)</f>
        <v>14</v>
      </c>
      <c r="Q1783" s="2">
        <f>IFERROR(__xludf.DUMMYFUNCTION("""COMPUTED_VALUE"""),6.0)</f>
        <v>6</v>
      </c>
    </row>
    <row r="1784">
      <c r="P1784" s="2">
        <f>IFERROR(__xludf.DUMMYFUNCTION("""COMPUTED_VALUE"""),14.0)</f>
        <v>14</v>
      </c>
      <c r="Q1784" s="2">
        <f>IFERROR(__xludf.DUMMYFUNCTION("""COMPUTED_VALUE"""),3.0)</f>
        <v>3</v>
      </c>
    </row>
    <row r="1785">
      <c r="P1785" s="2">
        <f>IFERROR(__xludf.DUMMYFUNCTION("""COMPUTED_VALUE"""),14.0)</f>
        <v>14</v>
      </c>
      <c r="Q1785" s="2">
        <f>IFERROR(__xludf.DUMMYFUNCTION("""COMPUTED_VALUE"""),2.0)</f>
        <v>2</v>
      </c>
    </row>
    <row r="1786">
      <c r="P1786" s="2">
        <f>IFERROR(__xludf.DUMMYFUNCTION("""COMPUTED_VALUE"""),14.0)</f>
        <v>14</v>
      </c>
      <c r="Q1786" s="2">
        <f>IFERROR(__xludf.DUMMYFUNCTION("""COMPUTED_VALUE"""),3.0)</f>
        <v>3</v>
      </c>
    </row>
    <row r="1787">
      <c r="P1787" s="2">
        <f>IFERROR(__xludf.DUMMYFUNCTION("""COMPUTED_VALUE"""),14.0)</f>
        <v>14</v>
      </c>
      <c r="Q1787" s="2">
        <f>IFERROR(__xludf.DUMMYFUNCTION("""COMPUTED_VALUE"""),5.0)</f>
        <v>5</v>
      </c>
    </row>
    <row r="1788">
      <c r="P1788" s="2">
        <f>IFERROR(__xludf.DUMMYFUNCTION("""COMPUTED_VALUE"""),14.0)</f>
        <v>14</v>
      </c>
      <c r="Q1788" s="2">
        <f>IFERROR(__xludf.DUMMYFUNCTION("""COMPUTED_VALUE"""),1.0)</f>
        <v>1</v>
      </c>
    </row>
    <row r="1789">
      <c r="P1789" s="2">
        <f>IFERROR(__xludf.DUMMYFUNCTION("""COMPUTED_VALUE"""),14.0)</f>
        <v>14</v>
      </c>
      <c r="Q1789" s="2">
        <f>IFERROR(__xludf.DUMMYFUNCTION("""COMPUTED_VALUE"""),-2.0)</f>
        <v>-2</v>
      </c>
    </row>
    <row r="1790">
      <c r="P1790" s="2">
        <f>IFERROR(__xludf.DUMMYFUNCTION("""COMPUTED_VALUE"""),14.0)</f>
        <v>14</v>
      </c>
      <c r="Q1790" s="2">
        <f>IFERROR(__xludf.DUMMYFUNCTION("""COMPUTED_VALUE"""),1.0)</f>
        <v>1</v>
      </c>
    </row>
    <row r="1791">
      <c r="P1791" s="2">
        <f>IFERROR(__xludf.DUMMYFUNCTION("""COMPUTED_VALUE"""),14.0)</f>
        <v>14</v>
      </c>
      <c r="Q1791" s="2">
        <f>IFERROR(__xludf.DUMMYFUNCTION("""COMPUTED_VALUE"""),1.0)</f>
        <v>1</v>
      </c>
    </row>
    <row r="1792">
      <c r="P1792" s="2">
        <f>IFERROR(__xludf.DUMMYFUNCTION("""COMPUTED_VALUE"""),14.0)</f>
        <v>14</v>
      </c>
      <c r="Q1792" s="2">
        <f>IFERROR(__xludf.DUMMYFUNCTION("""COMPUTED_VALUE"""),4.0)</f>
        <v>4</v>
      </c>
    </row>
    <row r="1793">
      <c r="P1793" s="2">
        <f>IFERROR(__xludf.DUMMYFUNCTION("""COMPUTED_VALUE"""),14.0)</f>
        <v>14</v>
      </c>
      <c r="Q1793" s="2">
        <f>IFERROR(__xludf.DUMMYFUNCTION("""COMPUTED_VALUE"""),7.0)</f>
        <v>7</v>
      </c>
    </row>
    <row r="1794">
      <c r="P1794" s="2">
        <f>IFERROR(__xludf.DUMMYFUNCTION("""COMPUTED_VALUE"""),14.0)</f>
        <v>14</v>
      </c>
      <c r="Q1794" s="2">
        <f>IFERROR(__xludf.DUMMYFUNCTION("""COMPUTED_VALUE"""),3.0)</f>
        <v>3</v>
      </c>
    </row>
    <row r="1795">
      <c r="P1795" s="2">
        <f>IFERROR(__xludf.DUMMYFUNCTION("""COMPUTED_VALUE"""),14.0)</f>
        <v>14</v>
      </c>
      <c r="Q1795" s="2">
        <f>IFERROR(__xludf.DUMMYFUNCTION("""COMPUTED_VALUE"""),6.0)</f>
        <v>6</v>
      </c>
    </row>
    <row r="1796">
      <c r="P1796" s="2">
        <f>IFERROR(__xludf.DUMMYFUNCTION("""COMPUTED_VALUE"""),14.0)</f>
        <v>14</v>
      </c>
      <c r="Q1796" s="2">
        <f>IFERROR(__xludf.DUMMYFUNCTION("""COMPUTED_VALUE"""),4.0)</f>
        <v>4</v>
      </c>
    </row>
    <row r="1797">
      <c r="P1797" s="2">
        <f>IFERROR(__xludf.DUMMYFUNCTION("""COMPUTED_VALUE"""),14.0)</f>
        <v>14</v>
      </c>
      <c r="Q1797" s="2">
        <f>IFERROR(__xludf.DUMMYFUNCTION("""COMPUTED_VALUE"""),5.0)</f>
        <v>5</v>
      </c>
    </row>
    <row r="1798">
      <c r="P1798" s="2">
        <f>IFERROR(__xludf.DUMMYFUNCTION("""COMPUTED_VALUE"""),14.0)</f>
        <v>14</v>
      </c>
      <c r="Q1798" s="2">
        <f>IFERROR(__xludf.DUMMYFUNCTION("""COMPUTED_VALUE"""),5.0)</f>
        <v>5</v>
      </c>
    </row>
    <row r="1799">
      <c r="P1799" s="2">
        <f>IFERROR(__xludf.DUMMYFUNCTION("""COMPUTED_VALUE"""),14.0)</f>
        <v>14</v>
      </c>
      <c r="Q1799" s="2">
        <f>IFERROR(__xludf.DUMMYFUNCTION("""COMPUTED_VALUE"""),4.0)</f>
        <v>4</v>
      </c>
    </row>
    <row r="1800">
      <c r="P1800" s="2">
        <f>IFERROR(__xludf.DUMMYFUNCTION("""COMPUTED_VALUE"""),14.0)</f>
        <v>14</v>
      </c>
      <c r="Q1800" s="2">
        <f>IFERROR(__xludf.DUMMYFUNCTION("""COMPUTED_VALUE"""),2.0)</f>
        <v>2</v>
      </c>
    </row>
    <row r="1801">
      <c r="P1801" s="2">
        <f>IFERROR(__xludf.DUMMYFUNCTION("""COMPUTED_VALUE"""),14.0)</f>
        <v>14</v>
      </c>
      <c r="Q1801" s="2">
        <f>IFERROR(__xludf.DUMMYFUNCTION("""COMPUTED_VALUE"""),2.0)</f>
        <v>2</v>
      </c>
    </row>
    <row r="1802">
      <c r="P1802" s="2">
        <f>IFERROR(__xludf.DUMMYFUNCTION("""COMPUTED_VALUE"""),14.0)</f>
        <v>14</v>
      </c>
      <c r="Q1802" s="2">
        <f>IFERROR(__xludf.DUMMYFUNCTION("""COMPUTED_VALUE"""),2.0)</f>
        <v>2</v>
      </c>
    </row>
    <row r="1803">
      <c r="P1803" s="2">
        <f>IFERROR(__xludf.DUMMYFUNCTION("""COMPUTED_VALUE"""),14.0)</f>
        <v>14</v>
      </c>
      <c r="Q1803" s="2">
        <f>IFERROR(__xludf.DUMMYFUNCTION("""COMPUTED_VALUE"""),3.0)</f>
        <v>3</v>
      </c>
    </row>
    <row r="1804">
      <c r="P1804" s="2">
        <f>IFERROR(__xludf.DUMMYFUNCTION("""COMPUTED_VALUE"""),14.0)</f>
        <v>14</v>
      </c>
      <c r="Q1804" s="2">
        <f>IFERROR(__xludf.DUMMYFUNCTION("""COMPUTED_VALUE"""),3.0)</f>
        <v>3</v>
      </c>
    </row>
    <row r="1805">
      <c r="P1805" s="2">
        <f>IFERROR(__xludf.DUMMYFUNCTION("""COMPUTED_VALUE"""),14.0)</f>
        <v>14</v>
      </c>
      <c r="Q1805" s="2">
        <f>IFERROR(__xludf.DUMMYFUNCTION("""COMPUTED_VALUE"""),2.0)</f>
        <v>2</v>
      </c>
    </row>
    <row r="1806">
      <c r="P1806" s="2">
        <f>IFERROR(__xludf.DUMMYFUNCTION("""COMPUTED_VALUE"""),14.0)</f>
        <v>14</v>
      </c>
      <c r="Q1806" s="2">
        <f>IFERROR(__xludf.DUMMYFUNCTION("""COMPUTED_VALUE"""),2.0)</f>
        <v>2</v>
      </c>
    </row>
    <row r="1807">
      <c r="P1807" s="2">
        <f>IFERROR(__xludf.DUMMYFUNCTION("""COMPUTED_VALUE"""),14.0)</f>
        <v>14</v>
      </c>
      <c r="Q1807" s="2">
        <f>IFERROR(__xludf.DUMMYFUNCTION("""COMPUTED_VALUE"""),1.0)</f>
        <v>1</v>
      </c>
    </row>
    <row r="1808">
      <c r="P1808" s="2">
        <f>IFERROR(__xludf.DUMMYFUNCTION("""COMPUTED_VALUE"""),14.0)</f>
        <v>14</v>
      </c>
      <c r="Q1808" s="2">
        <f>IFERROR(__xludf.DUMMYFUNCTION("""COMPUTED_VALUE"""),8.0)</f>
        <v>8</v>
      </c>
    </row>
    <row r="1809">
      <c r="P1809" s="2">
        <f>IFERROR(__xludf.DUMMYFUNCTION("""COMPUTED_VALUE"""),14.0)</f>
        <v>14</v>
      </c>
      <c r="Q1809" s="2">
        <f>IFERROR(__xludf.DUMMYFUNCTION("""COMPUTED_VALUE"""),12.0)</f>
        <v>12</v>
      </c>
    </row>
    <row r="1810">
      <c r="P1810" s="2">
        <f>IFERROR(__xludf.DUMMYFUNCTION("""COMPUTED_VALUE"""),14.0)</f>
        <v>14</v>
      </c>
      <c r="Q1810" s="2">
        <f>IFERROR(__xludf.DUMMYFUNCTION("""COMPUTED_VALUE"""),1.0)</f>
        <v>1</v>
      </c>
    </row>
    <row r="1811">
      <c r="P1811" s="2">
        <f>IFERROR(__xludf.DUMMYFUNCTION("""COMPUTED_VALUE"""),14.0)</f>
        <v>14</v>
      </c>
      <c r="Q1811" s="2">
        <f>IFERROR(__xludf.DUMMYFUNCTION("""COMPUTED_VALUE"""),2.0)</f>
        <v>2</v>
      </c>
    </row>
    <row r="1812">
      <c r="P1812" s="2">
        <f>IFERROR(__xludf.DUMMYFUNCTION("""COMPUTED_VALUE"""),14.0)</f>
        <v>14</v>
      </c>
      <c r="Q1812" s="2">
        <f>IFERROR(__xludf.DUMMYFUNCTION("""COMPUTED_VALUE"""),6.0)</f>
        <v>6</v>
      </c>
    </row>
    <row r="1813">
      <c r="P1813" s="2">
        <f>IFERROR(__xludf.DUMMYFUNCTION("""COMPUTED_VALUE"""),14.0)</f>
        <v>14</v>
      </c>
      <c r="Q1813" s="2">
        <f>IFERROR(__xludf.DUMMYFUNCTION("""COMPUTED_VALUE"""),1.0)</f>
        <v>1</v>
      </c>
    </row>
    <row r="1814">
      <c r="P1814" s="2">
        <f>IFERROR(__xludf.DUMMYFUNCTION("""COMPUTED_VALUE"""),14.0)</f>
        <v>14</v>
      </c>
      <c r="Q1814" s="2">
        <f>IFERROR(__xludf.DUMMYFUNCTION("""COMPUTED_VALUE"""),2.0)</f>
        <v>2</v>
      </c>
    </row>
    <row r="1815">
      <c r="P1815" s="2">
        <f>IFERROR(__xludf.DUMMYFUNCTION("""COMPUTED_VALUE"""),14.0)</f>
        <v>14</v>
      </c>
      <c r="Q1815" s="2">
        <f>IFERROR(__xludf.DUMMYFUNCTION("""COMPUTED_VALUE"""),4.0)</f>
        <v>4</v>
      </c>
    </row>
    <row r="1816">
      <c r="P1816" s="2">
        <f>IFERROR(__xludf.DUMMYFUNCTION("""COMPUTED_VALUE"""),14.0)</f>
        <v>14</v>
      </c>
      <c r="Q1816" s="2">
        <f>IFERROR(__xludf.DUMMYFUNCTION("""COMPUTED_VALUE"""),1.0)</f>
        <v>1</v>
      </c>
    </row>
    <row r="1817">
      <c r="P1817" s="2">
        <f>IFERROR(__xludf.DUMMYFUNCTION("""COMPUTED_VALUE"""),14.0)</f>
        <v>14</v>
      </c>
      <c r="Q1817" s="2">
        <f>IFERROR(__xludf.DUMMYFUNCTION("""COMPUTED_VALUE"""),1.0)</f>
        <v>1</v>
      </c>
    </row>
    <row r="1818">
      <c r="P1818" s="2">
        <f>IFERROR(__xludf.DUMMYFUNCTION("""COMPUTED_VALUE"""),14.0)</f>
        <v>14</v>
      </c>
      <c r="Q1818" s="2">
        <f>IFERROR(__xludf.DUMMYFUNCTION("""COMPUTED_VALUE"""),2.0)</f>
        <v>2</v>
      </c>
    </row>
    <row r="1819">
      <c r="P1819" s="2">
        <f>IFERROR(__xludf.DUMMYFUNCTION("""COMPUTED_VALUE"""),14.0)</f>
        <v>14</v>
      </c>
      <c r="Q1819" s="2">
        <f>IFERROR(__xludf.DUMMYFUNCTION("""COMPUTED_VALUE"""),3.0)</f>
        <v>3</v>
      </c>
    </row>
    <row r="1820">
      <c r="P1820" s="2">
        <f>IFERROR(__xludf.DUMMYFUNCTION("""COMPUTED_VALUE"""),14.0)</f>
        <v>14</v>
      </c>
      <c r="Q1820" s="2">
        <f>IFERROR(__xludf.DUMMYFUNCTION("""COMPUTED_VALUE"""),6.0)</f>
        <v>6</v>
      </c>
    </row>
    <row r="1821">
      <c r="P1821" s="2">
        <f>IFERROR(__xludf.DUMMYFUNCTION("""COMPUTED_VALUE"""),14.0)</f>
        <v>14</v>
      </c>
      <c r="Q1821" s="2">
        <f>IFERROR(__xludf.DUMMYFUNCTION("""COMPUTED_VALUE"""),1.0)</f>
        <v>1</v>
      </c>
    </row>
    <row r="1822">
      <c r="P1822" s="2">
        <f>IFERROR(__xludf.DUMMYFUNCTION("""COMPUTED_VALUE"""),14.0)</f>
        <v>14</v>
      </c>
      <c r="Q1822" s="2">
        <f>IFERROR(__xludf.DUMMYFUNCTION("""COMPUTED_VALUE"""),3.0)</f>
        <v>3</v>
      </c>
    </row>
    <row r="1823">
      <c r="P1823" s="2">
        <f>IFERROR(__xludf.DUMMYFUNCTION("""COMPUTED_VALUE"""),14.0)</f>
        <v>14</v>
      </c>
      <c r="Q1823" s="2">
        <f>IFERROR(__xludf.DUMMYFUNCTION("""COMPUTED_VALUE"""),8.0)</f>
        <v>8</v>
      </c>
    </row>
    <row r="1824">
      <c r="P1824" s="2">
        <f>IFERROR(__xludf.DUMMYFUNCTION("""COMPUTED_VALUE"""),14.0)</f>
        <v>14</v>
      </c>
      <c r="Q1824" s="2">
        <f>IFERROR(__xludf.DUMMYFUNCTION("""COMPUTED_VALUE"""),1.0)</f>
        <v>1</v>
      </c>
    </row>
    <row r="1825">
      <c r="P1825" s="2">
        <f>IFERROR(__xludf.DUMMYFUNCTION("""COMPUTED_VALUE"""),14.0)</f>
        <v>14</v>
      </c>
      <c r="Q1825" s="2">
        <f>IFERROR(__xludf.DUMMYFUNCTION("""COMPUTED_VALUE"""),2.0)</f>
        <v>2</v>
      </c>
    </row>
    <row r="1826">
      <c r="P1826" s="2">
        <f>IFERROR(__xludf.DUMMYFUNCTION("""COMPUTED_VALUE"""),14.0)</f>
        <v>14</v>
      </c>
      <c r="Q1826" s="2">
        <f>IFERROR(__xludf.DUMMYFUNCTION("""COMPUTED_VALUE"""),4.0)</f>
        <v>4</v>
      </c>
    </row>
    <row r="1827">
      <c r="P1827" s="2">
        <f>IFERROR(__xludf.DUMMYFUNCTION("""COMPUTED_VALUE"""),14.0)</f>
        <v>14</v>
      </c>
      <c r="Q1827" s="2">
        <f>IFERROR(__xludf.DUMMYFUNCTION("""COMPUTED_VALUE"""),8.0)</f>
        <v>8</v>
      </c>
    </row>
    <row r="1828">
      <c r="P1828" s="2">
        <f>IFERROR(__xludf.DUMMYFUNCTION("""COMPUTED_VALUE"""),14.0)</f>
        <v>14</v>
      </c>
      <c r="Q1828" s="2">
        <f>IFERROR(__xludf.DUMMYFUNCTION("""COMPUTED_VALUE"""),8.0)</f>
        <v>8</v>
      </c>
    </row>
    <row r="1829">
      <c r="P1829" s="2">
        <f>IFERROR(__xludf.DUMMYFUNCTION("""COMPUTED_VALUE"""),14.0)</f>
        <v>14</v>
      </c>
      <c r="Q1829" s="2">
        <f>IFERROR(__xludf.DUMMYFUNCTION("""COMPUTED_VALUE"""),2.0)</f>
        <v>2</v>
      </c>
    </row>
    <row r="1830">
      <c r="P1830" s="2">
        <f>IFERROR(__xludf.DUMMYFUNCTION("""COMPUTED_VALUE"""),14.0)</f>
        <v>14</v>
      </c>
      <c r="Q1830" s="2">
        <f>IFERROR(__xludf.DUMMYFUNCTION("""COMPUTED_VALUE"""),1.0)</f>
        <v>1</v>
      </c>
    </row>
    <row r="1831">
      <c r="P1831" s="2">
        <f>IFERROR(__xludf.DUMMYFUNCTION("""COMPUTED_VALUE"""),14.0)</f>
        <v>14</v>
      </c>
      <c r="Q1831" s="2">
        <f>IFERROR(__xludf.DUMMYFUNCTION("""COMPUTED_VALUE"""),2.0)</f>
        <v>2</v>
      </c>
    </row>
    <row r="1832">
      <c r="P1832" s="2">
        <f>IFERROR(__xludf.DUMMYFUNCTION("""COMPUTED_VALUE"""),14.0)</f>
        <v>14</v>
      </c>
      <c r="Q1832" s="2">
        <f>IFERROR(__xludf.DUMMYFUNCTION("""COMPUTED_VALUE"""),4.0)</f>
        <v>4</v>
      </c>
    </row>
    <row r="1833">
      <c r="P1833" s="2">
        <f>IFERROR(__xludf.DUMMYFUNCTION("""COMPUTED_VALUE"""),14.0)</f>
        <v>14</v>
      </c>
      <c r="Q1833" s="2">
        <f>IFERROR(__xludf.DUMMYFUNCTION("""COMPUTED_VALUE"""),4.0)</f>
        <v>4</v>
      </c>
    </row>
    <row r="1834">
      <c r="P1834" s="2">
        <f>IFERROR(__xludf.DUMMYFUNCTION("""COMPUTED_VALUE"""),14.0)</f>
        <v>14</v>
      </c>
      <c r="Q1834" s="2">
        <f>IFERROR(__xludf.DUMMYFUNCTION("""COMPUTED_VALUE"""),3.0)</f>
        <v>3</v>
      </c>
    </row>
    <row r="1835">
      <c r="P1835" s="2">
        <f>IFERROR(__xludf.DUMMYFUNCTION("""COMPUTED_VALUE"""),14.0)</f>
        <v>14</v>
      </c>
      <c r="Q1835" s="2">
        <f>IFERROR(__xludf.DUMMYFUNCTION("""COMPUTED_VALUE"""),1.0)</f>
        <v>1</v>
      </c>
    </row>
    <row r="1836">
      <c r="P1836" s="2">
        <f>IFERROR(__xludf.DUMMYFUNCTION("""COMPUTED_VALUE"""),14.0)</f>
        <v>14</v>
      </c>
      <c r="Q1836" s="2">
        <f>IFERROR(__xludf.DUMMYFUNCTION("""COMPUTED_VALUE"""),3.0)</f>
        <v>3</v>
      </c>
    </row>
    <row r="1837">
      <c r="P1837" s="2">
        <f>IFERROR(__xludf.DUMMYFUNCTION("""COMPUTED_VALUE"""),14.0)</f>
        <v>14</v>
      </c>
      <c r="Q1837" s="2">
        <f>IFERROR(__xludf.DUMMYFUNCTION("""COMPUTED_VALUE"""),2.0)</f>
        <v>2</v>
      </c>
    </row>
    <row r="1838">
      <c r="P1838" s="2">
        <f>IFERROR(__xludf.DUMMYFUNCTION("""COMPUTED_VALUE"""),14.0)</f>
        <v>14</v>
      </c>
      <c r="Q1838" s="2">
        <f>IFERROR(__xludf.DUMMYFUNCTION("""COMPUTED_VALUE"""),6.0)</f>
        <v>6</v>
      </c>
    </row>
    <row r="1839">
      <c r="P1839" s="2">
        <f>IFERROR(__xludf.DUMMYFUNCTION("""COMPUTED_VALUE"""),14.0)</f>
        <v>14</v>
      </c>
      <c r="Q1839" s="2">
        <f>IFERROR(__xludf.DUMMYFUNCTION("""COMPUTED_VALUE"""),11.0)</f>
        <v>11</v>
      </c>
    </row>
    <row r="1840">
      <c r="P1840" s="2">
        <f>IFERROR(__xludf.DUMMYFUNCTION("""COMPUTED_VALUE"""),14.0)</f>
        <v>14</v>
      </c>
      <c r="Q1840" s="2">
        <f>IFERROR(__xludf.DUMMYFUNCTION("""COMPUTED_VALUE"""),-1.0)</f>
        <v>-1</v>
      </c>
    </row>
    <row r="1841">
      <c r="P1841" s="2">
        <f>IFERROR(__xludf.DUMMYFUNCTION("""COMPUTED_VALUE"""),14.0)</f>
        <v>14</v>
      </c>
      <c r="Q1841" s="2">
        <f>IFERROR(__xludf.DUMMYFUNCTION("""COMPUTED_VALUE"""),2.0)</f>
        <v>2</v>
      </c>
    </row>
    <row r="1842">
      <c r="P1842" s="2">
        <f>IFERROR(__xludf.DUMMYFUNCTION("""COMPUTED_VALUE"""),14.0)</f>
        <v>14</v>
      </c>
      <c r="Q1842" s="2">
        <f>IFERROR(__xludf.DUMMYFUNCTION("""COMPUTED_VALUE"""),1.0)</f>
        <v>1</v>
      </c>
    </row>
    <row r="1843">
      <c r="P1843" s="2">
        <f>IFERROR(__xludf.DUMMYFUNCTION("""COMPUTED_VALUE"""),14.0)</f>
        <v>14</v>
      </c>
      <c r="Q1843" s="2">
        <f>IFERROR(__xludf.DUMMYFUNCTION("""COMPUTED_VALUE"""),1.0)</f>
        <v>1</v>
      </c>
    </row>
    <row r="1844">
      <c r="P1844" s="2">
        <f>IFERROR(__xludf.DUMMYFUNCTION("""COMPUTED_VALUE"""),14.0)</f>
        <v>14</v>
      </c>
      <c r="Q1844" s="2">
        <f>IFERROR(__xludf.DUMMYFUNCTION("""COMPUTED_VALUE"""),1.0)</f>
        <v>1</v>
      </c>
    </row>
    <row r="1845">
      <c r="P1845" s="2">
        <f>IFERROR(__xludf.DUMMYFUNCTION("""COMPUTED_VALUE"""),14.0)</f>
        <v>14</v>
      </c>
      <c r="Q1845" s="2">
        <f>IFERROR(__xludf.DUMMYFUNCTION("""COMPUTED_VALUE"""),1.0)</f>
        <v>1</v>
      </c>
    </row>
    <row r="1846">
      <c r="P1846" s="2">
        <f>IFERROR(__xludf.DUMMYFUNCTION("""COMPUTED_VALUE"""),14.0)</f>
        <v>14</v>
      </c>
      <c r="Q1846" s="2">
        <f>IFERROR(__xludf.DUMMYFUNCTION("""COMPUTED_VALUE"""),1.0)</f>
        <v>1</v>
      </c>
    </row>
    <row r="1847">
      <c r="P1847" s="2">
        <f>IFERROR(__xludf.DUMMYFUNCTION("""COMPUTED_VALUE"""),14.0)</f>
        <v>14</v>
      </c>
      <c r="Q1847" s="2">
        <f>IFERROR(__xludf.DUMMYFUNCTION("""COMPUTED_VALUE"""),1.0)</f>
        <v>1</v>
      </c>
    </row>
    <row r="1848">
      <c r="P1848" s="2">
        <f>IFERROR(__xludf.DUMMYFUNCTION("""COMPUTED_VALUE"""),14.0)</f>
        <v>14</v>
      </c>
      <c r="Q1848" s="2">
        <f>IFERROR(__xludf.DUMMYFUNCTION("""COMPUTED_VALUE"""),1.0)</f>
        <v>1</v>
      </c>
    </row>
    <row r="1849">
      <c r="P1849" s="2">
        <f>IFERROR(__xludf.DUMMYFUNCTION("""COMPUTED_VALUE"""),14.0)</f>
        <v>14</v>
      </c>
      <c r="Q1849" s="2">
        <f>IFERROR(__xludf.DUMMYFUNCTION("""COMPUTED_VALUE"""),1.0)</f>
        <v>1</v>
      </c>
    </row>
    <row r="1850">
      <c r="P1850" s="2">
        <f>IFERROR(__xludf.DUMMYFUNCTION("""COMPUTED_VALUE"""),14.0)</f>
        <v>14</v>
      </c>
      <c r="Q1850" s="2">
        <f>IFERROR(__xludf.DUMMYFUNCTION("""COMPUTED_VALUE"""),1.0)</f>
        <v>1</v>
      </c>
    </row>
    <row r="1851">
      <c r="P1851" s="2">
        <f>IFERROR(__xludf.DUMMYFUNCTION("""COMPUTED_VALUE"""),14.0)</f>
        <v>14</v>
      </c>
      <c r="Q1851" s="2">
        <f>IFERROR(__xludf.DUMMYFUNCTION("""COMPUTED_VALUE"""),2.0)</f>
        <v>2</v>
      </c>
    </row>
    <row r="1852">
      <c r="P1852" s="2">
        <f>IFERROR(__xludf.DUMMYFUNCTION("""COMPUTED_VALUE"""),14.0)</f>
        <v>14</v>
      </c>
      <c r="Q1852" s="2">
        <f>IFERROR(__xludf.DUMMYFUNCTION("""COMPUTED_VALUE"""),2.0)</f>
        <v>2</v>
      </c>
    </row>
    <row r="1853">
      <c r="P1853" s="2">
        <f>IFERROR(__xludf.DUMMYFUNCTION("""COMPUTED_VALUE"""),14.0)</f>
        <v>14</v>
      </c>
      <c r="Q1853" s="2">
        <f>IFERROR(__xludf.DUMMYFUNCTION("""COMPUTED_VALUE"""),1.0)</f>
        <v>1</v>
      </c>
    </row>
    <row r="1854">
      <c r="P1854" s="2">
        <f>IFERROR(__xludf.DUMMYFUNCTION("""COMPUTED_VALUE"""),14.0)</f>
        <v>14</v>
      </c>
      <c r="Q1854" s="2">
        <f>IFERROR(__xludf.DUMMYFUNCTION("""COMPUTED_VALUE"""),1.0)</f>
        <v>1</v>
      </c>
    </row>
    <row r="1855">
      <c r="P1855" s="2">
        <f>IFERROR(__xludf.DUMMYFUNCTION("""COMPUTED_VALUE"""),14.0)</f>
        <v>14</v>
      </c>
      <c r="Q1855" s="2">
        <f>IFERROR(__xludf.DUMMYFUNCTION("""COMPUTED_VALUE"""),1.0)</f>
        <v>1</v>
      </c>
    </row>
    <row r="1856">
      <c r="P1856" s="2">
        <f>IFERROR(__xludf.DUMMYFUNCTION("""COMPUTED_VALUE"""),14.0)</f>
        <v>14</v>
      </c>
      <c r="Q1856" s="2">
        <f>IFERROR(__xludf.DUMMYFUNCTION("""COMPUTED_VALUE"""),6.0)</f>
        <v>6</v>
      </c>
    </row>
    <row r="1857">
      <c r="P1857" s="2">
        <f>IFERROR(__xludf.DUMMYFUNCTION("""COMPUTED_VALUE"""),14.0)</f>
        <v>14</v>
      </c>
      <c r="Q1857" s="2">
        <f>IFERROR(__xludf.DUMMYFUNCTION("""COMPUTED_VALUE"""),1.0)</f>
        <v>1</v>
      </c>
    </row>
    <row r="1858">
      <c r="P1858" s="2">
        <f>IFERROR(__xludf.DUMMYFUNCTION("""COMPUTED_VALUE"""),14.0)</f>
        <v>14</v>
      </c>
      <c r="Q1858" s="2">
        <f>IFERROR(__xludf.DUMMYFUNCTION("""COMPUTED_VALUE"""),1.0)</f>
        <v>1</v>
      </c>
    </row>
    <row r="1859">
      <c r="P1859" s="2">
        <f>IFERROR(__xludf.DUMMYFUNCTION("""COMPUTED_VALUE"""),14.0)</f>
        <v>14</v>
      </c>
      <c r="Q1859" s="2">
        <f>IFERROR(__xludf.DUMMYFUNCTION("""COMPUTED_VALUE"""),3.0)</f>
        <v>3</v>
      </c>
    </row>
    <row r="1860">
      <c r="P1860" s="2">
        <f>IFERROR(__xludf.DUMMYFUNCTION("""COMPUTED_VALUE"""),14.0)</f>
        <v>14</v>
      </c>
      <c r="Q1860" s="2">
        <f>IFERROR(__xludf.DUMMYFUNCTION("""COMPUTED_VALUE"""),1.0)</f>
        <v>1</v>
      </c>
    </row>
    <row r="1861">
      <c r="P1861" s="2">
        <f>IFERROR(__xludf.DUMMYFUNCTION("""COMPUTED_VALUE"""),14.0)</f>
        <v>14</v>
      </c>
      <c r="Q1861" s="2">
        <f>IFERROR(__xludf.DUMMYFUNCTION("""COMPUTED_VALUE"""),1.0)</f>
        <v>1</v>
      </c>
    </row>
    <row r="1862">
      <c r="P1862" s="2">
        <f>IFERROR(__xludf.DUMMYFUNCTION("""COMPUTED_VALUE"""),14.0)</f>
        <v>14</v>
      </c>
      <c r="Q1862" s="2">
        <f>IFERROR(__xludf.DUMMYFUNCTION("""COMPUTED_VALUE"""),1.0)</f>
        <v>1</v>
      </c>
    </row>
    <row r="1863">
      <c r="P1863" s="2">
        <f>IFERROR(__xludf.DUMMYFUNCTION("""COMPUTED_VALUE"""),14.0)</f>
        <v>14</v>
      </c>
      <c r="Q1863" s="2">
        <f>IFERROR(__xludf.DUMMYFUNCTION("""COMPUTED_VALUE"""),3.0)</f>
        <v>3</v>
      </c>
    </row>
    <row r="1864">
      <c r="P1864" s="2">
        <f>IFERROR(__xludf.DUMMYFUNCTION("""COMPUTED_VALUE"""),14.0)</f>
        <v>14</v>
      </c>
      <c r="Q1864" s="2">
        <f>IFERROR(__xludf.DUMMYFUNCTION("""COMPUTED_VALUE"""),1.0)</f>
        <v>1</v>
      </c>
    </row>
    <row r="1865">
      <c r="P1865" s="2">
        <f>IFERROR(__xludf.DUMMYFUNCTION("""COMPUTED_VALUE"""),14.0)</f>
        <v>14</v>
      </c>
      <c r="Q1865" s="2">
        <f>IFERROR(__xludf.DUMMYFUNCTION("""COMPUTED_VALUE"""),2.0)</f>
        <v>2</v>
      </c>
    </row>
    <row r="1866">
      <c r="P1866" s="2">
        <f>IFERROR(__xludf.DUMMYFUNCTION("""COMPUTED_VALUE"""),14.0)</f>
        <v>14</v>
      </c>
      <c r="Q1866" s="2">
        <f>IFERROR(__xludf.DUMMYFUNCTION("""COMPUTED_VALUE"""),1.0)</f>
        <v>1</v>
      </c>
    </row>
    <row r="1867">
      <c r="P1867" s="2">
        <f>IFERROR(__xludf.DUMMYFUNCTION("""COMPUTED_VALUE"""),14.0)</f>
        <v>14</v>
      </c>
      <c r="Q1867" s="2">
        <f>IFERROR(__xludf.DUMMYFUNCTION("""COMPUTED_VALUE"""),1.0)</f>
        <v>1</v>
      </c>
    </row>
    <row r="1868">
      <c r="P1868" s="2">
        <f>IFERROR(__xludf.DUMMYFUNCTION("""COMPUTED_VALUE"""),14.0)</f>
        <v>14</v>
      </c>
      <c r="Q1868" s="2">
        <f>IFERROR(__xludf.DUMMYFUNCTION("""COMPUTED_VALUE"""),2.0)</f>
        <v>2</v>
      </c>
    </row>
    <row r="1869">
      <c r="P1869" s="2">
        <f>IFERROR(__xludf.DUMMYFUNCTION("""COMPUTED_VALUE"""),14.0)</f>
        <v>14</v>
      </c>
      <c r="Q1869" s="2">
        <f>IFERROR(__xludf.DUMMYFUNCTION("""COMPUTED_VALUE"""),1.0)</f>
        <v>1</v>
      </c>
    </row>
    <row r="1870">
      <c r="P1870" s="2">
        <f>IFERROR(__xludf.DUMMYFUNCTION("""COMPUTED_VALUE"""),14.0)</f>
        <v>14</v>
      </c>
      <c r="Q1870" s="2">
        <f>IFERROR(__xludf.DUMMYFUNCTION("""COMPUTED_VALUE"""),3.0)</f>
        <v>3</v>
      </c>
    </row>
    <row r="1871">
      <c r="P1871" s="2">
        <f>IFERROR(__xludf.DUMMYFUNCTION("""COMPUTED_VALUE"""),14.0)</f>
        <v>14</v>
      </c>
      <c r="Q1871" s="2">
        <f>IFERROR(__xludf.DUMMYFUNCTION("""COMPUTED_VALUE"""),3.0)</f>
        <v>3</v>
      </c>
    </row>
    <row r="1872">
      <c r="P1872" s="2">
        <f>IFERROR(__xludf.DUMMYFUNCTION("""COMPUTED_VALUE"""),14.0)</f>
        <v>14</v>
      </c>
      <c r="Q1872" s="2">
        <f>IFERROR(__xludf.DUMMYFUNCTION("""COMPUTED_VALUE"""),1.0)</f>
        <v>1</v>
      </c>
    </row>
    <row r="1873">
      <c r="P1873" s="2">
        <f>IFERROR(__xludf.DUMMYFUNCTION("""COMPUTED_VALUE"""),14.0)</f>
        <v>14</v>
      </c>
      <c r="Q1873" s="2">
        <f>IFERROR(__xludf.DUMMYFUNCTION("""COMPUTED_VALUE"""),1.0)</f>
        <v>1</v>
      </c>
    </row>
    <row r="1874">
      <c r="P1874" s="2">
        <f>IFERROR(__xludf.DUMMYFUNCTION("""COMPUTED_VALUE"""),14.0)</f>
        <v>14</v>
      </c>
      <c r="Q1874" s="2">
        <f>IFERROR(__xludf.DUMMYFUNCTION("""COMPUTED_VALUE"""),1.0)</f>
        <v>1</v>
      </c>
    </row>
    <row r="1875">
      <c r="P1875" s="2">
        <f>IFERROR(__xludf.DUMMYFUNCTION("""COMPUTED_VALUE"""),14.0)</f>
        <v>14</v>
      </c>
      <c r="Q1875" s="2">
        <f>IFERROR(__xludf.DUMMYFUNCTION("""COMPUTED_VALUE"""),1.0)</f>
        <v>1</v>
      </c>
    </row>
    <row r="1876">
      <c r="P1876" s="2">
        <f>IFERROR(__xludf.DUMMYFUNCTION("""COMPUTED_VALUE"""),14.0)</f>
        <v>14</v>
      </c>
      <c r="Q1876" s="2">
        <f>IFERROR(__xludf.DUMMYFUNCTION("""COMPUTED_VALUE"""),2.0)</f>
        <v>2</v>
      </c>
    </row>
    <row r="1877">
      <c r="P1877" s="2">
        <f>IFERROR(__xludf.DUMMYFUNCTION("""COMPUTED_VALUE"""),14.0)</f>
        <v>14</v>
      </c>
      <c r="Q1877" s="2">
        <f>IFERROR(__xludf.DUMMYFUNCTION("""COMPUTED_VALUE"""),2.0)</f>
        <v>2</v>
      </c>
    </row>
    <row r="1878">
      <c r="P1878" s="2">
        <f>IFERROR(__xludf.DUMMYFUNCTION("""COMPUTED_VALUE"""),14.0)</f>
        <v>14</v>
      </c>
      <c r="Q1878" s="2">
        <f>IFERROR(__xludf.DUMMYFUNCTION("""COMPUTED_VALUE"""),1.0)</f>
        <v>1</v>
      </c>
    </row>
    <row r="1879">
      <c r="P1879" s="2">
        <f>IFERROR(__xludf.DUMMYFUNCTION("""COMPUTED_VALUE"""),14.0)</f>
        <v>14</v>
      </c>
      <c r="Q1879" s="2">
        <f>IFERROR(__xludf.DUMMYFUNCTION("""COMPUTED_VALUE"""),1.0)</f>
        <v>1</v>
      </c>
    </row>
    <row r="1880">
      <c r="P1880" s="2">
        <f>IFERROR(__xludf.DUMMYFUNCTION("""COMPUTED_VALUE"""),14.0)</f>
        <v>14</v>
      </c>
      <c r="Q1880" s="2">
        <f>IFERROR(__xludf.DUMMYFUNCTION("""COMPUTED_VALUE"""),1.0)</f>
        <v>1</v>
      </c>
    </row>
    <row r="1881">
      <c r="P1881" s="2">
        <f>IFERROR(__xludf.DUMMYFUNCTION("""COMPUTED_VALUE"""),14.0)</f>
        <v>14</v>
      </c>
      <c r="Q1881" s="2">
        <f>IFERROR(__xludf.DUMMYFUNCTION("""COMPUTED_VALUE"""),1.0)</f>
        <v>1</v>
      </c>
    </row>
    <row r="1882">
      <c r="P1882" s="2">
        <f>IFERROR(__xludf.DUMMYFUNCTION("""COMPUTED_VALUE"""),14.0)</f>
        <v>14</v>
      </c>
      <c r="Q1882" s="2">
        <f>IFERROR(__xludf.DUMMYFUNCTION("""COMPUTED_VALUE"""),1.0)</f>
        <v>1</v>
      </c>
    </row>
    <row r="1883">
      <c r="P1883" s="2">
        <f>IFERROR(__xludf.DUMMYFUNCTION("""COMPUTED_VALUE"""),14.0)</f>
        <v>14</v>
      </c>
      <c r="Q1883" s="2">
        <f>IFERROR(__xludf.DUMMYFUNCTION("""COMPUTED_VALUE"""),1.0)</f>
        <v>1</v>
      </c>
    </row>
    <row r="1884">
      <c r="P1884" s="2">
        <f>IFERROR(__xludf.DUMMYFUNCTION("""COMPUTED_VALUE"""),14.0)</f>
        <v>14</v>
      </c>
      <c r="Q1884" s="2">
        <f>IFERROR(__xludf.DUMMYFUNCTION("""COMPUTED_VALUE"""),2.0)</f>
        <v>2</v>
      </c>
    </row>
    <row r="1885">
      <c r="P1885" s="2">
        <f>IFERROR(__xludf.DUMMYFUNCTION("""COMPUTED_VALUE"""),14.0)</f>
        <v>14</v>
      </c>
      <c r="Q1885" s="2">
        <f>IFERROR(__xludf.DUMMYFUNCTION("""COMPUTED_VALUE"""),3.0)</f>
        <v>3</v>
      </c>
    </row>
    <row r="1886">
      <c r="P1886" s="2">
        <f>IFERROR(__xludf.DUMMYFUNCTION("""COMPUTED_VALUE"""),14.0)</f>
        <v>14</v>
      </c>
      <c r="Q1886" s="2">
        <f>IFERROR(__xludf.DUMMYFUNCTION("""COMPUTED_VALUE"""),1.0)</f>
        <v>1</v>
      </c>
    </row>
    <row r="1887">
      <c r="P1887" s="2">
        <f>IFERROR(__xludf.DUMMYFUNCTION("""COMPUTED_VALUE"""),14.0)</f>
        <v>14</v>
      </c>
      <c r="Q1887" s="2">
        <f>IFERROR(__xludf.DUMMYFUNCTION("""COMPUTED_VALUE"""),1.0)</f>
        <v>1</v>
      </c>
    </row>
    <row r="1888">
      <c r="P1888" s="2">
        <f>IFERROR(__xludf.DUMMYFUNCTION("""COMPUTED_VALUE"""),14.0)</f>
        <v>14</v>
      </c>
      <c r="Q1888" s="2">
        <f>IFERROR(__xludf.DUMMYFUNCTION("""COMPUTED_VALUE"""),1.0)</f>
        <v>1</v>
      </c>
    </row>
    <row r="1889">
      <c r="P1889" s="2">
        <f>IFERROR(__xludf.DUMMYFUNCTION("""COMPUTED_VALUE"""),14.0)</f>
        <v>14</v>
      </c>
      <c r="Q1889" s="2">
        <f>IFERROR(__xludf.DUMMYFUNCTION("""COMPUTED_VALUE"""),1.0)</f>
        <v>1</v>
      </c>
    </row>
    <row r="1890">
      <c r="P1890" s="2">
        <f>IFERROR(__xludf.DUMMYFUNCTION("""COMPUTED_VALUE"""),14.0)</f>
        <v>14</v>
      </c>
      <c r="Q1890" s="2">
        <f>IFERROR(__xludf.DUMMYFUNCTION("""COMPUTED_VALUE"""),5.0)</f>
        <v>5</v>
      </c>
    </row>
    <row r="1891">
      <c r="P1891" s="2">
        <f>IFERROR(__xludf.DUMMYFUNCTION("""COMPUTED_VALUE"""),14.0)</f>
        <v>14</v>
      </c>
      <c r="Q1891" s="2">
        <f>IFERROR(__xludf.DUMMYFUNCTION("""COMPUTED_VALUE"""),1.0)</f>
        <v>1</v>
      </c>
    </row>
    <row r="1892">
      <c r="P1892" s="2">
        <f>IFERROR(__xludf.DUMMYFUNCTION("""COMPUTED_VALUE"""),14.0)</f>
        <v>14</v>
      </c>
      <c r="Q1892" s="2">
        <f>IFERROR(__xludf.DUMMYFUNCTION("""COMPUTED_VALUE"""),3.0)</f>
        <v>3</v>
      </c>
    </row>
    <row r="1893">
      <c r="P1893" s="2">
        <f>IFERROR(__xludf.DUMMYFUNCTION("""COMPUTED_VALUE"""),14.0)</f>
        <v>14</v>
      </c>
      <c r="Q1893" s="2">
        <f>IFERROR(__xludf.DUMMYFUNCTION("""COMPUTED_VALUE"""),1.0)</f>
        <v>1</v>
      </c>
    </row>
    <row r="1894">
      <c r="P1894" s="2">
        <f>IFERROR(__xludf.DUMMYFUNCTION("""COMPUTED_VALUE"""),14.0)</f>
        <v>14</v>
      </c>
      <c r="Q1894" s="2">
        <f>IFERROR(__xludf.DUMMYFUNCTION("""COMPUTED_VALUE"""),3.0)</f>
        <v>3</v>
      </c>
    </row>
    <row r="1895">
      <c r="P1895" s="2">
        <f>IFERROR(__xludf.DUMMYFUNCTION("""COMPUTED_VALUE"""),14.0)</f>
        <v>14</v>
      </c>
      <c r="Q1895" s="2">
        <f>IFERROR(__xludf.DUMMYFUNCTION("""COMPUTED_VALUE"""),2.0)</f>
        <v>2</v>
      </c>
    </row>
    <row r="1896">
      <c r="P1896" s="2">
        <f>IFERROR(__xludf.DUMMYFUNCTION("""COMPUTED_VALUE"""),14.0)</f>
        <v>14</v>
      </c>
      <c r="Q1896" s="2">
        <f>IFERROR(__xludf.DUMMYFUNCTION("""COMPUTED_VALUE"""),1.0)</f>
        <v>1</v>
      </c>
    </row>
    <row r="1897">
      <c r="P1897" s="2">
        <f>IFERROR(__xludf.DUMMYFUNCTION("""COMPUTED_VALUE"""),14.0)</f>
        <v>14</v>
      </c>
      <c r="Q1897" s="2">
        <f>IFERROR(__xludf.DUMMYFUNCTION("""COMPUTED_VALUE"""),1.0)</f>
        <v>1</v>
      </c>
    </row>
    <row r="1898">
      <c r="P1898" s="2">
        <f>IFERROR(__xludf.DUMMYFUNCTION("""COMPUTED_VALUE"""),14.0)</f>
        <v>14</v>
      </c>
      <c r="Q1898" s="2">
        <f>IFERROR(__xludf.DUMMYFUNCTION("""COMPUTED_VALUE"""),1.0)</f>
        <v>1</v>
      </c>
    </row>
    <row r="1899">
      <c r="P1899" s="2">
        <f>IFERROR(__xludf.DUMMYFUNCTION("""COMPUTED_VALUE"""),14.0)</f>
        <v>14</v>
      </c>
      <c r="Q1899" s="2">
        <f>IFERROR(__xludf.DUMMYFUNCTION("""COMPUTED_VALUE"""),1.0)</f>
        <v>1</v>
      </c>
    </row>
    <row r="1900">
      <c r="P1900" s="2">
        <f>IFERROR(__xludf.DUMMYFUNCTION("""COMPUTED_VALUE"""),14.0)</f>
        <v>14</v>
      </c>
      <c r="Q1900" s="2">
        <f>IFERROR(__xludf.DUMMYFUNCTION("""COMPUTED_VALUE"""),1.0)</f>
        <v>1</v>
      </c>
    </row>
    <row r="1901">
      <c r="P1901" s="2">
        <f>IFERROR(__xludf.DUMMYFUNCTION("""COMPUTED_VALUE"""),14.0)</f>
        <v>14</v>
      </c>
      <c r="Q1901" s="2">
        <f>IFERROR(__xludf.DUMMYFUNCTION("""COMPUTED_VALUE"""),1.0)</f>
        <v>1</v>
      </c>
    </row>
    <row r="1902">
      <c r="P1902" s="2">
        <f>IFERROR(__xludf.DUMMYFUNCTION("""COMPUTED_VALUE"""),14.0)</f>
        <v>14</v>
      </c>
      <c r="Q1902" s="2">
        <f>IFERROR(__xludf.DUMMYFUNCTION("""COMPUTED_VALUE"""),1.0)</f>
        <v>1</v>
      </c>
    </row>
    <row r="1903">
      <c r="P1903" s="2">
        <f>IFERROR(__xludf.DUMMYFUNCTION("""COMPUTED_VALUE"""),14.0)</f>
        <v>14</v>
      </c>
      <c r="Q1903" s="2">
        <f>IFERROR(__xludf.DUMMYFUNCTION("""COMPUTED_VALUE"""),1.0)</f>
        <v>1</v>
      </c>
    </row>
    <row r="1904">
      <c r="P1904" s="2">
        <f>IFERROR(__xludf.DUMMYFUNCTION("""COMPUTED_VALUE"""),14.0)</f>
        <v>14</v>
      </c>
      <c r="Q1904" s="2">
        <f>IFERROR(__xludf.DUMMYFUNCTION("""COMPUTED_VALUE"""),3.0)</f>
        <v>3</v>
      </c>
    </row>
    <row r="1905">
      <c r="P1905" s="2">
        <f>IFERROR(__xludf.DUMMYFUNCTION("""COMPUTED_VALUE"""),14.0)</f>
        <v>14</v>
      </c>
      <c r="Q1905" s="2">
        <f>IFERROR(__xludf.DUMMYFUNCTION("""COMPUTED_VALUE"""),1.0)</f>
        <v>1</v>
      </c>
    </row>
    <row r="1906">
      <c r="P1906" s="2">
        <f>IFERROR(__xludf.DUMMYFUNCTION("""COMPUTED_VALUE"""),14.0)</f>
        <v>14</v>
      </c>
      <c r="Q1906" s="2">
        <f>IFERROR(__xludf.DUMMYFUNCTION("""COMPUTED_VALUE"""),1.0)</f>
        <v>1</v>
      </c>
    </row>
    <row r="1907">
      <c r="P1907" s="2">
        <f>IFERROR(__xludf.DUMMYFUNCTION("""COMPUTED_VALUE"""),14.0)</f>
        <v>14</v>
      </c>
      <c r="Q1907" s="2">
        <f>IFERROR(__xludf.DUMMYFUNCTION("""COMPUTED_VALUE"""),4.0)</f>
        <v>4</v>
      </c>
    </row>
    <row r="1908">
      <c r="P1908" s="2">
        <f>IFERROR(__xludf.DUMMYFUNCTION("""COMPUTED_VALUE"""),14.0)</f>
        <v>14</v>
      </c>
      <c r="Q1908" s="2">
        <f>IFERROR(__xludf.DUMMYFUNCTION("""COMPUTED_VALUE"""),2.0)</f>
        <v>2</v>
      </c>
    </row>
    <row r="1909">
      <c r="P1909" s="2">
        <f>IFERROR(__xludf.DUMMYFUNCTION("""COMPUTED_VALUE"""),14.0)</f>
        <v>14</v>
      </c>
      <c r="Q1909" s="2">
        <f>IFERROR(__xludf.DUMMYFUNCTION("""COMPUTED_VALUE"""),14.0)</f>
        <v>14</v>
      </c>
    </row>
    <row r="1910">
      <c r="P1910" s="2">
        <f>IFERROR(__xludf.DUMMYFUNCTION("""COMPUTED_VALUE"""),14.0)</f>
        <v>14</v>
      </c>
      <c r="Q1910" s="2">
        <f>IFERROR(__xludf.DUMMYFUNCTION("""COMPUTED_VALUE"""),5.0)</f>
        <v>5</v>
      </c>
    </row>
    <row r="1911">
      <c r="P1911" s="2">
        <f>IFERROR(__xludf.DUMMYFUNCTION("""COMPUTED_VALUE"""),14.0)</f>
        <v>14</v>
      </c>
      <c r="Q1911" s="2">
        <f>IFERROR(__xludf.DUMMYFUNCTION("""COMPUTED_VALUE"""),1.0)</f>
        <v>1</v>
      </c>
    </row>
    <row r="1912">
      <c r="P1912" s="2">
        <f>IFERROR(__xludf.DUMMYFUNCTION("""COMPUTED_VALUE"""),14.0)</f>
        <v>14</v>
      </c>
      <c r="Q1912" s="2">
        <f>IFERROR(__xludf.DUMMYFUNCTION("""COMPUTED_VALUE"""),1.0)</f>
        <v>1</v>
      </c>
    </row>
    <row r="1913">
      <c r="P1913" s="2">
        <f>IFERROR(__xludf.DUMMYFUNCTION("""COMPUTED_VALUE"""),14.0)</f>
        <v>14</v>
      </c>
      <c r="Q1913" s="2">
        <f>IFERROR(__xludf.DUMMYFUNCTION("""COMPUTED_VALUE"""),3.0)</f>
        <v>3</v>
      </c>
    </row>
    <row r="1914">
      <c r="P1914" s="2">
        <f>IFERROR(__xludf.DUMMYFUNCTION("""COMPUTED_VALUE"""),14.0)</f>
        <v>14</v>
      </c>
      <c r="Q1914" s="2">
        <f>IFERROR(__xludf.DUMMYFUNCTION("""COMPUTED_VALUE"""),1.0)</f>
        <v>1</v>
      </c>
    </row>
    <row r="1915">
      <c r="P1915" s="2">
        <f>IFERROR(__xludf.DUMMYFUNCTION("""COMPUTED_VALUE"""),14.0)</f>
        <v>14</v>
      </c>
      <c r="Q1915" s="2">
        <f>IFERROR(__xludf.DUMMYFUNCTION("""COMPUTED_VALUE"""),1.0)</f>
        <v>1</v>
      </c>
    </row>
    <row r="1916">
      <c r="P1916" s="2">
        <f>IFERROR(__xludf.DUMMYFUNCTION("""COMPUTED_VALUE"""),14.0)</f>
        <v>14</v>
      </c>
      <c r="Q1916" s="2">
        <f>IFERROR(__xludf.DUMMYFUNCTION("""COMPUTED_VALUE"""),1.0)</f>
        <v>1</v>
      </c>
    </row>
    <row r="1917">
      <c r="P1917" s="2">
        <f>IFERROR(__xludf.DUMMYFUNCTION("""COMPUTED_VALUE"""),14.0)</f>
        <v>14</v>
      </c>
      <c r="Q1917" s="2">
        <f>IFERROR(__xludf.DUMMYFUNCTION("""COMPUTED_VALUE"""),1.0)</f>
        <v>1</v>
      </c>
    </row>
    <row r="1918">
      <c r="P1918" s="2">
        <f>IFERROR(__xludf.DUMMYFUNCTION("""COMPUTED_VALUE"""),14.0)</f>
        <v>14</v>
      </c>
      <c r="Q1918" s="2">
        <f>IFERROR(__xludf.DUMMYFUNCTION("""COMPUTED_VALUE"""),1.0)</f>
        <v>1</v>
      </c>
    </row>
    <row r="1919">
      <c r="P1919" s="2">
        <f>IFERROR(__xludf.DUMMYFUNCTION("""COMPUTED_VALUE"""),14.0)</f>
        <v>14</v>
      </c>
      <c r="Q1919" s="2">
        <f>IFERROR(__xludf.DUMMYFUNCTION("""COMPUTED_VALUE"""),2.0)</f>
        <v>2</v>
      </c>
    </row>
    <row r="1920">
      <c r="P1920" s="2">
        <f>IFERROR(__xludf.DUMMYFUNCTION("""COMPUTED_VALUE"""),14.0)</f>
        <v>14</v>
      </c>
      <c r="Q1920" s="2">
        <f>IFERROR(__xludf.DUMMYFUNCTION("""COMPUTED_VALUE"""),1.0)</f>
        <v>1</v>
      </c>
    </row>
    <row r="1921">
      <c r="P1921" s="2">
        <f>IFERROR(__xludf.DUMMYFUNCTION("""COMPUTED_VALUE"""),14.0)</f>
        <v>14</v>
      </c>
      <c r="Q1921" s="2">
        <f>IFERROR(__xludf.DUMMYFUNCTION("""COMPUTED_VALUE"""),1.0)</f>
        <v>1</v>
      </c>
    </row>
    <row r="1922">
      <c r="P1922" s="2">
        <f>IFERROR(__xludf.DUMMYFUNCTION("""COMPUTED_VALUE"""),14.0)</f>
        <v>14</v>
      </c>
      <c r="Q1922" s="2">
        <f>IFERROR(__xludf.DUMMYFUNCTION("""COMPUTED_VALUE"""),2.0)</f>
        <v>2</v>
      </c>
    </row>
    <row r="1923">
      <c r="P1923" s="2">
        <f>IFERROR(__xludf.DUMMYFUNCTION("""COMPUTED_VALUE"""),14.0)</f>
        <v>14</v>
      </c>
      <c r="Q1923" s="2">
        <f>IFERROR(__xludf.DUMMYFUNCTION("""COMPUTED_VALUE"""),1.0)</f>
        <v>1</v>
      </c>
    </row>
    <row r="1924">
      <c r="P1924" s="2">
        <f>IFERROR(__xludf.DUMMYFUNCTION("""COMPUTED_VALUE"""),14.0)</f>
        <v>14</v>
      </c>
      <c r="Q1924" s="2">
        <f>IFERROR(__xludf.DUMMYFUNCTION("""COMPUTED_VALUE"""),3.0)</f>
        <v>3</v>
      </c>
    </row>
    <row r="1925">
      <c r="P1925" s="2">
        <f>IFERROR(__xludf.DUMMYFUNCTION("""COMPUTED_VALUE"""),14.0)</f>
        <v>14</v>
      </c>
      <c r="Q1925" s="2">
        <f>IFERROR(__xludf.DUMMYFUNCTION("""COMPUTED_VALUE"""),2.0)</f>
        <v>2</v>
      </c>
    </row>
    <row r="1926">
      <c r="P1926" s="2">
        <f>IFERROR(__xludf.DUMMYFUNCTION("""COMPUTED_VALUE"""),14.0)</f>
        <v>14</v>
      </c>
      <c r="Q1926" s="2">
        <f>IFERROR(__xludf.DUMMYFUNCTION("""COMPUTED_VALUE"""),1.0)</f>
        <v>1</v>
      </c>
    </row>
    <row r="1927">
      <c r="P1927" s="2">
        <f>IFERROR(__xludf.DUMMYFUNCTION("""COMPUTED_VALUE"""),14.0)</f>
        <v>14</v>
      </c>
      <c r="Q1927" s="2">
        <f>IFERROR(__xludf.DUMMYFUNCTION("""COMPUTED_VALUE"""),2.0)</f>
        <v>2</v>
      </c>
    </row>
    <row r="1928">
      <c r="P1928" s="2">
        <f>IFERROR(__xludf.DUMMYFUNCTION("""COMPUTED_VALUE"""),14.0)</f>
        <v>14</v>
      </c>
      <c r="Q1928" s="2">
        <f>IFERROR(__xludf.DUMMYFUNCTION("""COMPUTED_VALUE"""),3.0)</f>
        <v>3</v>
      </c>
    </row>
    <row r="1929">
      <c r="P1929" s="2">
        <f>IFERROR(__xludf.DUMMYFUNCTION("""COMPUTED_VALUE"""),14.0)</f>
        <v>14</v>
      </c>
      <c r="Q1929" s="2">
        <f>IFERROR(__xludf.DUMMYFUNCTION("""COMPUTED_VALUE"""),1.0)</f>
        <v>1</v>
      </c>
    </row>
    <row r="1930">
      <c r="P1930" s="2">
        <f>IFERROR(__xludf.DUMMYFUNCTION("""COMPUTED_VALUE"""),14.0)</f>
        <v>14</v>
      </c>
      <c r="Q1930" s="2">
        <f>IFERROR(__xludf.DUMMYFUNCTION("""COMPUTED_VALUE"""),3.0)</f>
        <v>3</v>
      </c>
    </row>
    <row r="1931">
      <c r="P1931" s="2">
        <f>IFERROR(__xludf.DUMMYFUNCTION("""COMPUTED_VALUE"""),14.0)</f>
        <v>14</v>
      </c>
      <c r="Q1931" s="2">
        <f>IFERROR(__xludf.DUMMYFUNCTION("""COMPUTED_VALUE"""),18.0)</f>
        <v>18</v>
      </c>
    </row>
    <row r="1932">
      <c r="P1932" s="2">
        <f>IFERROR(__xludf.DUMMYFUNCTION("""COMPUTED_VALUE"""),14.0)</f>
        <v>14</v>
      </c>
      <c r="Q1932" s="2">
        <f>IFERROR(__xludf.DUMMYFUNCTION("""COMPUTED_VALUE"""),1.0)</f>
        <v>1</v>
      </c>
    </row>
    <row r="1933">
      <c r="P1933" s="2">
        <f>IFERROR(__xludf.DUMMYFUNCTION("""COMPUTED_VALUE"""),14.0)</f>
        <v>14</v>
      </c>
      <c r="Q1933" s="2">
        <f>IFERROR(__xludf.DUMMYFUNCTION("""COMPUTED_VALUE"""),1.0)</f>
        <v>1</v>
      </c>
    </row>
    <row r="1934">
      <c r="P1934" s="2">
        <f>IFERROR(__xludf.DUMMYFUNCTION("""COMPUTED_VALUE"""),14.0)</f>
        <v>14</v>
      </c>
      <c r="Q1934" s="2">
        <f>IFERROR(__xludf.DUMMYFUNCTION("""COMPUTED_VALUE"""),13.0)</f>
        <v>13</v>
      </c>
    </row>
    <row r="1935">
      <c r="P1935" s="2">
        <f>IFERROR(__xludf.DUMMYFUNCTION("""COMPUTED_VALUE"""),14.0)</f>
        <v>14</v>
      </c>
      <c r="Q1935" s="2">
        <f>IFERROR(__xludf.DUMMYFUNCTION("""COMPUTED_VALUE"""),12.0)</f>
        <v>12</v>
      </c>
    </row>
    <row r="1936">
      <c r="P1936" s="2">
        <f>IFERROR(__xludf.DUMMYFUNCTION("""COMPUTED_VALUE"""),14.0)</f>
        <v>14</v>
      </c>
      <c r="Q1936" s="2">
        <f>IFERROR(__xludf.DUMMYFUNCTION("""COMPUTED_VALUE"""),6.0)</f>
        <v>6</v>
      </c>
    </row>
    <row r="1937">
      <c r="P1937" s="2">
        <f>IFERROR(__xludf.DUMMYFUNCTION("""COMPUTED_VALUE"""),14.0)</f>
        <v>14</v>
      </c>
      <c r="Q1937" s="2">
        <f>IFERROR(__xludf.DUMMYFUNCTION("""COMPUTED_VALUE"""),2.0)</f>
        <v>2</v>
      </c>
    </row>
    <row r="1938">
      <c r="P1938" s="2">
        <f>IFERROR(__xludf.DUMMYFUNCTION("""COMPUTED_VALUE"""),14.0)</f>
        <v>14</v>
      </c>
      <c r="Q1938" s="2">
        <f>IFERROR(__xludf.DUMMYFUNCTION("""COMPUTED_VALUE"""),2.0)</f>
        <v>2</v>
      </c>
    </row>
    <row r="1939">
      <c r="P1939" s="2">
        <f>IFERROR(__xludf.DUMMYFUNCTION("""COMPUTED_VALUE"""),14.0)</f>
        <v>14</v>
      </c>
      <c r="Q1939" s="2">
        <f>IFERROR(__xludf.DUMMYFUNCTION("""COMPUTED_VALUE"""),1.0)</f>
        <v>1</v>
      </c>
    </row>
    <row r="1940">
      <c r="P1940" s="2">
        <f>IFERROR(__xludf.DUMMYFUNCTION("""COMPUTED_VALUE"""),14.0)</f>
        <v>14</v>
      </c>
      <c r="Q1940" s="2">
        <f>IFERROR(__xludf.DUMMYFUNCTION("""COMPUTED_VALUE"""),2.0)</f>
        <v>2</v>
      </c>
    </row>
    <row r="1941">
      <c r="P1941" s="2">
        <f>IFERROR(__xludf.DUMMYFUNCTION("""COMPUTED_VALUE"""),14.0)</f>
        <v>14</v>
      </c>
      <c r="Q1941" s="2">
        <f>IFERROR(__xludf.DUMMYFUNCTION("""COMPUTED_VALUE"""),1.0)</f>
        <v>1</v>
      </c>
    </row>
    <row r="1942">
      <c r="P1942" s="2">
        <f>IFERROR(__xludf.DUMMYFUNCTION("""COMPUTED_VALUE"""),14.0)</f>
        <v>14</v>
      </c>
      <c r="Q1942" s="2">
        <f>IFERROR(__xludf.DUMMYFUNCTION("""COMPUTED_VALUE"""),1.0)</f>
        <v>1</v>
      </c>
    </row>
    <row r="1943">
      <c r="P1943" s="2">
        <f>IFERROR(__xludf.DUMMYFUNCTION("""COMPUTED_VALUE"""),14.0)</f>
        <v>14</v>
      </c>
      <c r="Q1943" s="2">
        <f>IFERROR(__xludf.DUMMYFUNCTION("""COMPUTED_VALUE"""),1.0)</f>
        <v>1</v>
      </c>
    </row>
    <row r="1944">
      <c r="P1944" s="2">
        <f>IFERROR(__xludf.DUMMYFUNCTION("""COMPUTED_VALUE"""),14.0)</f>
        <v>14</v>
      </c>
      <c r="Q1944" s="2">
        <f>IFERROR(__xludf.DUMMYFUNCTION("""COMPUTED_VALUE"""),1.0)</f>
        <v>1</v>
      </c>
    </row>
    <row r="1945">
      <c r="P1945" s="2">
        <f>IFERROR(__xludf.DUMMYFUNCTION("""COMPUTED_VALUE"""),14.0)</f>
        <v>14</v>
      </c>
      <c r="Q1945" s="2">
        <f>IFERROR(__xludf.DUMMYFUNCTION("""COMPUTED_VALUE"""),3.0)</f>
        <v>3</v>
      </c>
    </row>
    <row r="1946">
      <c r="P1946" s="2">
        <f>IFERROR(__xludf.DUMMYFUNCTION("""COMPUTED_VALUE"""),14.0)</f>
        <v>14</v>
      </c>
      <c r="Q1946" s="2">
        <f>IFERROR(__xludf.DUMMYFUNCTION("""COMPUTED_VALUE"""),4.0)</f>
        <v>4</v>
      </c>
    </row>
    <row r="1947">
      <c r="P1947" s="2">
        <f>IFERROR(__xludf.DUMMYFUNCTION("""COMPUTED_VALUE"""),14.0)</f>
        <v>14</v>
      </c>
      <c r="Q1947" s="2">
        <f>IFERROR(__xludf.DUMMYFUNCTION("""COMPUTED_VALUE"""),1.0)</f>
        <v>1</v>
      </c>
    </row>
    <row r="1948">
      <c r="P1948" s="2">
        <f>IFERROR(__xludf.DUMMYFUNCTION("""COMPUTED_VALUE"""),14.0)</f>
        <v>14</v>
      </c>
      <c r="Q1948" s="2">
        <f>IFERROR(__xludf.DUMMYFUNCTION("""COMPUTED_VALUE"""),6.0)</f>
        <v>6</v>
      </c>
    </row>
    <row r="1949">
      <c r="P1949" s="2">
        <f>IFERROR(__xludf.DUMMYFUNCTION("""COMPUTED_VALUE"""),14.0)</f>
        <v>14</v>
      </c>
      <c r="Q1949" s="2">
        <f>IFERROR(__xludf.DUMMYFUNCTION("""COMPUTED_VALUE"""),2.0)</f>
        <v>2</v>
      </c>
    </row>
    <row r="1950">
      <c r="P1950" s="2">
        <f>IFERROR(__xludf.DUMMYFUNCTION("""COMPUTED_VALUE"""),14.0)</f>
        <v>14</v>
      </c>
      <c r="Q1950" s="2">
        <f>IFERROR(__xludf.DUMMYFUNCTION("""COMPUTED_VALUE"""),1.0)</f>
        <v>1</v>
      </c>
    </row>
    <row r="1951">
      <c r="P1951" s="2">
        <f>IFERROR(__xludf.DUMMYFUNCTION("""COMPUTED_VALUE"""),14.0)</f>
        <v>14</v>
      </c>
      <c r="Q1951" s="2">
        <f>IFERROR(__xludf.DUMMYFUNCTION("""COMPUTED_VALUE"""),2.0)</f>
        <v>2</v>
      </c>
    </row>
    <row r="1952">
      <c r="P1952" s="2">
        <f>IFERROR(__xludf.DUMMYFUNCTION("""COMPUTED_VALUE"""),14.0)</f>
        <v>14</v>
      </c>
      <c r="Q1952" s="2">
        <f>IFERROR(__xludf.DUMMYFUNCTION("""COMPUTED_VALUE"""),4.0)</f>
        <v>4</v>
      </c>
    </row>
    <row r="1953">
      <c r="P1953" s="2">
        <f>IFERROR(__xludf.DUMMYFUNCTION("""COMPUTED_VALUE"""),14.0)</f>
        <v>14</v>
      </c>
      <c r="Q1953" s="2">
        <f>IFERROR(__xludf.DUMMYFUNCTION("""COMPUTED_VALUE"""),1.0)</f>
        <v>1</v>
      </c>
    </row>
    <row r="1954">
      <c r="P1954" s="2">
        <f>IFERROR(__xludf.DUMMYFUNCTION("""COMPUTED_VALUE"""),14.0)</f>
        <v>14</v>
      </c>
      <c r="Q1954" s="2">
        <f>IFERROR(__xludf.DUMMYFUNCTION("""COMPUTED_VALUE"""),7.0)</f>
        <v>7</v>
      </c>
    </row>
    <row r="1955">
      <c r="P1955" s="2">
        <f>IFERROR(__xludf.DUMMYFUNCTION("""COMPUTED_VALUE"""),14.0)</f>
        <v>14</v>
      </c>
      <c r="Q1955" s="2">
        <f>IFERROR(__xludf.DUMMYFUNCTION("""COMPUTED_VALUE"""),1.0)</f>
        <v>1</v>
      </c>
    </row>
    <row r="1956">
      <c r="P1956" s="2">
        <f>IFERROR(__xludf.DUMMYFUNCTION("""COMPUTED_VALUE"""),14.0)</f>
        <v>14</v>
      </c>
      <c r="Q1956" s="2">
        <f>IFERROR(__xludf.DUMMYFUNCTION("""COMPUTED_VALUE"""),1.0)</f>
        <v>1</v>
      </c>
    </row>
    <row r="1957">
      <c r="P1957" s="2">
        <f>IFERROR(__xludf.DUMMYFUNCTION("""COMPUTED_VALUE"""),14.0)</f>
        <v>14</v>
      </c>
      <c r="Q1957" s="2">
        <f>IFERROR(__xludf.DUMMYFUNCTION("""COMPUTED_VALUE"""),1.0)</f>
        <v>1</v>
      </c>
    </row>
    <row r="1958">
      <c r="P1958" s="2">
        <f>IFERROR(__xludf.DUMMYFUNCTION("""COMPUTED_VALUE"""),14.0)</f>
        <v>14</v>
      </c>
      <c r="Q1958" s="2">
        <f>IFERROR(__xludf.DUMMYFUNCTION("""COMPUTED_VALUE"""),1.0)</f>
        <v>1</v>
      </c>
    </row>
    <row r="1959">
      <c r="P1959" s="2">
        <f>IFERROR(__xludf.DUMMYFUNCTION("""COMPUTED_VALUE"""),14.0)</f>
        <v>14</v>
      </c>
      <c r="Q1959" s="2">
        <f>IFERROR(__xludf.DUMMYFUNCTION("""COMPUTED_VALUE"""),1.0)</f>
        <v>1</v>
      </c>
    </row>
    <row r="1960">
      <c r="P1960" s="2">
        <f>IFERROR(__xludf.DUMMYFUNCTION("""COMPUTED_VALUE"""),14.0)</f>
        <v>14</v>
      </c>
      <c r="Q1960" s="2">
        <f>IFERROR(__xludf.DUMMYFUNCTION("""COMPUTED_VALUE"""),1.0)</f>
        <v>1</v>
      </c>
    </row>
    <row r="1961">
      <c r="P1961" s="2">
        <f>IFERROR(__xludf.DUMMYFUNCTION("""COMPUTED_VALUE"""),14.0)</f>
        <v>14</v>
      </c>
      <c r="Q1961" s="2">
        <f>IFERROR(__xludf.DUMMYFUNCTION("""COMPUTED_VALUE"""),1.0)</f>
        <v>1</v>
      </c>
    </row>
    <row r="1962">
      <c r="P1962" s="2">
        <f>IFERROR(__xludf.DUMMYFUNCTION("""COMPUTED_VALUE"""),14.0)</f>
        <v>14</v>
      </c>
      <c r="Q1962" s="2">
        <f>IFERROR(__xludf.DUMMYFUNCTION("""COMPUTED_VALUE"""),2.0)</f>
        <v>2</v>
      </c>
    </row>
  </sheetData>
  <drawing r:id="rId1"/>
</worksheet>
</file>